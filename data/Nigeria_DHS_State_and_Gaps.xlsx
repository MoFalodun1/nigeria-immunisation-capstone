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State_Table" sheetId="2" state="visible" r:id="rId4"/>
    <sheet name="Gaps" sheetId="3" state="visible" r:id="rId5"/>
    <sheet name="Check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<sst xmlns="http://schemas.openxmlformats.org/spreadsheetml/2006/main" count="238" uniqueCount="130">
  <si>
    <t xml:space="preserve">Nigeria DHS: state-level table and group gaps</t>
  </si>
  <si>
    <t xml:space="preserve">Source: DHS Program API (api.dhsprogram.com), pulled with dhs_api_pull.py on 20 Oct 2026. Children 12-23 months, card or mother's report.</t>
  </si>
  <si>
    <t xml:space="preserve">Survey IDs are DHS fieldwork labels: NG2013DHS, NG2018DHS (=the "2017" values in WUENIC), NG2024DHS (=the "2022" values in WUENIC).</t>
  </si>
  <si>
    <t xml:space="preserve">Blue cells = values copied from the API output. Black cells = formulas. Yellow cell = assumption you can change.</t>
  </si>
  <si>
    <t xml:space="preserve">Sheets: State_Table (37 states: 36 states + FCT), Gaps (wealth, residence, education), Checks (reconciliation and zero-dose definitions).</t>
  </si>
  <si>
    <t xml:space="preserve">Limits: the API gives no confidence intervals for states; state samples are small (49 to 271 children in 2024), so single-state values are noisy. Treat state rankings as indicative.</t>
  </si>
  <si>
    <t xml:space="preserve">Zones in the raw file (North Central etc.) are excluded from State_Table to avoid double counting.</t>
  </si>
  <si>
    <t xml:space="preserve">Small-sample threshold (children, DTP3 denominator, 2024)</t>
  </si>
  <si>
    <t xml:space="preserve">Assumption: states with fewer than this many sampled children are flagged. Chosen by us, not from DHS.</t>
  </si>
  <si>
    <t xml:space="preserve">State</t>
  </si>
  <si>
    <t xml:space="preserve">Zone</t>
  </si>
  <si>
    <t xml:space="preserve">DTP1 2013</t>
  </si>
  <si>
    <t xml:space="preserve">DTP1 2018</t>
  </si>
  <si>
    <t xml:space="preserve">DTP1 2024</t>
  </si>
  <si>
    <t xml:space="preserve">DTP3 2013</t>
  </si>
  <si>
    <t xml:space="preserve">DTP3 2018</t>
  </si>
  <si>
    <t xml:space="preserve">DTP3 2024</t>
  </si>
  <si>
    <t xml:space="preserve">MCV1 2013</t>
  </si>
  <si>
    <t xml:space="preserve">MCV1 2018</t>
  </si>
  <si>
    <t xml:space="preserve">MCV1 2024</t>
  </si>
  <si>
    <t xml:space="preserve">Children sampled 2024 (DTP3)</t>
  </si>
  <si>
    <t xml:space="preserve">Zero-dose proxy 2018 (100-DTP1)</t>
  </si>
  <si>
    <t xml:space="preserve">Zero-dose proxy 2024 (100-DTP1)</t>
  </si>
  <si>
    <t xml:space="preserve">Change in zero-dose 2018-24 (pp)</t>
  </si>
  <si>
    <t xml:space="preserve">DTP3 change 2018-24 (pp)</t>
  </si>
  <si>
    <t xml:space="preserve">DTP dropout 2024 (%)</t>
  </si>
  <si>
    <t xml:space="preserve">DTP3 rank 2024 (1=highest)</t>
  </si>
  <si>
    <t xml:space="preserve">Small-sample flag</t>
  </si>
  <si>
    <t xml:space="preserve">Benue</t>
  </si>
  <si>
    <t xml:space="preserve">North Central</t>
  </si>
  <si>
    <t xml:space="preserve">FCT Abuja</t>
  </si>
  <si>
    <t xml:space="preserve">Kogi</t>
  </si>
  <si>
    <t xml:space="preserve">Kwara</t>
  </si>
  <si>
    <t xml:space="preserve">Nasarawa</t>
  </si>
  <si>
    <t xml:space="preserve">Niger</t>
  </si>
  <si>
    <t xml:space="preserve">Plateau</t>
  </si>
  <si>
    <t xml:space="preserve">Adamawa</t>
  </si>
  <si>
    <t xml:space="preserve">North East</t>
  </si>
  <si>
    <t xml:space="preserve">Bauchi</t>
  </si>
  <si>
    <t xml:space="preserve">Borno</t>
  </si>
  <si>
    <t xml:space="preserve">Gombe</t>
  </si>
  <si>
    <t xml:space="preserve">Taraba</t>
  </si>
  <si>
    <t xml:space="preserve">Yobe</t>
  </si>
  <si>
    <t xml:space="preserve">Jigawa</t>
  </si>
  <si>
    <t xml:space="preserve">North West</t>
  </si>
  <si>
    <t xml:space="preserve">Kaduna</t>
  </si>
  <si>
    <t xml:space="preserve">Kano</t>
  </si>
  <si>
    <t xml:space="preserve">Katsina</t>
  </si>
  <si>
    <t xml:space="preserve">Kebbi</t>
  </si>
  <si>
    <t xml:space="preserve">Sokoto</t>
  </si>
  <si>
    <t xml:space="preserve">Zamfara</t>
  </si>
  <si>
    <t xml:space="preserve">Abia</t>
  </si>
  <si>
    <t xml:space="preserve">South East</t>
  </si>
  <si>
    <t xml:space="preserve">Anambra</t>
  </si>
  <si>
    <t xml:space="preserve">Ebonyi</t>
  </si>
  <si>
    <t xml:space="preserve">Enugu</t>
  </si>
  <si>
    <t xml:space="preserve">Imo</t>
  </si>
  <si>
    <t xml:space="preserve">Akwa Ibom</t>
  </si>
  <si>
    <t xml:space="preserve">South South</t>
  </si>
  <si>
    <t xml:space="preserve">Bayelsa</t>
  </si>
  <si>
    <t xml:space="preserve">Cross River</t>
  </si>
  <si>
    <t xml:space="preserve">Delta</t>
  </si>
  <si>
    <t xml:space="preserve">Edo</t>
  </si>
  <si>
    <t xml:space="preserve">Rivers</t>
  </si>
  <si>
    <t xml:space="preserve">Ekiti</t>
  </si>
  <si>
    <t xml:space="preserve">South West</t>
  </si>
  <si>
    <t xml:space="preserve">Lagos</t>
  </si>
  <si>
    <t xml:space="preserve">Ogun</t>
  </si>
  <si>
    <t xml:space="preserve">Ondo</t>
  </si>
  <si>
    <t xml:space="preserve">Osun</t>
  </si>
  <si>
    <t xml:space="preserve">Oyo</t>
  </si>
  <si>
    <t xml:space="preserve">Unweighted mean of 37 states</t>
  </si>
  <si>
    <t xml:space="preserve">Median</t>
  </si>
  <si>
    <t xml:space="preserve">States with DTP3 below 50% (2024)</t>
  </si>
  <si>
    <t xml:space="preserve">States with higher zero-dose proxy in 2024 than 2018</t>
  </si>
  <si>
    <t xml:space="preserve">Highest minus lowest state DTP3 (pp, 2024)</t>
  </si>
  <si>
    <t xml:space="preserve">Note: the mean is unweighted (each state counts equally), so it differs from the national DHS figure (DTP3 53.4%).</t>
  </si>
  <si>
    <t xml:space="preserve">Coverage by wealth, residence and education (national, children 12-23 months)</t>
  </si>
  <si>
    <t xml:space="preserve">DTP3 coverage (%)</t>
  </si>
  <si>
    <t xml:space="preserve">Category</t>
  </si>
  <si>
    <t xml:space="preserve">Group</t>
  </si>
  <si>
    <t xml:space="preserve">2013</t>
  </si>
  <si>
    <t xml:space="preserve">2018</t>
  </si>
  <si>
    <t xml:space="preserve">2024</t>
  </si>
  <si>
    <t xml:space="preserve">Wealth quintile</t>
  </si>
  <si>
    <t xml:space="preserve">Lowest</t>
  </si>
  <si>
    <t xml:space="preserve">Second</t>
  </si>
  <si>
    <t xml:space="preserve">Middle</t>
  </si>
  <si>
    <t xml:space="preserve">Fourth</t>
  </si>
  <si>
    <t xml:space="preserve">Highest</t>
  </si>
  <si>
    <t xml:space="preserve">Residence</t>
  </si>
  <si>
    <t xml:space="preserve">Rural</t>
  </si>
  <si>
    <t xml:space="preserve">Urban</t>
  </si>
  <si>
    <t xml:space="preserve">Education</t>
  </si>
  <si>
    <t xml:space="preserve">No education</t>
  </si>
  <si>
    <t xml:space="preserve">Primary</t>
  </si>
  <si>
    <t xml:space="preserve">Secondary</t>
  </si>
  <si>
    <t xml:space="preserve">Higher</t>
  </si>
  <si>
    <t xml:space="preserve">DTP1 coverage (%)</t>
  </si>
  <si>
    <t xml:space="preserve">Gaps (percentage points unless stated)</t>
  </si>
  <si>
    <t xml:space="preserve">Measure</t>
  </si>
  <si>
    <t xml:space="preserve">Indicator</t>
  </si>
  <si>
    <t xml:space="preserve">Richest minus poorest quintile</t>
  </si>
  <si>
    <t xml:space="preserve">DTP3</t>
  </si>
  <si>
    <t xml:space="preserve">Urban minus rural</t>
  </si>
  <si>
    <t xml:space="preserve">Higher education minus no education</t>
  </si>
  <si>
    <t xml:space="preserve">DTP1</t>
  </si>
  <si>
    <t xml:space="preserve">Richest / poorest ratio</t>
  </si>
  <si>
    <t xml:space="preserve">Zero-dose proxy by wealth quintile (100 - DTP1, %)</t>
  </si>
  <si>
    <t xml:space="preserve">Source: DHS Program API; values copied from dhs_nigeria_vaccination_tables.xlsx (Background sheet). No confidence intervals returned by the API.</t>
  </si>
  <si>
    <t xml:space="preserve">Check 1: DHS API national values vs the WUENIC-based workbook (Coverage sheet)</t>
  </si>
  <si>
    <t xml:space="preserve">API NG2018DHS</t>
  </si>
  <si>
    <t xml:space="preserve">Workbook "2017"</t>
  </si>
  <si>
    <t xml:space="preserve">Difference</t>
  </si>
  <si>
    <t xml:space="preserve">API NG2024DHS</t>
  </si>
  <si>
    <t xml:space="preserve">Workbook "2022"</t>
  </si>
  <si>
    <t xml:space="preserve">MCV1</t>
  </si>
  <si>
    <t xml:space="preserve">BCG</t>
  </si>
  <si>
    <t xml:space="preserve">All 8 basic (FULL)</t>
  </si>
  <si>
    <t xml:space="preserve">Workbook values come from the earlier analysis of the WUENIC survey-data file (blue = typed from that analysis).</t>
  </si>
  <si>
    <t xml:space="preserve">Check 2: two different "zero-dose" measures (children 12-23 months, %)</t>
  </si>
  <si>
    <t xml:space="preserve">Survey</t>
  </si>
  <si>
    <t xml:space="preserve">DTP1 coverage</t>
  </si>
  <si>
    <t xml:space="preserve">Zero-dose proxy (100 - DTP1)</t>
  </si>
  <si>
    <t xml:space="preserve">"Received no vaccinations" (DHS indicator)</t>
  </si>
  <si>
    <t xml:space="preserve">Gap between the two (pp)</t>
  </si>
  <si>
    <t xml:space="preserve">NG2013DHS</t>
  </si>
  <si>
    <t xml:space="preserve">NG2018DHS</t>
  </si>
  <si>
    <t xml:space="preserve">NG2024DHS</t>
  </si>
  <si>
    <t xml:space="preserve">The proxy counts every child who missed DTP1 (the usual Gavi/WHO zero-dose definition). The DHS indicator counts only children with no vaccine of any kind. Report which one you use.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</si>
</sst>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"/>
    <numFmt numFmtId="166" formatCode="0"/>
    <numFmt numFmtId="167" formatCode="0.0;\-0.0;0.0"/>
    <numFmt numFmtId="168" formatCode="0.0\x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5A6B"/>
        <bgColor rgb="FF0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5A6B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2" t="s">
        <v>3</v>
      </c>
    </row>
    <row r="5" customFormat="false" ht="15" hidden="false" customHeight="false" outlineLevel="0" collapsed="false">
      <c r="A5" s="2" t="s">
        <v>4</v>
      </c>
    </row>
    <row r="6" customFormat="false" ht="23.85" hidden="false" customHeight="false" outlineLevel="0" collapsed="false">
      <c r="A6" s="2" t="s">
        <v>5</v>
      </c>
    </row>
    <row r="7" customFormat="false" ht="15" hidden="false" customHeight="false" outlineLevel="0" collapsed="false">
      <c r="A7" s="2" t="s">
        <v>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4"/>
    <col collapsed="false" customWidth="true" hidden="false" outlineLevel="0" max="19" min="3" style="0" width="13"/>
  </cols>
  <sheetData>
    <row r="1" customFormat="false" ht="15" hidden="false" customHeight="false" outlineLevel="0" collapsed="false">
      <c r="A1" s="3" t="s">
        <v>7</v>
      </c>
      <c r="F1" s="4" t="n">
        <v>100</v>
      </c>
      <c r="G1" s="5" t="s">
        <v>8</v>
      </c>
    </row>
    <row r="3" customFormat="false" ht="60" hidden="false" customHeight="true" outlineLevel="0" collapsed="false">
      <c r="A3" s="6" t="s">
        <v>9</v>
      </c>
      <c r="B3" s="6" t="s">
        <v>10</v>
      </c>
      <c r="C3" s="6" t="s">
        <v>11</v>
      </c>
      <c r="D3" s="6" t="s">
        <v>12</v>
      </c>
      <c r="E3" s="6" t="s">
        <v>13</v>
      </c>
      <c r="F3" s="6" t="s">
        <v>14</v>
      </c>
      <c r="G3" s="6" t="s">
        <v>15</v>
      </c>
      <c r="H3" s="6" t="s">
        <v>16</v>
      </c>
      <c r="I3" s="6" t="s">
        <v>17</v>
      </c>
      <c r="J3" s="6" t="s">
        <v>18</v>
      </c>
      <c r="K3" s="6" t="s">
        <v>19</v>
      </c>
      <c r="L3" s="6" t="s">
        <v>20</v>
      </c>
      <c r="M3" s="6" t="s">
        <v>21</v>
      </c>
      <c r="N3" s="6" t="s">
        <v>22</v>
      </c>
      <c r="O3" s="6" t="s">
        <v>23</v>
      </c>
      <c r="P3" s="6" t="s">
        <v>24</v>
      </c>
      <c r="Q3" s="6" t="s">
        <v>25</v>
      </c>
      <c r="R3" s="6" t="s">
        <v>26</v>
      </c>
      <c r="S3" s="6" t="s">
        <v>27</v>
      </c>
    </row>
    <row r="4" customFormat="false" ht="15" hidden="false" customHeight="false" outlineLevel="0" collapsed="false">
      <c r="A4" s="7" t="s">
        <v>28</v>
      </c>
      <c r="B4" s="7" t="s">
        <v>29</v>
      </c>
      <c r="C4" s="8" t="n">
        <v>55.6</v>
      </c>
      <c r="D4" s="8" t="n">
        <v>76.8</v>
      </c>
      <c r="E4" s="8" t="n">
        <v>67.3</v>
      </c>
      <c r="F4" s="8" t="n">
        <v>29</v>
      </c>
      <c r="G4" s="8" t="n">
        <v>58.7</v>
      </c>
      <c r="H4" s="8" t="n">
        <v>44.3</v>
      </c>
      <c r="I4" s="8" t="n">
        <v>42.7</v>
      </c>
      <c r="J4" s="8" t="n">
        <v>64.1</v>
      </c>
      <c r="K4" s="8" t="n">
        <v>43.9</v>
      </c>
      <c r="L4" s="9" t="n">
        <v>100</v>
      </c>
      <c r="M4" s="10" t="n">
        <f aca="false">100-D4</f>
        <v>23.2</v>
      </c>
      <c r="N4" s="10" t="n">
        <f aca="false">100-E4</f>
        <v>32.7</v>
      </c>
      <c r="O4" s="11" t="n">
        <f aca="false">N4-M4</f>
        <v>9.5</v>
      </c>
      <c r="P4" s="11" t="n">
        <f aca="false">H4-G4</f>
        <v>-14.4</v>
      </c>
      <c r="Q4" s="10" t="n">
        <f aca="false">IF(E4=0,"",(E4-H4)/E4*100)</f>
        <v>34.1753343239227</v>
      </c>
      <c r="R4" s="12" t="n">
        <f aca="false">RANK(H4,$H$4:$H$40,0)</f>
        <v>30</v>
      </c>
      <c r="S4" s="7" t="str">
        <f aca="false">IF(L4&lt;$F$1,"Small n","")</f>
        <v/>
      </c>
    </row>
    <row r="5" customFormat="false" ht="15" hidden="false" customHeight="false" outlineLevel="0" collapsed="false">
      <c r="A5" s="7" t="s">
        <v>30</v>
      </c>
      <c r="B5" s="7" t="s">
        <v>29</v>
      </c>
      <c r="C5" s="8" t="n">
        <v>83.9</v>
      </c>
      <c r="D5" s="8" t="n">
        <v>85.5</v>
      </c>
      <c r="E5" s="8" t="n">
        <v>93.8</v>
      </c>
      <c r="F5" s="8" t="n">
        <v>69.1</v>
      </c>
      <c r="G5" s="8" t="n">
        <v>73.5</v>
      </c>
      <c r="H5" s="8" t="n">
        <v>84.8</v>
      </c>
      <c r="I5" s="8" t="n">
        <v>69.6</v>
      </c>
      <c r="J5" s="8" t="n">
        <v>73.9</v>
      </c>
      <c r="K5" s="8" t="n">
        <v>79.9</v>
      </c>
      <c r="L5" s="9" t="n">
        <v>92</v>
      </c>
      <c r="M5" s="10" t="n">
        <f aca="false">100-D5</f>
        <v>14.5</v>
      </c>
      <c r="N5" s="10" t="n">
        <f aca="false">100-E5</f>
        <v>6.2</v>
      </c>
      <c r="O5" s="11" t="n">
        <f aca="false">N5-M5</f>
        <v>-8.3</v>
      </c>
      <c r="P5" s="11" t="n">
        <f aca="false">H5-G5</f>
        <v>11.3</v>
      </c>
      <c r="Q5" s="10" t="n">
        <f aca="false">IF(E5=0,"",(E5-H5)/E5*100)</f>
        <v>9.59488272921109</v>
      </c>
      <c r="R5" s="12" t="n">
        <f aca="false">RANK(H5,$H$4:$H$40,0)</f>
        <v>4</v>
      </c>
      <c r="S5" s="7" t="str">
        <f aca="false">IF(L5&lt;$F$1,"Small n","")</f>
        <v>Small n</v>
      </c>
    </row>
    <row r="6" customFormat="false" ht="15" hidden="false" customHeight="false" outlineLevel="0" collapsed="false">
      <c r="A6" s="7" t="s">
        <v>31</v>
      </c>
      <c r="B6" s="7" t="s">
        <v>29</v>
      </c>
      <c r="C6" s="8" t="n">
        <v>87.1</v>
      </c>
      <c r="D6" s="8" t="n">
        <v>80.1</v>
      </c>
      <c r="E6" s="8" t="n">
        <v>43</v>
      </c>
      <c r="F6" s="8" t="n">
        <v>75.9</v>
      </c>
      <c r="G6" s="8" t="n">
        <v>55.6</v>
      </c>
      <c r="H6" s="8" t="n">
        <v>37.1</v>
      </c>
      <c r="I6" s="8" t="n">
        <v>75.2</v>
      </c>
      <c r="J6" s="8" t="n">
        <v>44.7</v>
      </c>
      <c r="K6" s="8" t="n">
        <v>27.5</v>
      </c>
      <c r="L6" s="9" t="n">
        <v>119</v>
      </c>
      <c r="M6" s="10" t="n">
        <f aca="false">100-D6</f>
        <v>19.9</v>
      </c>
      <c r="N6" s="10" t="n">
        <f aca="false">100-E6</f>
        <v>57</v>
      </c>
      <c r="O6" s="11" t="n">
        <f aca="false">N6-M6</f>
        <v>37.1</v>
      </c>
      <c r="P6" s="11" t="n">
        <f aca="false">H6-G6</f>
        <v>-18.5</v>
      </c>
      <c r="Q6" s="10" t="n">
        <f aca="false">IF(E6=0,"",(E6-H6)/E6*100)</f>
        <v>13.7209302325581</v>
      </c>
      <c r="R6" s="12" t="n">
        <f aca="false">RANK(H6,$H$4:$H$40,0)</f>
        <v>32</v>
      </c>
      <c r="S6" s="7" t="str">
        <f aca="false">IF(L6&lt;$F$1,"Small n","")</f>
        <v/>
      </c>
    </row>
    <row r="7" customFormat="false" ht="15" hidden="false" customHeight="false" outlineLevel="0" collapsed="false">
      <c r="A7" s="7" t="s">
        <v>32</v>
      </c>
      <c r="B7" s="7" t="s">
        <v>29</v>
      </c>
      <c r="C7" s="8" t="n">
        <v>73.5</v>
      </c>
      <c r="D7" s="8" t="n">
        <v>60.8</v>
      </c>
      <c r="E7" s="8" t="n">
        <v>48.3</v>
      </c>
      <c r="F7" s="8" t="n">
        <v>65.1</v>
      </c>
      <c r="G7" s="8" t="n">
        <v>54.5</v>
      </c>
      <c r="H7" s="8" t="n">
        <v>34.9</v>
      </c>
      <c r="I7" s="8" t="n">
        <v>56.9</v>
      </c>
      <c r="J7" s="8" t="n">
        <v>50.5</v>
      </c>
      <c r="K7" s="8" t="n">
        <v>35.8</v>
      </c>
      <c r="L7" s="9" t="n">
        <v>105</v>
      </c>
      <c r="M7" s="10" t="n">
        <f aca="false">100-D7</f>
        <v>39.2</v>
      </c>
      <c r="N7" s="10" t="n">
        <f aca="false">100-E7</f>
        <v>51.7</v>
      </c>
      <c r="O7" s="11" t="n">
        <f aca="false">N7-M7</f>
        <v>12.5</v>
      </c>
      <c r="P7" s="11" t="n">
        <f aca="false">H7-G7</f>
        <v>-19.6</v>
      </c>
      <c r="Q7" s="10" t="n">
        <f aca="false">IF(E7=0,"",(E7-H7)/E7*100)</f>
        <v>27.7432712215321</v>
      </c>
      <c r="R7" s="12" t="n">
        <f aca="false">RANK(H7,$H$4:$H$40,0)</f>
        <v>34</v>
      </c>
      <c r="S7" s="7" t="str">
        <f aca="false">IF(L7&lt;$F$1,"Small n","")</f>
        <v/>
      </c>
    </row>
    <row r="8" customFormat="false" ht="15" hidden="false" customHeight="false" outlineLevel="0" collapsed="false">
      <c r="A8" s="7" t="s">
        <v>33</v>
      </c>
      <c r="B8" s="7" t="s">
        <v>29</v>
      </c>
      <c r="C8" s="8" t="n">
        <v>60.1</v>
      </c>
      <c r="D8" s="8" t="n">
        <v>79.4</v>
      </c>
      <c r="E8" s="8" t="n">
        <v>79.7</v>
      </c>
      <c r="F8" s="8" t="n">
        <v>34.1</v>
      </c>
      <c r="G8" s="8" t="n">
        <v>59.7</v>
      </c>
      <c r="H8" s="8" t="n">
        <v>67.1</v>
      </c>
      <c r="I8" s="8" t="n">
        <v>45.4</v>
      </c>
      <c r="J8" s="8" t="n">
        <v>65.6</v>
      </c>
      <c r="K8" s="8" t="n">
        <v>56.1</v>
      </c>
      <c r="L8" s="9" t="n">
        <v>135</v>
      </c>
      <c r="M8" s="10" t="n">
        <f aca="false">100-D8</f>
        <v>20.6</v>
      </c>
      <c r="N8" s="10" t="n">
        <f aca="false">100-E8</f>
        <v>20.3</v>
      </c>
      <c r="O8" s="11" t="n">
        <f aca="false">N8-M8</f>
        <v>-0.299999999999997</v>
      </c>
      <c r="P8" s="11" t="n">
        <f aca="false">H8-G8</f>
        <v>7.39999999999999</v>
      </c>
      <c r="Q8" s="10" t="n">
        <f aca="false">IF(E8=0,"",(E8-H8)/E8*100)</f>
        <v>15.8092848180678</v>
      </c>
      <c r="R8" s="12" t="n">
        <f aca="false">RANK(H8,$H$4:$H$40,0)</f>
        <v>16</v>
      </c>
      <c r="S8" s="7" t="str">
        <f aca="false">IF(L8&lt;$F$1,"Small n","")</f>
        <v/>
      </c>
    </row>
    <row r="9" customFormat="false" ht="15" hidden="false" customHeight="false" outlineLevel="0" collapsed="false">
      <c r="A9" s="7" t="s">
        <v>34</v>
      </c>
      <c r="B9" s="7" t="s">
        <v>29</v>
      </c>
      <c r="C9" s="8" t="n">
        <v>52.7</v>
      </c>
      <c r="D9" s="8" t="n">
        <v>54.7</v>
      </c>
      <c r="E9" s="8" t="n">
        <v>44</v>
      </c>
      <c r="F9" s="8" t="n">
        <v>37.3</v>
      </c>
      <c r="G9" s="8" t="n">
        <v>38.8</v>
      </c>
      <c r="H9" s="8" t="n">
        <v>36.7</v>
      </c>
      <c r="I9" s="8" t="n">
        <v>38.9</v>
      </c>
      <c r="J9" s="8" t="n">
        <v>40.5</v>
      </c>
      <c r="K9" s="8" t="n">
        <v>35</v>
      </c>
      <c r="L9" s="9" t="n">
        <v>166</v>
      </c>
      <c r="M9" s="10" t="n">
        <f aca="false">100-D9</f>
        <v>45.3</v>
      </c>
      <c r="N9" s="10" t="n">
        <f aca="false">100-E9</f>
        <v>56</v>
      </c>
      <c r="O9" s="11" t="n">
        <f aca="false">N9-M9</f>
        <v>10.7</v>
      </c>
      <c r="P9" s="11" t="n">
        <f aca="false">H9-G9</f>
        <v>-2.09999999999999</v>
      </c>
      <c r="Q9" s="10" t="n">
        <f aca="false">IF(E9=0,"",(E9-H9)/E9*100)</f>
        <v>16.5909090909091</v>
      </c>
      <c r="R9" s="12" t="n">
        <f aca="false">RANK(H9,$H$4:$H$40,0)</f>
        <v>33</v>
      </c>
      <c r="S9" s="7" t="str">
        <f aca="false">IF(L9&lt;$F$1,"Small n","")</f>
        <v/>
      </c>
    </row>
    <row r="10" customFormat="false" ht="15" hidden="false" customHeight="false" outlineLevel="0" collapsed="false">
      <c r="A10" s="7" t="s">
        <v>35</v>
      </c>
      <c r="B10" s="7" t="s">
        <v>29</v>
      </c>
      <c r="C10" s="8" t="n">
        <v>62.4</v>
      </c>
      <c r="D10" s="8" t="n">
        <v>86.3</v>
      </c>
      <c r="E10" s="8" t="n">
        <v>64.7</v>
      </c>
      <c r="F10" s="8" t="n">
        <v>46.3</v>
      </c>
      <c r="G10" s="8" t="n">
        <v>71.8</v>
      </c>
      <c r="H10" s="8" t="n">
        <v>47.1</v>
      </c>
      <c r="I10" s="8" t="n">
        <v>46.6</v>
      </c>
      <c r="J10" s="8" t="n">
        <v>63.5</v>
      </c>
      <c r="K10" s="8" t="n">
        <v>43.9</v>
      </c>
      <c r="L10" s="9" t="n">
        <v>152</v>
      </c>
      <c r="M10" s="10" t="n">
        <f aca="false">100-D10</f>
        <v>13.7</v>
      </c>
      <c r="N10" s="10" t="n">
        <f aca="false">100-E10</f>
        <v>35.3</v>
      </c>
      <c r="O10" s="11" t="n">
        <f aca="false">N10-M10</f>
        <v>21.6</v>
      </c>
      <c r="P10" s="11" t="n">
        <f aca="false">H10-G10</f>
        <v>-24.7</v>
      </c>
      <c r="Q10" s="10" t="n">
        <f aca="false">IF(E10=0,"",(E10-H10)/E10*100)</f>
        <v>27.2024729520866</v>
      </c>
      <c r="R10" s="12" t="n">
        <f aca="false">RANK(H10,$H$4:$H$40,0)</f>
        <v>29</v>
      </c>
      <c r="S10" s="7" t="str">
        <f aca="false">IF(L10&lt;$F$1,"Small n","")</f>
        <v/>
      </c>
    </row>
    <row r="11" customFormat="false" ht="15" hidden="false" customHeight="false" outlineLevel="0" collapsed="false">
      <c r="A11" s="7" t="s">
        <v>36</v>
      </c>
      <c r="B11" s="7" t="s">
        <v>37</v>
      </c>
      <c r="C11" s="8" t="n">
        <v>80.3</v>
      </c>
      <c r="D11" s="8" t="n">
        <v>80.2</v>
      </c>
      <c r="E11" s="8" t="n">
        <v>70.9</v>
      </c>
      <c r="F11" s="8" t="n">
        <v>49.7</v>
      </c>
      <c r="G11" s="8" t="n">
        <v>65.9</v>
      </c>
      <c r="H11" s="8" t="n">
        <v>59.2</v>
      </c>
      <c r="I11" s="8" t="n">
        <v>68.7</v>
      </c>
      <c r="J11" s="8" t="n">
        <v>65.2</v>
      </c>
      <c r="K11" s="8" t="n">
        <v>55.7</v>
      </c>
      <c r="L11" s="9" t="n">
        <v>149</v>
      </c>
      <c r="M11" s="10" t="n">
        <f aca="false">100-D11</f>
        <v>19.8</v>
      </c>
      <c r="N11" s="10" t="n">
        <f aca="false">100-E11</f>
        <v>29.1</v>
      </c>
      <c r="O11" s="11" t="n">
        <f aca="false">N11-M11</f>
        <v>9.3</v>
      </c>
      <c r="P11" s="11" t="n">
        <f aca="false">H11-G11</f>
        <v>-6.7</v>
      </c>
      <c r="Q11" s="10" t="n">
        <f aca="false">IF(E11=0,"",(E11-H11)/E11*100)</f>
        <v>16.5021156558533</v>
      </c>
      <c r="R11" s="12" t="n">
        <f aca="false">RANK(H11,$H$4:$H$40,0)</f>
        <v>21</v>
      </c>
      <c r="S11" s="7" t="str">
        <f aca="false">IF(L11&lt;$F$1,"Small n","")</f>
        <v/>
      </c>
    </row>
    <row r="12" customFormat="false" ht="15" hidden="false" customHeight="false" outlineLevel="0" collapsed="false">
      <c r="A12" s="7" t="s">
        <v>38</v>
      </c>
      <c r="B12" s="7" t="s">
        <v>37</v>
      </c>
      <c r="C12" s="8" t="n">
        <v>25.4</v>
      </c>
      <c r="D12" s="8" t="n">
        <v>47</v>
      </c>
      <c r="E12" s="8" t="n">
        <v>63.1</v>
      </c>
      <c r="F12" s="8" t="n">
        <v>12.5</v>
      </c>
      <c r="G12" s="8" t="n">
        <v>32.1</v>
      </c>
      <c r="H12" s="8" t="n">
        <v>58.2</v>
      </c>
      <c r="I12" s="8" t="n">
        <v>20.3</v>
      </c>
      <c r="J12" s="8" t="n">
        <v>35.5</v>
      </c>
      <c r="K12" s="8" t="n">
        <v>57</v>
      </c>
      <c r="L12" s="9" t="n">
        <v>209</v>
      </c>
      <c r="M12" s="10" t="n">
        <f aca="false">100-D12</f>
        <v>53</v>
      </c>
      <c r="N12" s="10" t="n">
        <f aca="false">100-E12</f>
        <v>36.9</v>
      </c>
      <c r="O12" s="11" t="n">
        <f aca="false">N12-M12</f>
        <v>-16.1</v>
      </c>
      <c r="P12" s="11" t="n">
        <f aca="false">H12-G12</f>
        <v>26.1</v>
      </c>
      <c r="Q12" s="10" t="n">
        <f aca="false">IF(E12=0,"",(E12-H12)/E12*100)</f>
        <v>7.76545166402535</v>
      </c>
      <c r="R12" s="12" t="n">
        <f aca="false">RANK(H12,$H$4:$H$40,0)</f>
        <v>22</v>
      </c>
      <c r="S12" s="7" t="str">
        <f aca="false">IF(L12&lt;$F$1,"Small n","")</f>
        <v/>
      </c>
    </row>
    <row r="13" customFormat="false" ht="15" hidden="false" customHeight="false" outlineLevel="0" collapsed="false">
      <c r="A13" s="7" t="s">
        <v>39</v>
      </c>
      <c r="B13" s="7" t="s">
        <v>37</v>
      </c>
      <c r="C13" s="8" t="n">
        <v>19.5</v>
      </c>
      <c r="D13" s="8" t="n">
        <v>56.2</v>
      </c>
      <c r="E13" s="8" t="n">
        <v>68.3</v>
      </c>
      <c r="F13" s="8" t="n">
        <v>12.4</v>
      </c>
      <c r="G13" s="8" t="n">
        <v>36</v>
      </c>
      <c r="H13" s="8" t="n">
        <v>42.2</v>
      </c>
      <c r="I13" s="8" t="n">
        <v>17.3</v>
      </c>
      <c r="J13" s="8" t="n">
        <v>46</v>
      </c>
      <c r="K13" s="8" t="n">
        <v>45.4</v>
      </c>
      <c r="L13" s="9" t="n">
        <v>160</v>
      </c>
      <c r="M13" s="10" t="n">
        <f aca="false">100-D13</f>
        <v>43.8</v>
      </c>
      <c r="N13" s="10" t="n">
        <f aca="false">100-E13</f>
        <v>31.7</v>
      </c>
      <c r="O13" s="11" t="n">
        <f aca="false">N13-M13</f>
        <v>-12.1</v>
      </c>
      <c r="P13" s="11" t="n">
        <f aca="false">H13-G13</f>
        <v>6.2</v>
      </c>
      <c r="Q13" s="10" t="n">
        <f aca="false">IF(E13=0,"",(E13-H13)/E13*100)</f>
        <v>38.2137628111274</v>
      </c>
      <c r="R13" s="12" t="n">
        <f aca="false">RANK(H13,$H$4:$H$40,0)</f>
        <v>31</v>
      </c>
      <c r="S13" s="7" t="str">
        <f aca="false">IF(L13&lt;$F$1,"Small n","")</f>
        <v/>
      </c>
    </row>
    <row r="14" customFormat="false" ht="15" hidden="false" customHeight="false" outlineLevel="0" collapsed="false">
      <c r="A14" s="7" t="s">
        <v>40</v>
      </c>
      <c r="B14" s="7" t="s">
        <v>37</v>
      </c>
      <c r="C14" s="8" t="n">
        <v>44.4</v>
      </c>
      <c r="D14" s="8" t="n">
        <v>37.3</v>
      </c>
      <c r="E14" s="8" t="n">
        <v>66</v>
      </c>
      <c r="F14" s="8" t="n">
        <v>36</v>
      </c>
      <c r="G14" s="8" t="n">
        <v>25.8</v>
      </c>
      <c r="H14" s="8" t="n">
        <v>59.8</v>
      </c>
      <c r="I14" s="8" t="n">
        <v>36.1</v>
      </c>
      <c r="J14" s="8" t="n">
        <v>28.8</v>
      </c>
      <c r="K14" s="8" t="n">
        <v>58.5</v>
      </c>
      <c r="L14" s="9" t="n">
        <v>176</v>
      </c>
      <c r="M14" s="10" t="n">
        <f aca="false">100-D14</f>
        <v>62.7</v>
      </c>
      <c r="N14" s="10" t="n">
        <f aca="false">100-E14</f>
        <v>34</v>
      </c>
      <c r="O14" s="11" t="n">
        <f aca="false">N14-M14</f>
        <v>-28.7</v>
      </c>
      <c r="P14" s="11" t="n">
        <f aca="false">H14-G14</f>
        <v>34</v>
      </c>
      <c r="Q14" s="10" t="n">
        <f aca="false">IF(E14=0,"",(E14-H14)/E14*100)</f>
        <v>9.3939393939394</v>
      </c>
      <c r="R14" s="12" t="n">
        <f aca="false">RANK(H14,$H$4:$H$40,0)</f>
        <v>20</v>
      </c>
      <c r="S14" s="7" t="str">
        <f aca="false">IF(L14&lt;$F$1,"Small n","")</f>
        <v/>
      </c>
    </row>
    <row r="15" customFormat="false" ht="15" hidden="false" customHeight="false" outlineLevel="0" collapsed="false">
      <c r="A15" s="7" t="s">
        <v>41</v>
      </c>
      <c r="B15" s="7" t="s">
        <v>37</v>
      </c>
      <c r="C15" s="8" t="n">
        <v>44.1</v>
      </c>
      <c r="D15" s="8" t="n">
        <v>67.9</v>
      </c>
      <c r="E15" s="8" t="n">
        <v>59.3</v>
      </c>
      <c r="F15" s="8" t="n">
        <v>21.4</v>
      </c>
      <c r="G15" s="8" t="n">
        <v>41.7</v>
      </c>
      <c r="H15" s="8" t="n">
        <v>47.3</v>
      </c>
      <c r="I15" s="8" t="n">
        <v>27.4</v>
      </c>
      <c r="J15" s="8" t="n">
        <v>40.8</v>
      </c>
      <c r="K15" s="8" t="n">
        <v>41.9</v>
      </c>
      <c r="L15" s="9" t="n">
        <v>126</v>
      </c>
      <c r="M15" s="10" t="n">
        <f aca="false">100-D15</f>
        <v>32.1</v>
      </c>
      <c r="N15" s="10" t="n">
        <f aca="false">100-E15</f>
        <v>40.7</v>
      </c>
      <c r="O15" s="11" t="n">
        <f aca="false">N15-M15</f>
        <v>8.60000000000001</v>
      </c>
      <c r="P15" s="11" t="n">
        <f aca="false">H15-G15</f>
        <v>5.59999999999999</v>
      </c>
      <c r="Q15" s="10" t="n">
        <f aca="false">IF(E15=0,"",(E15-H15)/E15*100)</f>
        <v>20.2360876897133</v>
      </c>
      <c r="R15" s="12" t="n">
        <f aca="false">RANK(H15,$H$4:$H$40,0)</f>
        <v>28</v>
      </c>
      <c r="S15" s="7" t="str">
        <f aca="false">IF(L15&lt;$F$1,"Small n","")</f>
        <v/>
      </c>
    </row>
    <row r="16" customFormat="false" ht="15" hidden="false" customHeight="false" outlineLevel="0" collapsed="false">
      <c r="A16" s="7" t="s">
        <v>42</v>
      </c>
      <c r="B16" s="7" t="s">
        <v>37</v>
      </c>
      <c r="C16" s="8" t="n">
        <v>18.8</v>
      </c>
      <c r="D16" s="8" t="n">
        <v>49.9</v>
      </c>
      <c r="E16" s="8" t="n">
        <v>59.6</v>
      </c>
      <c r="F16" s="8" t="n">
        <v>11</v>
      </c>
      <c r="G16" s="8" t="n">
        <v>29</v>
      </c>
      <c r="H16" s="8" t="n">
        <v>51.3</v>
      </c>
      <c r="I16" s="8" t="n">
        <v>10</v>
      </c>
      <c r="J16" s="8" t="n">
        <v>45.5</v>
      </c>
      <c r="K16" s="8" t="n">
        <v>59</v>
      </c>
      <c r="L16" s="9" t="n">
        <v>212</v>
      </c>
      <c r="M16" s="10" t="n">
        <f aca="false">100-D16</f>
        <v>50.1</v>
      </c>
      <c r="N16" s="10" t="n">
        <f aca="false">100-E16</f>
        <v>40.4</v>
      </c>
      <c r="O16" s="11" t="n">
        <f aca="false">N16-M16</f>
        <v>-9.7</v>
      </c>
      <c r="P16" s="11" t="n">
        <f aca="false">H16-G16</f>
        <v>22.3</v>
      </c>
      <c r="Q16" s="10" t="n">
        <f aca="false">IF(E16=0,"",(E16-H16)/E16*100)</f>
        <v>13.9261744966443</v>
      </c>
      <c r="R16" s="12" t="n">
        <f aca="false">RANK(H16,$H$4:$H$40,0)</f>
        <v>25</v>
      </c>
      <c r="S16" s="7" t="str">
        <f aca="false">IF(L16&lt;$F$1,"Small n","")</f>
        <v/>
      </c>
    </row>
    <row r="17" customFormat="false" ht="15" hidden="false" customHeight="false" outlineLevel="0" collapsed="false">
      <c r="A17" s="7" t="s">
        <v>43</v>
      </c>
      <c r="B17" s="7" t="s">
        <v>44</v>
      </c>
      <c r="C17" s="8" t="n">
        <v>20.9</v>
      </c>
      <c r="D17" s="8" t="n">
        <v>58.9</v>
      </c>
      <c r="E17" s="8" t="n">
        <v>65.7</v>
      </c>
      <c r="F17" s="8" t="n">
        <v>7</v>
      </c>
      <c r="G17" s="8" t="n">
        <v>35.7</v>
      </c>
      <c r="H17" s="8" t="n">
        <v>62.2</v>
      </c>
      <c r="I17" s="8" t="n">
        <v>10.9</v>
      </c>
      <c r="J17" s="8" t="n">
        <v>55.7</v>
      </c>
      <c r="K17" s="8" t="n">
        <v>62.6</v>
      </c>
      <c r="L17" s="9" t="n">
        <v>208</v>
      </c>
      <c r="M17" s="10" t="n">
        <f aca="false">100-D17</f>
        <v>41.1</v>
      </c>
      <c r="N17" s="10" t="n">
        <f aca="false">100-E17</f>
        <v>34.3</v>
      </c>
      <c r="O17" s="11" t="n">
        <f aca="false">N17-M17</f>
        <v>-6.8</v>
      </c>
      <c r="P17" s="11" t="n">
        <f aca="false">H17-G17</f>
        <v>26.5</v>
      </c>
      <c r="Q17" s="10" t="n">
        <f aca="false">IF(E17=0,"",(E17-H17)/E17*100)</f>
        <v>5.32724505327245</v>
      </c>
      <c r="R17" s="12" t="n">
        <f aca="false">RANK(H17,$H$4:$H$40,0)</f>
        <v>19</v>
      </c>
      <c r="S17" s="7" t="str">
        <f aca="false">IF(L17&lt;$F$1,"Small n","")</f>
        <v/>
      </c>
    </row>
    <row r="18" customFormat="false" ht="15" hidden="false" customHeight="false" outlineLevel="0" collapsed="false">
      <c r="A18" s="7" t="s">
        <v>45</v>
      </c>
      <c r="B18" s="7" t="s">
        <v>44</v>
      </c>
      <c r="C18" s="8" t="n">
        <v>60.5</v>
      </c>
      <c r="D18" s="8" t="n">
        <v>53.5</v>
      </c>
      <c r="E18" s="8" t="n">
        <v>54.4</v>
      </c>
      <c r="F18" s="8" t="n">
        <v>43.7</v>
      </c>
      <c r="G18" s="8" t="n">
        <v>31.9</v>
      </c>
      <c r="H18" s="8" t="n">
        <v>48</v>
      </c>
      <c r="I18" s="8" t="n">
        <v>56.4</v>
      </c>
      <c r="J18" s="8" t="n">
        <v>42.4</v>
      </c>
      <c r="K18" s="8" t="n">
        <v>45.3</v>
      </c>
      <c r="L18" s="9" t="n">
        <v>221</v>
      </c>
      <c r="M18" s="10" t="n">
        <f aca="false">100-D18</f>
        <v>46.5</v>
      </c>
      <c r="N18" s="10" t="n">
        <f aca="false">100-E18</f>
        <v>45.6</v>
      </c>
      <c r="O18" s="11" t="n">
        <f aca="false">N18-M18</f>
        <v>-0.899999999999999</v>
      </c>
      <c r="P18" s="11" t="n">
        <f aca="false">H18-G18</f>
        <v>16.1</v>
      </c>
      <c r="Q18" s="10" t="n">
        <f aca="false">IF(E18=0,"",(E18-H18)/E18*100)</f>
        <v>11.7647058823529</v>
      </c>
      <c r="R18" s="12" t="n">
        <f aca="false">RANK(H18,$H$4:$H$40,0)</f>
        <v>26</v>
      </c>
      <c r="S18" s="7" t="str">
        <f aca="false">IF(L18&lt;$F$1,"Small n","")</f>
        <v/>
      </c>
    </row>
    <row r="19" customFormat="false" ht="15" hidden="false" customHeight="false" outlineLevel="0" collapsed="false">
      <c r="A19" s="7" t="s">
        <v>46</v>
      </c>
      <c r="B19" s="7" t="s">
        <v>44</v>
      </c>
      <c r="C19" s="8" t="n">
        <v>26.2</v>
      </c>
      <c r="D19" s="8" t="n">
        <v>59.8</v>
      </c>
      <c r="E19" s="8" t="n">
        <v>57.6</v>
      </c>
      <c r="F19" s="8" t="n">
        <v>18.9</v>
      </c>
      <c r="G19" s="8" t="n">
        <v>45.9</v>
      </c>
      <c r="H19" s="8" t="n">
        <v>47.5</v>
      </c>
      <c r="I19" s="8" t="n">
        <v>25.3</v>
      </c>
      <c r="J19" s="8" t="n">
        <v>56.1</v>
      </c>
      <c r="K19" s="8" t="n">
        <v>38.6</v>
      </c>
      <c r="L19" s="9" t="n">
        <v>271</v>
      </c>
      <c r="M19" s="10" t="n">
        <f aca="false">100-D19</f>
        <v>40.2</v>
      </c>
      <c r="N19" s="10" t="n">
        <f aca="false">100-E19</f>
        <v>42.4</v>
      </c>
      <c r="O19" s="11" t="n">
        <f aca="false">N19-M19</f>
        <v>2.2</v>
      </c>
      <c r="P19" s="11" t="n">
        <f aca="false">H19-G19</f>
        <v>1.6</v>
      </c>
      <c r="Q19" s="10" t="n">
        <f aca="false">IF(E19=0,"",(E19-H19)/E19*100)</f>
        <v>17.5347222222222</v>
      </c>
      <c r="R19" s="12" t="n">
        <f aca="false">RANK(H19,$H$4:$H$40,0)</f>
        <v>27</v>
      </c>
      <c r="S19" s="7" t="str">
        <f aca="false">IF(L19&lt;$F$1,"Small n","")</f>
        <v/>
      </c>
    </row>
    <row r="20" customFormat="false" ht="15" hidden="false" customHeight="false" outlineLevel="0" collapsed="false">
      <c r="A20" s="7" t="s">
        <v>47</v>
      </c>
      <c r="B20" s="7" t="s">
        <v>44</v>
      </c>
      <c r="C20" s="8" t="n">
        <v>23.3</v>
      </c>
      <c r="D20" s="8" t="n">
        <v>42.5</v>
      </c>
      <c r="E20" s="8" t="n">
        <v>60.2</v>
      </c>
      <c r="F20" s="8" t="n">
        <v>14.6</v>
      </c>
      <c r="G20" s="8" t="n">
        <v>33.7</v>
      </c>
      <c r="H20" s="8" t="n">
        <v>53.3</v>
      </c>
      <c r="I20" s="8" t="n">
        <v>42.9</v>
      </c>
      <c r="J20" s="8" t="n">
        <v>34.6</v>
      </c>
      <c r="K20" s="8" t="n">
        <v>53.7</v>
      </c>
      <c r="L20" s="9" t="n">
        <v>202</v>
      </c>
      <c r="M20" s="10" t="n">
        <f aca="false">100-D20</f>
        <v>57.5</v>
      </c>
      <c r="N20" s="10" t="n">
        <f aca="false">100-E20</f>
        <v>39.8</v>
      </c>
      <c r="O20" s="11" t="n">
        <f aca="false">N20-M20</f>
        <v>-17.7</v>
      </c>
      <c r="P20" s="11" t="n">
        <f aca="false">H20-G20</f>
        <v>19.6</v>
      </c>
      <c r="Q20" s="10" t="n">
        <f aca="false">IF(E20=0,"",(E20-H20)/E20*100)</f>
        <v>11.4617940199336</v>
      </c>
      <c r="R20" s="12" t="n">
        <f aca="false">RANK(H20,$H$4:$H$40,0)</f>
        <v>23</v>
      </c>
      <c r="S20" s="7" t="str">
        <f aca="false">IF(L20&lt;$F$1,"Small n","")</f>
        <v/>
      </c>
    </row>
    <row r="21" customFormat="false" ht="15" hidden="false" customHeight="false" outlineLevel="0" collapsed="false">
      <c r="A21" s="7" t="s">
        <v>48</v>
      </c>
      <c r="B21" s="7" t="s">
        <v>44</v>
      </c>
      <c r="C21" s="8" t="n">
        <v>4.9</v>
      </c>
      <c r="D21" s="8" t="n">
        <v>30</v>
      </c>
      <c r="E21" s="8" t="n">
        <v>16</v>
      </c>
      <c r="F21" s="8" t="n">
        <v>2.8</v>
      </c>
      <c r="G21" s="8" t="n">
        <v>10.6</v>
      </c>
      <c r="H21" s="8" t="n">
        <v>13.1</v>
      </c>
      <c r="I21" s="8" t="n">
        <v>3.2</v>
      </c>
      <c r="J21" s="8" t="n">
        <v>32.6</v>
      </c>
      <c r="K21" s="8" t="n">
        <v>13.5</v>
      </c>
      <c r="L21" s="9" t="n">
        <v>226</v>
      </c>
      <c r="M21" s="10" t="n">
        <f aca="false">100-D21</f>
        <v>70</v>
      </c>
      <c r="N21" s="10" t="n">
        <f aca="false">100-E21</f>
        <v>84</v>
      </c>
      <c r="O21" s="11" t="n">
        <f aca="false">N21-M21</f>
        <v>14</v>
      </c>
      <c r="P21" s="11" t="n">
        <f aca="false">H21-G21</f>
        <v>2.5</v>
      </c>
      <c r="Q21" s="10" t="n">
        <f aca="false">IF(E21=0,"",(E21-H21)/E21*100)</f>
        <v>18.125</v>
      </c>
      <c r="R21" s="12" t="n">
        <f aca="false">RANK(H21,$H$4:$H$40,0)</f>
        <v>35</v>
      </c>
      <c r="S21" s="7" t="str">
        <f aca="false">IF(L21&lt;$F$1,"Small n","")</f>
        <v/>
      </c>
    </row>
    <row r="22" customFormat="false" ht="15" hidden="false" customHeight="false" outlineLevel="0" collapsed="false">
      <c r="A22" s="7" t="s">
        <v>49</v>
      </c>
      <c r="B22" s="7" t="s">
        <v>44</v>
      </c>
      <c r="C22" s="8" t="n">
        <v>3.3</v>
      </c>
      <c r="D22" s="8" t="n">
        <v>24.6</v>
      </c>
      <c r="E22" s="8" t="n">
        <v>13.5</v>
      </c>
      <c r="F22" s="8" t="n">
        <v>2.6</v>
      </c>
      <c r="G22" s="8" t="n">
        <v>7.2</v>
      </c>
      <c r="H22" s="8" t="n">
        <v>10.9</v>
      </c>
      <c r="I22" s="8" t="n">
        <v>3.6</v>
      </c>
      <c r="J22" s="8" t="n">
        <v>19</v>
      </c>
      <c r="K22" s="8" t="n">
        <v>10.9</v>
      </c>
      <c r="L22" s="9" t="n">
        <v>210</v>
      </c>
      <c r="M22" s="10" t="n">
        <f aca="false">100-D22</f>
        <v>75.4</v>
      </c>
      <c r="N22" s="10" t="n">
        <f aca="false">100-E22</f>
        <v>86.5</v>
      </c>
      <c r="O22" s="11" t="n">
        <f aca="false">N22-M22</f>
        <v>11.1</v>
      </c>
      <c r="P22" s="11" t="n">
        <f aca="false">H22-G22</f>
        <v>3.7</v>
      </c>
      <c r="Q22" s="10" t="n">
        <f aca="false">IF(E22=0,"",(E22-H22)/E22*100)</f>
        <v>19.2592592592593</v>
      </c>
      <c r="R22" s="12" t="n">
        <f aca="false">RANK(H22,$H$4:$H$40,0)</f>
        <v>37</v>
      </c>
      <c r="S22" s="7" t="str">
        <f aca="false">IF(L22&lt;$F$1,"Small n","")</f>
        <v/>
      </c>
    </row>
    <row r="23" customFormat="false" ht="15" hidden="false" customHeight="false" outlineLevel="0" collapsed="false">
      <c r="A23" s="7" t="s">
        <v>50</v>
      </c>
      <c r="B23" s="7" t="s">
        <v>44</v>
      </c>
      <c r="C23" s="8" t="n">
        <v>12.2</v>
      </c>
      <c r="D23" s="8" t="n">
        <v>17.1</v>
      </c>
      <c r="E23" s="8" t="n">
        <v>17.4</v>
      </c>
      <c r="F23" s="8" t="n">
        <v>5.6</v>
      </c>
      <c r="G23" s="8" t="n">
        <v>10.8</v>
      </c>
      <c r="H23" s="8" t="n">
        <v>12.6</v>
      </c>
      <c r="I23" s="8" t="n">
        <v>7.9</v>
      </c>
      <c r="J23" s="8" t="n">
        <v>12.2</v>
      </c>
      <c r="K23" s="8" t="n">
        <v>15</v>
      </c>
      <c r="L23" s="9" t="n">
        <v>145</v>
      </c>
      <c r="M23" s="10" t="n">
        <f aca="false">100-D23</f>
        <v>82.9</v>
      </c>
      <c r="N23" s="10" t="n">
        <f aca="false">100-E23</f>
        <v>82.6</v>
      </c>
      <c r="O23" s="11" t="n">
        <f aca="false">N23-M23</f>
        <v>-0.300000000000011</v>
      </c>
      <c r="P23" s="11" t="n">
        <f aca="false">H23-G23</f>
        <v>1.8</v>
      </c>
      <c r="Q23" s="10" t="n">
        <f aca="false">IF(E23=0,"",(E23-H23)/E23*100)</f>
        <v>27.5862068965517</v>
      </c>
      <c r="R23" s="12" t="n">
        <f aca="false">RANK(H23,$H$4:$H$40,0)</f>
        <v>36</v>
      </c>
      <c r="S23" s="7" t="str">
        <f aca="false">IF(L23&lt;$F$1,"Small n","")</f>
        <v/>
      </c>
    </row>
    <row r="24" customFormat="false" ht="15" hidden="false" customHeight="false" outlineLevel="0" collapsed="false">
      <c r="A24" s="7" t="s">
        <v>51</v>
      </c>
      <c r="B24" s="7" t="s">
        <v>52</v>
      </c>
      <c r="C24" s="8" t="n">
        <v>93.4</v>
      </c>
      <c r="D24" s="8" t="n">
        <v>93.3</v>
      </c>
      <c r="E24" s="8" t="n">
        <v>95.8</v>
      </c>
      <c r="F24" s="8" t="n">
        <v>79.8</v>
      </c>
      <c r="G24" s="8" t="n">
        <v>80.4</v>
      </c>
      <c r="H24" s="8" t="n">
        <v>79.7</v>
      </c>
      <c r="I24" s="8" t="n">
        <v>73.1</v>
      </c>
      <c r="J24" s="8" t="n">
        <v>78.9</v>
      </c>
      <c r="K24" s="8" t="n">
        <v>75.4</v>
      </c>
      <c r="L24" s="9" t="n">
        <v>81</v>
      </c>
      <c r="M24" s="10" t="n">
        <f aca="false">100-D24</f>
        <v>6.7</v>
      </c>
      <c r="N24" s="10" t="n">
        <f aca="false">100-E24</f>
        <v>4.2</v>
      </c>
      <c r="O24" s="11" t="n">
        <f aca="false">N24-M24</f>
        <v>-2.5</v>
      </c>
      <c r="P24" s="11" t="n">
        <f aca="false">H24-G24</f>
        <v>-0.700000000000003</v>
      </c>
      <c r="Q24" s="10" t="n">
        <f aca="false">IF(E24=0,"",(E24-H24)/E24*100)</f>
        <v>16.8058455114822</v>
      </c>
      <c r="R24" s="12" t="n">
        <f aca="false">RANK(H24,$H$4:$H$40,0)</f>
        <v>8</v>
      </c>
      <c r="S24" s="7" t="str">
        <f aca="false">IF(L24&lt;$F$1,"Small n","")</f>
        <v>Small n</v>
      </c>
    </row>
    <row r="25" customFormat="false" ht="15" hidden="false" customHeight="false" outlineLevel="0" collapsed="false">
      <c r="A25" s="7" t="s">
        <v>53</v>
      </c>
      <c r="B25" s="7" t="s">
        <v>52</v>
      </c>
      <c r="C25" s="8" t="n">
        <v>85.5</v>
      </c>
      <c r="D25" s="8" t="n">
        <v>90.1</v>
      </c>
      <c r="E25" s="8" t="n">
        <v>85.1</v>
      </c>
      <c r="F25" s="8" t="n">
        <v>78.5</v>
      </c>
      <c r="G25" s="8" t="n">
        <v>87.3</v>
      </c>
      <c r="H25" s="8" t="n">
        <v>78.6</v>
      </c>
      <c r="I25" s="8" t="n">
        <v>75</v>
      </c>
      <c r="J25" s="8" t="n">
        <v>80.8</v>
      </c>
      <c r="K25" s="8" t="n">
        <v>69.8</v>
      </c>
      <c r="L25" s="9" t="n">
        <v>96</v>
      </c>
      <c r="M25" s="10" t="n">
        <f aca="false">100-D25</f>
        <v>9.90000000000001</v>
      </c>
      <c r="N25" s="10" t="n">
        <f aca="false">100-E25</f>
        <v>14.9</v>
      </c>
      <c r="O25" s="11" t="n">
        <f aca="false">N25-M25</f>
        <v>5</v>
      </c>
      <c r="P25" s="11" t="n">
        <f aca="false">H25-G25</f>
        <v>-8.7</v>
      </c>
      <c r="Q25" s="10" t="n">
        <f aca="false">IF(E25=0,"",(E25-H25)/E25*100)</f>
        <v>7.63807285546416</v>
      </c>
      <c r="R25" s="12" t="n">
        <f aca="false">RANK(H25,$H$4:$H$40,0)</f>
        <v>9</v>
      </c>
      <c r="S25" s="7" t="str">
        <f aca="false">IF(L25&lt;$F$1,"Small n","")</f>
        <v>Small n</v>
      </c>
    </row>
    <row r="26" customFormat="false" ht="15" hidden="false" customHeight="false" outlineLevel="0" collapsed="false">
      <c r="A26" s="7" t="s">
        <v>54</v>
      </c>
      <c r="B26" s="7" t="s">
        <v>52</v>
      </c>
      <c r="C26" s="8" t="n">
        <v>88.7</v>
      </c>
      <c r="D26" s="8" t="n">
        <v>95.5</v>
      </c>
      <c r="E26" s="8" t="n">
        <v>97.4</v>
      </c>
      <c r="F26" s="8" t="n">
        <v>80.3</v>
      </c>
      <c r="G26" s="8" t="n">
        <v>82.4</v>
      </c>
      <c r="H26" s="8" t="n">
        <v>75.9</v>
      </c>
      <c r="I26" s="8" t="n">
        <v>61.7</v>
      </c>
      <c r="J26" s="8" t="n">
        <v>64.3</v>
      </c>
      <c r="K26" s="8" t="n">
        <v>70.4</v>
      </c>
      <c r="L26" s="9" t="n">
        <v>176</v>
      </c>
      <c r="M26" s="10" t="n">
        <f aca="false">100-D26</f>
        <v>4.5</v>
      </c>
      <c r="N26" s="10" t="n">
        <f aca="false">100-E26</f>
        <v>2.59999999999999</v>
      </c>
      <c r="O26" s="11" t="n">
        <f aca="false">N26-M26</f>
        <v>-1.90000000000001</v>
      </c>
      <c r="P26" s="11" t="n">
        <f aca="false">H26-G26</f>
        <v>-6.5</v>
      </c>
      <c r="Q26" s="10" t="n">
        <f aca="false">IF(E26=0,"",(E26-H26)/E26*100)</f>
        <v>22.0739219712526</v>
      </c>
      <c r="R26" s="12" t="n">
        <f aca="false">RANK(H26,$H$4:$H$40,0)</f>
        <v>10</v>
      </c>
      <c r="S26" s="7" t="str">
        <f aca="false">IF(L26&lt;$F$1,"Small n","")</f>
        <v/>
      </c>
    </row>
    <row r="27" customFormat="false" ht="15" hidden="false" customHeight="false" outlineLevel="0" collapsed="false">
      <c r="A27" s="7" t="s">
        <v>55</v>
      </c>
      <c r="B27" s="7" t="s">
        <v>52</v>
      </c>
      <c r="C27" s="8" t="n">
        <v>88.2</v>
      </c>
      <c r="D27" s="8" t="n">
        <v>93.2</v>
      </c>
      <c r="E27" s="8" t="n">
        <v>87.2</v>
      </c>
      <c r="F27" s="8" t="n">
        <v>81.8</v>
      </c>
      <c r="G27" s="8" t="n">
        <v>80.9</v>
      </c>
      <c r="H27" s="8" t="n">
        <v>81.6</v>
      </c>
      <c r="I27" s="8" t="n">
        <v>78.4</v>
      </c>
      <c r="J27" s="8" t="n">
        <v>79.2</v>
      </c>
      <c r="K27" s="8" t="n">
        <v>82.5</v>
      </c>
      <c r="L27" s="9" t="n">
        <v>74</v>
      </c>
      <c r="M27" s="10" t="n">
        <f aca="false">100-D27</f>
        <v>6.8</v>
      </c>
      <c r="N27" s="10" t="n">
        <f aca="false">100-E27</f>
        <v>12.8</v>
      </c>
      <c r="O27" s="11" t="n">
        <f aca="false">N27-M27</f>
        <v>6</v>
      </c>
      <c r="P27" s="11" t="n">
        <f aca="false">H27-G27</f>
        <v>0.699999999999989</v>
      </c>
      <c r="Q27" s="10" t="n">
        <f aca="false">IF(E27=0,"",(E27-H27)/E27*100)</f>
        <v>6.42201834862386</v>
      </c>
      <c r="R27" s="12" t="n">
        <f aca="false">RANK(H27,$H$4:$H$40,0)</f>
        <v>7</v>
      </c>
      <c r="S27" s="7" t="str">
        <f aca="false">IF(L27&lt;$F$1,"Small n","")</f>
        <v>Small n</v>
      </c>
    </row>
    <row r="28" customFormat="false" ht="15" hidden="false" customHeight="false" outlineLevel="0" collapsed="false">
      <c r="A28" s="7" t="s">
        <v>56</v>
      </c>
      <c r="B28" s="7" t="s">
        <v>52</v>
      </c>
      <c r="C28" s="8" t="n">
        <v>91.8</v>
      </c>
      <c r="D28" s="8" t="n">
        <v>90.8</v>
      </c>
      <c r="E28" s="8" t="n">
        <v>94.4</v>
      </c>
      <c r="F28" s="8" t="n">
        <v>83.1</v>
      </c>
      <c r="G28" s="8" t="n">
        <v>79.5</v>
      </c>
      <c r="H28" s="8" t="n">
        <v>83.4</v>
      </c>
      <c r="I28" s="8" t="n">
        <v>75.1</v>
      </c>
      <c r="J28" s="8" t="n">
        <v>71.3</v>
      </c>
      <c r="K28" s="8" t="n">
        <v>83.3</v>
      </c>
      <c r="L28" s="9" t="n">
        <v>117</v>
      </c>
      <c r="M28" s="10" t="n">
        <f aca="false">100-D28</f>
        <v>9.2</v>
      </c>
      <c r="N28" s="10" t="n">
        <f aca="false">100-E28</f>
        <v>5.59999999999999</v>
      </c>
      <c r="O28" s="11" t="n">
        <f aca="false">N28-M28</f>
        <v>-3.60000000000001</v>
      </c>
      <c r="P28" s="11" t="n">
        <f aca="false">H28-G28</f>
        <v>3.90000000000001</v>
      </c>
      <c r="Q28" s="10" t="n">
        <f aca="false">IF(E28=0,"",(E28-H28)/E28*100)</f>
        <v>11.6525423728814</v>
      </c>
      <c r="R28" s="12" t="n">
        <f aca="false">RANK(H28,$H$4:$H$40,0)</f>
        <v>6</v>
      </c>
      <c r="S28" s="7" t="str">
        <f aca="false">IF(L28&lt;$F$1,"Small n","")</f>
        <v/>
      </c>
    </row>
    <row r="29" customFormat="false" ht="15" hidden="false" customHeight="false" outlineLevel="0" collapsed="false">
      <c r="A29" s="7" t="s">
        <v>57</v>
      </c>
      <c r="B29" s="7" t="s">
        <v>58</v>
      </c>
      <c r="C29" s="8" t="n">
        <v>89.5</v>
      </c>
      <c r="D29" s="8" t="n">
        <v>86.3</v>
      </c>
      <c r="E29" s="8" t="n">
        <v>84.9</v>
      </c>
      <c r="F29" s="8" t="n">
        <v>65.3</v>
      </c>
      <c r="G29" s="8" t="n">
        <v>62.2</v>
      </c>
      <c r="H29" s="8" t="n">
        <v>72.8</v>
      </c>
      <c r="I29" s="8" t="n">
        <v>75.2</v>
      </c>
      <c r="J29" s="8" t="n">
        <v>63.5</v>
      </c>
      <c r="K29" s="8" t="n">
        <v>68.7</v>
      </c>
      <c r="L29" s="9" t="n">
        <v>81</v>
      </c>
      <c r="M29" s="10" t="n">
        <f aca="false">100-D29</f>
        <v>13.7</v>
      </c>
      <c r="N29" s="10" t="n">
        <f aca="false">100-E29</f>
        <v>15.1</v>
      </c>
      <c r="O29" s="11" t="n">
        <f aca="false">N29-M29</f>
        <v>1.39999999999999</v>
      </c>
      <c r="P29" s="11" t="n">
        <f aca="false">H29-G29</f>
        <v>10.6</v>
      </c>
      <c r="Q29" s="10" t="n">
        <f aca="false">IF(E29=0,"",(E29-H29)/E29*100)</f>
        <v>14.2520612485277</v>
      </c>
      <c r="R29" s="12" t="n">
        <f aca="false">RANK(H29,$H$4:$H$40,0)</f>
        <v>14</v>
      </c>
      <c r="S29" s="7" t="str">
        <f aca="false">IF(L29&lt;$F$1,"Small n","")</f>
        <v>Small n</v>
      </c>
    </row>
    <row r="30" customFormat="false" ht="15" hidden="false" customHeight="false" outlineLevel="0" collapsed="false">
      <c r="A30" s="7" t="s">
        <v>59</v>
      </c>
      <c r="B30" s="7" t="s">
        <v>58</v>
      </c>
      <c r="C30" s="8" t="n">
        <v>79.1</v>
      </c>
      <c r="D30" s="8" t="n">
        <v>71.5</v>
      </c>
      <c r="E30" s="8" t="n">
        <v>80.9</v>
      </c>
      <c r="F30" s="8" t="n">
        <v>67.7</v>
      </c>
      <c r="G30" s="8" t="n">
        <v>54.5</v>
      </c>
      <c r="H30" s="8" t="n">
        <v>73.4</v>
      </c>
      <c r="I30" s="8" t="n">
        <v>73</v>
      </c>
      <c r="J30" s="8" t="n">
        <v>71.3</v>
      </c>
      <c r="K30" s="8" t="n">
        <v>70.8</v>
      </c>
      <c r="L30" s="9" t="n">
        <v>84</v>
      </c>
      <c r="M30" s="10" t="n">
        <f aca="false">100-D30</f>
        <v>28.5</v>
      </c>
      <c r="N30" s="10" t="n">
        <f aca="false">100-E30</f>
        <v>19.1</v>
      </c>
      <c r="O30" s="11" t="n">
        <f aca="false">N30-M30</f>
        <v>-9.40000000000001</v>
      </c>
      <c r="P30" s="11" t="n">
        <f aca="false">H30-G30</f>
        <v>18.9</v>
      </c>
      <c r="Q30" s="10" t="n">
        <f aca="false">IF(E30=0,"",(E30-H30)/E30*100)</f>
        <v>9.27070457354759</v>
      </c>
      <c r="R30" s="12" t="n">
        <f aca="false">RANK(H30,$H$4:$H$40,0)</f>
        <v>13</v>
      </c>
      <c r="S30" s="7" t="str">
        <f aca="false">IF(L30&lt;$F$1,"Small n","")</f>
        <v>Small n</v>
      </c>
    </row>
    <row r="31" customFormat="false" ht="15" hidden="false" customHeight="false" outlineLevel="0" collapsed="false">
      <c r="A31" s="7" t="s">
        <v>60</v>
      </c>
      <c r="B31" s="7" t="s">
        <v>58</v>
      </c>
      <c r="C31" s="8" t="n">
        <v>86.8</v>
      </c>
      <c r="D31" s="8" t="n">
        <v>91.9</v>
      </c>
      <c r="E31" s="8" t="n">
        <v>97.2</v>
      </c>
      <c r="F31" s="8" t="n">
        <v>76.1</v>
      </c>
      <c r="G31" s="8" t="n">
        <v>64.1</v>
      </c>
      <c r="H31" s="8" t="n">
        <v>94.6</v>
      </c>
      <c r="I31" s="8" t="n">
        <v>77.1</v>
      </c>
      <c r="J31" s="8" t="n">
        <v>64.1</v>
      </c>
      <c r="K31" s="8" t="n">
        <v>82.8</v>
      </c>
      <c r="L31" s="9" t="n">
        <v>69</v>
      </c>
      <c r="M31" s="10" t="n">
        <f aca="false">100-D31</f>
        <v>8.09999999999999</v>
      </c>
      <c r="N31" s="10" t="n">
        <f aca="false">100-E31</f>
        <v>2.8</v>
      </c>
      <c r="O31" s="11" t="n">
        <f aca="false">N31-M31</f>
        <v>-5.3</v>
      </c>
      <c r="P31" s="11" t="n">
        <f aca="false">H31-G31</f>
        <v>30.5</v>
      </c>
      <c r="Q31" s="10" t="n">
        <f aca="false">IF(E31=0,"",(E31-H31)/E31*100)</f>
        <v>2.67489711934157</v>
      </c>
      <c r="R31" s="12" t="n">
        <f aca="false">RANK(H31,$H$4:$H$40,0)</f>
        <v>1</v>
      </c>
      <c r="S31" s="7" t="str">
        <f aca="false">IF(L31&lt;$F$1,"Small n","")</f>
        <v>Small n</v>
      </c>
    </row>
    <row r="32" customFormat="false" ht="15" hidden="false" customHeight="false" outlineLevel="0" collapsed="false">
      <c r="A32" s="7" t="s">
        <v>61</v>
      </c>
      <c r="B32" s="7" t="s">
        <v>58</v>
      </c>
      <c r="C32" s="8" t="n">
        <v>73.2</v>
      </c>
      <c r="D32" s="8" t="n">
        <v>81.1</v>
      </c>
      <c r="E32" s="8" t="n">
        <v>92.4</v>
      </c>
      <c r="F32" s="8" t="n">
        <v>62.2</v>
      </c>
      <c r="G32" s="8" t="n">
        <v>71.7</v>
      </c>
      <c r="H32" s="8" t="n">
        <v>85.7</v>
      </c>
      <c r="I32" s="8" t="n">
        <v>60.4</v>
      </c>
      <c r="J32" s="8" t="n">
        <v>73.3</v>
      </c>
      <c r="K32" s="8" t="n">
        <v>86.7</v>
      </c>
      <c r="L32" s="9" t="n">
        <v>112</v>
      </c>
      <c r="M32" s="10" t="n">
        <f aca="false">100-D32</f>
        <v>18.9</v>
      </c>
      <c r="N32" s="10" t="n">
        <f aca="false">100-E32</f>
        <v>7.59999999999999</v>
      </c>
      <c r="O32" s="11" t="n">
        <f aca="false">N32-M32</f>
        <v>-11.3</v>
      </c>
      <c r="P32" s="11" t="n">
        <f aca="false">H32-G32</f>
        <v>14</v>
      </c>
      <c r="Q32" s="10" t="n">
        <f aca="false">IF(E32=0,"",(E32-H32)/E32*100)</f>
        <v>7.25108225108225</v>
      </c>
      <c r="R32" s="12" t="n">
        <f aca="false">RANK(H32,$H$4:$H$40,0)</f>
        <v>3</v>
      </c>
      <c r="S32" s="7" t="str">
        <f aca="false">IF(L32&lt;$F$1,"Small n","")</f>
        <v/>
      </c>
    </row>
    <row r="33" customFormat="false" ht="15" hidden="false" customHeight="false" outlineLevel="0" collapsed="false">
      <c r="A33" s="7" t="s">
        <v>62</v>
      </c>
      <c r="B33" s="7" t="s">
        <v>58</v>
      </c>
      <c r="C33" s="8" t="n">
        <v>91.5</v>
      </c>
      <c r="D33" s="8" t="n">
        <v>93.5</v>
      </c>
      <c r="E33" s="8" t="n">
        <v>96.3</v>
      </c>
      <c r="F33" s="8" t="n">
        <v>79.6</v>
      </c>
      <c r="G33" s="8" t="n">
        <v>80.7</v>
      </c>
      <c r="H33" s="8" t="n">
        <v>84.5</v>
      </c>
      <c r="I33" s="8" t="n">
        <v>76.5</v>
      </c>
      <c r="J33" s="8" t="n">
        <v>80.6</v>
      </c>
      <c r="K33" s="8" t="n">
        <v>88.8</v>
      </c>
      <c r="L33" s="9" t="n">
        <v>78</v>
      </c>
      <c r="M33" s="10" t="n">
        <f aca="false">100-D33</f>
        <v>6.5</v>
      </c>
      <c r="N33" s="10" t="n">
        <f aca="false">100-E33</f>
        <v>3.7</v>
      </c>
      <c r="O33" s="11" t="n">
        <f aca="false">N33-M33</f>
        <v>-2.8</v>
      </c>
      <c r="P33" s="11" t="n">
        <f aca="false">H33-G33</f>
        <v>3.8</v>
      </c>
      <c r="Q33" s="10" t="n">
        <f aca="false">IF(E33=0,"",(E33-H33)/E33*100)</f>
        <v>12.2533748701973</v>
      </c>
      <c r="R33" s="12" t="n">
        <f aca="false">RANK(H33,$H$4:$H$40,0)</f>
        <v>5</v>
      </c>
      <c r="S33" s="7" t="str">
        <f aca="false">IF(L33&lt;$F$1,"Small n","")</f>
        <v>Small n</v>
      </c>
    </row>
    <row r="34" customFormat="false" ht="15" hidden="false" customHeight="false" outlineLevel="0" collapsed="false">
      <c r="A34" s="7" t="s">
        <v>63</v>
      </c>
      <c r="B34" s="7" t="s">
        <v>58</v>
      </c>
      <c r="C34" s="8" t="n">
        <v>85.1</v>
      </c>
      <c r="D34" s="8" t="n">
        <v>85.1</v>
      </c>
      <c r="E34" s="8" t="n">
        <v>77.3</v>
      </c>
      <c r="F34" s="8" t="n">
        <v>69.2</v>
      </c>
      <c r="G34" s="8" t="n">
        <v>74.5</v>
      </c>
      <c r="H34" s="8" t="n">
        <v>71</v>
      </c>
      <c r="I34" s="8" t="n">
        <v>79.7</v>
      </c>
      <c r="J34" s="8" t="n">
        <v>72.8</v>
      </c>
      <c r="K34" s="8" t="n">
        <v>68.4</v>
      </c>
      <c r="L34" s="9" t="n">
        <v>103</v>
      </c>
      <c r="M34" s="10" t="n">
        <f aca="false">100-D34</f>
        <v>14.9</v>
      </c>
      <c r="N34" s="10" t="n">
        <f aca="false">100-E34</f>
        <v>22.7</v>
      </c>
      <c r="O34" s="11" t="n">
        <f aca="false">N34-M34</f>
        <v>7.8</v>
      </c>
      <c r="P34" s="11" t="n">
        <f aca="false">H34-G34</f>
        <v>-3.5</v>
      </c>
      <c r="Q34" s="10" t="n">
        <f aca="false">IF(E34=0,"",(E34-H34)/E34*100)</f>
        <v>8.15006468305304</v>
      </c>
      <c r="R34" s="12" t="n">
        <f aca="false">RANK(H34,$H$4:$H$40,0)</f>
        <v>15</v>
      </c>
      <c r="S34" s="7" t="str">
        <f aca="false">IF(L34&lt;$F$1,"Small n","")</f>
        <v/>
      </c>
    </row>
    <row r="35" customFormat="false" ht="15" hidden="false" customHeight="false" outlineLevel="0" collapsed="false">
      <c r="A35" s="7" t="s">
        <v>64</v>
      </c>
      <c r="B35" s="7" t="s">
        <v>65</v>
      </c>
      <c r="C35" s="8" t="n">
        <v>97.6</v>
      </c>
      <c r="D35" s="8" t="n">
        <v>96.1</v>
      </c>
      <c r="E35" s="8" t="n">
        <v>94</v>
      </c>
      <c r="F35" s="8" t="n">
        <v>79</v>
      </c>
      <c r="G35" s="8" t="n">
        <v>93</v>
      </c>
      <c r="H35" s="8" t="n">
        <v>75.9</v>
      </c>
      <c r="I35" s="8" t="n">
        <v>85.7</v>
      </c>
      <c r="J35" s="8" t="n">
        <v>86.4</v>
      </c>
      <c r="K35" s="8" t="n">
        <v>74.3</v>
      </c>
      <c r="L35" s="9" t="n">
        <v>49</v>
      </c>
      <c r="M35" s="10" t="n">
        <f aca="false">100-D35</f>
        <v>3.90000000000001</v>
      </c>
      <c r="N35" s="10" t="n">
        <f aca="false">100-E35</f>
        <v>6</v>
      </c>
      <c r="O35" s="11" t="n">
        <f aca="false">N35-M35</f>
        <v>2.09999999999999</v>
      </c>
      <c r="P35" s="11" t="n">
        <f aca="false">H35-G35</f>
        <v>-17.1</v>
      </c>
      <c r="Q35" s="10" t="n">
        <f aca="false">IF(E35=0,"",(E35-H35)/E35*100)</f>
        <v>19.2553191489362</v>
      </c>
      <c r="R35" s="12" t="n">
        <f aca="false">RANK(H35,$H$4:$H$40,0)</f>
        <v>10</v>
      </c>
      <c r="S35" s="7" t="str">
        <f aca="false">IF(L35&lt;$F$1,"Small n","")</f>
        <v>Small n</v>
      </c>
    </row>
    <row r="36" customFormat="false" ht="15" hidden="false" customHeight="false" outlineLevel="0" collapsed="false">
      <c r="A36" s="7" t="s">
        <v>66</v>
      </c>
      <c r="B36" s="7" t="s">
        <v>65</v>
      </c>
      <c r="C36" s="8" t="n">
        <v>90.2</v>
      </c>
      <c r="D36" s="8" t="n">
        <v>97.3</v>
      </c>
      <c r="E36" s="8" t="n">
        <v>95.3</v>
      </c>
      <c r="F36" s="8" t="n">
        <v>77.4</v>
      </c>
      <c r="G36" s="8" t="n">
        <v>90.8</v>
      </c>
      <c r="H36" s="8" t="n">
        <v>87.6</v>
      </c>
      <c r="I36" s="8" t="n">
        <v>75.8</v>
      </c>
      <c r="J36" s="8" t="n">
        <v>89.5</v>
      </c>
      <c r="K36" s="8" t="n">
        <v>88</v>
      </c>
      <c r="L36" s="9" t="n">
        <v>107</v>
      </c>
      <c r="M36" s="10" t="n">
        <f aca="false">100-D36</f>
        <v>2.7</v>
      </c>
      <c r="N36" s="10" t="n">
        <f aca="false">100-E36</f>
        <v>4.7</v>
      </c>
      <c r="O36" s="11" t="n">
        <f aca="false">N36-M36</f>
        <v>2</v>
      </c>
      <c r="P36" s="11" t="n">
        <f aca="false">H36-G36</f>
        <v>-3.2</v>
      </c>
      <c r="Q36" s="10" t="n">
        <f aca="false">IF(E36=0,"",(E36-H36)/E36*100)</f>
        <v>8.0797481636936</v>
      </c>
      <c r="R36" s="12" t="n">
        <f aca="false">RANK(H36,$H$4:$H$40,0)</f>
        <v>2</v>
      </c>
      <c r="S36" s="7" t="str">
        <f aca="false">IF(L36&lt;$F$1,"Small n","")</f>
        <v/>
      </c>
    </row>
    <row r="37" customFormat="false" ht="15" hidden="false" customHeight="false" outlineLevel="0" collapsed="false">
      <c r="A37" s="7" t="s">
        <v>67</v>
      </c>
      <c r="B37" s="7" t="s">
        <v>65</v>
      </c>
      <c r="C37" s="8" t="n">
        <v>77.5</v>
      </c>
      <c r="D37" s="8" t="n">
        <v>73.4</v>
      </c>
      <c r="E37" s="8" t="n">
        <v>79.4</v>
      </c>
      <c r="F37" s="8" t="n">
        <v>56.9</v>
      </c>
      <c r="G37" s="8" t="n">
        <v>50.3</v>
      </c>
      <c r="H37" s="8" t="n">
        <v>73.9</v>
      </c>
      <c r="I37" s="8" t="n">
        <v>51</v>
      </c>
      <c r="J37" s="8" t="n">
        <v>51.9</v>
      </c>
      <c r="K37" s="8" t="n">
        <v>66.1</v>
      </c>
      <c r="L37" s="9" t="n">
        <v>111</v>
      </c>
      <c r="M37" s="10" t="n">
        <f aca="false">100-D37</f>
        <v>26.6</v>
      </c>
      <c r="N37" s="10" t="n">
        <f aca="false">100-E37</f>
        <v>20.6</v>
      </c>
      <c r="O37" s="11" t="n">
        <f aca="false">N37-M37</f>
        <v>-6</v>
      </c>
      <c r="P37" s="11" t="n">
        <f aca="false">H37-G37</f>
        <v>23.6</v>
      </c>
      <c r="Q37" s="10" t="n">
        <f aca="false">IF(E37=0,"",(E37-H37)/E37*100)</f>
        <v>6.92695214105793</v>
      </c>
      <c r="R37" s="12" t="n">
        <f aca="false">RANK(H37,$H$4:$H$40,0)</f>
        <v>12</v>
      </c>
      <c r="S37" s="7" t="str">
        <f aca="false">IF(L37&lt;$F$1,"Small n","")</f>
        <v/>
      </c>
    </row>
    <row r="38" customFormat="false" ht="15" hidden="false" customHeight="false" outlineLevel="0" collapsed="false">
      <c r="A38" s="7" t="s">
        <v>68</v>
      </c>
      <c r="B38" s="7" t="s">
        <v>65</v>
      </c>
      <c r="C38" s="8" t="n">
        <v>70.3</v>
      </c>
      <c r="D38" s="8" t="n">
        <v>82.1</v>
      </c>
      <c r="E38" s="8" t="n">
        <v>76.5</v>
      </c>
      <c r="F38" s="8" t="n">
        <v>62.5</v>
      </c>
      <c r="G38" s="8" t="n">
        <v>77</v>
      </c>
      <c r="H38" s="8" t="n">
        <v>63.9</v>
      </c>
      <c r="I38" s="8" t="n">
        <v>60.7</v>
      </c>
      <c r="J38" s="8" t="n">
        <v>73.5</v>
      </c>
      <c r="K38" s="8" t="n">
        <v>65.1</v>
      </c>
      <c r="L38" s="9" t="n">
        <v>59</v>
      </c>
      <c r="M38" s="10" t="n">
        <f aca="false">100-D38</f>
        <v>17.9</v>
      </c>
      <c r="N38" s="10" t="n">
        <f aca="false">100-E38</f>
        <v>23.5</v>
      </c>
      <c r="O38" s="11" t="n">
        <f aca="false">N38-M38</f>
        <v>5.59999999999999</v>
      </c>
      <c r="P38" s="11" t="n">
        <f aca="false">H38-G38</f>
        <v>-13.1</v>
      </c>
      <c r="Q38" s="10" t="n">
        <f aca="false">IF(E38=0,"",(E38-H38)/E38*100)</f>
        <v>16.4705882352941</v>
      </c>
      <c r="R38" s="12" t="n">
        <f aca="false">RANK(H38,$H$4:$H$40,0)</f>
        <v>18</v>
      </c>
      <c r="S38" s="7" t="str">
        <f aca="false">IF(L38&lt;$F$1,"Small n","")</f>
        <v>Small n</v>
      </c>
    </row>
    <row r="39" customFormat="false" ht="15" hidden="false" customHeight="false" outlineLevel="0" collapsed="false">
      <c r="A39" s="7" t="s">
        <v>69</v>
      </c>
      <c r="B39" s="7" t="s">
        <v>65</v>
      </c>
      <c r="C39" s="8" t="n">
        <v>92.2</v>
      </c>
      <c r="D39" s="8" t="n">
        <v>88.9</v>
      </c>
      <c r="E39" s="8" t="n">
        <v>90.6</v>
      </c>
      <c r="F39" s="8" t="n">
        <v>82.8</v>
      </c>
      <c r="G39" s="8" t="n">
        <v>83.5</v>
      </c>
      <c r="H39" s="8" t="n">
        <v>67.1</v>
      </c>
      <c r="I39" s="8" t="n">
        <v>75.2</v>
      </c>
      <c r="J39" s="8" t="n">
        <v>76.6</v>
      </c>
      <c r="K39" s="8" t="n">
        <v>67.1</v>
      </c>
      <c r="L39" s="9" t="n">
        <v>65</v>
      </c>
      <c r="M39" s="10" t="n">
        <f aca="false">100-D39</f>
        <v>11.1</v>
      </c>
      <c r="N39" s="10" t="n">
        <f aca="false">100-E39</f>
        <v>9.40000000000001</v>
      </c>
      <c r="O39" s="11" t="n">
        <f aca="false">N39-M39</f>
        <v>-1.69999999999999</v>
      </c>
      <c r="P39" s="11" t="n">
        <f aca="false">H39-G39</f>
        <v>-16.4</v>
      </c>
      <c r="Q39" s="10" t="n">
        <f aca="false">IF(E39=0,"",(E39-H39)/E39*100)</f>
        <v>25.9381898454746</v>
      </c>
      <c r="R39" s="12" t="n">
        <f aca="false">RANK(H39,$H$4:$H$40,0)</f>
        <v>16</v>
      </c>
      <c r="S39" s="7" t="str">
        <f aca="false">IF(L39&lt;$F$1,"Small n","")</f>
        <v>Small n</v>
      </c>
    </row>
    <row r="40" customFormat="false" ht="15" hidden="false" customHeight="false" outlineLevel="0" collapsed="false">
      <c r="A40" s="7" t="s">
        <v>70</v>
      </c>
      <c r="B40" s="7" t="s">
        <v>65</v>
      </c>
      <c r="C40" s="8" t="n">
        <v>70.6</v>
      </c>
      <c r="D40" s="8" t="n">
        <v>83.2</v>
      </c>
      <c r="E40" s="8" t="n">
        <v>70.1</v>
      </c>
      <c r="F40" s="8" t="n">
        <v>47.7</v>
      </c>
      <c r="G40" s="8" t="n">
        <v>44.3</v>
      </c>
      <c r="H40" s="8" t="n">
        <v>52.6</v>
      </c>
      <c r="I40" s="8" t="n">
        <v>45.2</v>
      </c>
      <c r="J40" s="8" t="n">
        <v>61.6</v>
      </c>
      <c r="K40" s="8" t="n">
        <v>55.2</v>
      </c>
      <c r="L40" s="9" t="n">
        <v>91</v>
      </c>
      <c r="M40" s="10" t="n">
        <f aca="false">100-D40</f>
        <v>16.8</v>
      </c>
      <c r="N40" s="10" t="n">
        <f aca="false">100-E40</f>
        <v>29.9</v>
      </c>
      <c r="O40" s="11" t="n">
        <f aca="false">N40-M40</f>
        <v>13.1</v>
      </c>
      <c r="P40" s="11" t="n">
        <f aca="false">H40-G40</f>
        <v>8.3</v>
      </c>
      <c r="Q40" s="10" t="n">
        <f aca="false">IF(E40=0,"",(E40-H40)/E40*100)</f>
        <v>24.9643366619115</v>
      </c>
      <c r="R40" s="12" t="n">
        <f aca="false">RANK(H40,$H$4:$H$40,0)</f>
        <v>24</v>
      </c>
      <c r="S40" s="7" t="str">
        <f aca="false">IF(L40&lt;$F$1,"Small n","")</f>
        <v>Small n</v>
      </c>
    </row>
    <row r="42" customFormat="false" ht="15" hidden="false" customHeight="false" outlineLevel="0" collapsed="false">
      <c r="A42" s="13" t="s">
        <v>71</v>
      </c>
      <c r="C42" s="14" t="n">
        <f aca="false">AVERAGE(C4:C40)</f>
        <v>62.4405405405405</v>
      </c>
      <c r="D42" s="14" t="n">
        <f aca="false">AVERAGE(D4:D40)</f>
        <v>71.4</v>
      </c>
      <c r="E42" s="14" t="n">
        <f aca="false">AVERAGE(E4:E40)</f>
        <v>70.4756756756757</v>
      </c>
      <c r="F42" s="14" t="n">
        <f aca="false">AVERAGE(F4:F40)</f>
        <v>49.3216216216216</v>
      </c>
      <c r="G42" s="14" t="n">
        <f aca="false">AVERAGE(G4:G40)</f>
        <v>56.1081081081081</v>
      </c>
      <c r="H42" s="14" t="n">
        <f aca="false">AVERAGE(H4:H40)</f>
        <v>59.9945945945946</v>
      </c>
      <c r="I42" s="14" t="n">
        <f aca="false">AVERAGE(I4:I40)</f>
        <v>51.4621621621622</v>
      </c>
      <c r="J42" s="14" t="n">
        <f aca="false">AVERAGE(J4:J40)</f>
        <v>58.2918918918919</v>
      </c>
      <c r="K42" s="14" t="n">
        <f aca="false">AVERAGE(K4:K40)</f>
        <v>57.9081081081081</v>
      </c>
      <c r="M42" s="14" t="n">
        <f aca="false">AVERAGE(M4:M40)</f>
        <v>28.6</v>
      </c>
      <c r="N42" s="14" t="n">
        <f aca="false">AVERAGE(N4:N40)</f>
        <v>29.5243243243243</v>
      </c>
      <c r="O42" s="14" t="n">
        <f aca="false">AVERAGE(O4:O40)</f>
        <v>0.924324324324323</v>
      </c>
      <c r="P42" s="14" t="n">
        <f aca="false">AVERAGE(P4:P40)</f>
        <v>3.88648648648649</v>
      </c>
      <c r="Q42" s="14" t="n">
        <f aca="false">AVERAGE(Q4:Q40)</f>
        <v>15.7300883895947</v>
      </c>
    </row>
    <row r="43" customFormat="false" ht="15" hidden="false" customHeight="false" outlineLevel="0" collapsed="false">
      <c r="A43" s="13" t="s">
        <v>72</v>
      </c>
      <c r="C43" s="14" t="n">
        <f aca="false">MEDIAN(C4:C40)</f>
        <v>73.2</v>
      </c>
      <c r="D43" s="14" t="n">
        <f aca="false">MEDIAN(D4:D40)</f>
        <v>80.1</v>
      </c>
      <c r="E43" s="14" t="n">
        <f aca="false">MEDIAN(E4:E40)</f>
        <v>70.9</v>
      </c>
      <c r="F43" s="14" t="n">
        <f aca="false">MEDIAN(F4:F40)</f>
        <v>56.9</v>
      </c>
      <c r="G43" s="14" t="n">
        <f aca="false">MEDIAN(G4:G40)</f>
        <v>58.7</v>
      </c>
      <c r="H43" s="14" t="n">
        <f aca="false">MEDIAN(H4:H40)</f>
        <v>62.2</v>
      </c>
      <c r="I43" s="14" t="n">
        <f aca="false">MEDIAN(I4:I40)</f>
        <v>56.9</v>
      </c>
      <c r="J43" s="14" t="n">
        <f aca="false">MEDIAN(J4:J40)</f>
        <v>63.5</v>
      </c>
      <c r="K43" s="14" t="n">
        <f aca="false">MEDIAN(K4:K40)</f>
        <v>59</v>
      </c>
      <c r="M43" s="14" t="n">
        <f aca="false">MEDIAN(M4:M40)</f>
        <v>19.9</v>
      </c>
      <c r="N43" s="14" t="n">
        <f aca="false">MEDIAN(N4:N40)</f>
        <v>29.1</v>
      </c>
      <c r="O43" s="14" t="n">
        <f aca="false">MEDIAN(O4:O40)</f>
        <v>-0.299999999999997</v>
      </c>
      <c r="P43" s="14" t="n">
        <f aca="false">MEDIAN(P4:P40)</f>
        <v>3.7</v>
      </c>
      <c r="Q43" s="14" t="n">
        <f aca="false">MEDIAN(Q4:Q40)</f>
        <v>14.2520612485277</v>
      </c>
    </row>
    <row r="44" customFormat="false" ht="15" hidden="false" customHeight="false" outlineLevel="0" collapsed="false">
      <c r="A44" s="13" t="s">
        <v>73</v>
      </c>
      <c r="H44" s="15" t="n">
        <f aca="false">COUNTIF(H4:H40,"&lt;50")</f>
        <v>12</v>
      </c>
    </row>
    <row r="45" customFormat="false" ht="15" hidden="false" customHeight="false" outlineLevel="0" collapsed="false">
      <c r="A45" s="13" t="s">
        <v>74</v>
      </c>
      <c r="O45" s="15" t="n">
        <f aca="false">COUNTIF(O4:O40,"&gt;0")</f>
        <v>18</v>
      </c>
    </row>
    <row r="46" customFormat="false" ht="15" hidden="false" customHeight="false" outlineLevel="0" collapsed="false">
      <c r="A46" s="13" t="s">
        <v>75</v>
      </c>
      <c r="H46" s="14" t="n">
        <f aca="false">MAX(H4:H40)-MIN(H4:H40)</f>
        <v>83.7</v>
      </c>
    </row>
    <row r="48" customFormat="false" ht="15" hidden="false" customHeight="false" outlineLevel="0" collapsed="false">
      <c r="A48" s="5" t="s">
        <v>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24"/>
    <col collapsed="false" customWidth="true" hidden="false" outlineLevel="0" max="5" min="3" style="0" width="11"/>
  </cols>
  <sheetData>
    <row r="1" customFormat="false" ht="15" hidden="false" customHeight="false" outlineLevel="0" collapsed="false">
      <c r="A1" s="16" t="s">
        <v>77</v>
      </c>
    </row>
    <row r="3" customFormat="false" ht="15" hidden="false" customHeight="false" outlineLevel="0" collapsed="false">
      <c r="A3" s="3" t="s">
        <v>78</v>
      </c>
    </row>
    <row r="4" customFormat="false" ht="15" hidden="false" customHeight="false" outlineLevel="0" collapsed="false">
      <c r="A4" s="6" t="s">
        <v>79</v>
      </c>
      <c r="B4" s="6" t="s">
        <v>80</v>
      </c>
      <c r="C4" s="6" t="s">
        <v>81</v>
      </c>
      <c r="D4" s="6" t="s">
        <v>82</v>
      </c>
      <c r="E4" s="6" t="s">
        <v>83</v>
      </c>
    </row>
    <row r="5" customFormat="false" ht="15" hidden="false" customHeight="false" outlineLevel="0" collapsed="false">
      <c r="A5" s="7" t="s">
        <v>84</v>
      </c>
      <c r="B5" s="7" t="s">
        <v>85</v>
      </c>
      <c r="C5" s="8" t="n">
        <v>7</v>
      </c>
      <c r="D5" s="8" t="n">
        <v>24.7</v>
      </c>
      <c r="E5" s="8" t="n">
        <v>35.7</v>
      </c>
    </row>
    <row r="6" customFormat="false" ht="15" hidden="false" customHeight="false" outlineLevel="0" collapsed="false">
      <c r="A6" s="7" t="s">
        <v>84</v>
      </c>
      <c r="B6" s="7" t="s">
        <v>86</v>
      </c>
      <c r="C6" s="8" t="n">
        <v>18.5</v>
      </c>
      <c r="D6" s="8" t="n">
        <v>35.7</v>
      </c>
      <c r="E6" s="8" t="n">
        <v>38.5</v>
      </c>
    </row>
    <row r="7" customFormat="false" ht="15" hidden="false" customHeight="false" outlineLevel="0" collapsed="false">
      <c r="A7" s="7" t="s">
        <v>84</v>
      </c>
      <c r="B7" s="7" t="s">
        <v>87</v>
      </c>
      <c r="C7" s="8" t="n">
        <v>39.7</v>
      </c>
      <c r="D7" s="8" t="n">
        <v>50.7</v>
      </c>
      <c r="E7" s="8" t="n">
        <v>53.5</v>
      </c>
    </row>
    <row r="8" customFormat="false" ht="15" hidden="false" customHeight="false" outlineLevel="0" collapsed="false">
      <c r="A8" s="7" t="s">
        <v>84</v>
      </c>
      <c r="B8" s="7" t="s">
        <v>88</v>
      </c>
      <c r="C8" s="8" t="n">
        <v>60</v>
      </c>
      <c r="D8" s="8" t="n">
        <v>66.5</v>
      </c>
      <c r="E8" s="8" t="n">
        <v>65.7</v>
      </c>
    </row>
    <row r="9" customFormat="false" ht="15" hidden="false" customHeight="false" outlineLevel="0" collapsed="false">
      <c r="A9" s="7" t="s">
        <v>84</v>
      </c>
      <c r="B9" s="7" t="s">
        <v>89</v>
      </c>
      <c r="C9" s="8" t="n">
        <v>79.5</v>
      </c>
      <c r="D9" s="8" t="n">
        <v>81.1</v>
      </c>
      <c r="E9" s="8" t="n">
        <v>85.3</v>
      </c>
    </row>
    <row r="10" customFormat="false" ht="15" hidden="false" customHeight="false" outlineLevel="0" collapsed="false">
      <c r="A10" s="7" t="s">
        <v>90</v>
      </c>
      <c r="B10" s="7" t="s">
        <v>91</v>
      </c>
      <c r="C10" s="8" t="n">
        <v>24.9</v>
      </c>
      <c r="D10" s="8" t="n">
        <v>38.4</v>
      </c>
      <c r="E10" s="8" t="n">
        <v>45.5</v>
      </c>
    </row>
    <row r="11" customFormat="false" ht="15" hidden="false" customHeight="false" outlineLevel="0" collapsed="false">
      <c r="A11" s="7" t="s">
        <v>90</v>
      </c>
      <c r="B11" s="7" t="s">
        <v>92</v>
      </c>
      <c r="C11" s="8" t="n">
        <v>62.2</v>
      </c>
      <c r="D11" s="8" t="n">
        <v>67.9</v>
      </c>
      <c r="E11" s="8" t="n">
        <v>65.4</v>
      </c>
    </row>
    <row r="12" customFormat="false" ht="15" hidden="false" customHeight="false" outlineLevel="0" collapsed="false">
      <c r="A12" s="7" t="s">
        <v>93</v>
      </c>
      <c r="B12" s="7" t="s">
        <v>94</v>
      </c>
      <c r="C12" s="8" t="n">
        <v>12</v>
      </c>
      <c r="D12" s="8" t="n">
        <v>24.7</v>
      </c>
      <c r="E12" s="8" t="n">
        <v>33.7</v>
      </c>
    </row>
    <row r="13" customFormat="false" ht="15" hidden="false" customHeight="false" outlineLevel="0" collapsed="false">
      <c r="A13" s="7" t="s">
        <v>93</v>
      </c>
      <c r="B13" s="7" t="s">
        <v>95</v>
      </c>
      <c r="C13" s="8" t="n">
        <v>40</v>
      </c>
      <c r="D13" s="8" t="n">
        <v>55.4</v>
      </c>
      <c r="E13" s="8" t="n">
        <v>52.1</v>
      </c>
    </row>
    <row r="14" customFormat="false" ht="15" hidden="false" customHeight="false" outlineLevel="0" collapsed="false">
      <c r="A14" s="7" t="s">
        <v>93</v>
      </c>
      <c r="B14" s="7" t="s">
        <v>96</v>
      </c>
      <c r="C14" s="8" t="n">
        <v>69.9</v>
      </c>
      <c r="D14" s="8" t="n">
        <v>70.5</v>
      </c>
      <c r="E14" s="8" t="n">
        <v>68.6</v>
      </c>
    </row>
    <row r="15" customFormat="false" ht="15" hidden="false" customHeight="false" outlineLevel="0" collapsed="false">
      <c r="A15" s="7" t="s">
        <v>93</v>
      </c>
      <c r="B15" s="7" t="s">
        <v>97</v>
      </c>
      <c r="C15" s="8" t="n">
        <v>87.1</v>
      </c>
      <c r="D15" s="8" t="n">
        <v>86.5</v>
      </c>
      <c r="E15" s="8" t="n">
        <v>88.6</v>
      </c>
    </row>
    <row r="17" customFormat="false" ht="15" hidden="false" customHeight="false" outlineLevel="0" collapsed="false">
      <c r="A17" s="3" t="s">
        <v>98</v>
      </c>
    </row>
    <row r="18" customFormat="false" ht="15" hidden="false" customHeight="false" outlineLevel="0" collapsed="false">
      <c r="A18" s="6" t="s">
        <v>79</v>
      </c>
      <c r="B18" s="6" t="s">
        <v>80</v>
      </c>
      <c r="C18" s="6" t="s">
        <v>81</v>
      </c>
      <c r="D18" s="6" t="s">
        <v>82</v>
      </c>
      <c r="E18" s="6" t="s">
        <v>83</v>
      </c>
    </row>
    <row r="19" customFormat="false" ht="15" hidden="false" customHeight="false" outlineLevel="0" collapsed="false">
      <c r="A19" s="7" t="s">
        <v>84</v>
      </c>
      <c r="B19" s="7" t="s">
        <v>85</v>
      </c>
      <c r="C19" s="8" t="n">
        <v>14.2</v>
      </c>
      <c r="D19" s="8" t="n">
        <v>40.2</v>
      </c>
      <c r="E19" s="8" t="n">
        <v>43.2</v>
      </c>
    </row>
    <row r="20" customFormat="false" ht="15" hidden="false" customHeight="false" outlineLevel="0" collapsed="false">
      <c r="A20" s="7" t="s">
        <v>84</v>
      </c>
      <c r="B20" s="7" t="s">
        <v>86</v>
      </c>
      <c r="C20" s="8" t="n">
        <v>32.4</v>
      </c>
      <c r="D20" s="8" t="n">
        <v>51.1</v>
      </c>
      <c r="E20" s="8" t="n">
        <v>48.1</v>
      </c>
    </row>
    <row r="21" customFormat="false" ht="15" hidden="false" customHeight="false" outlineLevel="0" collapsed="false">
      <c r="A21" s="7" t="s">
        <v>84</v>
      </c>
      <c r="B21" s="7" t="s">
        <v>87</v>
      </c>
      <c r="C21" s="8" t="n">
        <v>56.6</v>
      </c>
      <c r="D21" s="8" t="n">
        <v>69</v>
      </c>
      <c r="E21" s="8" t="n">
        <v>63.9</v>
      </c>
    </row>
    <row r="22" customFormat="false" ht="15" hidden="false" customHeight="false" outlineLevel="0" collapsed="false">
      <c r="A22" s="7" t="s">
        <v>84</v>
      </c>
      <c r="B22" s="7" t="s">
        <v>88</v>
      </c>
      <c r="C22" s="8" t="n">
        <v>74</v>
      </c>
      <c r="D22" s="8" t="n">
        <v>80.9</v>
      </c>
      <c r="E22" s="8" t="n">
        <v>77.5</v>
      </c>
    </row>
    <row r="23" customFormat="false" ht="15" hidden="false" customHeight="false" outlineLevel="0" collapsed="false">
      <c r="A23" s="7" t="s">
        <v>84</v>
      </c>
      <c r="B23" s="7" t="s">
        <v>89</v>
      </c>
      <c r="C23" s="8" t="n">
        <v>90</v>
      </c>
      <c r="D23" s="8" t="n">
        <v>93.4</v>
      </c>
      <c r="E23" s="8" t="n">
        <v>93.4</v>
      </c>
    </row>
    <row r="24" customFormat="false" ht="15" hidden="false" customHeight="false" outlineLevel="0" collapsed="false">
      <c r="A24" s="7" t="s">
        <v>90</v>
      </c>
      <c r="B24" s="7" t="s">
        <v>91</v>
      </c>
      <c r="C24" s="8" t="n">
        <v>37.6</v>
      </c>
      <c r="D24" s="8" t="n">
        <v>55</v>
      </c>
      <c r="E24" s="8" t="n">
        <v>53.1</v>
      </c>
    </row>
    <row r="25" customFormat="false" ht="15" hidden="false" customHeight="false" outlineLevel="0" collapsed="false">
      <c r="A25" s="7" t="s">
        <v>90</v>
      </c>
      <c r="B25" s="7" t="s">
        <v>92</v>
      </c>
      <c r="C25" s="8" t="n">
        <v>73.8</v>
      </c>
      <c r="D25" s="8" t="n">
        <v>81.2</v>
      </c>
      <c r="E25" s="8" t="n">
        <v>77.7</v>
      </c>
    </row>
    <row r="26" customFormat="false" ht="15" hidden="false" customHeight="false" outlineLevel="0" collapsed="false">
      <c r="A26" s="7" t="s">
        <v>93</v>
      </c>
      <c r="B26" s="7" t="s">
        <v>94</v>
      </c>
      <c r="C26" s="8" t="n">
        <v>20.8</v>
      </c>
      <c r="D26" s="8" t="n">
        <v>39.9</v>
      </c>
      <c r="E26" s="8" t="n">
        <v>40.9</v>
      </c>
    </row>
    <row r="27" customFormat="false" ht="15" hidden="false" customHeight="false" outlineLevel="0" collapsed="false">
      <c r="A27" s="7" t="s">
        <v>93</v>
      </c>
      <c r="B27" s="7" t="s">
        <v>95</v>
      </c>
      <c r="C27" s="8" t="n">
        <v>61.7</v>
      </c>
      <c r="D27" s="8" t="n">
        <v>72.7</v>
      </c>
      <c r="E27" s="8" t="n">
        <v>63.2</v>
      </c>
    </row>
    <row r="28" customFormat="false" ht="15" hidden="false" customHeight="false" outlineLevel="0" collapsed="false">
      <c r="A28" s="7" t="s">
        <v>93</v>
      </c>
      <c r="B28" s="7" t="s">
        <v>96</v>
      </c>
      <c r="C28" s="8" t="n">
        <v>83.4</v>
      </c>
      <c r="D28" s="8" t="n">
        <v>86.5</v>
      </c>
      <c r="E28" s="8" t="n">
        <v>81.5</v>
      </c>
    </row>
    <row r="29" customFormat="false" ht="15" hidden="false" customHeight="false" outlineLevel="0" collapsed="false">
      <c r="A29" s="7" t="s">
        <v>93</v>
      </c>
      <c r="B29" s="7" t="s">
        <v>97</v>
      </c>
      <c r="C29" s="8" t="n">
        <v>95.3</v>
      </c>
      <c r="D29" s="8" t="n">
        <v>95.9</v>
      </c>
      <c r="E29" s="8" t="n">
        <v>94.7</v>
      </c>
    </row>
    <row r="31" customFormat="false" ht="15" hidden="false" customHeight="false" outlineLevel="0" collapsed="false">
      <c r="A31" s="3" t="s">
        <v>99</v>
      </c>
    </row>
    <row r="32" customFormat="false" ht="15" hidden="false" customHeight="false" outlineLevel="0" collapsed="false">
      <c r="A32" s="6" t="s">
        <v>100</v>
      </c>
      <c r="B32" s="6" t="s">
        <v>101</v>
      </c>
      <c r="C32" s="6" t="s">
        <v>81</v>
      </c>
      <c r="D32" s="6" t="s">
        <v>82</v>
      </c>
      <c r="E32" s="6" t="s">
        <v>83</v>
      </c>
    </row>
    <row r="33" customFormat="false" ht="15" hidden="false" customHeight="false" outlineLevel="0" collapsed="false">
      <c r="A33" s="7" t="s">
        <v>102</v>
      </c>
      <c r="B33" s="7" t="s">
        <v>103</v>
      </c>
      <c r="C33" s="10" t="n">
        <f aca="false">C9-C5</f>
        <v>72.5</v>
      </c>
      <c r="D33" s="10" t="n">
        <f aca="false">D9-D5</f>
        <v>56.4</v>
      </c>
      <c r="E33" s="10" t="n">
        <f aca="false">E9-E5</f>
        <v>49.6</v>
      </c>
    </row>
    <row r="34" customFormat="false" ht="15" hidden="false" customHeight="false" outlineLevel="0" collapsed="false">
      <c r="A34" s="7" t="s">
        <v>104</v>
      </c>
      <c r="B34" s="7" t="s">
        <v>103</v>
      </c>
      <c r="C34" s="10" t="n">
        <f aca="false">C11-C10</f>
        <v>37.3</v>
      </c>
      <c r="D34" s="10" t="n">
        <f aca="false">D11-D10</f>
        <v>29.5</v>
      </c>
      <c r="E34" s="10" t="n">
        <f aca="false">E11-E10</f>
        <v>19.9</v>
      </c>
    </row>
    <row r="35" customFormat="false" ht="15" hidden="false" customHeight="false" outlineLevel="0" collapsed="false">
      <c r="A35" s="7" t="s">
        <v>105</v>
      </c>
      <c r="B35" s="7" t="s">
        <v>103</v>
      </c>
      <c r="C35" s="10" t="n">
        <f aca="false">C15-C12</f>
        <v>75.1</v>
      </c>
      <c r="D35" s="10" t="n">
        <f aca="false">D15-D12</f>
        <v>61.8</v>
      </c>
      <c r="E35" s="10" t="n">
        <f aca="false">E15-E12</f>
        <v>54.9</v>
      </c>
    </row>
    <row r="36" customFormat="false" ht="15" hidden="false" customHeight="false" outlineLevel="0" collapsed="false">
      <c r="A36" s="7" t="s">
        <v>102</v>
      </c>
      <c r="B36" s="7" t="s">
        <v>106</v>
      </c>
      <c r="C36" s="10" t="n">
        <f aca="false">C23-C19</f>
        <v>75.8</v>
      </c>
      <c r="D36" s="10" t="n">
        <f aca="false">D23-D19</f>
        <v>53.2</v>
      </c>
      <c r="E36" s="10" t="n">
        <f aca="false">E23-E19</f>
        <v>50.2</v>
      </c>
    </row>
    <row r="37" customFormat="false" ht="15" hidden="false" customHeight="false" outlineLevel="0" collapsed="false">
      <c r="A37" s="7" t="s">
        <v>104</v>
      </c>
      <c r="B37" s="7" t="s">
        <v>106</v>
      </c>
      <c r="C37" s="10" t="n">
        <f aca="false">C25-C24</f>
        <v>36.2</v>
      </c>
      <c r="D37" s="10" t="n">
        <f aca="false">D25-D24</f>
        <v>26.2</v>
      </c>
      <c r="E37" s="10" t="n">
        <f aca="false">E25-E24</f>
        <v>24.6</v>
      </c>
    </row>
    <row r="38" customFormat="false" ht="15" hidden="false" customHeight="false" outlineLevel="0" collapsed="false">
      <c r="A38" s="7" t="s">
        <v>105</v>
      </c>
      <c r="B38" s="7" t="s">
        <v>106</v>
      </c>
      <c r="C38" s="10" t="n">
        <f aca="false">C29-C26</f>
        <v>74.5</v>
      </c>
      <c r="D38" s="10" t="n">
        <f aca="false">D29-D26</f>
        <v>56</v>
      </c>
      <c r="E38" s="10" t="n">
        <f aca="false">E29-E26</f>
        <v>53.8</v>
      </c>
    </row>
    <row r="39" customFormat="false" ht="15" hidden="false" customHeight="false" outlineLevel="0" collapsed="false">
      <c r="A39" s="7" t="s">
        <v>107</v>
      </c>
      <c r="B39" s="7" t="s">
        <v>103</v>
      </c>
      <c r="C39" s="17" t="n">
        <f aca="false">C9/C5</f>
        <v>11.3571428571429</v>
      </c>
      <c r="D39" s="17" t="n">
        <f aca="false">D9/D5</f>
        <v>3.2834008097166</v>
      </c>
      <c r="E39" s="17" t="n">
        <f aca="false">E9/E5</f>
        <v>2.38935574229692</v>
      </c>
    </row>
    <row r="41" customFormat="false" ht="15" hidden="false" customHeight="false" outlineLevel="0" collapsed="false">
      <c r="A41" s="3" t="s">
        <v>108</v>
      </c>
    </row>
    <row r="42" customFormat="false" ht="15" hidden="false" customHeight="false" outlineLevel="0" collapsed="false">
      <c r="A42" s="6" t="s">
        <v>79</v>
      </c>
      <c r="B42" s="6" t="s">
        <v>80</v>
      </c>
      <c r="C42" s="6" t="s">
        <v>81</v>
      </c>
      <c r="D42" s="6" t="s">
        <v>82</v>
      </c>
      <c r="E42" s="6" t="s">
        <v>83</v>
      </c>
    </row>
    <row r="43" customFormat="false" ht="15" hidden="false" customHeight="false" outlineLevel="0" collapsed="false">
      <c r="A43" s="7" t="s">
        <v>84</v>
      </c>
      <c r="B43" s="7" t="s">
        <v>85</v>
      </c>
      <c r="C43" s="10" t="n">
        <f aca="false">100-C19</f>
        <v>85.8</v>
      </c>
      <c r="D43" s="10" t="n">
        <f aca="false">100-D19</f>
        <v>59.8</v>
      </c>
      <c r="E43" s="10" t="n">
        <f aca="false">100-E19</f>
        <v>56.8</v>
      </c>
    </row>
    <row r="44" customFormat="false" ht="15" hidden="false" customHeight="false" outlineLevel="0" collapsed="false">
      <c r="A44" s="7" t="s">
        <v>84</v>
      </c>
      <c r="B44" s="7" t="s">
        <v>86</v>
      </c>
      <c r="C44" s="10" t="n">
        <f aca="false">100-C20</f>
        <v>67.6</v>
      </c>
      <c r="D44" s="10" t="n">
        <f aca="false">100-D20</f>
        <v>48.9</v>
      </c>
      <c r="E44" s="10" t="n">
        <f aca="false">100-E20</f>
        <v>51.9</v>
      </c>
    </row>
    <row r="45" customFormat="false" ht="15" hidden="false" customHeight="false" outlineLevel="0" collapsed="false">
      <c r="A45" s="7" t="s">
        <v>84</v>
      </c>
      <c r="B45" s="7" t="s">
        <v>87</v>
      </c>
      <c r="C45" s="10" t="n">
        <f aca="false">100-C21</f>
        <v>43.4</v>
      </c>
      <c r="D45" s="10" t="n">
        <f aca="false">100-D21</f>
        <v>31</v>
      </c>
      <c r="E45" s="10" t="n">
        <f aca="false">100-E21</f>
        <v>36.1</v>
      </c>
    </row>
    <row r="46" customFormat="false" ht="15" hidden="false" customHeight="false" outlineLevel="0" collapsed="false">
      <c r="A46" s="7" t="s">
        <v>84</v>
      </c>
      <c r="B46" s="7" t="s">
        <v>88</v>
      </c>
      <c r="C46" s="10" t="n">
        <f aca="false">100-C22</f>
        <v>26</v>
      </c>
      <c r="D46" s="10" t="n">
        <f aca="false">100-D22</f>
        <v>19.1</v>
      </c>
      <c r="E46" s="10" t="n">
        <f aca="false">100-E22</f>
        <v>22.5</v>
      </c>
    </row>
    <row r="47" customFormat="false" ht="15" hidden="false" customHeight="false" outlineLevel="0" collapsed="false">
      <c r="A47" s="7" t="s">
        <v>84</v>
      </c>
      <c r="B47" s="7" t="s">
        <v>89</v>
      </c>
      <c r="C47" s="10" t="n">
        <f aca="false">100-C23</f>
        <v>10</v>
      </c>
      <c r="D47" s="10" t="n">
        <f aca="false">100-D23</f>
        <v>6.59999999999999</v>
      </c>
      <c r="E47" s="10" t="n">
        <f aca="false">100-E23</f>
        <v>6.59999999999999</v>
      </c>
    </row>
    <row r="48" customFormat="false" ht="15" hidden="false" customHeight="false" outlineLevel="0" collapsed="false">
      <c r="A48" s="7" t="s">
        <v>90</v>
      </c>
      <c r="B48" s="7" t="s">
        <v>91</v>
      </c>
      <c r="C48" s="10" t="n">
        <f aca="false">100-C24</f>
        <v>62.4</v>
      </c>
      <c r="D48" s="10" t="n">
        <f aca="false">100-D24</f>
        <v>45</v>
      </c>
      <c r="E48" s="10" t="n">
        <f aca="false">100-E24</f>
        <v>46.9</v>
      </c>
    </row>
    <row r="49" customFormat="false" ht="15" hidden="false" customHeight="false" outlineLevel="0" collapsed="false">
      <c r="A49" s="7" t="s">
        <v>90</v>
      </c>
      <c r="B49" s="7" t="s">
        <v>92</v>
      </c>
      <c r="C49" s="10" t="n">
        <f aca="false">100-C25</f>
        <v>26.2</v>
      </c>
      <c r="D49" s="10" t="n">
        <f aca="false">100-D25</f>
        <v>18.8</v>
      </c>
      <c r="E49" s="10" t="n">
        <f aca="false">100-E25</f>
        <v>22.3</v>
      </c>
    </row>
    <row r="50" customFormat="false" ht="15" hidden="false" customHeight="false" outlineLevel="0" collapsed="false">
      <c r="A50" s="7" t="s">
        <v>93</v>
      </c>
      <c r="B50" s="7" t="s">
        <v>94</v>
      </c>
      <c r="C50" s="10" t="n">
        <f aca="false">100-C26</f>
        <v>79.2</v>
      </c>
      <c r="D50" s="10" t="n">
        <f aca="false">100-D26</f>
        <v>60.1</v>
      </c>
      <c r="E50" s="10" t="n">
        <f aca="false">100-E26</f>
        <v>59.1</v>
      </c>
    </row>
    <row r="51" customFormat="false" ht="15" hidden="false" customHeight="false" outlineLevel="0" collapsed="false">
      <c r="A51" s="7" t="s">
        <v>93</v>
      </c>
      <c r="B51" s="7" t="s">
        <v>95</v>
      </c>
      <c r="C51" s="10" t="n">
        <f aca="false">100-C27</f>
        <v>38.3</v>
      </c>
      <c r="D51" s="10" t="n">
        <f aca="false">100-D27</f>
        <v>27.3</v>
      </c>
      <c r="E51" s="10" t="n">
        <f aca="false">100-E27</f>
        <v>36.8</v>
      </c>
    </row>
    <row r="52" customFormat="false" ht="15" hidden="false" customHeight="false" outlineLevel="0" collapsed="false">
      <c r="A52" s="7" t="s">
        <v>93</v>
      </c>
      <c r="B52" s="7" t="s">
        <v>96</v>
      </c>
      <c r="C52" s="10" t="n">
        <f aca="false">100-C28</f>
        <v>16.6</v>
      </c>
      <c r="D52" s="10" t="n">
        <f aca="false">100-D28</f>
        <v>13.5</v>
      </c>
      <c r="E52" s="10" t="n">
        <f aca="false">100-E28</f>
        <v>18.5</v>
      </c>
    </row>
    <row r="53" customFormat="false" ht="15" hidden="false" customHeight="false" outlineLevel="0" collapsed="false">
      <c r="A53" s="7" t="s">
        <v>93</v>
      </c>
      <c r="B53" s="7" t="s">
        <v>97</v>
      </c>
      <c r="C53" s="10" t="n">
        <f aca="false">100-C29</f>
        <v>4.7</v>
      </c>
      <c r="D53" s="10" t="n">
        <f aca="false">100-D29</f>
        <v>4.09999999999999</v>
      </c>
      <c r="E53" s="10" t="n">
        <f aca="false">100-E29</f>
        <v>5.3</v>
      </c>
    </row>
    <row r="55" customFormat="false" ht="15" hidden="false" customHeight="false" outlineLevel="0" collapsed="false">
      <c r="A55" s="5" t="s">
        <v>109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7" min="2" style="0" width="22"/>
  </cols>
  <sheetData>
    <row r="1" customFormat="false" ht="15" hidden="false" customHeight="false" outlineLevel="0" collapsed="false">
      <c r="A1" s="3" t="s">
        <v>110</v>
      </c>
    </row>
    <row r="2" customFormat="false" ht="31.5" hidden="false" customHeight="true" outlineLevel="0" collapsed="false">
      <c r="A2" s="6" t="s">
        <v>101</v>
      </c>
      <c r="B2" s="6" t="s">
        <v>111</v>
      </c>
      <c r="C2" s="6" t="s">
        <v>112</v>
      </c>
      <c r="D2" s="6" t="s">
        <v>113</v>
      </c>
      <c r="E2" s="6" t="s">
        <v>114</v>
      </c>
      <c r="F2" s="6" t="s">
        <v>115</v>
      </c>
      <c r="G2" s="6" t="s">
        <v>113</v>
      </c>
    </row>
    <row r="3" customFormat="false" ht="15" hidden="false" customHeight="false" outlineLevel="0" collapsed="false">
      <c r="A3" s="7" t="s">
        <v>106</v>
      </c>
      <c r="B3" s="8" t="n">
        <v>65.3</v>
      </c>
      <c r="C3" s="8" t="n">
        <v>65.3</v>
      </c>
      <c r="D3" s="10" t="n">
        <f aca="false">B3-C3</f>
        <v>0</v>
      </c>
      <c r="E3" s="8" t="n">
        <v>62.9</v>
      </c>
      <c r="F3" s="8" t="n">
        <v>62.9</v>
      </c>
      <c r="G3" s="10" t="n">
        <f aca="false">E3-F3</f>
        <v>0</v>
      </c>
    </row>
    <row r="4" customFormat="false" ht="15" hidden="false" customHeight="false" outlineLevel="0" collapsed="false">
      <c r="A4" s="7" t="s">
        <v>103</v>
      </c>
      <c r="B4" s="8" t="n">
        <v>50.1</v>
      </c>
      <c r="C4" s="8" t="n">
        <v>50.1</v>
      </c>
      <c r="D4" s="10" t="n">
        <f aca="false">B4-C4</f>
        <v>0</v>
      </c>
      <c r="E4" s="8" t="n">
        <v>53.4</v>
      </c>
      <c r="F4" s="8" t="n">
        <v>53.4</v>
      </c>
      <c r="G4" s="10" t="n">
        <f aca="false">E4-F4</f>
        <v>0</v>
      </c>
    </row>
    <row r="5" customFormat="false" ht="15" hidden="false" customHeight="false" outlineLevel="0" collapsed="false">
      <c r="A5" s="7" t="s">
        <v>116</v>
      </c>
      <c r="B5" s="8" t="n">
        <v>54</v>
      </c>
      <c r="C5" s="8" t="n">
        <v>54</v>
      </c>
      <c r="D5" s="10" t="n">
        <f aca="false">B5-C5</f>
        <v>0</v>
      </c>
      <c r="E5" s="8" t="n">
        <v>51.4</v>
      </c>
      <c r="F5" s="8" t="n">
        <v>51.4</v>
      </c>
      <c r="G5" s="10" t="n">
        <f aca="false">E5-F5</f>
        <v>0</v>
      </c>
    </row>
    <row r="6" customFormat="false" ht="15" hidden="false" customHeight="false" outlineLevel="0" collapsed="false">
      <c r="A6" s="7" t="s">
        <v>117</v>
      </c>
      <c r="B6" s="8" t="n">
        <v>66.7</v>
      </c>
      <c r="C6" s="8" t="n">
        <v>66.7</v>
      </c>
      <c r="D6" s="10" t="n">
        <f aca="false">B6-C6</f>
        <v>0</v>
      </c>
      <c r="E6" s="8" t="n">
        <v>66.7</v>
      </c>
      <c r="F6" s="8" t="n">
        <v>66.7</v>
      </c>
      <c r="G6" s="10" t="n">
        <f aca="false">E6-F6</f>
        <v>0</v>
      </c>
    </row>
    <row r="7" customFormat="false" ht="15" hidden="false" customHeight="false" outlineLevel="0" collapsed="false">
      <c r="A7" s="7" t="s">
        <v>118</v>
      </c>
      <c r="B7" s="8" t="n">
        <v>31.3</v>
      </c>
      <c r="C7" s="8" t="n">
        <v>31.3</v>
      </c>
      <c r="D7" s="10" t="n">
        <f aca="false">B7-C7</f>
        <v>0</v>
      </c>
      <c r="E7" s="8" t="n">
        <v>39.4</v>
      </c>
      <c r="F7" s="8" t="n">
        <v>39.4</v>
      </c>
      <c r="G7" s="10" t="n">
        <f aca="false">E7-F7</f>
        <v>0</v>
      </c>
    </row>
    <row r="8" customFormat="false" ht="15" hidden="false" customHeight="false" outlineLevel="0" collapsed="false">
      <c r="A8" s="5" t="s">
        <v>119</v>
      </c>
    </row>
    <row r="10" customFormat="false" ht="15" hidden="false" customHeight="false" outlineLevel="0" collapsed="false">
      <c r="A10" s="3" t="s">
        <v>120</v>
      </c>
    </row>
    <row r="11" customFormat="false" ht="35.05" hidden="false" customHeight="false" outlineLevel="0" collapsed="false">
      <c r="A11" s="6" t="s">
        <v>121</v>
      </c>
      <c r="B11" s="6" t="s">
        <v>122</v>
      </c>
      <c r="C11" s="6" t="s">
        <v>123</v>
      </c>
      <c r="D11" s="6" t="s">
        <v>124</v>
      </c>
      <c r="E11" s="6" t="s">
        <v>125</v>
      </c>
    </row>
    <row r="12" customFormat="false" ht="15" hidden="false" customHeight="false" outlineLevel="0" collapsed="false">
      <c r="A12" s="7" t="s">
        <v>126</v>
      </c>
      <c r="B12" s="8" t="n">
        <v>50.6</v>
      </c>
      <c r="C12" s="10" t="n">
        <f aca="false">100-B12</f>
        <v>49.4</v>
      </c>
      <c r="D12" s="8" t="n">
        <v>20.7</v>
      </c>
      <c r="E12" s="10" t="n">
        <f aca="false">C12-D12</f>
        <v>28.7</v>
      </c>
    </row>
    <row r="13" customFormat="false" ht="15" hidden="false" customHeight="false" outlineLevel="0" collapsed="false">
      <c r="A13" s="7" t="s">
        <v>127</v>
      </c>
      <c r="B13" s="8" t="n">
        <v>65.3</v>
      </c>
      <c r="C13" s="10" t="n">
        <f aca="false">100-B13</f>
        <v>34.7</v>
      </c>
      <c r="D13" s="8" t="n">
        <v>19.2</v>
      </c>
      <c r="E13" s="10" t="n">
        <f aca="false">C13-D13</f>
        <v>15.5</v>
      </c>
    </row>
    <row r="14" customFormat="false" ht="15" hidden="false" customHeight="false" outlineLevel="0" collapsed="false">
      <c r="A14" s="7" t="s">
        <v>128</v>
      </c>
      <c r="B14" s="8" t="n">
        <v>62.9</v>
      </c>
      <c r="C14" s="10" t="n">
        <f aca="false">100-B14</f>
        <v>37.1</v>
      </c>
      <c r="D14" s="8" t="n">
        <v>30.9</v>
      </c>
      <c r="E14" s="10" t="n">
        <f aca="false">C14-D14</f>
        <v>6.2</v>
      </c>
    </row>
    <row r="15" customFormat="false" ht="15" hidden="false" customHeight="false" outlineLevel="0" collapsed="false">
      <c r="A15" s="5" t="s">
        <v>129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2026-10-20T09:46:11Z</dcterms:created>
  <dc:creator>openpyxl</dc:creator>
  <dc:description/>
  <dc:language>en-US</dc:language>
  <cp:lastModifiedBy/>
  <dcterms:modified xsi:type="dcterms:W3CDTF">2026-10-20T09:46:11Z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