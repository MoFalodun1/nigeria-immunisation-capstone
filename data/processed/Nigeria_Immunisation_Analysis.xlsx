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Nigeria" sheetId="2" state="visible" r:id="rId4"/>
    <sheet name="Clean_Data" sheetId="3" state="visible" r:id="rId5"/>
    <sheet name="Cleaning_Log" sheetId="4" state="visible" r:id="rId6"/>
    <sheet name="Surveys" sheetId="5" state="visible" r:id="rId7"/>
    <sheet name="Coverage" sheetId="6" state="visible" r:id="rId8"/>
    <sheet name="Trend_Data" sheetId="7" state="visible" r:id="rId9"/>
    <sheet name="Summary" sheetId="8" state="visible" r:id="rId10"/>
    <sheet name="Raw_Neighbours" sheetId="9" state="visible" r:id="rId11"/>
    <sheet name="Benchmark" sheetId="10" state="visible" r:id="rId12"/>
    <sheet name="Findings" sheetId="11" state="visible" r:id="rId13"/>
    <sheet name="Power_BI_Guide" sheetId="12" state="visible" r:id="rId14"/>
  </sheets>
  <definedNames>
    <definedName function="false" hidden="true" localSheetId="2" name="_xlnm._FilterDatabase" vbProcedure="false">Clean_Data!$A$1:$X$1141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<sst xmlns="http://schemas.openxmlformats.org/spreadsheetml/2006/main" count="18355" uniqueCount="469">
  <si>
    <t xml:space="preserve">Childhood Immunisation Coverage in Nigeria - analysis workbook</t>
  </si>
  <si>
    <t xml:space="preserve">Capstone: Assessment of Childhood Immunisation Coverage and Inequalities in Nigeria: A Data-Driven Public Health Analysis</t>
  </si>
  <si>
    <t xml:space="preserve">Topic</t>
  </si>
  <si>
    <t xml:space="preserve">Detail</t>
  </si>
  <si>
    <t xml:space="preserve">Source</t>
  </si>
  <si>
    <t xml:space="preserve">WHO/UNICEF WUENIC 2025 revision, survey-data file (all countries). Nigeria rows extracted unchanged to Raw_Nigeria. Source file name: survey-data_wuenic2025rev.xlsx.</t>
  </si>
  <si>
    <t xml:space="preserve">What the file covers</t>
  </si>
  <si>
    <t xml:space="preserve">1,140 Nigeria records from 22 surveys (birth cohorts 1984-2022), by vaccine, evidence type and age group, national level only.</t>
  </si>
  <si>
    <t xml:space="preserve">What it does not cover</t>
  </si>
  <si>
    <t xml:space="preserve">States, urban/rural, wealth, education or sex of the child. Geography and inequality aims need extra data (see Findings, section C).</t>
  </si>
  <si>
    <t xml:space="preserve">Standard definition used</t>
  </si>
  <si>
    <t xml:space="preserve">Children aged 12-23 months, evidence = 'Record or Recall', core vaccines BCG, DTP1, DTP3, POL3, MCV1, FULL (Clean_Data: Standard_Comparable = 1).</t>
  </si>
  <si>
    <t xml:space="preserve">Guide step 3 - clean</t>
  </si>
  <si>
    <t xml:space="preserve">Raw_Nigeria &gt; Clean_Data (formulas) and Cleaning_Log.</t>
  </si>
  <si>
    <t xml:space="preserve">Guide step 4 - coverage</t>
  </si>
  <si>
    <t xml:space="preserve">Coverage sheet (coverage, dropout, zero-dose proxy, margin of error).</t>
  </si>
  <si>
    <t xml:space="preserve">Guide step 5 - compare</t>
  </si>
  <si>
    <t xml:space="preserve">Summary (years, survey families), Benchmark (bordering countries). Only countries exist as locations in this file.</t>
  </si>
  <si>
    <t xml:space="preserve">Guide step 6 - tables and charts</t>
  </si>
  <si>
    <t xml:space="preserve">Summary (4 tables, 5 charts), Benchmark chart, Trend_Data (chart feeders).</t>
  </si>
  <si>
    <t xml:space="preserve">Guide step 7 - dashboard</t>
  </si>
  <si>
    <t xml:space="preserve">Power_BI_Guide. The .pbix itself must be built in Power BI Desktop; Clean_Data and Surveys are the tables to load.</t>
  </si>
  <si>
    <t xml:space="preserve">Guide step 8 - interpret</t>
  </si>
  <si>
    <t xml:space="preserve">Findings (live-formula sentences, recommendations, limits).</t>
  </si>
  <si>
    <t xml:space="preserve">Assumptions</t>
  </si>
  <si>
    <t xml:space="preserve">Design effect = 2.0 (Coverage!B3, yellow cell, blue text). It is an assumption, not source data, and only drives margins of error.</t>
  </si>
  <si>
    <t xml:space="preserve">Colour code</t>
  </si>
  <si>
    <t xml:space="preserve">Blue text on yellow = input you may change. Black = formula. Everything else recalculates from the raw sheets.</t>
  </si>
  <si>
    <t xml:space="preserve">Sheet order</t>
  </si>
  <si>
    <t xml:space="preserve">README, Raw_Nigeria, Clean_Data, Cleaning_Log, Surveys, Coverage, Trend_Data, Summary, Raw_Neighbours, Benchmark, Findings, Power_BI_Guide.</t>
  </si>
  <si>
    <t xml:space="preserve">Important caveat</t>
  </si>
  <si>
    <t xml:space="preserve">All values are crude survey estimates (validity = CRUDE), not the official WHO/UNICEF national estimates.</t>
  </si>
  <si>
    <t xml:space="preserve">Clean_Data column dictionary</t>
  </si>
  <si>
    <t xml:space="preserve">Survey / Survey_Family</t>
  </si>
  <si>
    <t xml:space="preserve">Cleaned survey name and its family (DHS, MICS, Coverage survey, Nutrition survey, Other).</t>
  </si>
  <si>
    <t xml:space="preserve">Collect_*_Year / Month</t>
  </si>
  <si>
    <t xml:space="preserve">Fieldwork dates split out; placeholder months (above 12) left blank.</t>
  </si>
  <si>
    <t xml:space="preserve">Cohort_Year</t>
  </si>
  <si>
    <t xml:space="preserve">Birth cohort the estimate refers to (not the survey year).</t>
  </si>
  <si>
    <t xml:space="preserve">Coverage_Pct / Denominator_n / Cards_Seen_Pct</t>
  </si>
  <si>
    <t xml:space="preserve">Coverage %, number of children, and % with a card seen (blank if not reported).</t>
  </si>
  <si>
    <t xml:space="preserve">Population_Group, In_Scope_Child, Standard_Comparable, Core_Vaccine, DHS_or_MICS</t>
  </si>
  <si>
    <t xml:space="preserve">Flags used to filter the analysis sets.</t>
  </si>
  <si>
    <t xml:space="preserve">Key_Count</t>
  </si>
  <si>
    <t xml:space="preserve">Rows sharing the same survey, cohort, vaccine, evidence and ages; should be 1.</t>
  </si>
  <si>
    <t xml:space="preserve">ISO3</t>
  </si>
  <si>
    <t xml:space="preserve">surveyNameEnglish</t>
  </si>
  <si>
    <t xml:space="preserve">surveyNameProduction</t>
  </si>
  <si>
    <t xml:space="preserve">collectBegin</t>
  </si>
  <si>
    <t xml:space="preserve">collectEnd</t>
  </si>
  <si>
    <t xml:space="preserve">cohortYear</t>
  </si>
  <si>
    <t xml:space="preserve">vaccine</t>
  </si>
  <si>
    <t xml:space="preserve">evidence</t>
  </si>
  <si>
    <t xml:space="preserve">cardsSeen</t>
  </si>
  <si>
    <t xml:space="preserve">validity</t>
  </si>
  <si>
    <t xml:space="preserve">ageVaccination</t>
  </si>
  <si>
    <t xml:space="preserve">ageInterview</t>
  </si>
  <si>
    <t xml:space="preserve">coverage</t>
  </si>
  <si>
    <t xml:space="preserve">denominator</t>
  </si>
  <si>
    <t xml:space="preserve">NGA</t>
  </si>
  <si>
    <t xml:space="preserve">Status report on revised EPI programme from 1985 to 1989</t>
  </si>
  <si>
    <t xml:space="preserve">1985-98</t>
  </si>
  <si>
    <t xml:space="preserve">BCG</t>
  </si>
  <si>
    <t xml:space="preserve">Record or Recall</t>
  </si>
  <si>
    <t xml:space="preserve">CRUDE</t>
  </si>
  <si>
    <t xml:space="preserve">0-23 m</t>
  </si>
  <si>
    <t xml:space="preserve">12-23 m</t>
  </si>
  <si>
    <t xml:space="preserve">DTP3</t>
  </si>
  <si>
    <t xml:space="preserve">MCV1</t>
  </si>
  <si>
    <t xml:space="preserve">POL3</t>
  </si>
  <si>
    <t xml:space="preserve">TT1</t>
  </si>
  <si>
    <t xml:space="preserve">CBAW</t>
  </si>
  <si>
    <t xml:space="preserve">TT2+</t>
  </si>
  <si>
    <t xml:space="preserve">1986-98</t>
  </si>
  <si>
    <t xml:space="preserve">1987-98</t>
  </si>
  <si>
    <t xml:space="preserve">Nigeria Demographic and Health Survey 1990, 1992</t>
  </si>
  <si>
    <t xml:space="preserve">1990-04</t>
  </si>
  <si>
    <t xml:space="preserve">1990-10</t>
  </si>
  <si>
    <t xml:space="preserve">Record or Recall&lt;12m</t>
  </si>
  <si>
    <t xml:space="preserve">0-12 m</t>
  </si>
  <si>
    <t xml:space="preserve">48-59 m</t>
  </si>
  <si>
    <t xml:space="preserve">DTP1</t>
  </si>
  <si>
    <t xml:space="preserve">FULL</t>
  </si>
  <si>
    <t xml:space="preserve">POL1</t>
  </si>
  <si>
    <t xml:space="preserve">EPI, Immunization Coverage Survey, 1988</t>
  </si>
  <si>
    <t xml:space="preserve">1988-98</t>
  </si>
  <si>
    <t xml:space="preserve">Record</t>
  </si>
  <si>
    <t xml:space="preserve">Recall</t>
  </si>
  <si>
    <t xml:space="preserve">36-47 m</t>
  </si>
  <si>
    <t xml:space="preserve">WHO/EPI/CEIS/90.1</t>
  </si>
  <si>
    <t xml:space="preserve">NOT USED</t>
  </si>
  <si>
    <t xml:space="preserve">24-35 m</t>
  </si>
  <si>
    <t xml:space="preserve">Record&lt;12m</t>
  </si>
  <si>
    <t xml:space="preserve">FR of Nigeria Multiple Indicator Cluster Survey 1995</t>
  </si>
  <si>
    <t xml:space="preserve">1995-03</t>
  </si>
  <si>
    <t xml:space="preserve">1995-04</t>
  </si>
  <si>
    <t xml:space="preserve">Nigeria Demographic and Health Survey  1999, 2000</t>
  </si>
  <si>
    <t xml:space="preserve">1999-03</t>
  </si>
  <si>
    <t xml:space="preserve">1999-05</t>
  </si>
  <si>
    <t xml:space="preserve">MICS Nigeria, 1999</t>
  </si>
  <si>
    <t xml:space="preserve">1999-98</t>
  </si>
  <si>
    <t xml:space="preserve">Nigeria Demographic and Health Survey 2003</t>
  </si>
  <si>
    <t xml:space="preserve">2003-03</t>
  </si>
  <si>
    <t xml:space="preserve">2003-08</t>
  </si>
  <si>
    <t xml:space="preserve">Nigeria National Immunization Coverage Survey 2003</t>
  </si>
  <si>
    <t xml:space="preserve">2003-98</t>
  </si>
  <si>
    <t xml:space="preserve">PAB</t>
  </si>
  <si>
    <t xml:space="preserve">Nigeria National Immunization Coverage Survey (2006)</t>
  </si>
  <si>
    <t xml:space="preserve">2006-10</t>
  </si>
  <si>
    <t xml:space="preserve">HEPB1</t>
  </si>
  <si>
    <t xml:space="preserve">HEPB3</t>
  </si>
  <si>
    <t xml:space="preserve">YFV</t>
  </si>
  <si>
    <t xml:space="preserve">Nigeria Multiple Indicator Cluster Survey 2007</t>
  </si>
  <si>
    <t xml:space="preserve">2007-03</t>
  </si>
  <si>
    <t xml:space="preserve">2007-04</t>
  </si>
  <si>
    <t xml:space="preserve">Nigeria Demographic and Health Survey 2008</t>
  </si>
  <si>
    <t xml:space="preserve">2008-06</t>
  </si>
  <si>
    <t xml:space="preserve">2008-10</t>
  </si>
  <si>
    <t xml:space="preserve">Nigeria 2010 National Immunization Coverage Survey</t>
  </si>
  <si>
    <t xml:space="preserve">2010-10</t>
  </si>
  <si>
    <t xml:space="preserve">Nigeria Multiple Indicator Cluster Survey 2011</t>
  </si>
  <si>
    <t xml:space="preserve">2011-02</t>
  </si>
  <si>
    <t xml:space="preserve">2011-03</t>
  </si>
  <si>
    <t xml:space="preserve">HEPBB</t>
  </si>
  <si>
    <t xml:space="preserve">Nigeria Demographic and Health Survey 2013</t>
  </si>
  <si>
    <t xml:space="preserve">2013-02</t>
  </si>
  <si>
    <t xml:space="preserve">2013-06</t>
  </si>
  <si>
    <t xml:space="preserve">Summary Findings of Cross-Sectional Health and Nutrition Survey, Nigeria 2013</t>
  </si>
  <si>
    <t xml:space="preserve">2013-07</t>
  </si>
  <si>
    <t xml:space="preserve">2013-09</t>
  </si>
  <si>
    <t xml:space="preserve">Nigeria Multiple Indicator Cluster Survey 2016-2017</t>
  </si>
  <si>
    <t xml:space="preserve">2016-09</t>
  </si>
  <si>
    <t xml:space="preserve">2017-01</t>
  </si>
  <si>
    <t xml:space="preserve">0-35 m</t>
  </si>
  <si>
    <t xml:space="preserve">DTP2</t>
  </si>
  <si>
    <t xml:space="preserve">HIB1</t>
  </si>
  <si>
    <t xml:space="preserve">HIB3</t>
  </si>
  <si>
    <t xml:space="preserve">IPV1</t>
  </si>
  <si>
    <t xml:space="preserve">PCV1</t>
  </si>
  <si>
    <t xml:space="preserve">PCV2</t>
  </si>
  <si>
    <t xml:space="preserve">PCVC</t>
  </si>
  <si>
    <t xml:space="preserve">POL2</t>
  </si>
  <si>
    <t xml:space="preserve">Nigeria National Nutrition and Health Survey, 2015</t>
  </si>
  <si>
    <t xml:space="preserve">2015-07</t>
  </si>
  <si>
    <t xml:space="preserve">2015-09</t>
  </si>
  <si>
    <t xml:space="preserve">Nigeria Demographic and Health Survey 2018</t>
  </si>
  <si>
    <t xml:space="preserve">2018-08</t>
  </si>
  <si>
    <t xml:space="preserve">2018-12</t>
  </si>
  <si>
    <t xml:space="preserve">FULL &lt;1 YEAR</t>
  </si>
  <si>
    <t xml:space="preserve">HEPB2</t>
  </si>
  <si>
    <t xml:space="preserve">HIB2</t>
  </si>
  <si>
    <t xml:space="preserve">POL0</t>
  </si>
  <si>
    <t xml:space="preserve">Nigeria National Nutrition and Health Survey (NNHS) 2018</t>
  </si>
  <si>
    <t xml:space="preserve">2018-02</t>
  </si>
  <si>
    <t xml:space="preserve">2018-05</t>
  </si>
  <si>
    <t xml:space="preserve">Nigeria Multiple Indicator Cluster Survey 2021</t>
  </si>
  <si>
    <t xml:space="preserve">2021-09</t>
  </si>
  <si>
    <t xml:space="preserve">2021-12</t>
  </si>
  <si>
    <t xml:space="preserve">MENGA</t>
  </si>
  <si>
    <t xml:space="preserve">Pol3+IPV1</t>
  </si>
  <si>
    <t xml:space="preserve">MCV2</t>
  </si>
  <si>
    <t xml:space="preserve">TT3</t>
  </si>
  <si>
    <t xml:space="preserve">TTT5</t>
  </si>
  <si>
    <t xml:space="preserve">TTTT10</t>
  </si>
  <si>
    <t xml:space="preserve">TTTTT+</t>
  </si>
  <si>
    <t xml:space="preserve">Nigeria Demographic and Health Survey 2024</t>
  </si>
  <si>
    <t xml:space="preserve">2023-12</t>
  </si>
  <si>
    <t xml:space="preserve">2024-05</t>
  </si>
  <si>
    <t xml:space="preserve">HEPB0</t>
  </si>
  <si>
    <t xml:space="preserve">IPVC</t>
  </si>
  <si>
    <t xml:space="preserve">ROTA1</t>
  </si>
  <si>
    <t xml:space="preserve">ROTA2</t>
  </si>
  <si>
    <t xml:space="preserve">ROTAC</t>
  </si>
  <si>
    <t xml:space="preserve">Row_ID</t>
  </si>
  <si>
    <t xml:space="preserve">Survey</t>
  </si>
  <si>
    <t xml:space="preserve">Survey_Family</t>
  </si>
  <si>
    <t xml:space="preserve">Collect_Begin_Year</t>
  </si>
  <si>
    <t xml:space="preserve">Collect_Begin_Month</t>
  </si>
  <si>
    <t xml:space="preserve">Collect_End_Year</t>
  </si>
  <si>
    <t xml:space="preserve">Collect_End_Month</t>
  </si>
  <si>
    <t xml:space="preserve">Vaccine</t>
  </si>
  <si>
    <t xml:space="preserve">Evidence</t>
  </si>
  <si>
    <t xml:space="preserve">Age_Interview</t>
  </si>
  <si>
    <t xml:space="preserve">Age_Vaccination</t>
  </si>
  <si>
    <t xml:space="preserve">Cards_Seen_Pct</t>
  </si>
  <si>
    <t xml:space="preserve">Coverage_Pct</t>
  </si>
  <si>
    <t xml:space="preserve">Denominator_n</t>
  </si>
  <si>
    <t xml:space="preserve">Population_Group</t>
  </si>
  <si>
    <t xml:space="preserve">Evidence_Not_Used</t>
  </si>
  <si>
    <t xml:space="preserve">In_Scope_Child</t>
  </si>
  <si>
    <t xml:space="preserve">Standard_Comparable</t>
  </si>
  <si>
    <t xml:space="preserve">Core_Vaccine</t>
  </si>
  <si>
    <t xml:space="preserve">DHS_or_MICS</t>
  </si>
  <si>
    <t xml:space="preserve">Missing_Denominator</t>
  </si>
  <si>
    <t xml:space="preserve">Missing_CardsSeen</t>
  </si>
  <si>
    <t xml:space="preserve">Step 3 - Cleaning log: missing and inconsistent values</t>
  </si>
  <si>
    <t xml:space="preserve">Every count below is a live formula on Raw_Nigeria / Clean_Data. Raw data is never edited; fixes are applied as formulas in Clean_Data.</t>
  </si>
  <si>
    <t xml:space="preserve">#</t>
  </si>
  <si>
    <t xml:space="preserve">Issue found</t>
  </si>
  <si>
    <t xml:space="preserve">Column(s)</t>
  </si>
  <si>
    <t xml:space="preserve">Rows affected</t>
  </si>
  <si>
    <t xml:space="preserve">Action taken in Clean_Data</t>
  </si>
  <si>
    <t xml:space="preserve">Why</t>
  </si>
  <si>
    <t xml:space="preserve">Survey name (English) missing</t>
  </si>
  <si>
    <t xml:space="preserve">Filled from surveyNameProduction; extra spaces trimmed (Survey column)</t>
  </si>
  <si>
    <t xml:space="preserve">These are all pre-2000 surveys. Without the fix 6 older surveys would vanish from any survey-level view.</t>
  </si>
  <si>
    <t xml:space="preserve">Collection month is a placeholder (month code above 12, e.g. '1999-98')</t>
  </si>
  <si>
    <t xml:space="preserve">collectBegin / collectEnd</t>
  </si>
  <si>
    <t xml:space="preserve">Year and month split; placeholder months set to blank</t>
  </si>
  <si>
    <t xml:space="preserve">'98' is not a real month. Left as-is it would break any date conversion.</t>
  </si>
  <si>
    <t xml:space="preserve">Sample size (denominator) missing</t>
  </si>
  <si>
    <t xml:space="preserve">Kept blank (not imputed); flagged in Missing_Denominator</t>
  </si>
  <si>
    <t xml:space="preserve">Needed for margins of error; older surveys lack it, so MoE is only shown where n exists.</t>
  </si>
  <si>
    <t xml:space="preserve">Share of children with vaccination card seen missing</t>
  </si>
  <si>
    <t xml:space="preserve">Kept blank (not imputed); flagged in Missing_CardsSeen</t>
  </si>
  <si>
    <t xml:space="preserve">Cannot be reconstructed. Do not treat blank as zero.</t>
  </si>
  <si>
    <t xml:space="preserve">Rows about women (tetanus / protection at birth), not children</t>
  </si>
  <si>
    <t xml:space="preserve">ageInterview = CBAW</t>
  </si>
  <si>
    <t xml:space="preserve">Labelled Population_Group; excluded from child analysis (In_Scope_Child = 0)</t>
  </si>
  <si>
    <t xml:space="preserve">Your project is on childhood immunisation.</t>
  </si>
  <si>
    <t xml:space="preserve">Age at vaccination missing</t>
  </si>
  <si>
    <t xml:space="preserve">Set to 'n/a'</t>
  </si>
  <si>
    <t xml:space="preserve">Same rows as the women's tetanus records above (no age window applies).</t>
  </si>
  <si>
    <t xml:space="preserve">Evidence marked NOT USED by the data producers</t>
  </si>
  <si>
    <t xml:space="preserve">Excluded from analysis (Evidence_Not_Used = 1)</t>
  </si>
  <si>
    <t xml:space="preserve">The source itself says these values were not used.</t>
  </si>
  <si>
    <t xml:space="preserve">Vaccine label in mixed case (e.g. Pol3+IPV1)</t>
  </si>
  <si>
    <t xml:space="preserve">Upper-cased and trimmed</t>
  </si>
  <si>
    <t xml:space="preserve">Prevents the same vaccine being counted as two labels in pivots and Power BI.</t>
  </si>
  <si>
    <t xml:space="preserve">Exact duplicate records (same survey, cohort, vaccine, evidence, ages)</t>
  </si>
  <si>
    <t xml:space="preserve">multiple</t>
  </si>
  <si>
    <t xml:space="preserve">None found; check kept live in Key_Count</t>
  </si>
  <si>
    <t xml:space="preserve">Duplicates would double count in averages.</t>
  </si>
  <si>
    <t xml:space="preserve">Coverage outside 0-100%</t>
  </si>
  <si>
    <t xml:space="preserve">None found</t>
  </si>
  <si>
    <t xml:space="preserve">Impossible values would indicate entry errors.</t>
  </si>
  <si>
    <t xml:space="preserve">All rows flagged CRUDE (unadjusted survey estimates)</t>
  </si>
  <si>
    <t xml:space="preserve">No change; documented</t>
  </si>
  <si>
    <t xml:space="preserve">These are survey inputs, not the official WHO/UNICEF estimates. Do not present them as official national coverage.</t>
  </si>
  <si>
    <t xml:space="preserve">Different surveys not directly comparable (design, definitions, FULL definition)</t>
  </si>
  <si>
    <t xml:space="preserve">survey</t>
  </si>
  <si>
    <t xml:space="preserve">n/a</t>
  </si>
  <si>
    <t xml:space="preserve">Analysis uses one standard definition: Record or Recall, children aged 12-23 months (Standard_Comparable = 1) and reports survey families separately</t>
  </si>
  <si>
    <t xml:space="preserve">Mixing evidence types and ages would create fake trends.</t>
  </si>
  <si>
    <t xml:space="preserve">Totals</t>
  </si>
  <si>
    <t xml:space="preserve">Total Nigeria rows in raw file</t>
  </si>
  <si>
    <t xml:space="preserve">Distinct surveys (cleaned names)</t>
  </si>
  <si>
    <t xml:space="preserve">Rows in the standard comparable set (children, record or recall, 12-23 m)</t>
  </si>
  <si>
    <t xml:space="preserve">...of which core vaccines (BCG, DTP1, DTP3, POL3, MCV1, FULL)</t>
  </si>
  <si>
    <t xml:space="preserve">Survey list (one row per survey, cleaned names)</t>
  </si>
  <si>
    <t xml:space="preserve">Family, year and row counts are formulas on Clean_Data. Survey names are the lookup keys.</t>
  </si>
  <si>
    <t xml:space="preserve">Family</t>
  </si>
  <si>
    <t xml:space="preserve">Total_Rows</t>
  </si>
  <si>
    <t xml:space="preserve">Child_In_Scope_Rows</t>
  </si>
  <si>
    <t xml:space="preserve">Standard_Rows</t>
  </si>
  <si>
    <t xml:space="preserve">Has_Core_Standard_Data</t>
  </si>
  <si>
    <t xml:space="preserve">Nigeria Demographic and Health Survey 1999, 2000</t>
  </si>
  <si>
    <t xml:space="preserve">Step 4 - Vaccination coverage by survey (children aged 12-23 months, card or caregiver recall)</t>
  </si>
  <si>
    <t xml:space="preserve">Coverage % = survey-reported share of children vaccinated. Each row is one survey and birth cohort. Values are AVERAGEIFS lookups on Clean_Data (Standard_Comparable = 1).</t>
  </si>
  <si>
    <t xml:space="preserve">Design effect (assumption)</t>
  </si>
  <si>
    <t xml:space="preserve">ASSUMPTION, not in the source file. Clustered surveys have wider error than simple random samples; set from the survey report if you have it. Drives the margin of error in column L only.</t>
  </si>
  <si>
    <t xml:space="preserve">DTP3_Sample_n</t>
  </si>
  <si>
    <t xml:space="preserve">DTP3_95%_Margin_pp</t>
  </si>
  <si>
    <t xml:space="preserve">DTP_Dropout_%</t>
  </si>
  <si>
    <t xml:space="preserve">BCG_to_MCV1_Dropout_%</t>
  </si>
  <si>
    <t xml:space="preserve">Zero_Dose_Proxy_%</t>
  </si>
  <si>
    <t xml:space="preserve">Not_Fully_Vaccinated_%</t>
  </si>
  <si>
    <t xml:space="preserve">Check_DTP3_Rows</t>
  </si>
  <si>
    <t xml:space="preserve">Rows with more than one DTP3 value (must be 0)</t>
  </si>
  <si>
    <t xml:space="preserve">Definitions: DTP dropout % = (DTP1 - DTP3) / DTP1 x 100 (children who started but did not finish the series).</t>
  </si>
  <si>
    <t xml:space="preserve">BCG-to-MCV1 dropout % = (BCG - MCV1) / BCG x 100 (children reached at birth but not with measles).</t>
  </si>
  <si>
    <t xml:space="preserve">Zero-dose proxy % = 100 - DTP1 (children with no DTP dose by the survey date, the usual marker of children missed by services).</t>
  </si>
  <si>
    <t xml:space="preserve">Not fully vaccinated % = 100 - FULL. 'FULL' is each survey's own definition of full basic vaccination and may differ across surveys.</t>
  </si>
  <si>
    <t xml:space="preserve">Margin of error = 1.96 x sqrt(p(1-p)/(n/design effect)); an approximation only. Blank where sample size is missing (older surveys).</t>
  </si>
  <si>
    <t xml:space="preserve">Chart feeder tables (values are formulas that point to the Coverage sheet)</t>
  </si>
  <si>
    <t xml:space="preserve">Rows are grouped by survey family so each family plots as its own series. Only surveys with a value for that indicator are listed.</t>
  </si>
  <si>
    <t xml:space="preserve">Metric</t>
  </si>
  <si>
    <t xml:space="preserve">Value_%</t>
  </si>
  <si>
    <t xml:space="preserve">DHS</t>
  </si>
  <si>
    <t xml:space="preserve">MICS</t>
  </si>
  <si>
    <t xml:space="preserve">Coverage survey</t>
  </si>
  <si>
    <t xml:space="preserve">Nutrition survey</t>
  </si>
  <si>
    <t xml:space="preserve">Other</t>
  </si>
  <si>
    <t xml:space="preserve">Zero-dose proxy</t>
  </si>
  <si>
    <t xml:space="preserve">Steps 5-6 - Comparing years and survey families: summary tables and charts</t>
  </si>
  <si>
    <t xml:space="preserve">Locations available in this file are countries only (no states, wealth or residence groups). Within-Nigeria comparison needs the DHS/MICS subnational tables or microdata.</t>
  </si>
  <si>
    <t xml:space="preserve">Reference cohort years (formulas)</t>
  </si>
  <si>
    <t xml:space="preserve">First DHS cohort year</t>
  </si>
  <si>
    <t xml:space="preserve">Latest DHS cohort year</t>
  </si>
  <si>
    <t xml:space="preserve">Previous DHS cohort year</t>
  </si>
  <si>
    <t xml:space="preserve">Latest MICS cohort year</t>
  </si>
  <si>
    <t xml:space="preserve">Table 1 - Coverage % by vaccine: first vs latest DHS, and latest MICS</t>
  </si>
  <si>
    <t xml:space="preserve">First DHS</t>
  </si>
  <si>
    <t xml:space="preserve">Latest DHS</t>
  </si>
  <si>
    <t xml:space="preserve">Change (pp)</t>
  </si>
  <si>
    <t xml:space="preserve">Latest MICS</t>
  </si>
  <si>
    <t xml:space="preserve">Table 2 - Average yearly change in coverage within each survey family (slope, percentage points per cohort year)</t>
  </si>
  <si>
    <t xml:space="preserve">Indicator</t>
  </si>
  <si>
    <t xml:space="preserve">Slopes use few survey points (see counts in Trend_Data); read as a rough direction, not a forecast.</t>
  </si>
  <si>
    <t xml:space="preserve">Table 3 - Latest two DHS rounds: is the change larger than sampling noise? (DTP3)</t>
  </si>
  <si>
    <t xml:space="preserve">Measure</t>
  </si>
  <si>
    <t xml:space="preserve">Previous DHS</t>
  </si>
  <si>
    <t xml:space="preserve">Cohort year</t>
  </si>
  <si>
    <t xml:space="preserve">DTP1 %</t>
  </si>
  <si>
    <t xml:space="preserve">DTP3 %</t>
  </si>
  <si>
    <t xml:space="preserve">FULL %</t>
  </si>
  <si>
    <t xml:space="preserve">Zero-dose proxy %</t>
  </si>
  <si>
    <t xml:space="preserve">DTP dropout %</t>
  </si>
  <si>
    <t xml:space="preserve">DTP3 margin of error (pp)</t>
  </si>
  <si>
    <t xml:space="preserve">Approx. 95% margin on the DTP3 difference (pp)</t>
  </si>
  <si>
    <t xml:space="preserve">Reading</t>
  </si>
  <si>
    <t xml:space="preserve">Table 4 - Do survey families agree? DTP3 in neighbouring cohort years</t>
  </si>
  <si>
    <t xml:space="preserve">Pair</t>
  </si>
  <si>
    <t xml:space="preserve">Coverage survey DTP3</t>
  </si>
  <si>
    <t xml:space="preserve">DHS/MICS DTP3</t>
  </si>
  <si>
    <t xml:space="preserve">Gap (pp)</t>
  </si>
  <si>
    <t xml:space="preserve">2005 coverage survey vs MICS 2007 (cohort 2006)</t>
  </si>
  <si>
    <t xml:space="preserve">2009 coverage survey vs MICS 2011 (cohort 2010)</t>
  </si>
  <si>
    <t xml:space="preserve">Large gaps mean the survey families measure coverage differently. Report them separately, never as one continuous line.</t>
  </si>
  <si>
    <t xml:space="preserve">Survey (clean)</t>
  </si>
  <si>
    <t xml:space="preserve">BEN</t>
  </si>
  <si>
    <t xml:space="preserve">EPI Evaluation of Immunisation Coverage and Social Mobilisation, 1991</t>
  </si>
  <si>
    <t xml:space="preserve">Evaluation de la couverture vaccinale et de la mobilisation sociale du programme élargi de vaccination 1991, in: Enfants et femmes, avenir du Bénin</t>
  </si>
  <si>
    <t xml:space="preserve">12-18 m</t>
  </si>
  <si>
    <t xml:space="preserve">National EPI Immunisation Coverage Survey 1995</t>
  </si>
  <si>
    <t xml:space="preserve">PEV, Enquête Nationale de Couverture Vaccinale 1995</t>
  </si>
  <si>
    <t xml:space="preserve">Benin Demographic and Health Survey 1996, 1997</t>
  </si>
  <si>
    <t xml:space="preserve">Bénin, Enquête Démographique et de Santé 1996, 1997</t>
  </si>
  <si>
    <t xml:space="preserve">Benin Demographic and Health Survey 2001, 2002</t>
  </si>
  <si>
    <t xml:space="preserve">Enquête Démographique et de Santé au Bénin 2001, 2002</t>
  </si>
  <si>
    <t xml:space="preserve">Benin External EPI Review 2001</t>
  </si>
  <si>
    <t xml:space="preserve">Benin, Revue Externe du Programme Elargi de Vaccination, 2001</t>
  </si>
  <si>
    <t xml:space="preserve">Benin Demographic and Health Survey, 2006</t>
  </si>
  <si>
    <t xml:space="preserve">Enquête Démographique et de Santé au Bénin de 2006</t>
  </si>
  <si>
    <t xml:space="preserve">External Review of the Extended Programme on Immunisation, 2008</t>
  </si>
  <si>
    <t xml:space="preserve">Revue externe 2008 du Programme Elargi de Vaccination</t>
  </si>
  <si>
    <t xml:space="preserve">Benin Demographic and Health Survey EDSB IV 2011-2012</t>
  </si>
  <si>
    <t xml:space="preserve">Enquête Démographique et de Santé du Bénin EDSB IV 2011-2012</t>
  </si>
  <si>
    <t xml:space="preserve">Benin Multiple Indicator Cluster Survey 2014</t>
  </si>
  <si>
    <t xml:space="preserve">Benin: Enquete par grappes a indicateurs multiples (MICS) 2014</t>
  </si>
  <si>
    <t xml:space="preserve">External Review of the Immunization System in Benin in 2014</t>
  </si>
  <si>
    <t xml:space="preserve">Revue externe du système de vaccination au Bénin en 2014</t>
  </si>
  <si>
    <t xml:space="preserve">Benin Demographic and Health Survey 2017-2018</t>
  </si>
  <si>
    <t xml:space="preserve">Bénin Enquête Démographique et de Santé 2017-2018</t>
  </si>
  <si>
    <t xml:space="preserve">Benin Multiple Indicator Cluster Survey 2021-2022</t>
  </si>
  <si>
    <t xml:space="preserve">Enquete par Grappes a Indicateurs Multiples, Benin, 2021-2022</t>
  </si>
  <si>
    <t xml:space="preserve">National Vaccination Coverage Survey, Benin, 2023</t>
  </si>
  <si>
    <t xml:space="preserve">Enquête National de Couverture Vaccinale, Bénin, 2023</t>
  </si>
  <si>
    <t xml:space="preserve">CMR</t>
  </si>
  <si>
    <t xml:space="preserve">Cameroon Immunisation Coverage Survey, November-December 1990</t>
  </si>
  <si>
    <t xml:space="preserve">Rapport sur les Enquêtes de Couverture Vaccinale Realisees en Novembre-Decembre 1990 au Cameroon, 1991</t>
  </si>
  <si>
    <t xml:space="preserve">17-28 m</t>
  </si>
  <si>
    <t xml:space="preserve">Cameroon Demographic and Health Survey 1991</t>
  </si>
  <si>
    <t xml:space="preserve">Enquête Démographique et de Santé Cameroun 1991, 1992</t>
  </si>
  <si>
    <t xml:space="preserve">WHO/EPI/CEIS/92.1</t>
  </si>
  <si>
    <t xml:space="preserve">Cameroon Demographic and Health Survey 1998</t>
  </si>
  <si>
    <t xml:space="preserve">Enquête Démographique et de Santé Cameroun 1998, 1999</t>
  </si>
  <si>
    <t xml:space="preserve">Cameroon Multiple Indicator Cluster Survey 2000</t>
  </si>
  <si>
    <t xml:space="preserve">Enquête à Indicateurs Multiples (MICS) au Cameroun 2000, 2001</t>
  </si>
  <si>
    <t xml:space="preserve">Cameroon Demographic and Health Survey</t>
  </si>
  <si>
    <t xml:space="preserve">L’Enquête Démographique et de Santé au Cameroun</t>
  </si>
  <si>
    <t xml:space="preserve">Cameroon National Evaluation of Immunization Coverage among Children Aged 12 to 23 Months</t>
  </si>
  <si>
    <t xml:space="preserve">Enquête nationale de couverture vaccinale des enfants de 12 à 23 mois au Cameroon</t>
  </si>
  <si>
    <t xml:space="preserve">Cameroon Multiple Indicator Cluster Survey 2006</t>
  </si>
  <si>
    <t xml:space="preserve">Cameroun, Enquête par grappes à indicateurs multiples 2006</t>
  </si>
  <si>
    <t xml:space="preserve">Cameroon Demographic and Health Survey 2011</t>
  </si>
  <si>
    <t xml:space="preserve">Enquête Démographique et de Santé et à Indicateurs Multiples EDS-MICS Cameroun, 2011</t>
  </si>
  <si>
    <t xml:space="preserve">Cameroon Post-Campaign Vaccination Coverage Survey 2011</t>
  </si>
  <si>
    <t xml:space="preserve">Enquete post campagne de vaccination au Cameroun en 2011</t>
  </si>
  <si>
    <t xml:space="preserve">Cameroon Multiple Indicator Cluster Survey 2014</t>
  </si>
  <si>
    <t xml:space="preserve">Cameroun: Enquete par grappes a indicateurs multiples (MICS) 2014</t>
  </si>
  <si>
    <t xml:space="preserve">Cameroon Demographic and Health Survey 2018</t>
  </si>
  <si>
    <t xml:space="preserve">Cameroun Enquête Démographique et de Santé 2018</t>
  </si>
  <si>
    <t xml:space="preserve">2023 Cameroon Vaccination Coverage Survey</t>
  </si>
  <si>
    <t xml:space="preserve">NER</t>
  </si>
  <si>
    <t xml:space="preserve">Enquête Démographique et de Santé Niger 1992, 1993</t>
  </si>
  <si>
    <t xml:space="preserve">Enquête a Indicateurs Multiples, 1996</t>
  </si>
  <si>
    <t xml:space="preserve">Enquête Démographique et de Santé Niger 1998, 1999</t>
  </si>
  <si>
    <t xml:space="preserve">République du Niger, Enquête à Indicateurs Multiples de la Fin de la Decennie (MICS2), 2000</t>
  </si>
  <si>
    <t xml:space="preserve">Niger, Revue du PEV 2001</t>
  </si>
  <si>
    <t xml:space="preserve">Niger Demographic and Health and Multiple Indicator Cluster Survey, 2006</t>
  </si>
  <si>
    <t xml:space="preserve">L’Enquête Démographique et de Santé et à Indicateurs Multiples de Niger, 2006</t>
  </si>
  <si>
    <t xml:space="preserve">Niger National Nutrition and Child Survival Survey, June-July 2008</t>
  </si>
  <si>
    <t xml:space="preserve">Enquête nationale, Nutrition et Survie de l’Enfant, Niger, juin/juillet 2008</t>
  </si>
  <si>
    <t xml:space="preserve">Demographic and Health / Multiple Indicator Survey of Niger EDSN-MICS-IV 2012</t>
  </si>
  <si>
    <t xml:space="preserve">Enquête Démographique et de Santé et à Indicateurs Multiples du Niger EDSN-MICS-IV 2012</t>
  </si>
  <si>
    <t xml:space="preserve">Niger National Nutrition and Child Survival Survey, May-June 2009</t>
  </si>
  <si>
    <t xml:space="preserve">Enquête Nationale Nutrition et Survie de l’Enfant Niger, mai/juin 2009</t>
  </si>
  <si>
    <t xml:space="preserve">Scar</t>
  </si>
  <si>
    <t xml:space="preserve">Niger Child Mortality and Survival Survey 2010, Preliminary Report on Survival Components</t>
  </si>
  <si>
    <t xml:space="preserve">Enquête Survie des Enfants des enfants de 0 à 59 mois et Mortalité, Niger, 2010, Rapport provisoire du Volet Survie</t>
  </si>
  <si>
    <t xml:space="preserve">Post measles campaign and routine immunization coverage evaluation survey, Niger, 2013</t>
  </si>
  <si>
    <t xml:space="preserve">Evaluation couverture vaccinale post campagne rougeole et routine. Niger 2013</t>
  </si>
  <si>
    <t xml:space="preserve">2017 Niger Vaccination Coverage Survey</t>
  </si>
  <si>
    <t xml:space="preserve">Evaluation de la couverture vaccinale de routine, Niger 2017</t>
  </si>
  <si>
    <t xml:space="preserve">National Survey on Fertility and Mortality of Children Under Five in Niger 2021</t>
  </si>
  <si>
    <t xml:space="preserve">Enquête Nationale sur la Fécondité et la Mortalité des Enfants de Moins de Cinq Ans au Niger 2021.</t>
  </si>
  <si>
    <t xml:space="preserve">National Routine Vaccination Coverage Survey, Niger, 2023-2024</t>
  </si>
  <si>
    <t xml:space="preserve">Enquete Nationale de Couverture Vaccinale de Routine au Niger, 2023-2024</t>
  </si>
  <si>
    <t xml:space="preserve">TCD</t>
  </si>
  <si>
    <t xml:space="preserve">National Immunisation Coverage Survey 1990</t>
  </si>
  <si>
    <t xml:space="preserve">Enquête Nationale de Couverture Vaccinale 1990</t>
  </si>
  <si>
    <t xml:space="preserve">Chad Demographic and Health Survey 1996-1997</t>
  </si>
  <si>
    <t xml:space="preserve">Enquête Démographique et de Santé Tchad 1996-1997, 1998</t>
  </si>
  <si>
    <t xml:space="preserve">Chad Multiple Indicator Cluster Survey 2000</t>
  </si>
  <si>
    <t xml:space="preserve">République du Tchad, Enquête de grappes à indicateurs multiples, Rapport complet, 2000</t>
  </si>
  <si>
    <t xml:space="preserve">Chad EPI Review 2002</t>
  </si>
  <si>
    <t xml:space="preserve">République du Tchad, Revue du Programme Elargi de Vaccination, 2002</t>
  </si>
  <si>
    <t xml:space="preserve">Chad Demographic and Health Survey 2004</t>
  </si>
  <si>
    <t xml:space="preserve">L’Enquête Démographique et de Santé au Tchad, 2004</t>
  </si>
  <si>
    <t xml:space="preserve">Chad Multiple Indicator Cluster Survey 2010</t>
  </si>
  <si>
    <t xml:space="preserve">Enquête par grappes à indicateurs multiples MICS Tchad 2010</t>
  </si>
  <si>
    <t xml:space="preserve">Chad Vaccination Coverage Survey 2012</t>
  </si>
  <si>
    <t xml:space="preserve">L’Enquête de Couverture Vaccinale, Tchad, 2012</t>
  </si>
  <si>
    <t xml:space="preserve">Chad Joint DHS and MICS 2015</t>
  </si>
  <si>
    <t xml:space="preserve">Enquete demographique et de sante et a indicateurs multiples au Tchad 2014-15</t>
  </si>
  <si>
    <t xml:space="preserve">Evaluation of the Vaccination Campaign Against Measles in Chad 2022</t>
  </si>
  <si>
    <t xml:space="preserve">Evaluation de la Campagne de Vaccination contre la Rougeole au Tchad 2022</t>
  </si>
  <si>
    <t xml:space="preserve">72-76 m</t>
  </si>
  <si>
    <t xml:space="preserve">Chad Vaccination Coverage Survey 2017</t>
  </si>
  <si>
    <t xml:space="preserve">L’Enquête de Couverture Vaccinale, Tchad, 2017</t>
  </si>
  <si>
    <t xml:space="preserve">60-71 m</t>
  </si>
  <si>
    <t xml:space="preserve">National Routine Vaccination Coverage Survey 2023-2024, Chad</t>
  </si>
  <si>
    <t xml:space="preserve">Enquête Nationale Couverture Vaccinale de routine 2023-2024, Tchad</t>
  </si>
  <si>
    <t xml:space="preserve">Step 5 (locations) - Nigeria compared with bordering countries</t>
  </si>
  <si>
    <t xml:space="preserve">Latest DHS or MICS birth cohort per country, children 12-23 months, card or recall. Years differ by country: read as context, not a ranking.</t>
  </si>
  <si>
    <t xml:space="preserve">Country</t>
  </si>
  <si>
    <t xml:space="preserve">Latest cohort year (DTP3)</t>
  </si>
  <si>
    <t xml:space="preserve">Nigeria</t>
  </si>
  <si>
    <t xml:space="preserve">Benin</t>
  </si>
  <si>
    <t xml:space="preserve">Niger</t>
  </si>
  <si>
    <t xml:space="preserve">Chad</t>
  </si>
  <si>
    <t xml:space="preserve">Cameroon</t>
  </si>
  <si>
    <t xml:space="preserve">Check column: DTP3 values per country-year should be 1. A value above 1 means two surveys share that cohort year and are averaged.</t>
  </si>
  <si>
    <t xml:space="preserve">Source: same WUENIC survey-data file; neighbour rows extracted to Raw_Neighbours (core vaccines only).</t>
  </si>
  <si>
    <t xml:space="preserve">Step 8 - Interpretation and recommendations</t>
  </si>
  <si>
    <t xml:space="preserve">Sentences in section A are built from live formulas, so they update if the data or assumptions change.</t>
  </si>
  <si>
    <t xml:space="preserve">A. What the data show (national level)</t>
  </si>
  <si>
    <t xml:space="preserve">B. Recommendations that these data can support</t>
  </si>
  <si>
    <t xml:space="preserve">1. Make children with no DTP dose (the zero-dose group) the first priority for outreach: reach-every-child microplanning, defaulter tracing and community mobilisation, and not only broad campaigns.</t>
  </si>
  <si>
    <t xml:space="preserve">2. Keep reducing dropout between first and third doses (reminders, session scheduling, vaccine availability), and add attention to measles, where coverage trails DTP1.</t>
  </si>
  <si>
    <t xml:space="preserve">3. Use one standard indicator definition and report survey families separately in all public reporting; do not splice coverage-survey, MICS and DHS numbers into one trend.</t>
  </si>
  <si>
    <t xml:space="preserve">4. Treat small year-to-year movements with caution: report margins of error, and avoid claiming progress or decline when the change is within sampling noise.</t>
  </si>
  <si>
    <t xml:space="preserve">C. What these data cannot tell you (limits)</t>
  </si>
  <si>
    <t xml:space="preserve">- No state, urban/rural, wealth, mother's education or sex breakdowns: geographic and equity conclusions, and any statement about who is missed, need additional data (DHS/MICS subnational tables or microdata).</t>
  </si>
  <si>
    <t xml:space="preserve">- All figures are crude survey estimates, not the official WHO/UNICEF national estimates; they come from caregiver recall as well as cards, and cards seen vary by survey.</t>
  </si>
  <si>
    <t xml:space="preserve">- Few survey points per family: slopes and comparisons are descriptive. Margins of error depend on an assumed design effect.</t>
  </si>
  <si>
    <t xml:space="preserve">- Associations with risk factors cannot be assessed here; that needs child-level data.</t>
  </si>
  <si>
    <t xml:space="preserve">Step 7 - Build the interactive dashboard in Power BI Desktop</t>
  </si>
  <si>
    <t xml:space="preserve">Step</t>
  </si>
  <si>
    <t xml:space="preserve">What to do</t>
  </si>
  <si>
    <t xml:space="preserve">1. Load the data</t>
  </si>
  <si>
    <t xml:space="preserve">Home &gt; Get data &gt; Excel workbook &gt; select this file. Tick: Clean_Data, Surveys. (Coverage is optional.)</t>
  </si>
  <si>
    <t xml:space="preserve">2. Filter in Power Query</t>
  </si>
  <si>
    <t xml:space="preserve">Open Transform data. On Clean_Data, filter Standard_Comparable = 1 and Core_Vaccine = 1. Check column types: Cohort_Year, Collect_End_Year and Coverage_Pct as numbers; Vaccine, Survey_Family as text. Denominator_n and Cards_Seen_Pct hold blanks as text: set them to Decimal and replace errors with null, or remove them if unused. Close &amp; Apply.</t>
  </si>
  <si>
    <t xml:space="preserve">3. Relationship</t>
  </si>
  <si>
    <t xml:space="preserve">Model view: Surveys[Survey] (one) to Clean_Data[Survey] (many). Single direction.</t>
  </si>
  <si>
    <t xml:space="preserve">4. Measures (new measure, paste each)</t>
  </si>
  <si>
    <t xml:space="preserve">Coverage % = AVERAGE ( Clean_Data[Coverage_Pct] )
DTP1 % = CALCULATE ( [Coverage %], Clean_Data[Vaccine] = "DTP1" )
DTP3 % = CALCULATE ( [Coverage %], Clean_Data[Vaccine] = "DTP3" )
Zero-dose proxy % = 100 - [DTP1 %]
DTP dropout % = DIVIDE ( [DTP1 %] - [DTP3 %], [DTP1 %] ) * 100
Latest cohort year = CALCULATE ( MAX ( Clean_Data[Cohort_Year] ), ALLSELECTED ( Clean_Data[Cohort_Year] ) )</t>
  </si>
  <si>
    <t xml:space="preserve">5. Page 1: coverage over time</t>
  </si>
  <si>
    <t xml:space="preserve">Line chart: X = Cohort_Year, Y = Coverage %, Legend = Vaccine. Slicers: Survey_Family (default DHS and MICS), Vaccine. Add a note card: 'Crude survey estimates, children 12-23 months, card or recall.'</t>
  </si>
  <si>
    <t xml:space="preserve">6. Page 2: survey families compared</t>
  </si>
  <si>
    <t xml:space="preserve">Scatter or line chart with Legend = Survey_Family, Y = DTP3 % (filter Vaccine = DTP3). Purpose: show that coverage surveys read higher than DHS/MICS.</t>
  </si>
  <si>
    <t xml:space="preserve">7. Page 3: gaps</t>
  </si>
  <si>
    <t xml:space="preserve">Cards: Zero-dose proxy %, DTP dropout %, FULL coverage (visual-level filter Vaccine = FULL). Clustered bar by Survey for the latest years.</t>
  </si>
  <si>
    <t xml:space="preserve">8. Page 4: what is missing</t>
  </si>
  <si>
    <t xml:space="preserve">Text box listing the limits in the Findings sheet. When you get state or wealth tables from the DHS API, add them as new tables and extend page 1 with a map or bar chart by state or wealth quintile.</t>
  </si>
  <si>
    <t xml:space="preserve">9. Check before presenting</t>
  </si>
  <si>
    <t xml:space="preserve">Confirm a card for DTP3 matches the Summary sheet for the same survey family and year. Do not mix DHS, MICS and coverage surveys in one line without the family legend.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</si>
</sst>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9000"/>
      <rgbColor rgb="FFC55A1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DTP3 coverage by birth cohort and survey family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"DHS"</c:f>
              <c:strCache>
                <c:ptCount val="1"/>
                <c:pt idx="0">
                  <c:v>DHS</c:v>
                </c:pt>
              </c:strCache>
            </c:strRef>
          </c:tx>
          <c:spPr>
            <a:solidFill>
              <a:srgbClr val="1f4e78"/>
            </a:solidFill>
            <a:ln w="4752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Trend_Data!$D$4:$D$10</c:f>
              <c:numCache>
                <c:formatCode>General</c:formatCode>
                <c:ptCount val="7"/>
                <c:pt idx="0">
                  <c:v>1989</c:v>
                </c:pt>
                <c:pt idx="1">
                  <c:v>1998</c:v>
                </c:pt>
                <c:pt idx="2">
                  <c:v>2002</c:v>
                </c:pt>
                <c:pt idx="3">
                  <c:v>2007</c:v>
                </c:pt>
                <c:pt idx="4">
                  <c:v>2012</c:v>
                </c:pt>
                <c:pt idx="5">
                  <c:v>2017</c:v>
                </c:pt>
                <c:pt idx="6">
                  <c:v>2022</c:v>
                </c:pt>
              </c:numCache>
            </c:numRef>
          </c:xVal>
          <c:yVal>
            <c:numRef>
              <c:f>Trend_Data!$E$4:$E$10</c:f>
              <c:numCache>
                <c:formatCode>0.0</c:formatCode>
                <c:ptCount val="7"/>
                <c:pt idx="0">
                  <c:v>33.3</c:v>
                </c:pt>
                <c:pt idx="1">
                  <c:v>26.3</c:v>
                </c:pt>
                <c:pt idx="2">
                  <c:v>21.4</c:v>
                </c:pt>
                <c:pt idx="3">
                  <c:v>35.4</c:v>
                </c:pt>
                <c:pt idx="4">
                  <c:v>38.2</c:v>
                </c:pt>
                <c:pt idx="5">
                  <c:v>50.1</c:v>
                </c:pt>
                <c:pt idx="6">
                  <c:v>53.4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"MICS"</c:f>
              <c:strCache>
                <c:ptCount val="1"/>
                <c:pt idx="0">
                  <c:v>MICS</c:v>
                </c:pt>
              </c:strCache>
            </c:strRef>
          </c:tx>
          <c:spPr>
            <a:solidFill>
              <a:srgbClr val="c55a11"/>
            </a:solidFill>
            <a:ln w="4752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Trend_Data!$D$11:$D$16</c:f>
              <c:numCache>
                <c:formatCode>General</c:formatCode>
                <c:ptCount val="6"/>
                <c:pt idx="0">
                  <c:v>1994</c:v>
                </c:pt>
                <c:pt idx="1">
                  <c:v>1998</c:v>
                </c:pt>
                <c:pt idx="2">
                  <c:v>2006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xVal>
          <c:yVal>
            <c:numRef>
              <c:f>Trend_Data!$E$11:$E$16</c:f>
              <c:numCache>
                <c:formatCode>0.0</c:formatCode>
                <c:ptCount val="6"/>
                <c:pt idx="0">
                  <c:v>27.5</c:v>
                </c:pt>
                <c:pt idx="1">
                  <c:v>23.4</c:v>
                </c:pt>
                <c:pt idx="2">
                  <c:v>29.6</c:v>
                </c:pt>
                <c:pt idx="3">
                  <c:v>44.7</c:v>
                </c:pt>
                <c:pt idx="4">
                  <c:v>34.4</c:v>
                </c:pt>
                <c:pt idx="5">
                  <c:v>56.6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"Coverage survey"</c:f>
              <c:strCache>
                <c:ptCount val="1"/>
                <c:pt idx="0">
                  <c:v>Coverage survey</c:v>
                </c:pt>
              </c:strCache>
            </c:strRef>
          </c:tx>
          <c:spPr>
            <a:solidFill>
              <a:srgbClr val="548235"/>
            </a:solidFill>
            <a:ln w="4752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Trend_Data!$D$17:$D$20</c:f>
              <c:numCache>
                <c:formatCode>General</c:formatCode>
                <c:ptCount val="4"/>
                <c:pt idx="0">
                  <c:v>1987</c:v>
                </c:pt>
                <c:pt idx="1">
                  <c:v>2002</c:v>
                </c:pt>
                <c:pt idx="2">
                  <c:v>2005</c:v>
                </c:pt>
                <c:pt idx="3">
                  <c:v>2009</c:v>
                </c:pt>
              </c:numCache>
            </c:numRef>
          </c:xVal>
          <c:yVal>
            <c:numRef>
              <c:f>Trend_Data!$E$17:$E$20</c:f>
              <c:numCache>
                <c:formatCode>0.0</c:formatCode>
                <c:ptCount val="4"/>
                <c:pt idx="0">
                  <c:v>57.8</c:v>
                </c:pt>
                <c:pt idx="1">
                  <c:v>24.8</c:v>
                </c:pt>
                <c:pt idx="2">
                  <c:v>53.5</c:v>
                </c:pt>
                <c:pt idx="3">
                  <c:v>67.7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"Nutrition survey"</c:f>
              <c:strCache>
                <c:ptCount val="1"/>
                <c:pt idx="0">
                  <c:v>Nutrition survey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round/>
            </a:ln>
          </c:spPr>
          <c:marker>
            <c:symbol val="circle"/>
            <c:size val="6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Trend_Data!$D$21:$D$23</c:f>
              <c:numCache>
                <c:formatCode>General</c:formatCode>
                <c:ptCount val="3"/>
                <c:pt idx="0">
                  <c:v>2012</c:v>
                </c:pt>
                <c:pt idx="1">
                  <c:v>2014</c:v>
                </c:pt>
                <c:pt idx="2">
                  <c:v>2016</c:v>
                </c:pt>
              </c:numCache>
            </c:numRef>
          </c:xVal>
          <c:yVal>
            <c:numRef>
              <c:f>Trend_Data!$E$21:$E$23</c:f>
              <c:numCache>
                <c:formatCode>0.0</c:formatCode>
                <c:ptCount val="3"/>
                <c:pt idx="0">
                  <c:v>25</c:v>
                </c:pt>
                <c:pt idx="1">
                  <c:v>48.8</c:v>
                </c:pt>
                <c:pt idx="2">
                  <c:v>57.2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"Other"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f9000"/>
            </a:solidFill>
            <a:ln w="47520">
              <a:solidFill>
                <a:srgbClr val="bf9000"/>
              </a:solidFill>
              <a:round/>
            </a:ln>
          </c:spPr>
          <c:marker>
            <c:symbol val="circle"/>
            <c:size val="6"/>
            <c:spPr>
              <a:solidFill>
                <a:srgbClr val="bf9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Trend_Data!$D$24:$D$26</c:f>
              <c:numCache>
                <c:formatCode>General</c:formatCode>
                <c:ptCount val="3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</c:numCache>
            </c:numRef>
          </c:xVal>
          <c:yVal>
            <c:numRef>
              <c:f>Trend_Data!$E$24:$E$26</c:f>
              <c:numCache>
                <c:formatCode>0.0</c:formatCode>
                <c:ptCount val="3"/>
                <c:pt idx="0">
                  <c:v>8.9</c:v>
                </c:pt>
                <c:pt idx="1">
                  <c:v>15.9</c:v>
                </c:pt>
                <c:pt idx="2">
                  <c:v>21.5</c:v>
                </c:pt>
              </c:numCache>
            </c:numRef>
          </c:yVal>
          <c:smooth val="0"/>
        </c:ser>
        <c:axId val="27204158"/>
        <c:axId val="89014354"/>
      </c:scatterChart>
      <c:valAx>
        <c:axId val="27204158"/>
        <c:scaling>
          <c:orientation val="minMax"/>
          <c:max val="2024"/>
          <c:min val="1982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Birth cohort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14354"/>
        <c:crosses val="autoZero"/>
        <c:crossBetween val="midCat"/>
      </c:valAx>
      <c:valAx>
        <c:axId val="8901435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041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Measles (MCV1) coverage by birth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"DHS"</c:f>
              <c:strCache>
                <c:ptCount val="1"/>
                <c:pt idx="0">
                  <c:v>DHS</c:v>
                </c:pt>
              </c:strCache>
            </c:strRef>
          </c:tx>
          <c:spPr>
            <a:solidFill>
              <a:srgbClr val="1f4e78"/>
            </a:solidFill>
            <a:ln w="4752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Trend_Data!$D$27:$D$33</c:f>
              <c:numCache>
                <c:formatCode>General</c:formatCode>
                <c:ptCount val="7"/>
                <c:pt idx="0">
                  <c:v>1989</c:v>
                </c:pt>
                <c:pt idx="1">
                  <c:v>1998</c:v>
                </c:pt>
                <c:pt idx="2">
                  <c:v>2002</c:v>
                </c:pt>
                <c:pt idx="3">
                  <c:v>2007</c:v>
                </c:pt>
                <c:pt idx="4">
                  <c:v>2012</c:v>
                </c:pt>
                <c:pt idx="5">
                  <c:v>2017</c:v>
                </c:pt>
                <c:pt idx="6">
                  <c:v>2022</c:v>
                </c:pt>
              </c:numCache>
            </c:numRef>
          </c:xVal>
          <c:yVal>
            <c:numRef>
              <c:f>Trend_Data!$E$27:$E$33</c:f>
              <c:numCache>
                <c:formatCode>0.0</c:formatCode>
                <c:ptCount val="7"/>
                <c:pt idx="0">
                  <c:v>46</c:v>
                </c:pt>
                <c:pt idx="1">
                  <c:v>40.5</c:v>
                </c:pt>
                <c:pt idx="2">
                  <c:v>35.9</c:v>
                </c:pt>
                <c:pt idx="3">
                  <c:v>41.4</c:v>
                </c:pt>
                <c:pt idx="4">
                  <c:v>42.1</c:v>
                </c:pt>
                <c:pt idx="5">
                  <c:v>54</c:v>
                </c:pt>
                <c:pt idx="6">
                  <c:v>51.4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"MICS"</c:f>
              <c:strCache>
                <c:ptCount val="1"/>
                <c:pt idx="0">
                  <c:v>MICS</c:v>
                </c:pt>
              </c:strCache>
            </c:strRef>
          </c:tx>
          <c:spPr>
            <a:solidFill>
              <a:srgbClr val="c55a11"/>
            </a:solidFill>
            <a:ln w="4752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Trend_Data!$D$34:$D$39</c:f>
              <c:numCache>
                <c:formatCode>General</c:formatCode>
                <c:ptCount val="6"/>
                <c:pt idx="0">
                  <c:v>1994</c:v>
                </c:pt>
                <c:pt idx="1">
                  <c:v>1998</c:v>
                </c:pt>
                <c:pt idx="2">
                  <c:v>2006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xVal>
          <c:yVal>
            <c:numRef>
              <c:f>Trend_Data!$E$34:$E$39</c:f>
              <c:numCache>
                <c:formatCode>0.0</c:formatCode>
                <c:ptCount val="6"/>
                <c:pt idx="0">
                  <c:v>39.9</c:v>
                </c:pt>
                <c:pt idx="1">
                  <c:v>35</c:v>
                </c:pt>
                <c:pt idx="2">
                  <c:v>44</c:v>
                </c:pt>
                <c:pt idx="3">
                  <c:v>55.6</c:v>
                </c:pt>
                <c:pt idx="4">
                  <c:v>41.8</c:v>
                </c:pt>
                <c:pt idx="5">
                  <c:v>60.3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"Coverage survey"</c:f>
              <c:strCache>
                <c:ptCount val="1"/>
                <c:pt idx="0">
                  <c:v>Coverage survey</c:v>
                </c:pt>
              </c:strCache>
            </c:strRef>
          </c:tx>
          <c:spPr>
            <a:solidFill>
              <a:srgbClr val="548235"/>
            </a:solidFill>
            <a:ln w="4752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Trend_Data!$D$40:$D$43</c:f>
              <c:numCache>
                <c:formatCode>General</c:formatCode>
                <c:ptCount val="4"/>
                <c:pt idx="0">
                  <c:v>1987</c:v>
                </c:pt>
                <c:pt idx="1">
                  <c:v>2002</c:v>
                </c:pt>
                <c:pt idx="2">
                  <c:v>2005</c:v>
                </c:pt>
                <c:pt idx="3">
                  <c:v>2009</c:v>
                </c:pt>
              </c:numCache>
            </c:numRef>
          </c:xVal>
          <c:yVal>
            <c:numRef>
              <c:f>Trend_Data!$E$40:$E$43</c:f>
              <c:numCache>
                <c:formatCode>0.0</c:formatCode>
                <c:ptCount val="4"/>
                <c:pt idx="0">
                  <c:v>59.2</c:v>
                </c:pt>
                <c:pt idx="1">
                  <c:v>25.3</c:v>
                </c:pt>
                <c:pt idx="2">
                  <c:v>62.4</c:v>
                </c:pt>
                <c:pt idx="3">
                  <c:v>63.6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"Nutrition survey"</c:f>
              <c:strCache>
                <c:ptCount val="1"/>
                <c:pt idx="0">
                  <c:v>Nutrition survey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round/>
            </a:ln>
          </c:spPr>
          <c:marker>
            <c:symbol val="circle"/>
            <c:size val="6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Trend_Data!$D$44:$D$46</c:f>
              <c:numCache>
                <c:formatCode>General</c:formatCode>
                <c:ptCount val="3"/>
                <c:pt idx="0">
                  <c:v>2012</c:v>
                </c:pt>
                <c:pt idx="1">
                  <c:v>2014</c:v>
                </c:pt>
                <c:pt idx="2">
                  <c:v>2016</c:v>
                </c:pt>
              </c:numCache>
            </c:numRef>
          </c:xVal>
          <c:yVal>
            <c:numRef>
              <c:f>Trend_Data!$E$44:$E$46</c:f>
              <c:numCache>
                <c:formatCode>0.0</c:formatCode>
                <c:ptCount val="3"/>
                <c:pt idx="0">
                  <c:v>26.9</c:v>
                </c:pt>
                <c:pt idx="1">
                  <c:v>50.6</c:v>
                </c:pt>
                <c:pt idx="2">
                  <c:v>64.7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"Other"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f9000"/>
            </a:solidFill>
            <a:ln w="47520">
              <a:solidFill>
                <a:srgbClr val="bf9000"/>
              </a:solidFill>
              <a:round/>
            </a:ln>
          </c:spPr>
          <c:marker>
            <c:symbol val="circle"/>
            <c:size val="6"/>
            <c:spPr>
              <a:solidFill>
                <a:srgbClr val="bf9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Trend_Data!$D$47:$D$49</c:f>
              <c:numCache>
                <c:formatCode>General</c:formatCode>
                <c:ptCount val="3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</c:numCache>
            </c:numRef>
          </c:xVal>
          <c:yVal>
            <c:numRef>
              <c:f>Trend_Data!$E$47:$E$49</c:f>
              <c:numCache>
                <c:formatCode>0.0</c:formatCode>
                <c:ptCount val="3"/>
                <c:pt idx="0">
                  <c:v>9.1</c:v>
                </c:pt>
                <c:pt idx="1">
                  <c:v>17.2</c:v>
                </c:pt>
                <c:pt idx="2">
                  <c:v>28</c:v>
                </c:pt>
              </c:numCache>
            </c:numRef>
          </c:yVal>
          <c:smooth val="0"/>
        </c:ser>
        <c:axId val="21306104"/>
        <c:axId val="76119575"/>
      </c:scatterChart>
      <c:valAx>
        <c:axId val="21306104"/>
        <c:scaling>
          <c:orientation val="minMax"/>
          <c:max val="2024"/>
          <c:min val="1982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Birth cohort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19575"/>
        <c:crosses val="autoZero"/>
        <c:crossBetween val="midCat"/>
      </c:valAx>
      <c:valAx>
        <c:axId val="7611957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061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Full basic vaccination by birth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"DHS"</c:f>
              <c:strCache>
                <c:ptCount val="1"/>
                <c:pt idx="0">
                  <c:v>DHS</c:v>
                </c:pt>
              </c:strCache>
            </c:strRef>
          </c:tx>
          <c:spPr>
            <a:solidFill>
              <a:srgbClr val="1f4e78"/>
            </a:solidFill>
            <a:ln w="4752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Trend_Data!$D$50:$D$56</c:f>
              <c:numCache>
                <c:formatCode>General</c:formatCode>
                <c:ptCount val="7"/>
                <c:pt idx="0">
                  <c:v>1989</c:v>
                </c:pt>
                <c:pt idx="1">
                  <c:v>1998</c:v>
                </c:pt>
                <c:pt idx="2">
                  <c:v>2002</c:v>
                </c:pt>
                <c:pt idx="3">
                  <c:v>2007</c:v>
                </c:pt>
                <c:pt idx="4">
                  <c:v>2012</c:v>
                </c:pt>
                <c:pt idx="5">
                  <c:v>2017</c:v>
                </c:pt>
                <c:pt idx="6">
                  <c:v>2022</c:v>
                </c:pt>
              </c:numCache>
            </c:numRef>
          </c:xVal>
          <c:yVal>
            <c:numRef>
              <c:f>Trend_Data!$E$50:$E$56</c:f>
              <c:numCache>
                <c:formatCode>0.0</c:formatCode>
                <c:ptCount val="7"/>
                <c:pt idx="0">
                  <c:v>29.6</c:v>
                </c:pt>
                <c:pt idx="1">
                  <c:v>16.8</c:v>
                </c:pt>
                <c:pt idx="2">
                  <c:v>12.9</c:v>
                </c:pt>
                <c:pt idx="3">
                  <c:v>22.7</c:v>
                </c:pt>
                <c:pt idx="4">
                  <c:v>25.3</c:v>
                </c:pt>
                <c:pt idx="5">
                  <c:v>31.3</c:v>
                </c:pt>
                <c:pt idx="6">
                  <c:v>39.4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"MICS"</c:f>
              <c:strCache>
                <c:ptCount val="1"/>
                <c:pt idx="0">
                  <c:v>MICS</c:v>
                </c:pt>
              </c:strCache>
            </c:strRef>
          </c:tx>
          <c:spPr>
            <a:solidFill>
              <a:srgbClr val="c55a11"/>
            </a:solidFill>
            <a:ln w="4752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Trend_Data!$D$57:$D$62</c:f>
              <c:numCache>
                <c:formatCode>General</c:formatCode>
                <c:ptCount val="6"/>
                <c:pt idx="0">
                  <c:v>1994</c:v>
                </c:pt>
                <c:pt idx="1">
                  <c:v>1998</c:v>
                </c:pt>
                <c:pt idx="2">
                  <c:v>2006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</c:numCache>
            </c:numRef>
          </c:xVal>
          <c:yVal>
            <c:numRef>
              <c:f>Trend_Data!$E$57:$E$62</c:f>
              <c:numCache>
                <c:formatCode>0.0</c:formatCode>
                <c:ptCount val="6"/>
                <c:pt idx="0">
                  <c:v>22</c:v>
                </c:pt>
                <c:pt idx="1">
                  <c:v>13.3</c:v>
                </c:pt>
                <c:pt idx="2">
                  <c:v>16.4</c:v>
                </c:pt>
                <c:pt idx="3">
                  <c:v>27.6</c:v>
                </c:pt>
                <c:pt idx="4">
                  <c:v>21</c:v>
                </c:pt>
                <c:pt idx="5">
                  <c:v>44.2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"Coverage survey"</c:f>
              <c:strCache>
                <c:ptCount val="1"/>
                <c:pt idx="0">
                  <c:v>Coverage survey</c:v>
                </c:pt>
              </c:strCache>
            </c:strRef>
          </c:tx>
          <c:spPr>
            <a:solidFill>
              <a:srgbClr val="548235"/>
            </a:solidFill>
            <a:ln w="4752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Trend_Data!$D$63:$D$65</c:f>
              <c:numCache>
                <c:formatCode>General</c:formatCode>
                <c:ptCount val="3"/>
                <c:pt idx="0">
                  <c:v>1987</c:v>
                </c:pt>
                <c:pt idx="1">
                  <c:v>2002</c:v>
                </c:pt>
                <c:pt idx="2">
                  <c:v>2005</c:v>
                </c:pt>
              </c:numCache>
            </c:numRef>
          </c:xVal>
          <c:yVal>
            <c:numRef>
              <c:f>Trend_Data!$E$63:$E$65</c:f>
              <c:numCache>
                <c:formatCode>0.0</c:formatCode>
                <c:ptCount val="3"/>
                <c:pt idx="0">
                  <c:v>37.5</c:v>
                </c:pt>
                <c:pt idx="1">
                  <c:v>16.2</c:v>
                </c:pt>
                <c:pt idx="2">
                  <c:v>42.2</c:v>
                </c:pt>
              </c:numCache>
            </c:numRef>
          </c:yVal>
          <c:smooth val="0"/>
        </c:ser>
        <c:axId val="67665053"/>
        <c:axId val="7347923"/>
      </c:scatterChart>
      <c:valAx>
        <c:axId val="67665053"/>
        <c:scaling>
          <c:orientation val="minMax"/>
          <c:max val="2024"/>
          <c:min val="1982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Birth cohort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923"/>
        <c:crosses val="autoZero"/>
        <c:crossBetween val="midCat"/>
      </c:valAx>
      <c:valAx>
        <c:axId val="734792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650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Zero-dose proxy (no DTP1) by birth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"DHS"</c:f>
              <c:strCache>
                <c:ptCount val="1"/>
                <c:pt idx="0">
                  <c:v>DHS</c:v>
                </c:pt>
              </c:strCache>
            </c:strRef>
          </c:tx>
          <c:spPr>
            <a:solidFill>
              <a:srgbClr val="1f4e78"/>
            </a:solidFill>
            <a:ln w="47520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Trend_Data!$D$66:$D$72</c:f>
              <c:numCache>
                <c:formatCode>General</c:formatCode>
                <c:ptCount val="7"/>
                <c:pt idx="0">
                  <c:v>1989</c:v>
                </c:pt>
                <c:pt idx="1">
                  <c:v>1998</c:v>
                </c:pt>
                <c:pt idx="2">
                  <c:v>2002</c:v>
                </c:pt>
                <c:pt idx="3">
                  <c:v>2007</c:v>
                </c:pt>
                <c:pt idx="4">
                  <c:v>2012</c:v>
                </c:pt>
                <c:pt idx="5">
                  <c:v>2017</c:v>
                </c:pt>
                <c:pt idx="6">
                  <c:v>2022</c:v>
                </c:pt>
              </c:numCache>
            </c:numRef>
          </c:xVal>
          <c:yVal>
            <c:numRef>
              <c:f>Trend_Data!$E$66:$E$72</c:f>
              <c:numCache>
                <c:formatCode>0.0</c:formatCode>
                <c:ptCount val="7"/>
                <c:pt idx="0">
                  <c:v>40.8</c:v>
                </c:pt>
                <c:pt idx="1">
                  <c:v>52.6</c:v>
                </c:pt>
                <c:pt idx="2">
                  <c:v>57.4</c:v>
                </c:pt>
                <c:pt idx="3">
                  <c:v>48</c:v>
                </c:pt>
                <c:pt idx="4">
                  <c:v>49.4</c:v>
                </c:pt>
                <c:pt idx="5">
                  <c:v>34.7</c:v>
                </c:pt>
                <c:pt idx="6">
                  <c:v>37.1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"MICS"</c:f>
              <c:strCache>
                <c:ptCount val="1"/>
                <c:pt idx="0">
                  <c:v>MICS</c:v>
                </c:pt>
              </c:strCache>
            </c:strRef>
          </c:tx>
          <c:spPr>
            <a:solidFill>
              <a:srgbClr val="c55a11"/>
            </a:solidFill>
            <a:ln w="4752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Trend_Data!$D$73:$D$77</c:f>
              <c:numCache>
                <c:formatCode>General</c:formatCode>
                <c:ptCount val="5"/>
                <c:pt idx="0">
                  <c:v>1998</c:v>
                </c:pt>
                <c:pt idx="1">
                  <c:v>2006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xVal>
          <c:yVal>
            <c:numRef>
              <c:f>Trend_Data!$E$73:$E$77</c:f>
              <c:numCache>
                <c:formatCode>0.0</c:formatCode>
                <c:ptCount val="5"/>
                <c:pt idx="0">
                  <c:v>58.9</c:v>
                </c:pt>
                <c:pt idx="1">
                  <c:v>51.4</c:v>
                </c:pt>
                <c:pt idx="2">
                  <c:v>39.6</c:v>
                </c:pt>
                <c:pt idx="3">
                  <c:v>50.7</c:v>
                </c:pt>
                <c:pt idx="4">
                  <c:v>29.7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"Coverage survey"</c:f>
              <c:strCache>
                <c:ptCount val="1"/>
                <c:pt idx="0">
                  <c:v>Coverage survey</c:v>
                </c:pt>
              </c:strCache>
            </c:strRef>
          </c:tx>
          <c:spPr>
            <a:solidFill>
              <a:srgbClr val="548235"/>
            </a:solidFill>
            <a:ln w="4752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Trend_Data!$D$78:$D$80</c:f>
              <c:numCache>
                <c:formatCode>General</c:formatCode>
                <c:ptCount val="3"/>
                <c:pt idx="0">
                  <c:v>2002</c:v>
                </c:pt>
                <c:pt idx="1">
                  <c:v>2005</c:v>
                </c:pt>
                <c:pt idx="2">
                  <c:v>2009</c:v>
                </c:pt>
              </c:numCache>
            </c:numRef>
          </c:xVal>
          <c:yVal>
            <c:numRef>
              <c:f>Trend_Data!$E$78:$E$80</c:f>
              <c:numCache>
                <c:formatCode>0.0</c:formatCode>
                <c:ptCount val="3"/>
                <c:pt idx="0">
                  <c:v>56.8</c:v>
                </c:pt>
                <c:pt idx="1">
                  <c:v>28.3</c:v>
                </c:pt>
                <c:pt idx="2">
                  <c:v>26.6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"Nutrition survey"</c:f>
              <c:strCache>
                <c:ptCount val="1"/>
                <c:pt idx="0">
                  <c:v>Nutrition survey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round/>
            </a:ln>
          </c:spPr>
          <c:marker>
            <c:symbol val="circle"/>
            <c:size val="6"/>
            <c:spPr>
              <a:solidFill>
                <a:srgbClr val="7f7f7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Trend_Data!$D$81:$D$83</c:f>
              <c:numCache>
                <c:formatCode>General</c:formatCode>
                <c:ptCount val="3"/>
                <c:pt idx="0">
                  <c:v>2012</c:v>
                </c:pt>
                <c:pt idx="1">
                  <c:v>2014</c:v>
                </c:pt>
                <c:pt idx="2">
                  <c:v>2016</c:v>
                </c:pt>
              </c:numCache>
            </c:numRef>
          </c:xVal>
          <c:yVal>
            <c:numRef>
              <c:f>Trend_Data!$E$81:$E$83</c:f>
              <c:numCache>
                <c:formatCode>0.0</c:formatCode>
                <c:ptCount val="3"/>
                <c:pt idx="0">
                  <c:v>66.3</c:v>
                </c:pt>
                <c:pt idx="1">
                  <c:v>36.5</c:v>
                </c:pt>
                <c:pt idx="2">
                  <c:v>30.1</c:v>
                </c:pt>
              </c:numCache>
            </c:numRef>
          </c:yVal>
          <c:smooth val="0"/>
        </c:ser>
        <c:axId val="20582519"/>
        <c:axId val="23683273"/>
      </c:scatterChart>
      <c:valAx>
        <c:axId val="20582519"/>
        <c:scaling>
          <c:orientation val="minMax"/>
          <c:max val="2024"/>
          <c:min val="1982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Birth cohort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83273"/>
        <c:crosses val="autoZero"/>
        <c:crossBetween val="midCat"/>
      </c:valAx>
      <c:valAx>
        <c:axId val="2368327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Children with no DTP1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8251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 by vaccine: first DHS, latest DHS, latest MICS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First DHS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Summary!$A$12:$A$17</c:f>
              <c:strCache>
                <c:ptCount val="6"/>
                <c:pt idx="0">
                  <c:v>BCG</c:v>
                </c:pt>
                <c:pt idx="1">
                  <c:v>DTP1</c:v>
                </c:pt>
                <c:pt idx="2">
                  <c:v>DTP3</c:v>
                </c:pt>
                <c:pt idx="3">
                  <c:v>POL3</c:v>
                </c:pt>
                <c:pt idx="4">
                  <c:v>MCV1</c:v>
                </c:pt>
                <c:pt idx="5">
                  <c:v>FULL</c:v>
                </c:pt>
              </c:strCache>
            </c:strRef>
          </c:cat>
          <c:val>
            <c:numRef>
              <c:f>Summary!$B$12:$B$17</c:f>
              <c:numCache>
                <c:formatCode>0.0</c:formatCode>
                <c:ptCount val="6"/>
                <c:pt idx="0">
                  <c:v>60.7</c:v>
                </c:pt>
                <c:pt idx="1">
                  <c:v>59.2</c:v>
                </c:pt>
                <c:pt idx="2">
                  <c:v>33.3</c:v>
                </c:pt>
                <c:pt idx="3">
                  <c:v>33.4</c:v>
                </c:pt>
                <c:pt idx="4">
                  <c:v>46</c:v>
                </c:pt>
                <c:pt idx="5">
                  <c:v>29.6</c:v>
                </c:pt>
              </c:numCache>
            </c:numRef>
          </c:val>
        </c:ser>
        <c:ser>
          <c:idx val="1"/>
          <c:order val="1"/>
          <c:tx>
            <c:strRef>
              <c:f>Summary!C11</c:f>
              <c:strCache>
                <c:ptCount val="1"/>
                <c:pt idx="0">
                  <c:v>Latest DHS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Summary!$A$12:$A$17</c:f>
              <c:strCache>
                <c:ptCount val="6"/>
                <c:pt idx="0">
                  <c:v>BCG</c:v>
                </c:pt>
                <c:pt idx="1">
                  <c:v>DTP1</c:v>
                </c:pt>
                <c:pt idx="2">
                  <c:v>DTP3</c:v>
                </c:pt>
                <c:pt idx="3">
                  <c:v>POL3</c:v>
                </c:pt>
                <c:pt idx="4">
                  <c:v>MCV1</c:v>
                </c:pt>
                <c:pt idx="5">
                  <c:v>FULL</c:v>
                </c:pt>
              </c:strCache>
            </c:strRef>
          </c:cat>
          <c:val>
            <c:numRef>
              <c:f>Summary!$C$12:$C$17</c:f>
              <c:numCache>
                <c:formatCode>0.0</c:formatCode>
                <c:ptCount val="6"/>
                <c:pt idx="0">
                  <c:v>66.7</c:v>
                </c:pt>
                <c:pt idx="1">
                  <c:v>62.9</c:v>
                </c:pt>
                <c:pt idx="2">
                  <c:v>53.4</c:v>
                </c:pt>
                <c:pt idx="3">
                  <c:v>45.6</c:v>
                </c:pt>
                <c:pt idx="4">
                  <c:v>51.4</c:v>
                </c:pt>
                <c:pt idx="5">
                  <c:v>39.4</c:v>
                </c:pt>
              </c:numCache>
            </c:numRef>
          </c:val>
        </c:ser>
        <c:ser>
          <c:idx val="2"/>
          <c:order val="2"/>
          <c:tx>
            <c:strRef>
              <c:f>Summary!E11</c:f>
              <c:strCache>
                <c:ptCount val="1"/>
                <c:pt idx="0">
                  <c:v>Latest MICS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Summary!$A$12:$A$17</c:f>
              <c:strCache>
                <c:ptCount val="6"/>
                <c:pt idx="0">
                  <c:v>BCG</c:v>
                </c:pt>
                <c:pt idx="1">
                  <c:v>DTP1</c:v>
                </c:pt>
                <c:pt idx="2">
                  <c:v>DTP3</c:v>
                </c:pt>
                <c:pt idx="3">
                  <c:v>POL3</c:v>
                </c:pt>
                <c:pt idx="4">
                  <c:v>MCV1</c:v>
                </c:pt>
                <c:pt idx="5">
                  <c:v>FULL</c:v>
                </c:pt>
              </c:strCache>
            </c:strRef>
          </c:cat>
          <c:val>
            <c:numRef>
              <c:f>Summary!$E$12:$E$17</c:f>
              <c:numCache>
                <c:formatCode>0.0</c:formatCode>
                <c:ptCount val="6"/>
                <c:pt idx="0">
                  <c:v>74.1</c:v>
                </c:pt>
                <c:pt idx="1">
                  <c:v>70.3</c:v>
                </c:pt>
                <c:pt idx="2">
                  <c:v>56.6</c:v>
                </c:pt>
                <c:pt idx="3">
                  <c:v>56.2</c:v>
                </c:pt>
                <c:pt idx="4">
                  <c:v>60.3</c:v>
                </c:pt>
                <c:pt idx="5">
                  <c:v>44.2</c:v>
                </c:pt>
              </c:numCache>
            </c:numRef>
          </c:val>
        </c:ser>
        <c:gapWidth val="150"/>
        <c:overlap val="0"/>
        <c:axId val="52788434"/>
        <c:axId val="34952670"/>
      </c:barChart>
      <c:catAx>
        <c:axId val="52788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52670"/>
        <c:crosses val="autoZero"/>
        <c:auto val="1"/>
        <c:lblAlgn val="ctr"/>
        <c:lblOffset val="100"/>
        <c:noMultiLvlLbl val="0"/>
      </c:catAx>
      <c:valAx>
        <c:axId val="3495267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88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Latest DHS/MICS coverage: Nigeria vs bordering countries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Benchmark!D4</c:f>
              <c:strCache>
                <c:ptCount val="1"/>
                <c:pt idx="0">
                  <c:v>DTP3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Benchmark!$A$5:$A$9</c:f>
              <c:strCache>
                <c:ptCount val="5"/>
                <c:pt idx="0">
                  <c:v>Nigeria</c:v>
                </c:pt>
                <c:pt idx="1">
                  <c:v>Benin</c:v>
                </c:pt>
                <c:pt idx="2">
                  <c:v>Niger</c:v>
                </c:pt>
                <c:pt idx="3">
                  <c:v>Chad</c:v>
                </c:pt>
                <c:pt idx="4">
                  <c:v>Cameroon</c:v>
                </c:pt>
              </c:strCache>
            </c:strRef>
          </c:cat>
          <c:val>
            <c:numRef>
              <c:f>Benchmark!$D$5:$D$9</c:f>
              <c:numCache>
                <c:formatCode>0.0</c:formatCode>
                <c:ptCount val="5"/>
                <c:pt idx="0">
                  <c:v>53.4</c:v>
                </c:pt>
                <c:pt idx="1">
                  <c:v>67.3</c:v>
                </c:pt>
                <c:pt idx="2">
                  <c:v>68.1</c:v>
                </c:pt>
                <c:pt idx="3">
                  <c:v>33.2</c:v>
                </c:pt>
                <c:pt idx="4">
                  <c:v>71.5</c:v>
                </c:pt>
              </c:numCache>
            </c:numRef>
          </c:val>
        </c:ser>
        <c:ser>
          <c:idx val="1"/>
          <c:order val="1"/>
          <c:tx>
            <c:strRef>
              <c:f>Benchmark!E4</c:f>
              <c:strCache>
                <c:ptCount val="1"/>
                <c:pt idx="0">
                  <c:v>MCV1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Benchmark!$A$5:$A$9</c:f>
              <c:strCache>
                <c:ptCount val="5"/>
                <c:pt idx="0">
                  <c:v>Nigeria</c:v>
                </c:pt>
                <c:pt idx="1">
                  <c:v>Benin</c:v>
                </c:pt>
                <c:pt idx="2">
                  <c:v>Niger</c:v>
                </c:pt>
                <c:pt idx="3">
                  <c:v>Chad</c:v>
                </c:pt>
                <c:pt idx="4">
                  <c:v>Cameroon</c:v>
                </c:pt>
              </c:strCache>
            </c:strRef>
          </c:cat>
          <c:val>
            <c:numRef>
              <c:f>Benchmark!$E$5:$E$9</c:f>
              <c:numCache>
                <c:formatCode>0.0</c:formatCode>
                <c:ptCount val="5"/>
                <c:pt idx="0">
                  <c:v>51.4</c:v>
                </c:pt>
                <c:pt idx="1">
                  <c:v>53.7</c:v>
                </c:pt>
                <c:pt idx="2">
                  <c:v>68.7</c:v>
                </c:pt>
                <c:pt idx="3">
                  <c:v>56.9</c:v>
                </c:pt>
                <c:pt idx="4">
                  <c:v>65.3</c:v>
                </c:pt>
              </c:numCache>
            </c:numRef>
          </c:val>
        </c:ser>
        <c:ser>
          <c:idx val="2"/>
          <c:order val="2"/>
          <c:tx>
            <c:strRef>
              <c:f>Benchmark!F4</c:f>
              <c:strCache>
                <c:ptCount val="1"/>
                <c:pt idx="0">
                  <c:v>FULL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Benchmark!$A$5:$A$9</c:f>
              <c:strCache>
                <c:ptCount val="5"/>
                <c:pt idx="0">
                  <c:v>Nigeria</c:v>
                </c:pt>
                <c:pt idx="1">
                  <c:v>Benin</c:v>
                </c:pt>
                <c:pt idx="2">
                  <c:v>Niger</c:v>
                </c:pt>
                <c:pt idx="3">
                  <c:v>Chad</c:v>
                </c:pt>
                <c:pt idx="4">
                  <c:v>Cameroon</c:v>
                </c:pt>
              </c:strCache>
            </c:strRef>
          </c:cat>
          <c:val>
            <c:numRef>
              <c:f>Benchmark!$F$5:$F$9</c:f>
              <c:numCache>
                <c:formatCode>0.0</c:formatCode>
                <c:ptCount val="5"/>
                <c:pt idx="0">
                  <c:v>39.4</c:v>
                </c:pt>
                <c:pt idx="1">
                  <c:v>27.6</c:v>
                </c:pt>
                <c:pt idx="2">
                  <c:v>52</c:v>
                </c:pt>
                <c:pt idx="3">
                  <c:v>25.3</c:v>
                </c:pt>
                <c:pt idx="4">
                  <c:v>52.2</c:v>
                </c:pt>
              </c:numCache>
            </c:numRef>
          </c:val>
        </c:ser>
        <c:gapWidth val="150"/>
        <c:overlap val="0"/>
        <c:axId val="44833137"/>
        <c:axId val="13157043"/>
      </c:barChart>
      <c:catAx>
        <c:axId val="44833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57043"/>
        <c:crosses val="autoZero"/>
        <c:auto val="1"/>
        <c:lblAlgn val="ctr"/>
        <c:lblOffset val="100"/>
        <c:noMultiLvlLbl val="0"/>
      </c:catAx>
      <c:valAx>
        <c:axId val="131570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33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1118412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160920</xdr:rowOff>
    </xdr:from>
    <xdr:to>
      <xdr:col>15</xdr:col>
      <xdr:colOff>255960</xdr:colOff>
      <xdr:row>36</xdr:row>
      <xdr:rowOff>172440</xdr:rowOff>
    </xdr:to>
    <xdr:graphicFrame>
      <xdr:nvGraphicFramePr>
        <xdr:cNvPr id="1" name="Chart 2"/>
        <xdr:cNvGraphicFramePr/>
      </xdr:nvGraphicFramePr>
      <xdr:xfrm>
        <a:off x="11184120" y="4000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38</xdr:row>
      <xdr:rowOff>160920</xdr:rowOff>
    </xdr:from>
    <xdr:to>
      <xdr:col>15</xdr:col>
      <xdr:colOff>255960</xdr:colOff>
      <xdr:row>54</xdr:row>
      <xdr:rowOff>60120</xdr:rowOff>
    </xdr:to>
    <xdr:graphicFrame>
      <xdr:nvGraphicFramePr>
        <xdr:cNvPr id="2" name="Chart 3"/>
        <xdr:cNvGraphicFramePr/>
      </xdr:nvGraphicFramePr>
      <xdr:xfrm>
        <a:off x="11184120" y="7429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56</xdr:row>
      <xdr:rowOff>48600</xdr:rowOff>
    </xdr:from>
    <xdr:to>
      <xdr:col>15</xdr:col>
      <xdr:colOff>255960</xdr:colOff>
      <xdr:row>72</xdr:row>
      <xdr:rowOff>60120</xdr:rowOff>
    </xdr:to>
    <xdr:graphicFrame>
      <xdr:nvGraphicFramePr>
        <xdr:cNvPr id="3" name="Chart 4"/>
        <xdr:cNvGraphicFramePr/>
      </xdr:nvGraphicFramePr>
      <xdr:xfrm>
        <a:off x="11184120" y="10858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48240</xdr:rowOff>
    </xdr:from>
    <xdr:to>
      <xdr:col>2</xdr:col>
      <xdr:colOff>120960</xdr:colOff>
      <xdr:row>59</xdr:row>
      <xdr:rowOff>59760</xdr:rowOff>
    </xdr:to>
    <xdr:graphicFrame>
      <xdr:nvGraphicFramePr>
        <xdr:cNvPr id="4" name="Chart 5"/>
        <xdr:cNvGraphicFramePr/>
      </xdr:nvGraphicFramePr>
      <xdr:xfrm>
        <a:off x="0" y="8381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160920</xdr:rowOff>
    </xdr:from>
    <xdr:to>
      <xdr:col>6</xdr:col>
      <xdr:colOff>966600</xdr:colOff>
      <xdr:row>28</xdr:row>
      <xdr:rowOff>172440</xdr:rowOff>
    </xdr:to>
    <xdr:graphicFrame>
      <xdr:nvGraphicFramePr>
        <xdr:cNvPr id="5" name="Chart 1"/>
        <xdr:cNvGraphicFramePr/>
      </xdr:nvGraphicFramePr>
      <xdr:xfrm>
        <a:off x="0" y="28195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33.75" hidden="false" customHeight="true" outlineLevel="0" collapsed="false">
      <c r="A5" s="4" t="s">
        <v>4</v>
      </c>
      <c r="B5" s="5" t="s">
        <v>5</v>
      </c>
    </row>
    <row r="6" customFormat="false" ht="33.75" hidden="false" customHeight="true" outlineLevel="0" collapsed="false">
      <c r="A6" s="4" t="s">
        <v>6</v>
      </c>
      <c r="B6" s="5" t="s">
        <v>7</v>
      </c>
    </row>
    <row r="7" customFormat="false" ht="33.75" hidden="false" customHeight="true" outlineLevel="0" collapsed="false">
      <c r="A7" s="4" t="s">
        <v>8</v>
      </c>
      <c r="B7" s="5" t="s">
        <v>9</v>
      </c>
    </row>
    <row r="8" customFormat="false" ht="33.75" hidden="false" customHeight="true" outlineLevel="0" collapsed="false">
      <c r="A8" s="4" t="s">
        <v>10</v>
      </c>
      <c r="B8" s="5" t="s">
        <v>11</v>
      </c>
    </row>
    <row r="9" customFormat="false" ht="33.75" hidden="false" customHeight="true" outlineLevel="0" collapsed="false">
      <c r="A9" s="4" t="s">
        <v>12</v>
      </c>
      <c r="B9" s="5" t="s">
        <v>13</v>
      </c>
    </row>
    <row r="10" customFormat="false" ht="33.75" hidden="false" customHeight="true" outlineLevel="0" collapsed="false">
      <c r="A10" s="4" t="s">
        <v>14</v>
      </c>
      <c r="B10" s="5" t="s">
        <v>15</v>
      </c>
    </row>
    <row r="11" customFormat="false" ht="33.75" hidden="false" customHeight="true" outlineLevel="0" collapsed="false">
      <c r="A11" s="4" t="s">
        <v>16</v>
      </c>
      <c r="B11" s="5" t="s">
        <v>17</v>
      </c>
    </row>
    <row r="12" customFormat="false" ht="33.75" hidden="false" customHeight="true" outlineLevel="0" collapsed="false">
      <c r="A12" s="4" t="s">
        <v>18</v>
      </c>
      <c r="B12" s="5" t="s">
        <v>19</v>
      </c>
    </row>
    <row r="13" customFormat="false" ht="33.75" hidden="false" customHeight="true" outlineLevel="0" collapsed="false">
      <c r="A13" s="4" t="s">
        <v>20</v>
      </c>
      <c r="B13" s="5" t="s">
        <v>21</v>
      </c>
    </row>
    <row r="14" customFormat="false" ht="33.75" hidden="false" customHeight="true" outlineLevel="0" collapsed="false">
      <c r="A14" s="4" t="s">
        <v>22</v>
      </c>
      <c r="B14" s="5" t="s">
        <v>23</v>
      </c>
    </row>
    <row r="15" customFormat="false" ht="33.75" hidden="false" customHeight="true" outlineLevel="0" collapsed="false">
      <c r="A15" s="4" t="s">
        <v>24</v>
      </c>
      <c r="B15" s="5" t="s">
        <v>25</v>
      </c>
    </row>
    <row r="16" customFormat="false" ht="33.75" hidden="false" customHeight="true" outlineLevel="0" collapsed="false">
      <c r="A16" s="4" t="s">
        <v>26</v>
      </c>
      <c r="B16" s="5" t="s">
        <v>27</v>
      </c>
    </row>
    <row r="17" customFormat="false" ht="33.75" hidden="false" customHeight="true" outlineLevel="0" collapsed="false">
      <c r="A17" s="4" t="s">
        <v>28</v>
      </c>
      <c r="B17" s="5" t="s">
        <v>29</v>
      </c>
    </row>
    <row r="18" customFormat="false" ht="33.75" hidden="false" customHeight="true" outlineLevel="0" collapsed="false">
      <c r="A18" s="4" t="s">
        <v>30</v>
      </c>
      <c r="B18" s="5" t="s">
        <v>31</v>
      </c>
    </row>
    <row r="21" customFormat="false" ht="15" hidden="false" customHeight="false" outlineLevel="0" collapsed="false">
      <c r="A21" s="6" t="s">
        <v>32</v>
      </c>
    </row>
    <row r="22" customFormat="false" ht="30" hidden="false" customHeight="true" outlineLevel="0" collapsed="false">
      <c r="A22" s="5" t="s">
        <v>33</v>
      </c>
      <c r="B22" s="5" t="s">
        <v>34</v>
      </c>
    </row>
    <row r="23" customFormat="false" ht="30" hidden="false" customHeight="true" outlineLevel="0" collapsed="false">
      <c r="A23" s="5" t="s">
        <v>35</v>
      </c>
      <c r="B23" s="5" t="s">
        <v>36</v>
      </c>
    </row>
    <row r="24" customFormat="false" ht="30" hidden="false" customHeight="true" outlineLevel="0" collapsed="false">
      <c r="A24" s="5" t="s">
        <v>37</v>
      </c>
      <c r="B24" s="5" t="s">
        <v>38</v>
      </c>
    </row>
    <row r="25" customFormat="false" ht="30" hidden="false" customHeight="true" outlineLevel="0" collapsed="false">
      <c r="A25" s="5" t="s">
        <v>39</v>
      </c>
      <c r="B25" s="5" t="s">
        <v>40</v>
      </c>
    </row>
    <row r="26" customFormat="false" ht="30" hidden="false" customHeight="true" outlineLevel="0" collapsed="false">
      <c r="A26" s="5" t="s">
        <v>41</v>
      </c>
      <c r="B26" s="5" t="s">
        <v>42</v>
      </c>
    </row>
    <row r="27" customFormat="false" ht="30" hidden="false" customHeight="true" outlineLevel="0" collapsed="false">
      <c r="A27" s="5" t="s">
        <v>43</v>
      </c>
      <c r="B27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23.85" hidden="false" customHeight="fals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</row>
    <row r="2" customFormat="false" ht="15" hidden="false" customHeight="false" outlineLevel="0" collapsed="false">
      <c r="A2" s="7" t="s">
        <v>59</v>
      </c>
      <c r="C2" s="7" t="s">
        <v>60</v>
      </c>
      <c r="D2" s="7" t="s">
        <v>61</v>
      </c>
      <c r="E2" s="7" t="s">
        <v>61</v>
      </c>
      <c r="F2" s="7" t="n">
        <v>1984</v>
      </c>
      <c r="G2" s="7" t="s">
        <v>62</v>
      </c>
      <c r="H2" s="7" t="s">
        <v>63</v>
      </c>
      <c r="J2" s="7" t="s">
        <v>64</v>
      </c>
      <c r="K2" s="7" t="s">
        <v>65</v>
      </c>
      <c r="L2" s="7" t="s">
        <v>66</v>
      </c>
      <c r="M2" s="7" t="n">
        <v>16.5</v>
      </c>
    </row>
    <row r="3" customFormat="false" ht="15" hidden="false" customHeight="false" outlineLevel="0" collapsed="false">
      <c r="A3" s="7" t="s">
        <v>59</v>
      </c>
      <c r="C3" s="7" t="s">
        <v>60</v>
      </c>
      <c r="D3" s="7" t="s">
        <v>61</v>
      </c>
      <c r="E3" s="7" t="s">
        <v>61</v>
      </c>
      <c r="F3" s="7" t="n">
        <v>1984</v>
      </c>
      <c r="G3" s="7" t="s">
        <v>67</v>
      </c>
      <c r="H3" s="7" t="s">
        <v>63</v>
      </c>
      <c r="J3" s="7" t="s">
        <v>64</v>
      </c>
      <c r="K3" s="7" t="s">
        <v>65</v>
      </c>
      <c r="L3" s="7" t="s">
        <v>66</v>
      </c>
      <c r="M3" s="7" t="n">
        <v>8.9</v>
      </c>
    </row>
    <row r="4" customFormat="false" ht="15" hidden="false" customHeight="false" outlineLevel="0" collapsed="false">
      <c r="A4" s="7" t="s">
        <v>59</v>
      </c>
      <c r="C4" s="7" t="s">
        <v>60</v>
      </c>
      <c r="D4" s="7" t="s">
        <v>61</v>
      </c>
      <c r="E4" s="7" t="s">
        <v>61</v>
      </c>
      <c r="F4" s="7" t="n">
        <v>1984</v>
      </c>
      <c r="G4" s="7" t="s">
        <v>68</v>
      </c>
      <c r="H4" s="7" t="s">
        <v>63</v>
      </c>
      <c r="J4" s="7" t="s">
        <v>64</v>
      </c>
      <c r="K4" s="7" t="s">
        <v>65</v>
      </c>
      <c r="L4" s="7" t="s">
        <v>66</v>
      </c>
      <c r="M4" s="7" t="n">
        <v>9.1</v>
      </c>
    </row>
    <row r="5" customFormat="false" ht="15" hidden="false" customHeight="false" outlineLevel="0" collapsed="false">
      <c r="A5" s="7" t="s">
        <v>59</v>
      </c>
      <c r="C5" s="7" t="s">
        <v>60</v>
      </c>
      <c r="D5" s="7" t="s">
        <v>61</v>
      </c>
      <c r="E5" s="7" t="s">
        <v>61</v>
      </c>
      <c r="F5" s="7" t="n">
        <v>1984</v>
      </c>
      <c r="G5" s="7" t="s">
        <v>69</v>
      </c>
      <c r="H5" s="7" t="s">
        <v>63</v>
      </c>
      <c r="J5" s="7" t="s">
        <v>64</v>
      </c>
      <c r="K5" s="7" t="s">
        <v>65</v>
      </c>
      <c r="L5" s="7" t="s">
        <v>66</v>
      </c>
      <c r="M5" s="7" t="n">
        <v>8.1</v>
      </c>
    </row>
    <row r="6" customFormat="false" ht="15" hidden="false" customHeight="false" outlineLevel="0" collapsed="false">
      <c r="A6" s="7" t="s">
        <v>59</v>
      </c>
      <c r="C6" s="7" t="s">
        <v>60</v>
      </c>
      <c r="D6" s="7" t="s">
        <v>61</v>
      </c>
      <c r="E6" s="7" t="s">
        <v>61</v>
      </c>
      <c r="F6" s="7" t="n">
        <v>1984</v>
      </c>
      <c r="G6" s="7" t="s">
        <v>70</v>
      </c>
      <c r="H6" s="7" t="s">
        <v>63</v>
      </c>
      <c r="J6" s="7" t="s">
        <v>64</v>
      </c>
      <c r="L6" s="7" t="s">
        <v>71</v>
      </c>
      <c r="M6" s="7" t="n">
        <v>11.1</v>
      </c>
    </row>
    <row r="7" customFormat="false" ht="15" hidden="false" customHeight="false" outlineLevel="0" collapsed="false">
      <c r="A7" s="7" t="s">
        <v>59</v>
      </c>
      <c r="C7" s="7" t="s">
        <v>60</v>
      </c>
      <c r="D7" s="7" t="s">
        <v>61</v>
      </c>
      <c r="E7" s="7" t="s">
        <v>61</v>
      </c>
      <c r="F7" s="7" t="n">
        <v>1984</v>
      </c>
      <c r="G7" s="7" t="s">
        <v>72</v>
      </c>
      <c r="H7" s="7" t="s">
        <v>63</v>
      </c>
      <c r="J7" s="7" t="s">
        <v>64</v>
      </c>
      <c r="L7" s="7" t="s">
        <v>71</v>
      </c>
      <c r="M7" s="7" t="n">
        <v>7</v>
      </c>
    </row>
    <row r="8" customFormat="false" ht="15" hidden="false" customHeight="false" outlineLevel="0" collapsed="false">
      <c r="A8" s="7" t="s">
        <v>59</v>
      </c>
      <c r="C8" s="7" t="s">
        <v>60</v>
      </c>
      <c r="D8" s="7" t="s">
        <v>73</v>
      </c>
      <c r="E8" s="7" t="s">
        <v>73</v>
      </c>
      <c r="F8" s="7" t="n">
        <v>1985</v>
      </c>
      <c r="G8" s="7" t="s">
        <v>62</v>
      </c>
      <c r="H8" s="7" t="s">
        <v>63</v>
      </c>
      <c r="J8" s="7" t="s">
        <v>64</v>
      </c>
      <c r="K8" s="7" t="s">
        <v>65</v>
      </c>
      <c r="L8" s="7" t="s">
        <v>66</v>
      </c>
      <c r="M8" s="7" t="n">
        <v>28.3</v>
      </c>
    </row>
    <row r="9" customFormat="false" ht="15" hidden="false" customHeight="false" outlineLevel="0" collapsed="false">
      <c r="A9" s="7" t="s">
        <v>59</v>
      </c>
      <c r="C9" s="7" t="s">
        <v>60</v>
      </c>
      <c r="D9" s="7" t="s">
        <v>73</v>
      </c>
      <c r="E9" s="7" t="s">
        <v>73</v>
      </c>
      <c r="F9" s="7" t="n">
        <v>1985</v>
      </c>
      <c r="G9" s="7" t="s">
        <v>67</v>
      </c>
      <c r="H9" s="7" t="s">
        <v>63</v>
      </c>
      <c r="J9" s="7" t="s">
        <v>64</v>
      </c>
      <c r="K9" s="7" t="s">
        <v>65</v>
      </c>
      <c r="L9" s="7" t="s">
        <v>66</v>
      </c>
      <c r="M9" s="7" t="n">
        <v>15.9</v>
      </c>
    </row>
    <row r="10" customFormat="false" ht="15" hidden="false" customHeight="false" outlineLevel="0" collapsed="false">
      <c r="A10" s="7" t="s">
        <v>59</v>
      </c>
      <c r="C10" s="7" t="s">
        <v>60</v>
      </c>
      <c r="D10" s="7" t="s">
        <v>73</v>
      </c>
      <c r="E10" s="7" t="s">
        <v>73</v>
      </c>
      <c r="F10" s="7" t="n">
        <v>1985</v>
      </c>
      <c r="G10" s="7" t="s">
        <v>68</v>
      </c>
      <c r="H10" s="7" t="s">
        <v>63</v>
      </c>
      <c r="J10" s="7" t="s">
        <v>64</v>
      </c>
      <c r="K10" s="7" t="s">
        <v>65</v>
      </c>
      <c r="L10" s="7" t="s">
        <v>66</v>
      </c>
      <c r="M10" s="7" t="n">
        <v>17.2</v>
      </c>
    </row>
    <row r="11" customFormat="false" ht="15" hidden="false" customHeight="false" outlineLevel="0" collapsed="false">
      <c r="A11" s="7" t="s">
        <v>59</v>
      </c>
      <c r="C11" s="7" t="s">
        <v>60</v>
      </c>
      <c r="D11" s="7" t="s">
        <v>73</v>
      </c>
      <c r="E11" s="7" t="s">
        <v>73</v>
      </c>
      <c r="F11" s="7" t="n">
        <v>1985</v>
      </c>
      <c r="G11" s="7" t="s">
        <v>69</v>
      </c>
      <c r="H11" s="7" t="s">
        <v>63</v>
      </c>
      <c r="J11" s="7" t="s">
        <v>64</v>
      </c>
      <c r="K11" s="7" t="s">
        <v>65</v>
      </c>
      <c r="L11" s="7" t="s">
        <v>66</v>
      </c>
      <c r="M11" s="7" t="n">
        <v>16.3</v>
      </c>
    </row>
    <row r="12" customFormat="false" ht="15" hidden="false" customHeight="false" outlineLevel="0" collapsed="false">
      <c r="A12" s="7" t="s">
        <v>59</v>
      </c>
      <c r="C12" s="7" t="s">
        <v>60</v>
      </c>
      <c r="D12" s="7" t="s">
        <v>73</v>
      </c>
      <c r="E12" s="7" t="s">
        <v>73</v>
      </c>
      <c r="F12" s="7" t="n">
        <v>1985</v>
      </c>
      <c r="G12" s="7" t="s">
        <v>70</v>
      </c>
      <c r="H12" s="7" t="s">
        <v>63</v>
      </c>
      <c r="J12" s="7" t="s">
        <v>64</v>
      </c>
      <c r="L12" s="7" t="s">
        <v>71</v>
      </c>
      <c r="M12" s="7" t="n">
        <v>17.4</v>
      </c>
    </row>
    <row r="13" customFormat="false" ht="15" hidden="false" customHeight="false" outlineLevel="0" collapsed="false">
      <c r="A13" s="7" t="s">
        <v>59</v>
      </c>
      <c r="C13" s="7" t="s">
        <v>60</v>
      </c>
      <c r="D13" s="7" t="s">
        <v>73</v>
      </c>
      <c r="E13" s="7" t="s">
        <v>73</v>
      </c>
      <c r="F13" s="7" t="n">
        <v>1985</v>
      </c>
      <c r="G13" s="7" t="s">
        <v>72</v>
      </c>
      <c r="H13" s="7" t="s">
        <v>63</v>
      </c>
      <c r="J13" s="7" t="s">
        <v>64</v>
      </c>
      <c r="L13" s="7" t="s">
        <v>71</v>
      </c>
      <c r="M13" s="7" t="n">
        <v>17.4</v>
      </c>
    </row>
    <row r="14" customFormat="false" ht="15" hidden="false" customHeight="false" outlineLevel="0" collapsed="false">
      <c r="A14" s="7" t="s">
        <v>59</v>
      </c>
      <c r="C14" s="7" t="s">
        <v>60</v>
      </c>
      <c r="D14" s="7" t="s">
        <v>74</v>
      </c>
      <c r="E14" s="7" t="s">
        <v>74</v>
      </c>
      <c r="F14" s="7" t="n">
        <v>1986</v>
      </c>
      <c r="G14" s="7" t="s">
        <v>62</v>
      </c>
      <c r="H14" s="7" t="s">
        <v>63</v>
      </c>
      <c r="J14" s="7" t="s">
        <v>64</v>
      </c>
      <c r="K14" s="7" t="s">
        <v>65</v>
      </c>
      <c r="L14" s="7" t="s">
        <v>66</v>
      </c>
      <c r="M14" s="7" t="n">
        <v>40</v>
      </c>
    </row>
    <row r="15" customFormat="false" ht="15" hidden="false" customHeight="false" outlineLevel="0" collapsed="false">
      <c r="A15" s="7" t="s">
        <v>59</v>
      </c>
      <c r="C15" s="7" t="s">
        <v>75</v>
      </c>
      <c r="D15" s="7" t="s">
        <v>76</v>
      </c>
      <c r="E15" s="7" t="s">
        <v>77</v>
      </c>
      <c r="F15" s="7" t="n">
        <v>1986</v>
      </c>
      <c r="G15" s="7" t="s">
        <v>62</v>
      </c>
      <c r="H15" s="7" t="s">
        <v>78</v>
      </c>
      <c r="J15" s="7" t="s">
        <v>64</v>
      </c>
      <c r="K15" s="7" t="s">
        <v>79</v>
      </c>
      <c r="L15" s="7" t="s">
        <v>80</v>
      </c>
      <c r="M15" s="7" t="n">
        <v>30.4</v>
      </c>
      <c r="N15" s="7" t="n">
        <v>1349</v>
      </c>
    </row>
    <row r="16" customFormat="false" ht="15" hidden="false" customHeight="false" outlineLevel="0" collapsed="false">
      <c r="A16" s="7" t="s">
        <v>59</v>
      </c>
      <c r="C16" s="7" t="s">
        <v>75</v>
      </c>
      <c r="D16" s="7" t="s">
        <v>76</v>
      </c>
      <c r="E16" s="7" t="s">
        <v>77</v>
      </c>
      <c r="F16" s="7" t="n">
        <v>1986</v>
      </c>
      <c r="G16" s="7" t="s">
        <v>81</v>
      </c>
      <c r="H16" s="7" t="s">
        <v>78</v>
      </c>
      <c r="J16" s="7" t="s">
        <v>64</v>
      </c>
      <c r="K16" s="7" t="s">
        <v>79</v>
      </c>
      <c r="L16" s="7" t="s">
        <v>80</v>
      </c>
      <c r="M16" s="7" t="n">
        <v>27</v>
      </c>
      <c r="N16" s="7" t="n">
        <v>1349</v>
      </c>
    </row>
    <row r="17" customFormat="false" ht="15" hidden="false" customHeight="false" outlineLevel="0" collapsed="false">
      <c r="A17" s="7" t="s">
        <v>59</v>
      </c>
      <c r="C17" s="7" t="s">
        <v>60</v>
      </c>
      <c r="D17" s="7" t="s">
        <v>74</v>
      </c>
      <c r="E17" s="7" t="s">
        <v>74</v>
      </c>
      <c r="F17" s="7" t="n">
        <v>1986</v>
      </c>
      <c r="G17" s="7" t="s">
        <v>67</v>
      </c>
      <c r="H17" s="7" t="s">
        <v>63</v>
      </c>
      <c r="J17" s="7" t="s">
        <v>64</v>
      </c>
      <c r="K17" s="7" t="s">
        <v>65</v>
      </c>
      <c r="L17" s="7" t="s">
        <v>66</v>
      </c>
      <c r="M17" s="7" t="n">
        <v>21.5</v>
      </c>
    </row>
    <row r="18" customFormat="false" ht="15" hidden="false" customHeight="false" outlineLevel="0" collapsed="false">
      <c r="A18" s="7" t="s">
        <v>59</v>
      </c>
      <c r="C18" s="7" t="s">
        <v>75</v>
      </c>
      <c r="D18" s="7" t="s">
        <v>76</v>
      </c>
      <c r="E18" s="7" t="s">
        <v>77</v>
      </c>
      <c r="F18" s="7" t="n">
        <v>1986</v>
      </c>
      <c r="G18" s="7" t="s">
        <v>67</v>
      </c>
      <c r="H18" s="7" t="s">
        <v>78</v>
      </c>
      <c r="J18" s="7" t="s">
        <v>64</v>
      </c>
      <c r="K18" s="7" t="s">
        <v>79</v>
      </c>
      <c r="L18" s="7" t="s">
        <v>80</v>
      </c>
      <c r="M18" s="7" t="n">
        <v>16.6</v>
      </c>
      <c r="N18" s="7" t="n">
        <v>1349</v>
      </c>
    </row>
    <row r="19" customFormat="false" ht="15" hidden="false" customHeight="false" outlineLevel="0" collapsed="false">
      <c r="A19" s="7" t="s">
        <v>59</v>
      </c>
      <c r="C19" s="7" t="s">
        <v>75</v>
      </c>
      <c r="D19" s="7" t="s">
        <v>76</v>
      </c>
      <c r="E19" s="7" t="s">
        <v>77</v>
      </c>
      <c r="F19" s="7" t="n">
        <v>1986</v>
      </c>
      <c r="G19" s="7" t="s">
        <v>82</v>
      </c>
      <c r="H19" s="7" t="s">
        <v>78</v>
      </c>
      <c r="J19" s="7" t="s">
        <v>64</v>
      </c>
      <c r="K19" s="7" t="s">
        <v>79</v>
      </c>
      <c r="L19" s="7" t="s">
        <v>80</v>
      </c>
      <c r="M19" s="7" t="n">
        <v>11.2</v>
      </c>
      <c r="N19" s="7" t="n">
        <v>1349</v>
      </c>
    </row>
    <row r="20" customFormat="false" ht="15" hidden="false" customHeight="false" outlineLevel="0" collapsed="false">
      <c r="A20" s="7" t="s">
        <v>59</v>
      </c>
      <c r="C20" s="7" t="s">
        <v>60</v>
      </c>
      <c r="D20" s="7" t="s">
        <v>74</v>
      </c>
      <c r="E20" s="7" t="s">
        <v>74</v>
      </c>
      <c r="F20" s="7" t="n">
        <v>1986</v>
      </c>
      <c r="G20" s="7" t="s">
        <v>68</v>
      </c>
      <c r="H20" s="7" t="s">
        <v>63</v>
      </c>
      <c r="J20" s="7" t="s">
        <v>64</v>
      </c>
      <c r="K20" s="7" t="s">
        <v>65</v>
      </c>
      <c r="L20" s="7" t="s">
        <v>66</v>
      </c>
      <c r="M20" s="7" t="n">
        <v>28</v>
      </c>
    </row>
    <row r="21" customFormat="false" ht="15" hidden="false" customHeight="false" outlineLevel="0" collapsed="false">
      <c r="A21" s="7" t="s">
        <v>59</v>
      </c>
      <c r="C21" s="7" t="s">
        <v>75</v>
      </c>
      <c r="D21" s="7" t="s">
        <v>76</v>
      </c>
      <c r="E21" s="7" t="s">
        <v>77</v>
      </c>
      <c r="F21" s="7" t="n">
        <v>1986</v>
      </c>
      <c r="G21" s="7" t="s">
        <v>68</v>
      </c>
      <c r="H21" s="7" t="s">
        <v>78</v>
      </c>
      <c r="J21" s="7" t="s">
        <v>64</v>
      </c>
      <c r="K21" s="7" t="s">
        <v>79</v>
      </c>
      <c r="L21" s="7" t="s">
        <v>80</v>
      </c>
      <c r="M21" s="7" t="n">
        <v>15.8</v>
      </c>
      <c r="N21" s="7" t="n">
        <v>1349</v>
      </c>
    </row>
    <row r="22" customFormat="false" ht="15" hidden="false" customHeight="false" outlineLevel="0" collapsed="false">
      <c r="A22" s="7" t="s">
        <v>59</v>
      </c>
      <c r="C22" s="7" t="s">
        <v>75</v>
      </c>
      <c r="D22" s="7" t="s">
        <v>76</v>
      </c>
      <c r="E22" s="7" t="s">
        <v>77</v>
      </c>
      <c r="F22" s="7" t="n">
        <v>1986</v>
      </c>
      <c r="G22" s="7" t="s">
        <v>83</v>
      </c>
      <c r="H22" s="7" t="s">
        <v>78</v>
      </c>
      <c r="J22" s="7" t="s">
        <v>64</v>
      </c>
      <c r="K22" s="7" t="s">
        <v>79</v>
      </c>
      <c r="L22" s="7" t="s">
        <v>80</v>
      </c>
      <c r="M22" s="7" t="n">
        <v>27.1</v>
      </c>
      <c r="N22" s="7" t="n">
        <v>1349</v>
      </c>
    </row>
    <row r="23" customFormat="false" ht="15" hidden="false" customHeight="false" outlineLevel="0" collapsed="false">
      <c r="A23" s="7" t="s">
        <v>59</v>
      </c>
      <c r="C23" s="7" t="s">
        <v>60</v>
      </c>
      <c r="D23" s="7" t="s">
        <v>74</v>
      </c>
      <c r="E23" s="7" t="s">
        <v>74</v>
      </c>
      <c r="F23" s="7" t="n">
        <v>1986</v>
      </c>
      <c r="G23" s="7" t="s">
        <v>69</v>
      </c>
      <c r="H23" s="7" t="s">
        <v>63</v>
      </c>
      <c r="J23" s="7" t="s">
        <v>64</v>
      </c>
      <c r="K23" s="7" t="s">
        <v>65</v>
      </c>
      <c r="L23" s="7" t="s">
        <v>66</v>
      </c>
      <c r="M23" s="7" t="n">
        <v>20.7</v>
      </c>
    </row>
    <row r="24" customFormat="false" ht="15" hidden="false" customHeight="false" outlineLevel="0" collapsed="false">
      <c r="A24" s="7" t="s">
        <v>59</v>
      </c>
      <c r="C24" s="7" t="s">
        <v>75</v>
      </c>
      <c r="D24" s="7" t="s">
        <v>76</v>
      </c>
      <c r="E24" s="7" t="s">
        <v>77</v>
      </c>
      <c r="F24" s="7" t="n">
        <v>1986</v>
      </c>
      <c r="G24" s="7" t="s">
        <v>69</v>
      </c>
      <c r="H24" s="7" t="s">
        <v>78</v>
      </c>
      <c r="J24" s="7" t="s">
        <v>64</v>
      </c>
      <c r="K24" s="7" t="s">
        <v>79</v>
      </c>
      <c r="L24" s="7" t="s">
        <v>80</v>
      </c>
      <c r="M24" s="7" t="n">
        <v>16.5</v>
      </c>
      <c r="N24" s="7" t="n">
        <v>1349</v>
      </c>
    </row>
    <row r="25" customFormat="false" ht="15" hidden="false" customHeight="false" outlineLevel="0" collapsed="false">
      <c r="A25" s="7" t="s">
        <v>59</v>
      </c>
      <c r="C25" s="7" t="s">
        <v>60</v>
      </c>
      <c r="D25" s="7" t="s">
        <v>74</v>
      </c>
      <c r="E25" s="7" t="s">
        <v>74</v>
      </c>
      <c r="F25" s="7" t="n">
        <v>1986</v>
      </c>
      <c r="G25" s="7" t="s">
        <v>70</v>
      </c>
      <c r="H25" s="7" t="s">
        <v>63</v>
      </c>
      <c r="J25" s="7" t="s">
        <v>64</v>
      </c>
      <c r="L25" s="7" t="s">
        <v>71</v>
      </c>
      <c r="M25" s="7" t="n">
        <v>21.7</v>
      </c>
    </row>
    <row r="26" customFormat="false" ht="15" hidden="false" customHeight="false" outlineLevel="0" collapsed="false">
      <c r="A26" s="7" t="s">
        <v>59</v>
      </c>
      <c r="C26" s="7" t="s">
        <v>60</v>
      </c>
      <c r="D26" s="7" t="s">
        <v>74</v>
      </c>
      <c r="E26" s="7" t="s">
        <v>74</v>
      </c>
      <c r="F26" s="7" t="n">
        <v>1986</v>
      </c>
      <c r="G26" s="7" t="s">
        <v>72</v>
      </c>
      <c r="H26" s="7" t="s">
        <v>63</v>
      </c>
      <c r="J26" s="7" t="s">
        <v>64</v>
      </c>
      <c r="L26" s="7" t="s">
        <v>71</v>
      </c>
      <c r="M26" s="7" t="n">
        <v>22</v>
      </c>
    </row>
    <row r="27" customFormat="false" ht="15" hidden="false" customHeight="false" outlineLevel="0" collapsed="false">
      <c r="A27" s="7" t="s">
        <v>59</v>
      </c>
      <c r="C27" s="7" t="s">
        <v>84</v>
      </c>
      <c r="D27" s="7" t="s">
        <v>85</v>
      </c>
      <c r="E27" s="7" t="s">
        <v>85</v>
      </c>
      <c r="F27" s="7" t="n">
        <v>1987</v>
      </c>
      <c r="G27" s="7" t="s">
        <v>62</v>
      </c>
      <c r="H27" s="7" t="s">
        <v>86</v>
      </c>
      <c r="J27" s="7" t="s">
        <v>64</v>
      </c>
      <c r="K27" s="7" t="s">
        <v>65</v>
      </c>
      <c r="L27" s="7" t="s">
        <v>66</v>
      </c>
      <c r="M27" s="7" t="n">
        <v>52.9</v>
      </c>
      <c r="N27" s="7" t="n">
        <v>9240</v>
      </c>
    </row>
    <row r="28" customFormat="false" ht="15" hidden="false" customHeight="false" outlineLevel="0" collapsed="false">
      <c r="A28" s="7" t="s">
        <v>59</v>
      </c>
      <c r="C28" s="7" t="s">
        <v>84</v>
      </c>
      <c r="D28" s="7" t="s">
        <v>85</v>
      </c>
      <c r="E28" s="7" t="s">
        <v>85</v>
      </c>
      <c r="F28" s="7" t="n">
        <v>1987</v>
      </c>
      <c r="G28" s="7" t="s">
        <v>62</v>
      </c>
      <c r="H28" s="7" t="s">
        <v>63</v>
      </c>
      <c r="J28" s="7" t="s">
        <v>64</v>
      </c>
      <c r="K28" s="7" t="s">
        <v>65</v>
      </c>
      <c r="L28" s="7" t="s">
        <v>66</v>
      </c>
      <c r="M28" s="7" t="n">
        <v>72.2</v>
      </c>
      <c r="N28" s="7" t="n">
        <v>9240</v>
      </c>
    </row>
    <row r="29" customFormat="false" ht="15" hidden="false" customHeight="false" outlineLevel="0" collapsed="false">
      <c r="A29" s="7" t="s">
        <v>59</v>
      </c>
      <c r="C29" s="7" t="s">
        <v>84</v>
      </c>
      <c r="D29" s="7" t="s">
        <v>85</v>
      </c>
      <c r="E29" s="7" t="s">
        <v>85</v>
      </c>
      <c r="F29" s="7" t="n">
        <v>1987</v>
      </c>
      <c r="G29" s="7" t="s">
        <v>62</v>
      </c>
      <c r="H29" s="7" t="s">
        <v>87</v>
      </c>
      <c r="J29" s="7" t="s">
        <v>64</v>
      </c>
      <c r="K29" s="7" t="s">
        <v>65</v>
      </c>
      <c r="L29" s="7" t="s">
        <v>66</v>
      </c>
      <c r="M29" s="7" t="n">
        <v>19.3</v>
      </c>
      <c r="N29" s="7" t="n">
        <v>9240</v>
      </c>
    </row>
    <row r="30" customFormat="false" ht="15" hidden="false" customHeight="false" outlineLevel="0" collapsed="false">
      <c r="A30" s="7" t="s">
        <v>59</v>
      </c>
      <c r="C30" s="7" t="s">
        <v>75</v>
      </c>
      <c r="D30" s="7" t="s">
        <v>76</v>
      </c>
      <c r="E30" s="7" t="s">
        <v>77</v>
      </c>
      <c r="F30" s="7" t="n">
        <v>1987</v>
      </c>
      <c r="G30" s="7" t="s">
        <v>62</v>
      </c>
      <c r="H30" s="7" t="s">
        <v>78</v>
      </c>
      <c r="J30" s="7" t="s">
        <v>64</v>
      </c>
      <c r="K30" s="7" t="s">
        <v>79</v>
      </c>
      <c r="L30" s="7" t="s">
        <v>88</v>
      </c>
      <c r="M30" s="7" t="n">
        <v>34.9</v>
      </c>
      <c r="N30" s="7" t="n">
        <v>1415</v>
      </c>
    </row>
    <row r="31" customFormat="false" ht="15" hidden="false" customHeight="false" outlineLevel="0" collapsed="false">
      <c r="A31" s="7" t="s">
        <v>59</v>
      </c>
      <c r="C31" s="7" t="s">
        <v>75</v>
      </c>
      <c r="D31" s="7" t="s">
        <v>76</v>
      </c>
      <c r="E31" s="7" t="s">
        <v>77</v>
      </c>
      <c r="F31" s="7" t="n">
        <v>1987</v>
      </c>
      <c r="G31" s="7" t="s">
        <v>81</v>
      </c>
      <c r="H31" s="7" t="s">
        <v>78</v>
      </c>
      <c r="J31" s="7" t="s">
        <v>64</v>
      </c>
      <c r="K31" s="7" t="s">
        <v>79</v>
      </c>
      <c r="L31" s="7" t="s">
        <v>88</v>
      </c>
      <c r="M31" s="7" t="n">
        <v>33.8</v>
      </c>
      <c r="N31" s="7" t="n">
        <v>1415</v>
      </c>
    </row>
    <row r="32" customFormat="false" ht="15" hidden="false" customHeight="false" outlineLevel="0" collapsed="false">
      <c r="A32" s="7" t="s">
        <v>59</v>
      </c>
      <c r="C32" s="7" t="s">
        <v>84</v>
      </c>
      <c r="D32" s="7" t="s">
        <v>85</v>
      </c>
      <c r="E32" s="7" t="s">
        <v>85</v>
      </c>
      <c r="F32" s="7" t="n">
        <v>1987</v>
      </c>
      <c r="G32" s="7" t="s">
        <v>67</v>
      </c>
      <c r="H32" s="7" t="s">
        <v>86</v>
      </c>
      <c r="J32" s="7" t="s">
        <v>64</v>
      </c>
      <c r="K32" s="7" t="s">
        <v>65</v>
      </c>
      <c r="L32" s="7" t="s">
        <v>66</v>
      </c>
      <c r="M32" s="7" t="n">
        <v>41.9</v>
      </c>
      <c r="N32" s="7" t="n">
        <v>9240</v>
      </c>
    </row>
    <row r="33" customFormat="false" ht="15" hidden="false" customHeight="false" outlineLevel="0" collapsed="false">
      <c r="A33" s="7" t="s">
        <v>59</v>
      </c>
      <c r="C33" s="7" t="s">
        <v>84</v>
      </c>
      <c r="D33" s="7" t="s">
        <v>85</v>
      </c>
      <c r="E33" s="7" t="s">
        <v>85</v>
      </c>
      <c r="F33" s="7" t="n">
        <v>1987</v>
      </c>
      <c r="G33" s="7" t="s">
        <v>67</v>
      </c>
      <c r="H33" s="7" t="s">
        <v>63</v>
      </c>
      <c r="J33" s="7" t="s">
        <v>64</v>
      </c>
      <c r="K33" s="7" t="s">
        <v>65</v>
      </c>
      <c r="L33" s="7" t="s">
        <v>66</v>
      </c>
      <c r="M33" s="7" t="n">
        <v>57.8</v>
      </c>
      <c r="N33" s="7" t="n">
        <v>9240</v>
      </c>
    </row>
    <row r="34" customFormat="false" ht="15" hidden="false" customHeight="false" outlineLevel="0" collapsed="false">
      <c r="A34" s="7" t="s">
        <v>59</v>
      </c>
      <c r="C34" s="7" t="s">
        <v>84</v>
      </c>
      <c r="D34" s="7" t="s">
        <v>85</v>
      </c>
      <c r="E34" s="7" t="s">
        <v>85</v>
      </c>
      <c r="F34" s="7" t="n">
        <v>1987</v>
      </c>
      <c r="G34" s="7" t="s">
        <v>67</v>
      </c>
      <c r="H34" s="7" t="s">
        <v>87</v>
      </c>
      <c r="J34" s="7" t="s">
        <v>64</v>
      </c>
      <c r="K34" s="7" t="s">
        <v>65</v>
      </c>
      <c r="L34" s="7" t="s">
        <v>66</v>
      </c>
      <c r="M34" s="7" t="n">
        <v>15.9</v>
      </c>
      <c r="N34" s="7" t="n">
        <v>9240</v>
      </c>
    </row>
    <row r="35" customFormat="false" ht="15" hidden="false" customHeight="false" outlineLevel="0" collapsed="false">
      <c r="A35" s="7" t="s">
        <v>59</v>
      </c>
      <c r="C35" s="7" t="s">
        <v>75</v>
      </c>
      <c r="D35" s="7" t="s">
        <v>76</v>
      </c>
      <c r="E35" s="7" t="s">
        <v>77</v>
      </c>
      <c r="F35" s="7" t="n">
        <v>1987</v>
      </c>
      <c r="G35" s="7" t="s">
        <v>67</v>
      </c>
      <c r="H35" s="7" t="s">
        <v>78</v>
      </c>
      <c r="J35" s="7" t="s">
        <v>64</v>
      </c>
      <c r="K35" s="7" t="s">
        <v>79</v>
      </c>
      <c r="L35" s="7" t="s">
        <v>88</v>
      </c>
      <c r="M35" s="7" t="n">
        <v>22.7</v>
      </c>
      <c r="N35" s="7" t="n">
        <v>1415</v>
      </c>
    </row>
    <row r="36" customFormat="false" ht="15" hidden="false" customHeight="false" outlineLevel="0" collapsed="false">
      <c r="A36" s="7" t="s">
        <v>59</v>
      </c>
      <c r="C36" s="7" t="s">
        <v>84</v>
      </c>
      <c r="D36" s="7" t="s">
        <v>85</v>
      </c>
      <c r="E36" s="7" t="s">
        <v>85</v>
      </c>
      <c r="F36" s="7" t="n">
        <v>1987</v>
      </c>
      <c r="G36" s="7" t="s">
        <v>82</v>
      </c>
      <c r="H36" s="7" t="s">
        <v>86</v>
      </c>
      <c r="J36" s="7" t="s">
        <v>64</v>
      </c>
      <c r="K36" s="7" t="s">
        <v>65</v>
      </c>
      <c r="L36" s="7" t="s">
        <v>66</v>
      </c>
      <c r="M36" s="7" t="n">
        <v>25.6</v>
      </c>
      <c r="N36" s="7" t="n">
        <v>9240</v>
      </c>
    </row>
    <row r="37" customFormat="false" ht="15" hidden="false" customHeight="false" outlineLevel="0" collapsed="false">
      <c r="A37" s="7" t="s">
        <v>59</v>
      </c>
      <c r="C37" s="7" t="s">
        <v>84</v>
      </c>
      <c r="D37" s="7" t="s">
        <v>85</v>
      </c>
      <c r="E37" s="7" t="s">
        <v>85</v>
      </c>
      <c r="F37" s="7" t="n">
        <v>1987</v>
      </c>
      <c r="G37" s="7" t="s">
        <v>82</v>
      </c>
      <c r="H37" s="7" t="s">
        <v>63</v>
      </c>
      <c r="J37" s="7" t="s">
        <v>64</v>
      </c>
      <c r="K37" s="7" t="s">
        <v>65</v>
      </c>
      <c r="L37" s="7" t="s">
        <v>66</v>
      </c>
      <c r="M37" s="7" t="n">
        <v>37.5</v>
      </c>
      <c r="N37" s="7" t="n">
        <v>9240</v>
      </c>
    </row>
    <row r="38" customFormat="false" ht="15" hidden="false" customHeight="false" outlineLevel="0" collapsed="false">
      <c r="A38" s="7" t="s">
        <v>59</v>
      </c>
      <c r="C38" s="7" t="s">
        <v>84</v>
      </c>
      <c r="D38" s="7" t="s">
        <v>85</v>
      </c>
      <c r="E38" s="7" t="s">
        <v>85</v>
      </c>
      <c r="F38" s="7" t="n">
        <v>1987</v>
      </c>
      <c r="G38" s="7" t="s">
        <v>82</v>
      </c>
      <c r="H38" s="7" t="s">
        <v>87</v>
      </c>
      <c r="J38" s="7" t="s">
        <v>64</v>
      </c>
      <c r="K38" s="7" t="s">
        <v>65</v>
      </c>
      <c r="L38" s="7" t="s">
        <v>66</v>
      </c>
      <c r="M38" s="7" t="n">
        <v>11.9</v>
      </c>
      <c r="N38" s="7" t="n">
        <v>9240</v>
      </c>
    </row>
    <row r="39" customFormat="false" ht="15" hidden="false" customHeight="false" outlineLevel="0" collapsed="false">
      <c r="A39" s="7" t="s">
        <v>59</v>
      </c>
      <c r="C39" s="7" t="s">
        <v>75</v>
      </c>
      <c r="D39" s="7" t="s">
        <v>76</v>
      </c>
      <c r="E39" s="7" t="s">
        <v>77</v>
      </c>
      <c r="F39" s="7" t="n">
        <v>1987</v>
      </c>
      <c r="G39" s="7" t="s">
        <v>82</v>
      </c>
      <c r="H39" s="7" t="s">
        <v>78</v>
      </c>
      <c r="J39" s="7" t="s">
        <v>64</v>
      </c>
      <c r="K39" s="7" t="s">
        <v>79</v>
      </c>
      <c r="L39" s="7" t="s">
        <v>88</v>
      </c>
      <c r="M39" s="7" t="n">
        <v>15.1</v>
      </c>
      <c r="N39" s="7" t="n">
        <v>1415</v>
      </c>
    </row>
    <row r="40" customFormat="false" ht="15" hidden="false" customHeight="false" outlineLevel="0" collapsed="false">
      <c r="A40" s="7" t="s">
        <v>59</v>
      </c>
      <c r="C40" s="7" t="s">
        <v>84</v>
      </c>
      <c r="D40" s="7" t="s">
        <v>85</v>
      </c>
      <c r="E40" s="7" t="s">
        <v>85</v>
      </c>
      <c r="F40" s="7" t="n">
        <v>1987</v>
      </c>
      <c r="G40" s="7" t="s">
        <v>68</v>
      </c>
      <c r="H40" s="7" t="s">
        <v>86</v>
      </c>
      <c r="J40" s="7" t="s">
        <v>64</v>
      </c>
      <c r="K40" s="7" t="s">
        <v>65</v>
      </c>
      <c r="L40" s="7" t="s">
        <v>66</v>
      </c>
      <c r="M40" s="7" t="n">
        <v>42.1</v>
      </c>
      <c r="N40" s="7" t="n">
        <v>9240</v>
      </c>
    </row>
    <row r="41" customFormat="false" ht="15" hidden="false" customHeight="false" outlineLevel="0" collapsed="false">
      <c r="A41" s="7" t="s">
        <v>59</v>
      </c>
      <c r="C41" s="7" t="s">
        <v>84</v>
      </c>
      <c r="D41" s="7" t="s">
        <v>85</v>
      </c>
      <c r="E41" s="7" t="s">
        <v>85</v>
      </c>
      <c r="F41" s="7" t="n">
        <v>1987</v>
      </c>
      <c r="G41" s="7" t="s">
        <v>68</v>
      </c>
      <c r="H41" s="7" t="s">
        <v>63</v>
      </c>
      <c r="J41" s="7" t="s">
        <v>64</v>
      </c>
      <c r="K41" s="7" t="s">
        <v>65</v>
      </c>
      <c r="L41" s="7" t="s">
        <v>66</v>
      </c>
      <c r="M41" s="7" t="n">
        <v>59.2</v>
      </c>
      <c r="N41" s="7" t="n">
        <v>9240</v>
      </c>
    </row>
    <row r="42" customFormat="false" ht="15" hidden="false" customHeight="false" outlineLevel="0" collapsed="false">
      <c r="A42" s="7" t="s">
        <v>59</v>
      </c>
      <c r="C42" s="7" t="s">
        <v>84</v>
      </c>
      <c r="D42" s="7" t="s">
        <v>85</v>
      </c>
      <c r="E42" s="7" t="s">
        <v>85</v>
      </c>
      <c r="F42" s="7" t="n">
        <v>1987</v>
      </c>
      <c r="G42" s="7" t="s">
        <v>68</v>
      </c>
      <c r="H42" s="7" t="s">
        <v>87</v>
      </c>
      <c r="J42" s="7" t="s">
        <v>64</v>
      </c>
      <c r="K42" s="7" t="s">
        <v>65</v>
      </c>
      <c r="L42" s="7" t="s">
        <v>66</v>
      </c>
      <c r="M42" s="7" t="n">
        <v>17.1</v>
      </c>
      <c r="N42" s="7" t="n">
        <v>9240</v>
      </c>
    </row>
    <row r="43" customFormat="false" ht="15" hidden="false" customHeight="false" outlineLevel="0" collapsed="false">
      <c r="A43" s="7" t="s">
        <v>59</v>
      </c>
      <c r="C43" s="7" t="s">
        <v>75</v>
      </c>
      <c r="D43" s="7" t="s">
        <v>76</v>
      </c>
      <c r="E43" s="7" t="s">
        <v>77</v>
      </c>
      <c r="F43" s="7" t="n">
        <v>1987</v>
      </c>
      <c r="G43" s="7" t="s">
        <v>68</v>
      </c>
      <c r="H43" s="7" t="s">
        <v>78</v>
      </c>
      <c r="J43" s="7" t="s">
        <v>64</v>
      </c>
      <c r="K43" s="7" t="s">
        <v>79</v>
      </c>
      <c r="L43" s="7" t="s">
        <v>88</v>
      </c>
      <c r="M43" s="7" t="n">
        <v>21</v>
      </c>
      <c r="N43" s="7" t="n">
        <v>1415</v>
      </c>
    </row>
    <row r="44" customFormat="false" ht="15" hidden="false" customHeight="false" outlineLevel="0" collapsed="false">
      <c r="A44" s="7" t="s">
        <v>59</v>
      </c>
      <c r="C44" s="7" t="s">
        <v>75</v>
      </c>
      <c r="D44" s="7" t="s">
        <v>76</v>
      </c>
      <c r="E44" s="7" t="s">
        <v>77</v>
      </c>
      <c r="F44" s="7" t="n">
        <v>1987</v>
      </c>
      <c r="G44" s="7" t="s">
        <v>83</v>
      </c>
      <c r="H44" s="7" t="s">
        <v>78</v>
      </c>
      <c r="J44" s="7" t="s">
        <v>64</v>
      </c>
      <c r="K44" s="7" t="s">
        <v>79</v>
      </c>
      <c r="L44" s="7" t="s">
        <v>88</v>
      </c>
      <c r="M44" s="7" t="n">
        <v>33.5</v>
      </c>
      <c r="N44" s="7" t="n">
        <v>1415</v>
      </c>
    </row>
    <row r="45" customFormat="false" ht="15" hidden="false" customHeight="false" outlineLevel="0" collapsed="false">
      <c r="A45" s="7" t="s">
        <v>59</v>
      </c>
      <c r="C45" s="7" t="s">
        <v>84</v>
      </c>
      <c r="D45" s="7" t="s">
        <v>85</v>
      </c>
      <c r="E45" s="7" t="s">
        <v>85</v>
      </c>
      <c r="F45" s="7" t="n">
        <v>1987</v>
      </c>
      <c r="G45" s="7" t="s">
        <v>69</v>
      </c>
      <c r="H45" s="7" t="s">
        <v>86</v>
      </c>
      <c r="J45" s="7" t="s">
        <v>64</v>
      </c>
      <c r="K45" s="7" t="s">
        <v>65</v>
      </c>
      <c r="L45" s="7" t="s">
        <v>66</v>
      </c>
      <c r="M45" s="7" t="n">
        <v>41.5</v>
      </c>
      <c r="N45" s="7" t="n">
        <v>9240</v>
      </c>
    </row>
    <row r="46" customFormat="false" ht="15" hidden="false" customHeight="false" outlineLevel="0" collapsed="false">
      <c r="A46" s="7" t="s">
        <v>59</v>
      </c>
      <c r="C46" s="7" t="s">
        <v>84</v>
      </c>
      <c r="D46" s="7" t="s">
        <v>85</v>
      </c>
      <c r="E46" s="7" t="s">
        <v>85</v>
      </c>
      <c r="F46" s="7" t="n">
        <v>1987</v>
      </c>
      <c r="G46" s="7" t="s">
        <v>69</v>
      </c>
      <c r="H46" s="7" t="s">
        <v>63</v>
      </c>
      <c r="J46" s="7" t="s">
        <v>64</v>
      </c>
      <c r="K46" s="7" t="s">
        <v>65</v>
      </c>
      <c r="L46" s="7" t="s">
        <v>66</v>
      </c>
      <c r="M46" s="7" t="n">
        <v>57</v>
      </c>
      <c r="N46" s="7" t="n">
        <v>9240</v>
      </c>
    </row>
    <row r="47" customFormat="false" ht="15" hidden="false" customHeight="false" outlineLevel="0" collapsed="false">
      <c r="A47" s="7" t="s">
        <v>59</v>
      </c>
      <c r="C47" s="7" t="s">
        <v>84</v>
      </c>
      <c r="D47" s="7" t="s">
        <v>85</v>
      </c>
      <c r="E47" s="7" t="s">
        <v>85</v>
      </c>
      <c r="F47" s="7" t="n">
        <v>1987</v>
      </c>
      <c r="G47" s="7" t="s">
        <v>69</v>
      </c>
      <c r="H47" s="7" t="s">
        <v>87</v>
      </c>
      <c r="J47" s="7" t="s">
        <v>64</v>
      </c>
      <c r="K47" s="7" t="s">
        <v>65</v>
      </c>
      <c r="L47" s="7" t="s">
        <v>66</v>
      </c>
      <c r="M47" s="7" t="n">
        <v>15.5</v>
      </c>
      <c r="N47" s="7" t="n">
        <v>9240</v>
      </c>
    </row>
    <row r="48" customFormat="false" ht="15" hidden="false" customHeight="false" outlineLevel="0" collapsed="false">
      <c r="A48" s="7" t="s">
        <v>59</v>
      </c>
      <c r="C48" s="7" t="s">
        <v>75</v>
      </c>
      <c r="D48" s="7" t="s">
        <v>76</v>
      </c>
      <c r="E48" s="7" t="s">
        <v>77</v>
      </c>
      <c r="F48" s="7" t="n">
        <v>1987</v>
      </c>
      <c r="G48" s="7" t="s">
        <v>69</v>
      </c>
      <c r="H48" s="7" t="s">
        <v>78</v>
      </c>
      <c r="J48" s="7" t="s">
        <v>64</v>
      </c>
      <c r="K48" s="7" t="s">
        <v>79</v>
      </c>
      <c r="L48" s="7" t="s">
        <v>88</v>
      </c>
      <c r="M48" s="7" t="n">
        <v>22.6</v>
      </c>
      <c r="N48" s="7" t="n">
        <v>1415</v>
      </c>
    </row>
    <row r="49" customFormat="false" ht="15" hidden="false" customHeight="false" outlineLevel="0" collapsed="false">
      <c r="A49" s="7" t="s">
        <v>59</v>
      </c>
      <c r="C49" s="7" t="s">
        <v>89</v>
      </c>
      <c r="D49" s="7" t="s">
        <v>85</v>
      </c>
      <c r="E49" s="7" t="s">
        <v>85</v>
      </c>
      <c r="F49" s="7" t="n">
        <v>1987</v>
      </c>
      <c r="G49" s="7" t="s">
        <v>72</v>
      </c>
      <c r="H49" s="7" t="s">
        <v>90</v>
      </c>
      <c r="J49" s="7" t="s">
        <v>64</v>
      </c>
      <c r="L49" s="7" t="s">
        <v>71</v>
      </c>
      <c r="M49" s="7" t="n">
        <v>16</v>
      </c>
    </row>
    <row r="50" customFormat="false" ht="15" hidden="false" customHeight="false" outlineLevel="0" collapsed="false">
      <c r="A50" s="7" t="s">
        <v>59</v>
      </c>
      <c r="C50" s="7" t="s">
        <v>75</v>
      </c>
      <c r="D50" s="7" t="s">
        <v>76</v>
      </c>
      <c r="E50" s="7" t="s">
        <v>77</v>
      </c>
      <c r="F50" s="7" t="n">
        <v>1988</v>
      </c>
      <c r="G50" s="7" t="s">
        <v>62</v>
      </c>
      <c r="H50" s="7" t="s">
        <v>78</v>
      </c>
      <c r="J50" s="7" t="s">
        <v>64</v>
      </c>
      <c r="K50" s="7" t="s">
        <v>79</v>
      </c>
      <c r="L50" s="7" t="s">
        <v>91</v>
      </c>
      <c r="M50" s="7" t="n">
        <v>36</v>
      </c>
      <c r="N50" s="7" t="n">
        <v>1320</v>
      </c>
    </row>
    <row r="51" customFormat="false" ht="15" hidden="false" customHeight="false" outlineLevel="0" collapsed="false">
      <c r="A51" s="7" t="s">
        <v>59</v>
      </c>
      <c r="C51" s="7" t="s">
        <v>75</v>
      </c>
      <c r="D51" s="7" t="s">
        <v>76</v>
      </c>
      <c r="E51" s="7" t="s">
        <v>77</v>
      </c>
      <c r="F51" s="7" t="n">
        <v>1988</v>
      </c>
      <c r="G51" s="7" t="s">
        <v>81</v>
      </c>
      <c r="H51" s="7" t="s">
        <v>78</v>
      </c>
      <c r="J51" s="7" t="s">
        <v>64</v>
      </c>
      <c r="K51" s="7" t="s">
        <v>79</v>
      </c>
      <c r="L51" s="7" t="s">
        <v>91</v>
      </c>
      <c r="M51" s="7" t="n">
        <v>34.2</v>
      </c>
      <c r="N51" s="7" t="n">
        <v>1320</v>
      </c>
    </row>
    <row r="52" customFormat="false" ht="15" hidden="false" customHeight="false" outlineLevel="0" collapsed="false">
      <c r="A52" s="7" t="s">
        <v>59</v>
      </c>
      <c r="C52" s="7" t="s">
        <v>75</v>
      </c>
      <c r="D52" s="7" t="s">
        <v>76</v>
      </c>
      <c r="E52" s="7" t="s">
        <v>77</v>
      </c>
      <c r="F52" s="7" t="n">
        <v>1988</v>
      </c>
      <c r="G52" s="7" t="s">
        <v>67</v>
      </c>
      <c r="H52" s="7" t="s">
        <v>78</v>
      </c>
      <c r="J52" s="7" t="s">
        <v>64</v>
      </c>
      <c r="K52" s="7" t="s">
        <v>79</v>
      </c>
      <c r="L52" s="7" t="s">
        <v>91</v>
      </c>
      <c r="M52" s="7" t="n">
        <v>18.2</v>
      </c>
      <c r="N52" s="7" t="n">
        <v>1320</v>
      </c>
    </row>
    <row r="53" customFormat="false" ht="15" hidden="false" customHeight="false" outlineLevel="0" collapsed="false">
      <c r="A53" s="7" t="s">
        <v>59</v>
      </c>
      <c r="C53" s="7" t="s">
        <v>75</v>
      </c>
      <c r="D53" s="7" t="s">
        <v>76</v>
      </c>
      <c r="E53" s="7" t="s">
        <v>77</v>
      </c>
      <c r="F53" s="7" t="n">
        <v>1988</v>
      </c>
      <c r="G53" s="7" t="s">
        <v>82</v>
      </c>
      <c r="H53" s="7" t="s">
        <v>78</v>
      </c>
      <c r="J53" s="7" t="s">
        <v>64</v>
      </c>
      <c r="K53" s="7" t="s">
        <v>79</v>
      </c>
      <c r="L53" s="7" t="s">
        <v>91</v>
      </c>
      <c r="M53" s="7" t="n">
        <v>11.7</v>
      </c>
      <c r="N53" s="7" t="n">
        <v>1320</v>
      </c>
    </row>
    <row r="54" customFormat="false" ht="15" hidden="false" customHeight="false" outlineLevel="0" collapsed="false">
      <c r="A54" s="7" t="s">
        <v>59</v>
      </c>
      <c r="C54" s="7" t="s">
        <v>75</v>
      </c>
      <c r="D54" s="7" t="s">
        <v>76</v>
      </c>
      <c r="E54" s="7" t="s">
        <v>77</v>
      </c>
      <c r="F54" s="7" t="n">
        <v>1988</v>
      </c>
      <c r="G54" s="7" t="s">
        <v>68</v>
      </c>
      <c r="H54" s="7" t="s">
        <v>78</v>
      </c>
      <c r="J54" s="7" t="s">
        <v>64</v>
      </c>
      <c r="K54" s="7" t="s">
        <v>79</v>
      </c>
      <c r="L54" s="7" t="s">
        <v>91</v>
      </c>
      <c r="M54" s="7" t="n">
        <v>18.8</v>
      </c>
      <c r="N54" s="7" t="n">
        <v>1320</v>
      </c>
    </row>
    <row r="55" customFormat="false" ht="15" hidden="false" customHeight="false" outlineLevel="0" collapsed="false">
      <c r="A55" s="7" t="s">
        <v>59</v>
      </c>
      <c r="C55" s="7" t="s">
        <v>75</v>
      </c>
      <c r="D55" s="7" t="s">
        <v>76</v>
      </c>
      <c r="E55" s="7" t="s">
        <v>77</v>
      </c>
      <c r="F55" s="7" t="n">
        <v>1988</v>
      </c>
      <c r="G55" s="7" t="s">
        <v>83</v>
      </c>
      <c r="H55" s="7" t="s">
        <v>78</v>
      </c>
      <c r="J55" s="7" t="s">
        <v>64</v>
      </c>
      <c r="K55" s="7" t="s">
        <v>79</v>
      </c>
      <c r="L55" s="7" t="s">
        <v>91</v>
      </c>
      <c r="M55" s="7" t="n">
        <v>34.1</v>
      </c>
      <c r="N55" s="7" t="n">
        <v>1320</v>
      </c>
    </row>
    <row r="56" customFormat="false" ht="15" hidden="false" customHeight="false" outlineLevel="0" collapsed="false">
      <c r="A56" s="7" t="s">
        <v>59</v>
      </c>
      <c r="C56" s="7" t="s">
        <v>75</v>
      </c>
      <c r="D56" s="7" t="s">
        <v>76</v>
      </c>
      <c r="E56" s="7" t="s">
        <v>77</v>
      </c>
      <c r="F56" s="7" t="n">
        <v>1988</v>
      </c>
      <c r="G56" s="7" t="s">
        <v>69</v>
      </c>
      <c r="H56" s="7" t="s">
        <v>78</v>
      </c>
      <c r="J56" s="7" t="s">
        <v>64</v>
      </c>
      <c r="K56" s="7" t="s">
        <v>79</v>
      </c>
      <c r="L56" s="7" t="s">
        <v>91</v>
      </c>
      <c r="M56" s="7" t="n">
        <v>18.2</v>
      </c>
      <c r="N56" s="7" t="n">
        <v>1320</v>
      </c>
    </row>
    <row r="57" customFormat="false" ht="15" hidden="false" customHeight="false" outlineLevel="0" collapsed="false">
      <c r="A57" s="7" t="s">
        <v>59</v>
      </c>
      <c r="C57" s="7" t="s">
        <v>75</v>
      </c>
      <c r="D57" s="7" t="s">
        <v>76</v>
      </c>
      <c r="E57" s="7" t="s">
        <v>77</v>
      </c>
      <c r="F57" s="7" t="n">
        <v>1989</v>
      </c>
      <c r="G57" s="7" t="s">
        <v>62</v>
      </c>
      <c r="H57" s="7" t="s">
        <v>78</v>
      </c>
      <c r="I57" s="7" t="n">
        <v>34.7</v>
      </c>
      <c r="J57" s="7" t="s">
        <v>64</v>
      </c>
      <c r="K57" s="7" t="s">
        <v>79</v>
      </c>
      <c r="L57" s="7" t="s">
        <v>66</v>
      </c>
      <c r="M57" s="7" t="n">
        <v>48.3</v>
      </c>
      <c r="N57" s="7" t="n">
        <v>1380</v>
      </c>
    </row>
    <row r="58" customFormat="false" ht="15" hidden="false" customHeight="false" outlineLevel="0" collapsed="false">
      <c r="A58" s="7" t="s">
        <v>59</v>
      </c>
      <c r="C58" s="7" t="s">
        <v>75</v>
      </c>
      <c r="D58" s="7" t="s">
        <v>76</v>
      </c>
      <c r="E58" s="7" t="s">
        <v>77</v>
      </c>
      <c r="F58" s="7" t="n">
        <v>1989</v>
      </c>
      <c r="G58" s="7" t="s">
        <v>62</v>
      </c>
      <c r="H58" s="7" t="s">
        <v>86</v>
      </c>
      <c r="I58" s="7" t="n">
        <v>34.7</v>
      </c>
      <c r="J58" s="7" t="s">
        <v>64</v>
      </c>
      <c r="K58" s="7" t="s">
        <v>65</v>
      </c>
      <c r="L58" s="7" t="s">
        <v>66</v>
      </c>
      <c r="M58" s="7" t="n">
        <v>34.2</v>
      </c>
      <c r="N58" s="7" t="n">
        <v>1380</v>
      </c>
    </row>
    <row r="59" customFormat="false" ht="15" hidden="false" customHeight="false" outlineLevel="0" collapsed="false">
      <c r="A59" s="7" t="s">
        <v>59</v>
      </c>
      <c r="C59" s="7" t="s">
        <v>75</v>
      </c>
      <c r="D59" s="7" t="s">
        <v>76</v>
      </c>
      <c r="E59" s="7" t="s">
        <v>77</v>
      </c>
      <c r="F59" s="7" t="n">
        <v>1989</v>
      </c>
      <c r="G59" s="7" t="s">
        <v>62</v>
      </c>
      <c r="H59" s="7" t="s">
        <v>92</v>
      </c>
      <c r="I59" s="7" t="n">
        <v>34.7</v>
      </c>
      <c r="J59" s="7" t="s">
        <v>64</v>
      </c>
      <c r="K59" s="7" t="s">
        <v>79</v>
      </c>
      <c r="L59" s="7" t="s">
        <v>66</v>
      </c>
      <c r="M59" s="7" t="n">
        <v>27.2</v>
      </c>
      <c r="N59" s="7" t="n">
        <v>1380</v>
      </c>
    </row>
    <row r="60" customFormat="false" ht="15" hidden="false" customHeight="false" outlineLevel="0" collapsed="false">
      <c r="A60" s="7" t="s">
        <v>59</v>
      </c>
      <c r="C60" s="7" t="s">
        <v>75</v>
      </c>
      <c r="D60" s="7" t="s">
        <v>76</v>
      </c>
      <c r="E60" s="7" t="s">
        <v>77</v>
      </c>
      <c r="F60" s="7" t="n">
        <v>1989</v>
      </c>
      <c r="G60" s="7" t="s">
        <v>62</v>
      </c>
      <c r="H60" s="7" t="s">
        <v>63</v>
      </c>
      <c r="I60" s="7" t="n">
        <v>34.7</v>
      </c>
      <c r="J60" s="7" t="s">
        <v>64</v>
      </c>
      <c r="K60" s="7" t="s">
        <v>65</v>
      </c>
      <c r="L60" s="7" t="s">
        <v>66</v>
      </c>
      <c r="M60" s="7" t="n">
        <v>60.7</v>
      </c>
      <c r="N60" s="7" t="n">
        <v>1380</v>
      </c>
    </row>
    <row r="61" customFormat="false" ht="15" hidden="false" customHeight="false" outlineLevel="0" collapsed="false">
      <c r="A61" s="7" t="s">
        <v>59</v>
      </c>
      <c r="C61" s="7" t="s">
        <v>75</v>
      </c>
      <c r="D61" s="7" t="s">
        <v>76</v>
      </c>
      <c r="E61" s="7" t="s">
        <v>77</v>
      </c>
      <c r="F61" s="7" t="n">
        <v>1989</v>
      </c>
      <c r="G61" s="7" t="s">
        <v>62</v>
      </c>
      <c r="H61" s="7" t="s">
        <v>87</v>
      </c>
      <c r="I61" s="7" t="n">
        <v>34.7</v>
      </c>
      <c r="J61" s="7" t="s">
        <v>64</v>
      </c>
      <c r="K61" s="7" t="s">
        <v>65</v>
      </c>
      <c r="L61" s="7" t="s">
        <v>66</v>
      </c>
      <c r="M61" s="7" t="n">
        <v>26.5</v>
      </c>
      <c r="N61" s="7" t="n">
        <v>1380</v>
      </c>
    </row>
    <row r="62" customFormat="false" ht="15" hidden="false" customHeight="false" outlineLevel="0" collapsed="false">
      <c r="A62" s="7" t="s">
        <v>59</v>
      </c>
      <c r="C62" s="7" t="s">
        <v>75</v>
      </c>
      <c r="D62" s="7" t="s">
        <v>76</v>
      </c>
      <c r="E62" s="7" t="s">
        <v>77</v>
      </c>
      <c r="F62" s="7" t="n">
        <v>1989</v>
      </c>
      <c r="G62" s="7" t="s">
        <v>81</v>
      </c>
      <c r="H62" s="7" t="s">
        <v>78</v>
      </c>
      <c r="I62" s="7" t="n">
        <v>34.7</v>
      </c>
      <c r="J62" s="7" t="s">
        <v>64</v>
      </c>
      <c r="K62" s="7" t="s">
        <v>79</v>
      </c>
      <c r="L62" s="7" t="s">
        <v>66</v>
      </c>
      <c r="M62" s="7" t="n">
        <v>47.5</v>
      </c>
      <c r="N62" s="7" t="n">
        <v>1380</v>
      </c>
    </row>
    <row r="63" customFormat="false" ht="15" hidden="false" customHeight="false" outlineLevel="0" collapsed="false">
      <c r="A63" s="7" t="s">
        <v>59</v>
      </c>
      <c r="C63" s="7" t="s">
        <v>75</v>
      </c>
      <c r="D63" s="7" t="s">
        <v>76</v>
      </c>
      <c r="E63" s="7" t="s">
        <v>77</v>
      </c>
      <c r="F63" s="7" t="n">
        <v>1989</v>
      </c>
      <c r="G63" s="7" t="s">
        <v>81</v>
      </c>
      <c r="H63" s="7" t="s">
        <v>86</v>
      </c>
      <c r="I63" s="7" t="n">
        <v>34.7</v>
      </c>
      <c r="J63" s="7" t="s">
        <v>64</v>
      </c>
      <c r="K63" s="7" t="s">
        <v>65</v>
      </c>
      <c r="L63" s="7" t="s">
        <v>66</v>
      </c>
      <c r="M63" s="7" t="n">
        <v>33.2</v>
      </c>
      <c r="N63" s="7" t="n">
        <v>1380</v>
      </c>
    </row>
    <row r="64" customFormat="false" ht="15" hidden="false" customHeight="false" outlineLevel="0" collapsed="false">
      <c r="A64" s="7" t="s">
        <v>59</v>
      </c>
      <c r="C64" s="7" t="s">
        <v>75</v>
      </c>
      <c r="D64" s="7" t="s">
        <v>76</v>
      </c>
      <c r="E64" s="7" t="s">
        <v>77</v>
      </c>
      <c r="F64" s="7" t="n">
        <v>1989</v>
      </c>
      <c r="G64" s="7" t="s">
        <v>81</v>
      </c>
      <c r="H64" s="7" t="s">
        <v>92</v>
      </c>
      <c r="I64" s="7" t="n">
        <v>34.7</v>
      </c>
      <c r="J64" s="7" t="s">
        <v>64</v>
      </c>
      <c r="K64" s="7" t="s">
        <v>79</v>
      </c>
      <c r="L64" s="7" t="s">
        <v>66</v>
      </c>
      <c r="M64" s="7" t="n">
        <v>26.6</v>
      </c>
      <c r="N64" s="7" t="n">
        <v>1380</v>
      </c>
    </row>
    <row r="65" customFormat="false" ht="15" hidden="false" customHeight="false" outlineLevel="0" collapsed="false">
      <c r="A65" s="7" t="s">
        <v>59</v>
      </c>
      <c r="C65" s="7" t="s">
        <v>75</v>
      </c>
      <c r="D65" s="7" t="s">
        <v>76</v>
      </c>
      <c r="E65" s="7" t="s">
        <v>77</v>
      </c>
      <c r="F65" s="7" t="n">
        <v>1989</v>
      </c>
      <c r="G65" s="7" t="s">
        <v>81</v>
      </c>
      <c r="H65" s="7" t="s">
        <v>63</v>
      </c>
      <c r="I65" s="7" t="n">
        <v>34.7</v>
      </c>
      <c r="J65" s="7" t="s">
        <v>64</v>
      </c>
      <c r="K65" s="7" t="s">
        <v>65</v>
      </c>
      <c r="L65" s="7" t="s">
        <v>66</v>
      </c>
      <c r="M65" s="7" t="n">
        <v>59.2</v>
      </c>
      <c r="N65" s="7" t="n">
        <v>1380</v>
      </c>
    </row>
    <row r="66" customFormat="false" ht="15" hidden="false" customHeight="false" outlineLevel="0" collapsed="false">
      <c r="A66" s="7" t="s">
        <v>59</v>
      </c>
      <c r="C66" s="7" t="s">
        <v>75</v>
      </c>
      <c r="D66" s="7" t="s">
        <v>76</v>
      </c>
      <c r="E66" s="7" t="s">
        <v>77</v>
      </c>
      <c r="F66" s="7" t="n">
        <v>1989</v>
      </c>
      <c r="G66" s="7" t="s">
        <v>81</v>
      </c>
      <c r="H66" s="7" t="s">
        <v>87</v>
      </c>
      <c r="I66" s="7" t="n">
        <v>34.7</v>
      </c>
      <c r="J66" s="7" t="s">
        <v>64</v>
      </c>
      <c r="K66" s="7" t="s">
        <v>65</v>
      </c>
      <c r="L66" s="7" t="s">
        <v>66</v>
      </c>
      <c r="M66" s="7" t="n">
        <v>26</v>
      </c>
      <c r="N66" s="7" t="n">
        <v>1380</v>
      </c>
    </row>
    <row r="67" customFormat="false" ht="15" hidden="false" customHeight="false" outlineLevel="0" collapsed="false">
      <c r="A67" s="7" t="s">
        <v>59</v>
      </c>
      <c r="C67" s="7" t="s">
        <v>75</v>
      </c>
      <c r="D67" s="7" t="s">
        <v>76</v>
      </c>
      <c r="E67" s="7" t="s">
        <v>77</v>
      </c>
      <c r="F67" s="7" t="n">
        <v>1989</v>
      </c>
      <c r="G67" s="7" t="s">
        <v>67</v>
      </c>
      <c r="H67" s="7" t="s">
        <v>78</v>
      </c>
      <c r="I67" s="7" t="n">
        <v>34.7</v>
      </c>
      <c r="J67" s="7" t="s">
        <v>64</v>
      </c>
      <c r="K67" s="7" t="s">
        <v>79</v>
      </c>
      <c r="L67" s="7" t="s">
        <v>66</v>
      </c>
      <c r="M67" s="7" t="n">
        <v>25.4</v>
      </c>
      <c r="N67" s="7" t="n">
        <v>1380</v>
      </c>
    </row>
    <row r="68" customFormat="false" ht="15" hidden="false" customHeight="false" outlineLevel="0" collapsed="false">
      <c r="A68" s="7" t="s">
        <v>59</v>
      </c>
      <c r="C68" s="7" t="s">
        <v>75</v>
      </c>
      <c r="D68" s="7" t="s">
        <v>76</v>
      </c>
      <c r="E68" s="7" t="s">
        <v>77</v>
      </c>
      <c r="F68" s="7" t="n">
        <v>1989</v>
      </c>
      <c r="G68" s="7" t="s">
        <v>67</v>
      </c>
      <c r="H68" s="7" t="s">
        <v>86</v>
      </c>
      <c r="I68" s="7" t="n">
        <v>34.7</v>
      </c>
      <c r="J68" s="7" t="s">
        <v>64</v>
      </c>
      <c r="K68" s="7" t="s">
        <v>65</v>
      </c>
      <c r="L68" s="7" t="s">
        <v>66</v>
      </c>
      <c r="M68" s="7" t="n">
        <v>20</v>
      </c>
      <c r="N68" s="7" t="n">
        <v>1380</v>
      </c>
    </row>
    <row r="69" customFormat="false" ht="15" hidden="false" customHeight="false" outlineLevel="0" collapsed="false">
      <c r="A69" s="7" t="s">
        <v>59</v>
      </c>
      <c r="C69" s="7" t="s">
        <v>75</v>
      </c>
      <c r="D69" s="7" t="s">
        <v>76</v>
      </c>
      <c r="E69" s="7" t="s">
        <v>77</v>
      </c>
      <c r="F69" s="7" t="n">
        <v>1989</v>
      </c>
      <c r="G69" s="7" t="s">
        <v>67</v>
      </c>
      <c r="H69" s="7" t="s">
        <v>92</v>
      </c>
      <c r="I69" s="7" t="n">
        <v>34.7</v>
      </c>
      <c r="J69" s="7" t="s">
        <v>64</v>
      </c>
      <c r="K69" s="7" t="s">
        <v>79</v>
      </c>
      <c r="L69" s="7" t="s">
        <v>66</v>
      </c>
      <c r="M69" s="7" t="n">
        <v>15.3</v>
      </c>
      <c r="N69" s="7" t="n">
        <v>1380</v>
      </c>
    </row>
    <row r="70" customFormat="false" ht="15" hidden="false" customHeight="false" outlineLevel="0" collapsed="false">
      <c r="A70" s="7" t="s">
        <v>59</v>
      </c>
      <c r="C70" s="7" t="s">
        <v>75</v>
      </c>
      <c r="D70" s="7" t="s">
        <v>76</v>
      </c>
      <c r="E70" s="7" t="s">
        <v>77</v>
      </c>
      <c r="F70" s="7" t="n">
        <v>1989</v>
      </c>
      <c r="G70" s="7" t="s">
        <v>67</v>
      </c>
      <c r="H70" s="7" t="s">
        <v>63</v>
      </c>
      <c r="I70" s="7" t="n">
        <v>34.7</v>
      </c>
      <c r="J70" s="7" t="s">
        <v>64</v>
      </c>
      <c r="K70" s="7" t="s">
        <v>65</v>
      </c>
      <c r="L70" s="7" t="s">
        <v>66</v>
      </c>
      <c r="M70" s="7" t="n">
        <v>33.3</v>
      </c>
      <c r="N70" s="7" t="n">
        <v>1380</v>
      </c>
    </row>
    <row r="71" customFormat="false" ht="15" hidden="false" customHeight="false" outlineLevel="0" collapsed="false">
      <c r="A71" s="7" t="s">
        <v>59</v>
      </c>
      <c r="C71" s="7" t="s">
        <v>75</v>
      </c>
      <c r="D71" s="7" t="s">
        <v>76</v>
      </c>
      <c r="E71" s="7" t="s">
        <v>77</v>
      </c>
      <c r="F71" s="7" t="n">
        <v>1989</v>
      </c>
      <c r="G71" s="7" t="s">
        <v>67</v>
      </c>
      <c r="H71" s="7" t="s">
        <v>87</v>
      </c>
      <c r="I71" s="7" t="n">
        <v>34.7</v>
      </c>
      <c r="J71" s="7" t="s">
        <v>64</v>
      </c>
      <c r="K71" s="7" t="s">
        <v>65</v>
      </c>
      <c r="L71" s="7" t="s">
        <v>66</v>
      </c>
      <c r="M71" s="7" t="n">
        <v>13.3</v>
      </c>
      <c r="N71" s="7" t="n">
        <v>1380</v>
      </c>
    </row>
    <row r="72" customFormat="false" ht="15" hidden="false" customHeight="false" outlineLevel="0" collapsed="false">
      <c r="A72" s="7" t="s">
        <v>59</v>
      </c>
      <c r="C72" s="7" t="s">
        <v>75</v>
      </c>
      <c r="D72" s="7" t="s">
        <v>76</v>
      </c>
      <c r="E72" s="7" t="s">
        <v>77</v>
      </c>
      <c r="F72" s="7" t="n">
        <v>1989</v>
      </c>
      <c r="G72" s="7" t="s">
        <v>82</v>
      </c>
      <c r="H72" s="7" t="s">
        <v>78</v>
      </c>
      <c r="I72" s="7" t="n">
        <v>34.7</v>
      </c>
      <c r="J72" s="7" t="s">
        <v>64</v>
      </c>
      <c r="K72" s="7" t="s">
        <v>79</v>
      </c>
      <c r="L72" s="7" t="s">
        <v>66</v>
      </c>
      <c r="M72" s="7" t="n">
        <v>18.3</v>
      </c>
      <c r="N72" s="7" t="n">
        <v>1380</v>
      </c>
    </row>
    <row r="73" customFormat="false" ht="15" hidden="false" customHeight="false" outlineLevel="0" collapsed="false">
      <c r="A73" s="7" t="s">
        <v>59</v>
      </c>
      <c r="C73" s="7" t="s">
        <v>75</v>
      </c>
      <c r="D73" s="7" t="s">
        <v>76</v>
      </c>
      <c r="E73" s="7" t="s">
        <v>77</v>
      </c>
      <c r="F73" s="7" t="n">
        <v>1989</v>
      </c>
      <c r="G73" s="7" t="s">
        <v>82</v>
      </c>
      <c r="H73" s="7" t="s">
        <v>86</v>
      </c>
      <c r="I73" s="7" t="n">
        <v>34.7</v>
      </c>
      <c r="J73" s="7" t="s">
        <v>64</v>
      </c>
      <c r="K73" s="7" t="s">
        <v>65</v>
      </c>
      <c r="L73" s="7" t="s">
        <v>66</v>
      </c>
      <c r="M73" s="7" t="n">
        <v>18</v>
      </c>
      <c r="N73" s="7" t="n">
        <v>1380</v>
      </c>
    </row>
    <row r="74" customFormat="false" ht="15" hidden="false" customHeight="false" outlineLevel="0" collapsed="false">
      <c r="A74" s="7" t="s">
        <v>59</v>
      </c>
      <c r="C74" s="7" t="s">
        <v>75</v>
      </c>
      <c r="D74" s="7" t="s">
        <v>76</v>
      </c>
      <c r="E74" s="7" t="s">
        <v>77</v>
      </c>
      <c r="F74" s="7" t="n">
        <v>1989</v>
      </c>
      <c r="G74" s="7" t="s">
        <v>82</v>
      </c>
      <c r="H74" s="7" t="s">
        <v>92</v>
      </c>
      <c r="I74" s="7" t="n">
        <v>34.7</v>
      </c>
      <c r="J74" s="7" t="s">
        <v>64</v>
      </c>
      <c r="K74" s="7" t="s">
        <v>79</v>
      </c>
      <c r="L74" s="7" t="s">
        <v>66</v>
      </c>
      <c r="M74" s="7" t="n">
        <v>11.1</v>
      </c>
      <c r="N74" s="7" t="n">
        <v>1380</v>
      </c>
    </row>
    <row r="75" customFormat="false" ht="15" hidden="false" customHeight="false" outlineLevel="0" collapsed="false">
      <c r="A75" s="7" t="s">
        <v>59</v>
      </c>
      <c r="C75" s="7" t="s">
        <v>75</v>
      </c>
      <c r="D75" s="7" t="s">
        <v>76</v>
      </c>
      <c r="E75" s="7" t="s">
        <v>77</v>
      </c>
      <c r="F75" s="7" t="n">
        <v>1989</v>
      </c>
      <c r="G75" s="7" t="s">
        <v>82</v>
      </c>
      <c r="H75" s="7" t="s">
        <v>63</v>
      </c>
      <c r="I75" s="7" t="n">
        <v>34.7</v>
      </c>
      <c r="J75" s="7" t="s">
        <v>64</v>
      </c>
      <c r="K75" s="7" t="s">
        <v>65</v>
      </c>
      <c r="L75" s="7" t="s">
        <v>66</v>
      </c>
      <c r="M75" s="7" t="n">
        <v>29.6</v>
      </c>
      <c r="N75" s="7" t="n">
        <v>1380</v>
      </c>
    </row>
    <row r="76" customFormat="false" ht="15" hidden="false" customHeight="false" outlineLevel="0" collapsed="false">
      <c r="A76" s="7" t="s">
        <v>59</v>
      </c>
      <c r="C76" s="7" t="s">
        <v>75</v>
      </c>
      <c r="D76" s="7" t="s">
        <v>76</v>
      </c>
      <c r="E76" s="7" t="s">
        <v>77</v>
      </c>
      <c r="F76" s="7" t="n">
        <v>1989</v>
      </c>
      <c r="G76" s="7" t="s">
        <v>82</v>
      </c>
      <c r="H76" s="7" t="s">
        <v>87</v>
      </c>
      <c r="I76" s="7" t="n">
        <v>34.7</v>
      </c>
      <c r="J76" s="7" t="s">
        <v>64</v>
      </c>
      <c r="K76" s="7" t="s">
        <v>65</v>
      </c>
      <c r="L76" s="7" t="s">
        <v>66</v>
      </c>
      <c r="M76" s="7" t="n">
        <v>11.6</v>
      </c>
      <c r="N76" s="7" t="n">
        <v>1380</v>
      </c>
    </row>
    <row r="77" customFormat="false" ht="15" hidden="false" customHeight="false" outlineLevel="0" collapsed="false">
      <c r="A77" s="7" t="s">
        <v>59</v>
      </c>
      <c r="C77" s="7" t="s">
        <v>75</v>
      </c>
      <c r="D77" s="7" t="s">
        <v>76</v>
      </c>
      <c r="E77" s="7" t="s">
        <v>77</v>
      </c>
      <c r="F77" s="7" t="n">
        <v>1989</v>
      </c>
      <c r="G77" s="7" t="s">
        <v>68</v>
      </c>
      <c r="H77" s="7" t="s">
        <v>78</v>
      </c>
      <c r="I77" s="7" t="n">
        <v>34.7</v>
      </c>
      <c r="J77" s="7" t="s">
        <v>64</v>
      </c>
      <c r="K77" s="7" t="s">
        <v>79</v>
      </c>
      <c r="L77" s="7" t="s">
        <v>66</v>
      </c>
      <c r="M77" s="7" t="n">
        <v>28.1</v>
      </c>
      <c r="N77" s="7" t="n">
        <v>1380</v>
      </c>
    </row>
    <row r="78" customFormat="false" ht="15" hidden="false" customHeight="false" outlineLevel="0" collapsed="false">
      <c r="A78" s="7" t="s">
        <v>59</v>
      </c>
      <c r="C78" s="7" t="s">
        <v>75</v>
      </c>
      <c r="D78" s="7" t="s">
        <v>76</v>
      </c>
      <c r="E78" s="7" t="s">
        <v>77</v>
      </c>
      <c r="F78" s="7" t="n">
        <v>1989</v>
      </c>
      <c r="G78" s="7" t="s">
        <v>68</v>
      </c>
      <c r="H78" s="7" t="s">
        <v>86</v>
      </c>
      <c r="I78" s="7" t="n">
        <v>34.7</v>
      </c>
      <c r="J78" s="7" t="s">
        <v>64</v>
      </c>
      <c r="K78" s="7" t="s">
        <v>65</v>
      </c>
      <c r="L78" s="7" t="s">
        <v>66</v>
      </c>
      <c r="M78" s="7" t="n">
        <v>23.9</v>
      </c>
      <c r="N78" s="7" t="n">
        <v>1380</v>
      </c>
    </row>
    <row r="79" customFormat="false" ht="15" hidden="false" customHeight="false" outlineLevel="0" collapsed="false">
      <c r="A79" s="7" t="s">
        <v>59</v>
      </c>
      <c r="C79" s="7" t="s">
        <v>75</v>
      </c>
      <c r="D79" s="7" t="s">
        <v>76</v>
      </c>
      <c r="E79" s="7" t="s">
        <v>77</v>
      </c>
      <c r="F79" s="7" t="n">
        <v>1989</v>
      </c>
      <c r="G79" s="7" t="s">
        <v>68</v>
      </c>
      <c r="H79" s="7" t="s">
        <v>92</v>
      </c>
      <c r="I79" s="7" t="n">
        <v>34.7</v>
      </c>
      <c r="J79" s="7" t="s">
        <v>64</v>
      </c>
      <c r="K79" s="7" t="s">
        <v>79</v>
      </c>
      <c r="L79" s="7" t="s">
        <v>66</v>
      </c>
      <c r="M79" s="7" t="n">
        <v>14.6</v>
      </c>
      <c r="N79" s="7" t="n">
        <v>1380</v>
      </c>
    </row>
    <row r="80" customFormat="false" ht="15" hidden="false" customHeight="false" outlineLevel="0" collapsed="false">
      <c r="A80" s="7" t="s">
        <v>59</v>
      </c>
      <c r="C80" s="7" t="s">
        <v>75</v>
      </c>
      <c r="D80" s="7" t="s">
        <v>76</v>
      </c>
      <c r="E80" s="7" t="s">
        <v>77</v>
      </c>
      <c r="F80" s="7" t="n">
        <v>1989</v>
      </c>
      <c r="G80" s="7" t="s">
        <v>68</v>
      </c>
      <c r="H80" s="7" t="s">
        <v>63</v>
      </c>
      <c r="I80" s="7" t="n">
        <v>34.7</v>
      </c>
      <c r="J80" s="7" t="s">
        <v>64</v>
      </c>
      <c r="K80" s="7" t="s">
        <v>65</v>
      </c>
      <c r="L80" s="7" t="s">
        <v>66</v>
      </c>
      <c r="M80" s="7" t="n">
        <v>46</v>
      </c>
      <c r="N80" s="7" t="n">
        <v>1380</v>
      </c>
    </row>
    <row r="81" customFormat="false" ht="15" hidden="false" customHeight="false" outlineLevel="0" collapsed="false">
      <c r="A81" s="7" t="s">
        <v>59</v>
      </c>
      <c r="C81" s="7" t="s">
        <v>75</v>
      </c>
      <c r="D81" s="7" t="s">
        <v>76</v>
      </c>
      <c r="E81" s="7" t="s">
        <v>77</v>
      </c>
      <c r="F81" s="7" t="n">
        <v>1989</v>
      </c>
      <c r="G81" s="7" t="s">
        <v>68</v>
      </c>
      <c r="H81" s="7" t="s">
        <v>87</v>
      </c>
      <c r="I81" s="7" t="n">
        <v>34.7</v>
      </c>
      <c r="J81" s="7" t="s">
        <v>64</v>
      </c>
      <c r="K81" s="7" t="s">
        <v>65</v>
      </c>
      <c r="L81" s="7" t="s">
        <v>66</v>
      </c>
      <c r="M81" s="7" t="n">
        <v>22.1</v>
      </c>
      <c r="N81" s="7" t="n">
        <v>1380</v>
      </c>
    </row>
    <row r="82" customFormat="false" ht="15" hidden="false" customHeight="false" outlineLevel="0" collapsed="false">
      <c r="A82" s="7" t="s">
        <v>59</v>
      </c>
      <c r="C82" s="7" t="s">
        <v>75</v>
      </c>
      <c r="D82" s="7" t="s">
        <v>76</v>
      </c>
      <c r="E82" s="7" t="s">
        <v>77</v>
      </c>
      <c r="F82" s="7" t="n">
        <v>1989</v>
      </c>
      <c r="G82" s="7" t="s">
        <v>83</v>
      </c>
      <c r="H82" s="7" t="s">
        <v>78</v>
      </c>
      <c r="I82" s="7" t="n">
        <v>34.7</v>
      </c>
      <c r="J82" s="7" t="s">
        <v>64</v>
      </c>
      <c r="K82" s="7" t="s">
        <v>79</v>
      </c>
      <c r="L82" s="7" t="s">
        <v>66</v>
      </c>
      <c r="M82" s="7" t="n">
        <v>47.8</v>
      </c>
      <c r="N82" s="7" t="n">
        <v>1380</v>
      </c>
    </row>
    <row r="83" customFormat="false" ht="15" hidden="false" customHeight="false" outlineLevel="0" collapsed="false">
      <c r="A83" s="7" t="s">
        <v>59</v>
      </c>
      <c r="C83" s="7" t="s">
        <v>75</v>
      </c>
      <c r="D83" s="7" t="s">
        <v>76</v>
      </c>
      <c r="E83" s="7" t="s">
        <v>77</v>
      </c>
      <c r="F83" s="7" t="n">
        <v>1989</v>
      </c>
      <c r="G83" s="7" t="s">
        <v>83</v>
      </c>
      <c r="H83" s="7" t="s">
        <v>86</v>
      </c>
      <c r="I83" s="7" t="n">
        <v>34.7</v>
      </c>
      <c r="J83" s="7" t="s">
        <v>64</v>
      </c>
      <c r="K83" s="7" t="s">
        <v>65</v>
      </c>
      <c r="L83" s="7" t="s">
        <v>66</v>
      </c>
      <c r="M83" s="7" t="n">
        <v>33.7</v>
      </c>
      <c r="N83" s="7" t="n">
        <v>1380</v>
      </c>
    </row>
    <row r="84" customFormat="false" ht="15" hidden="false" customHeight="false" outlineLevel="0" collapsed="false">
      <c r="A84" s="7" t="s">
        <v>59</v>
      </c>
      <c r="C84" s="7" t="s">
        <v>75</v>
      </c>
      <c r="D84" s="7" t="s">
        <v>76</v>
      </c>
      <c r="E84" s="7" t="s">
        <v>77</v>
      </c>
      <c r="F84" s="7" t="n">
        <v>1989</v>
      </c>
      <c r="G84" s="7" t="s">
        <v>83</v>
      </c>
      <c r="H84" s="7" t="s">
        <v>92</v>
      </c>
      <c r="I84" s="7" t="n">
        <v>34.7</v>
      </c>
      <c r="J84" s="7" t="s">
        <v>64</v>
      </c>
      <c r="K84" s="7" t="s">
        <v>79</v>
      </c>
      <c r="L84" s="7" t="s">
        <v>66</v>
      </c>
      <c r="M84" s="7" t="n">
        <v>27</v>
      </c>
      <c r="N84" s="7" t="n">
        <v>1380</v>
      </c>
    </row>
    <row r="85" customFormat="false" ht="15" hidden="false" customHeight="false" outlineLevel="0" collapsed="false">
      <c r="A85" s="7" t="s">
        <v>59</v>
      </c>
      <c r="C85" s="7" t="s">
        <v>75</v>
      </c>
      <c r="D85" s="7" t="s">
        <v>76</v>
      </c>
      <c r="E85" s="7" t="s">
        <v>77</v>
      </c>
      <c r="F85" s="7" t="n">
        <v>1989</v>
      </c>
      <c r="G85" s="7" t="s">
        <v>83</v>
      </c>
      <c r="H85" s="7" t="s">
        <v>63</v>
      </c>
      <c r="I85" s="7" t="n">
        <v>34.7</v>
      </c>
      <c r="J85" s="7" t="s">
        <v>64</v>
      </c>
      <c r="K85" s="7" t="s">
        <v>65</v>
      </c>
      <c r="L85" s="7" t="s">
        <v>66</v>
      </c>
      <c r="M85" s="7" t="n">
        <v>59.7</v>
      </c>
      <c r="N85" s="7" t="n">
        <v>1380</v>
      </c>
    </row>
    <row r="86" customFormat="false" ht="15" hidden="false" customHeight="false" outlineLevel="0" collapsed="false">
      <c r="A86" s="7" t="s">
        <v>59</v>
      </c>
      <c r="C86" s="7" t="s">
        <v>75</v>
      </c>
      <c r="D86" s="7" t="s">
        <v>76</v>
      </c>
      <c r="E86" s="7" t="s">
        <v>77</v>
      </c>
      <c r="F86" s="7" t="n">
        <v>1989</v>
      </c>
      <c r="G86" s="7" t="s">
        <v>83</v>
      </c>
      <c r="H86" s="7" t="s">
        <v>87</v>
      </c>
      <c r="I86" s="7" t="n">
        <v>34.7</v>
      </c>
      <c r="J86" s="7" t="s">
        <v>64</v>
      </c>
      <c r="K86" s="7" t="s">
        <v>65</v>
      </c>
      <c r="L86" s="7" t="s">
        <v>66</v>
      </c>
      <c r="M86" s="7" t="n">
        <v>26</v>
      </c>
      <c r="N86" s="7" t="n">
        <v>1380</v>
      </c>
    </row>
    <row r="87" customFormat="false" ht="15" hidden="false" customHeight="false" outlineLevel="0" collapsed="false">
      <c r="A87" s="7" t="s">
        <v>59</v>
      </c>
      <c r="C87" s="7" t="s">
        <v>75</v>
      </c>
      <c r="D87" s="7" t="s">
        <v>76</v>
      </c>
      <c r="E87" s="7" t="s">
        <v>77</v>
      </c>
      <c r="F87" s="7" t="n">
        <v>1989</v>
      </c>
      <c r="G87" s="7" t="s">
        <v>69</v>
      </c>
      <c r="H87" s="7" t="s">
        <v>78</v>
      </c>
      <c r="I87" s="7" t="n">
        <v>34.7</v>
      </c>
      <c r="J87" s="7" t="s">
        <v>64</v>
      </c>
      <c r="K87" s="7" t="s">
        <v>79</v>
      </c>
      <c r="L87" s="7" t="s">
        <v>66</v>
      </c>
      <c r="M87" s="7" t="n">
        <v>25.4</v>
      </c>
      <c r="N87" s="7" t="n">
        <v>1380</v>
      </c>
    </row>
    <row r="88" customFormat="false" ht="15" hidden="false" customHeight="false" outlineLevel="0" collapsed="false">
      <c r="A88" s="7" t="s">
        <v>59</v>
      </c>
      <c r="C88" s="7" t="s">
        <v>75</v>
      </c>
      <c r="D88" s="7" t="s">
        <v>76</v>
      </c>
      <c r="E88" s="7" t="s">
        <v>77</v>
      </c>
      <c r="F88" s="7" t="n">
        <v>1989</v>
      </c>
      <c r="G88" s="7" t="s">
        <v>69</v>
      </c>
      <c r="H88" s="7" t="s">
        <v>86</v>
      </c>
      <c r="I88" s="7" t="n">
        <v>34.7</v>
      </c>
      <c r="J88" s="7" t="s">
        <v>64</v>
      </c>
      <c r="K88" s="7" t="s">
        <v>65</v>
      </c>
      <c r="L88" s="7" t="s">
        <v>66</v>
      </c>
      <c r="M88" s="7" t="n">
        <v>20.1</v>
      </c>
      <c r="N88" s="7" t="n">
        <v>1380</v>
      </c>
    </row>
    <row r="89" customFormat="false" ht="15" hidden="false" customHeight="false" outlineLevel="0" collapsed="false">
      <c r="A89" s="7" t="s">
        <v>59</v>
      </c>
      <c r="C89" s="7" t="s">
        <v>75</v>
      </c>
      <c r="D89" s="7" t="s">
        <v>76</v>
      </c>
      <c r="E89" s="7" t="s">
        <v>77</v>
      </c>
      <c r="F89" s="7" t="n">
        <v>1989</v>
      </c>
      <c r="G89" s="7" t="s">
        <v>69</v>
      </c>
      <c r="H89" s="7" t="s">
        <v>92</v>
      </c>
      <c r="I89" s="7" t="n">
        <v>34.7</v>
      </c>
      <c r="J89" s="7" t="s">
        <v>64</v>
      </c>
      <c r="K89" s="7" t="s">
        <v>79</v>
      </c>
      <c r="L89" s="7" t="s">
        <v>66</v>
      </c>
      <c r="M89" s="7" t="n">
        <v>15.3</v>
      </c>
      <c r="N89" s="7" t="n">
        <v>1380</v>
      </c>
    </row>
    <row r="90" customFormat="false" ht="15" hidden="false" customHeight="false" outlineLevel="0" collapsed="false">
      <c r="A90" s="7" t="s">
        <v>59</v>
      </c>
      <c r="C90" s="7" t="s">
        <v>75</v>
      </c>
      <c r="D90" s="7" t="s">
        <v>76</v>
      </c>
      <c r="E90" s="7" t="s">
        <v>77</v>
      </c>
      <c r="F90" s="7" t="n">
        <v>1989</v>
      </c>
      <c r="G90" s="7" t="s">
        <v>69</v>
      </c>
      <c r="H90" s="7" t="s">
        <v>63</v>
      </c>
      <c r="I90" s="7" t="n">
        <v>34.7</v>
      </c>
      <c r="J90" s="7" t="s">
        <v>64</v>
      </c>
      <c r="K90" s="7" t="s">
        <v>65</v>
      </c>
      <c r="L90" s="7" t="s">
        <v>66</v>
      </c>
      <c r="M90" s="7" t="n">
        <v>33.4</v>
      </c>
      <c r="N90" s="7" t="n">
        <v>1380</v>
      </c>
    </row>
    <row r="91" customFormat="false" ht="15" hidden="false" customHeight="false" outlineLevel="0" collapsed="false">
      <c r="A91" s="7" t="s">
        <v>59</v>
      </c>
      <c r="C91" s="7" t="s">
        <v>75</v>
      </c>
      <c r="D91" s="7" t="s">
        <v>76</v>
      </c>
      <c r="E91" s="7" t="s">
        <v>77</v>
      </c>
      <c r="F91" s="7" t="n">
        <v>1989</v>
      </c>
      <c r="G91" s="7" t="s">
        <v>69</v>
      </c>
      <c r="H91" s="7" t="s">
        <v>87</v>
      </c>
      <c r="I91" s="7" t="n">
        <v>34.7</v>
      </c>
      <c r="J91" s="7" t="s">
        <v>64</v>
      </c>
      <c r="K91" s="7" t="s">
        <v>65</v>
      </c>
      <c r="L91" s="7" t="s">
        <v>66</v>
      </c>
      <c r="M91" s="7" t="n">
        <v>13.3</v>
      </c>
      <c r="N91" s="7" t="n">
        <v>1380</v>
      </c>
    </row>
    <row r="92" customFormat="false" ht="15" hidden="false" customHeight="false" outlineLevel="0" collapsed="false">
      <c r="A92" s="7" t="s">
        <v>59</v>
      </c>
      <c r="C92" s="7" t="s">
        <v>75</v>
      </c>
      <c r="D92" s="7" t="s">
        <v>76</v>
      </c>
      <c r="E92" s="7" t="s">
        <v>77</v>
      </c>
      <c r="F92" s="7" t="n">
        <v>1989</v>
      </c>
      <c r="G92" s="7" t="s">
        <v>72</v>
      </c>
      <c r="H92" s="7" t="s">
        <v>63</v>
      </c>
      <c r="J92" s="7" t="s">
        <v>64</v>
      </c>
      <c r="L92" s="7" t="s">
        <v>71</v>
      </c>
      <c r="M92" s="7" t="n">
        <v>40.9</v>
      </c>
    </row>
    <row r="93" customFormat="false" ht="15" hidden="false" customHeight="false" outlineLevel="0" collapsed="false">
      <c r="A93" s="7" t="s">
        <v>59</v>
      </c>
      <c r="C93" s="7" t="s">
        <v>93</v>
      </c>
      <c r="D93" s="7" t="s">
        <v>94</v>
      </c>
      <c r="E93" s="7" t="s">
        <v>95</v>
      </c>
      <c r="F93" s="7" t="n">
        <v>1993</v>
      </c>
      <c r="G93" s="7" t="s">
        <v>72</v>
      </c>
      <c r="H93" s="7" t="s">
        <v>63</v>
      </c>
      <c r="J93" s="7" t="s">
        <v>64</v>
      </c>
      <c r="L93" s="7" t="s">
        <v>71</v>
      </c>
      <c r="M93" s="7" t="n">
        <v>20.8</v>
      </c>
    </row>
    <row r="94" customFormat="false" ht="15" hidden="false" customHeight="false" outlineLevel="0" collapsed="false">
      <c r="A94" s="7" t="s">
        <v>59</v>
      </c>
      <c r="C94" s="7" t="s">
        <v>93</v>
      </c>
      <c r="D94" s="7" t="s">
        <v>94</v>
      </c>
      <c r="E94" s="7" t="s">
        <v>95</v>
      </c>
      <c r="F94" s="7" t="n">
        <v>1994</v>
      </c>
      <c r="G94" s="7" t="s">
        <v>62</v>
      </c>
      <c r="H94" s="7" t="s">
        <v>86</v>
      </c>
      <c r="I94" s="7" t="n">
        <v>18.7</v>
      </c>
      <c r="J94" s="7" t="s">
        <v>64</v>
      </c>
      <c r="K94" s="7" t="s">
        <v>65</v>
      </c>
      <c r="L94" s="7" t="s">
        <v>66</v>
      </c>
      <c r="M94" s="7" t="n">
        <v>18.5</v>
      </c>
      <c r="N94" s="7" t="n">
        <v>1743</v>
      </c>
    </row>
    <row r="95" customFormat="false" ht="15" hidden="false" customHeight="false" outlineLevel="0" collapsed="false">
      <c r="A95" s="7" t="s">
        <v>59</v>
      </c>
      <c r="C95" s="7" t="s">
        <v>93</v>
      </c>
      <c r="D95" s="7" t="s">
        <v>94</v>
      </c>
      <c r="E95" s="7" t="s">
        <v>95</v>
      </c>
      <c r="F95" s="7" t="n">
        <v>1994</v>
      </c>
      <c r="G95" s="7" t="s">
        <v>62</v>
      </c>
      <c r="H95" s="7" t="s">
        <v>63</v>
      </c>
      <c r="I95" s="7" t="n">
        <v>18.7</v>
      </c>
      <c r="J95" s="7" t="s">
        <v>64</v>
      </c>
      <c r="K95" s="7" t="s">
        <v>65</v>
      </c>
      <c r="L95" s="7" t="s">
        <v>66</v>
      </c>
      <c r="M95" s="7" t="n">
        <v>52</v>
      </c>
      <c r="N95" s="7" t="n">
        <v>1743</v>
      </c>
    </row>
    <row r="96" customFormat="false" ht="15" hidden="false" customHeight="false" outlineLevel="0" collapsed="false">
      <c r="A96" s="7" t="s">
        <v>59</v>
      </c>
      <c r="C96" s="7" t="s">
        <v>93</v>
      </c>
      <c r="D96" s="7" t="s">
        <v>94</v>
      </c>
      <c r="E96" s="7" t="s">
        <v>95</v>
      </c>
      <c r="F96" s="7" t="n">
        <v>1994</v>
      </c>
      <c r="G96" s="7" t="s">
        <v>62</v>
      </c>
      <c r="H96" s="7" t="s">
        <v>87</v>
      </c>
      <c r="I96" s="7" t="n">
        <v>18.7</v>
      </c>
      <c r="J96" s="7" t="s">
        <v>64</v>
      </c>
      <c r="K96" s="7" t="s">
        <v>65</v>
      </c>
      <c r="L96" s="7" t="s">
        <v>66</v>
      </c>
      <c r="M96" s="7" t="n">
        <v>33.5</v>
      </c>
      <c r="N96" s="7" t="n">
        <v>1743</v>
      </c>
    </row>
    <row r="97" customFormat="false" ht="15" hidden="false" customHeight="false" outlineLevel="0" collapsed="false">
      <c r="A97" s="7" t="s">
        <v>59</v>
      </c>
      <c r="C97" s="7" t="s">
        <v>93</v>
      </c>
      <c r="D97" s="7" t="s">
        <v>94</v>
      </c>
      <c r="E97" s="7" t="s">
        <v>95</v>
      </c>
      <c r="F97" s="7" t="n">
        <v>1994</v>
      </c>
      <c r="G97" s="7" t="s">
        <v>67</v>
      </c>
      <c r="H97" s="7" t="s">
        <v>86</v>
      </c>
      <c r="I97" s="7" t="n">
        <v>18.7</v>
      </c>
      <c r="J97" s="7" t="s">
        <v>64</v>
      </c>
      <c r="K97" s="7" t="s">
        <v>65</v>
      </c>
      <c r="L97" s="7" t="s">
        <v>66</v>
      </c>
      <c r="M97" s="7" t="n">
        <v>12.1</v>
      </c>
      <c r="N97" s="7" t="n">
        <v>1743</v>
      </c>
    </row>
    <row r="98" customFormat="false" ht="15" hidden="false" customHeight="false" outlineLevel="0" collapsed="false">
      <c r="A98" s="7" t="s">
        <v>59</v>
      </c>
      <c r="C98" s="7" t="s">
        <v>93</v>
      </c>
      <c r="D98" s="7" t="s">
        <v>94</v>
      </c>
      <c r="E98" s="7" t="s">
        <v>95</v>
      </c>
      <c r="F98" s="7" t="n">
        <v>1994</v>
      </c>
      <c r="G98" s="7" t="s">
        <v>67</v>
      </c>
      <c r="H98" s="7" t="s">
        <v>63</v>
      </c>
      <c r="I98" s="7" t="n">
        <v>18.7</v>
      </c>
      <c r="J98" s="7" t="s">
        <v>64</v>
      </c>
      <c r="K98" s="7" t="s">
        <v>65</v>
      </c>
      <c r="L98" s="7" t="s">
        <v>66</v>
      </c>
      <c r="M98" s="7" t="n">
        <v>27.5</v>
      </c>
      <c r="N98" s="7" t="n">
        <v>1743</v>
      </c>
    </row>
    <row r="99" customFormat="false" ht="15" hidden="false" customHeight="false" outlineLevel="0" collapsed="false">
      <c r="A99" s="7" t="s">
        <v>59</v>
      </c>
      <c r="C99" s="7" t="s">
        <v>93</v>
      </c>
      <c r="D99" s="7" t="s">
        <v>94</v>
      </c>
      <c r="E99" s="7" t="s">
        <v>95</v>
      </c>
      <c r="F99" s="7" t="n">
        <v>1994</v>
      </c>
      <c r="G99" s="7" t="s">
        <v>67</v>
      </c>
      <c r="H99" s="7" t="s">
        <v>87</v>
      </c>
      <c r="I99" s="7" t="n">
        <v>18.7</v>
      </c>
      <c r="J99" s="7" t="s">
        <v>64</v>
      </c>
      <c r="K99" s="7" t="s">
        <v>65</v>
      </c>
      <c r="L99" s="7" t="s">
        <v>66</v>
      </c>
      <c r="M99" s="7" t="n">
        <v>15.4</v>
      </c>
      <c r="N99" s="7" t="n">
        <v>1743</v>
      </c>
    </row>
    <row r="100" customFormat="false" ht="15" hidden="false" customHeight="false" outlineLevel="0" collapsed="false">
      <c r="A100" s="7" t="s">
        <v>59</v>
      </c>
      <c r="C100" s="7" t="s">
        <v>93</v>
      </c>
      <c r="D100" s="7" t="s">
        <v>94</v>
      </c>
      <c r="E100" s="7" t="s">
        <v>95</v>
      </c>
      <c r="F100" s="7" t="n">
        <v>1994</v>
      </c>
      <c r="G100" s="7" t="s">
        <v>82</v>
      </c>
      <c r="H100" s="7" t="s">
        <v>86</v>
      </c>
      <c r="I100" s="7" t="n">
        <v>18.7</v>
      </c>
      <c r="J100" s="7" t="s">
        <v>64</v>
      </c>
      <c r="K100" s="7" t="s">
        <v>65</v>
      </c>
      <c r="L100" s="7" t="s">
        <v>66</v>
      </c>
      <c r="M100" s="7" t="n">
        <v>8</v>
      </c>
      <c r="N100" s="7" t="n">
        <v>1743</v>
      </c>
    </row>
    <row r="101" customFormat="false" ht="15" hidden="false" customHeight="false" outlineLevel="0" collapsed="false">
      <c r="A101" s="7" t="s">
        <v>59</v>
      </c>
      <c r="C101" s="7" t="s">
        <v>93</v>
      </c>
      <c r="D101" s="7" t="s">
        <v>94</v>
      </c>
      <c r="E101" s="7" t="s">
        <v>95</v>
      </c>
      <c r="F101" s="7" t="n">
        <v>1994</v>
      </c>
      <c r="G101" s="7" t="s">
        <v>82</v>
      </c>
      <c r="H101" s="7" t="s">
        <v>63</v>
      </c>
      <c r="I101" s="7" t="n">
        <v>18.7</v>
      </c>
      <c r="J101" s="7" t="s">
        <v>64</v>
      </c>
      <c r="K101" s="7" t="s">
        <v>65</v>
      </c>
      <c r="L101" s="7" t="s">
        <v>66</v>
      </c>
      <c r="M101" s="7" t="n">
        <v>22</v>
      </c>
      <c r="N101" s="7" t="n">
        <v>1743</v>
      </c>
    </row>
    <row r="102" customFormat="false" ht="15" hidden="false" customHeight="false" outlineLevel="0" collapsed="false">
      <c r="A102" s="7" t="s">
        <v>59</v>
      </c>
      <c r="C102" s="7" t="s">
        <v>93</v>
      </c>
      <c r="D102" s="7" t="s">
        <v>94</v>
      </c>
      <c r="E102" s="7" t="s">
        <v>95</v>
      </c>
      <c r="F102" s="7" t="n">
        <v>1994</v>
      </c>
      <c r="G102" s="7" t="s">
        <v>68</v>
      </c>
      <c r="H102" s="7" t="s">
        <v>86</v>
      </c>
      <c r="I102" s="7" t="n">
        <v>18.7</v>
      </c>
      <c r="J102" s="7" t="s">
        <v>64</v>
      </c>
      <c r="K102" s="7" t="s">
        <v>65</v>
      </c>
      <c r="L102" s="7" t="s">
        <v>66</v>
      </c>
      <c r="M102" s="7" t="n">
        <v>11</v>
      </c>
      <c r="N102" s="7" t="n">
        <v>1743</v>
      </c>
    </row>
    <row r="103" customFormat="false" ht="15" hidden="false" customHeight="false" outlineLevel="0" collapsed="false">
      <c r="A103" s="7" t="s">
        <v>59</v>
      </c>
      <c r="C103" s="7" t="s">
        <v>93</v>
      </c>
      <c r="D103" s="7" t="s">
        <v>94</v>
      </c>
      <c r="E103" s="7" t="s">
        <v>95</v>
      </c>
      <c r="F103" s="7" t="n">
        <v>1994</v>
      </c>
      <c r="G103" s="7" t="s">
        <v>68</v>
      </c>
      <c r="H103" s="7" t="s">
        <v>63</v>
      </c>
      <c r="I103" s="7" t="n">
        <v>18.7</v>
      </c>
      <c r="J103" s="7" t="s">
        <v>64</v>
      </c>
      <c r="K103" s="7" t="s">
        <v>65</v>
      </c>
      <c r="L103" s="7" t="s">
        <v>66</v>
      </c>
      <c r="M103" s="7" t="n">
        <v>39.9</v>
      </c>
      <c r="N103" s="7" t="n">
        <v>1743</v>
      </c>
    </row>
    <row r="104" customFormat="false" ht="15" hidden="false" customHeight="false" outlineLevel="0" collapsed="false">
      <c r="A104" s="7" t="s">
        <v>59</v>
      </c>
      <c r="C104" s="7" t="s">
        <v>93</v>
      </c>
      <c r="D104" s="7" t="s">
        <v>94</v>
      </c>
      <c r="E104" s="7" t="s">
        <v>95</v>
      </c>
      <c r="F104" s="7" t="n">
        <v>1994</v>
      </c>
      <c r="G104" s="7" t="s">
        <v>68</v>
      </c>
      <c r="H104" s="7" t="s">
        <v>87</v>
      </c>
      <c r="I104" s="7" t="n">
        <v>18.7</v>
      </c>
      <c r="J104" s="7" t="s">
        <v>64</v>
      </c>
      <c r="K104" s="7" t="s">
        <v>65</v>
      </c>
      <c r="L104" s="7" t="s">
        <v>66</v>
      </c>
      <c r="M104" s="7" t="n">
        <v>28.9</v>
      </c>
      <c r="N104" s="7" t="n">
        <v>1743</v>
      </c>
    </row>
    <row r="105" customFormat="false" ht="15" hidden="false" customHeight="false" outlineLevel="0" collapsed="false">
      <c r="A105" s="7" t="s">
        <v>59</v>
      </c>
      <c r="C105" s="7" t="s">
        <v>93</v>
      </c>
      <c r="D105" s="7" t="s">
        <v>94</v>
      </c>
      <c r="E105" s="7" t="s">
        <v>95</v>
      </c>
      <c r="F105" s="7" t="n">
        <v>1994</v>
      </c>
      <c r="G105" s="7" t="s">
        <v>69</v>
      </c>
      <c r="H105" s="7" t="s">
        <v>86</v>
      </c>
      <c r="I105" s="7" t="n">
        <v>18.7</v>
      </c>
      <c r="J105" s="7" t="s">
        <v>64</v>
      </c>
      <c r="K105" s="7" t="s">
        <v>65</v>
      </c>
      <c r="L105" s="7" t="s">
        <v>66</v>
      </c>
      <c r="M105" s="7" t="n">
        <v>10.6</v>
      </c>
      <c r="N105" s="7" t="n">
        <v>1743</v>
      </c>
    </row>
    <row r="106" customFormat="false" ht="15" hidden="false" customHeight="false" outlineLevel="0" collapsed="false">
      <c r="A106" s="7" t="s">
        <v>59</v>
      </c>
      <c r="C106" s="7" t="s">
        <v>93</v>
      </c>
      <c r="D106" s="7" t="s">
        <v>94</v>
      </c>
      <c r="E106" s="7" t="s">
        <v>95</v>
      </c>
      <c r="F106" s="7" t="n">
        <v>1994</v>
      </c>
      <c r="G106" s="7" t="s">
        <v>69</v>
      </c>
      <c r="H106" s="7" t="s">
        <v>63</v>
      </c>
      <c r="I106" s="7" t="n">
        <v>18.7</v>
      </c>
      <c r="J106" s="7" t="s">
        <v>64</v>
      </c>
      <c r="K106" s="7" t="s">
        <v>65</v>
      </c>
      <c r="L106" s="7" t="s">
        <v>66</v>
      </c>
      <c r="M106" s="7" t="n">
        <v>27.5</v>
      </c>
      <c r="N106" s="7" t="n">
        <v>1743</v>
      </c>
    </row>
    <row r="107" customFormat="false" ht="15" hidden="false" customHeight="false" outlineLevel="0" collapsed="false">
      <c r="A107" s="7" t="s">
        <v>59</v>
      </c>
      <c r="C107" s="7" t="s">
        <v>93</v>
      </c>
      <c r="D107" s="7" t="s">
        <v>94</v>
      </c>
      <c r="E107" s="7" t="s">
        <v>95</v>
      </c>
      <c r="F107" s="7" t="n">
        <v>1994</v>
      </c>
      <c r="G107" s="7" t="s">
        <v>69</v>
      </c>
      <c r="H107" s="7" t="s">
        <v>87</v>
      </c>
      <c r="I107" s="7" t="n">
        <v>18.7</v>
      </c>
      <c r="J107" s="7" t="s">
        <v>64</v>
      </c>
      <c r="K107" s="7" t="s">
        <v>65</v>
      </c>
      <c r="L107" s="7" t="s">
        <v>66</v>
      </c>
      <c r="M107" s="7" t="n">
        <v>16.9</v>
      </c>
      <c r="N107" s="7" t="n">
        <v>1743</v>
      </c>
    </row>
    <row r="108" customFormat="false" ht="15" hidden="false" customHeight="false" outlineLevel="0" collapsed="false">
      <c r="A108" s="7" t="s">
        <v>59</v>
      </c>
      <c r="B108" s="7" t="s">
        <v>96</v>
      </c>
      <c r="C108" s="7" t="s">
        <v>96</v>
      </c>
      <c r="D108" s="7" t="s">
        <v>97</v>
      </c>
      <c r="E108" s="7" t="s">
        <v>98</v>
      </c>
      <c r="F108" s="7" t="n">
        <v>1998</v>
      </c>
      <c r="G108" s="7" t="s">
        <v>62</v>
      </c>
      <c r="H108" s="7" t="s">
        <v>78</v>
      </c>
      <c r="J108" s="7" t="s">
        <v>64</v>
      </c>
      <c r="K108" s="7" t="s">
        <v>79</v>
      </c>
      <c r="L108" s="7" t="s">
        <v>66</v>
      </c>
      <c r="M108" s="7" t="n">
        <v>52</v>
      </c>
      <c r="N108" s="7" t="n">
        <v>1161</v>
      </c>
    </row>
    <row r="109" customFormat="false" ht="15" hidden="false" customHeight="false" outlineLevel="0" collapsed="false">
      <c r="A109" s="7" t="s">
        <v>59</v>
      </c>
      <c r="B109" s="7" t="s">
        <v>96</v>
      </c>
      <c r="C109" s="7" t="s">
        <v>96</v>
      </c>
      <c r="D109" s="7" t="s">
        <v>97</v>
      </c>
      <c r="E109" s="7" t="s">
        <v>98</v>
      </c>
      <c r="F109" s="7" t="n">
        <v>1998</v>
      </c>
      <c r="G109" s="7" t="s">
        <v>62</v>
      </c>
      <c r="H109" s="7" t="s">
        <v>86</v>
      </c>
      <c r="J109" s="7" t="s">
        <v>64</v>
      </c>
      <c r="K109" s="7" t="s">
        <v>65</v>
      </c>
      <c r="L109" s="7" t="s">
        <v>66</v>
      </c>
      <c r="M109" s="7" t="n">
        <v>18.7</v>
      </c>
      <c r="N109" s="7" t="n">
        <v>1161</v>
      </c>
    </row>
    <row r="110" customFormat="false" ht="15" hidden="false" customHeight="false" outlineLevel="0" collapsed="false">
      <c r="A110" s="7" t="s">
        <v>59</v>
      </c>
      <c r="B110" s="7" t="s">
        <v>96</v>
      </c>
      <c r="C110" s="7" t="s">
        <v>96</v>
      </c>
      <c r="D110" s="7" t="s">
        <v>97</v>
      </c>
      <c r="E110" s="7" t="s">
        <v>98</v>
      </c>
      <c r="F110" s="7" t="n">
        <v>1998</v>
      </c>
      <c r="G110" s="7" t="s">
        <v>62</v>
      </c>
      <c r="H110" s="7" t="s">
        <v>63</v>
      </c>
      <c r="J110" s="7" t="s">
        <v>64</v>
      </c>
      <c r="K110" s="7" t="s">
        <v>65</v>
      </c>
      <c r="L110" s="7" t="s">
        <v>66</v>
      </c>
      <c r="M110" s="7" t="n">
        <v>53.8</v>
      </c>
      <c r="N110" s="7" t="n">
        <v>1161</v>
      </c>
    </row>
    <row r="111" customFormat="false" ht="15" hidden="false" customHeight="false" outlineLevel="0" collapsed="false">
      <c r="A111" s="7" t="s">
        <v>59</v>
      </c>
      <c r="B111" s="7" t="s">
        <v>96</v>
      </c>
      <c r="C111" s="7" t="s">
        <v>96</v>
      </c>
      <c r="D111" s="7" t="s">
        <v>97</v>
      </c>
      <c r="E111" s="7" t="s">
        <v>98</v>
      </c>
      <c r="F111" s="7" t="n">
        <v>1998</v>
      </c>
      <c r="G111" s="7" t="s">
        <v>62</v>
      </c>
      <c r="H111" s="7" t="s">
        <v>87</v>
      </c>
      <c r="J111" s="7" t="s">
        <v>64</v>
      </c>
      <c r="K111" s="7" t="s">
        <v>65</v>
      </c>
      <c r="L111" s="7" t="s">
        <v>66</v>
      </c>
      <c r="M111" s="7" t="n">
        <v>35.1</v>
      </c>
      <c r="N111" s="7" t="n">
        <v>1161</v>
      </c>
    </row>
    <row r="112" customFormat="false" ht="15" hidden="false" customHeight="false" outlineLevel="0" collapsed="false">
      <c r="A112" s="7" t="s">
        <v>59</v>
      </c>
      <c r="B112" s="7" t="s">
        <v>96</v>
      </c>
      <c r="C112" s="7" t="s">
        <v>96</v>
      </c>
      <c r="D112" s="7" t="s">
        <v>97</v>
      </c>
      <c r="E112" s="7" t="s">
        <v>98</v>
      </c>
      <c r="F112" s="7" t="n">
        <v>1998</v>
      </c>
      <c r="G112" s="7" t="s">
        <v>81</v>
      </c>
      <c r="H112" s="7" t="s">
        <v>78</v>
      </c>
      <c r="J112" s="7" t="s">
        <v>64</v>
      </c>
      <c r="K112" s="7" t="s">
        <v>79</v>
      </c>
      <c r="L112" s="7" t="s">
        <v>66</v>
      </c>
      <c r="M112" s="7" t="n">
        <v>45.7</v>
      </c>
      <c r="N112" s="7" t="n">
        <v>1161</v>
      </c>
    </row>
    <row r="113" customFormat="false" ht="15" hidden="false" customHeight="false" outlineLevel="0" collapsed="false">
      <c r="A113" s="7" t="s">
        <v>59</v>
      </c>
      <c r="B113" s="7" t="s">
        <v>96</v>
      </c>
      <c r="C113" s="7" t="s">
        <v>96</v>
      </c>
      <c r="D113" s="7" t="s">
        <v>97</v>
      </c>
      <c r="E113" s="7" t="s">
        <v>98</v>
      </c>
      <c r="F113" s="7" t="n">
        <v>1998</v>
      </c>
      <c r="G113" s="7" t="s">
        <v>81</v>
      </c>
      <c r="H113" s="7" t="s">
        <v>86</v>
      </c>
      <c r="J113" s="7" t="s">
        <v>64</v>
      </c>
      <c r="K113" s="7" t="s">
        <v>65</v>
      </c>
      <c r="L113" s="7" t="s">
        <v>66</v>
      </c>
      <c r="M113" s="7" t="n">
        <v>16.4</v>
      </c>
      <c r="N113" s="7" t="n">
        <v>1161</v>
      </c>
    </row>
    <row r="114" customFormat="false" ht="15" hidden="false" customHeight="false" outlineLevel="0" collapsed="false">
      <c r="A114" s="7" t="s">
        <v>59</v>
      </c>
      <c r="B114" s="7" t="s">
        <v>96</v>
      </c>
      <c r="C114" s="7" t="s">
        <v>96</v>
      </c>
      <c r="D114" s="7" t="s">
        <v>97</v>
      </c>
      <c r="E114" s="7" t="s">
        <v>98</v>
      </c>
      <c r="F114" s="7" t="n">
        <v>1998</v>
      </c>
      <c r="G114" s="7" t="s">
        <v>81</v>
      </c>
      <c r="H114" s="7" t="s">
        <v>63</v>
      </c>
      <c r="J114" s="7" t="s">
        <v>64</v>
      </c>
      <c r="K114" s="7" t="s">
        <v>65</v>
      </c>
      <c r="L114" s="7" t="s">
        <v>66</v>
      </c>
      <c r="M114" s="7" t="n">
        <v>47.4</v>
      </c>
      <c r="N114" s="7" t="n">
        <v>1161</v>
      </c>
    </row>
    <row r="115" customFormat="false" ht="15" hidden="false" customHeight="false" outlineLevel="0" collapsed="false">
      <c r="A115" s="7" t="s">
        <v>59</v>
      </c>
      <c r="B115" s="7" t="s">
        <v>96</v>
      </c>
      <c r="C115" s="7" t="s">
        <v>96</v>
      </c>
      <c r="D115" s="7" t="s">
        <v>97</v>
      </c>
      <c r="E115" s="7" t="s">
        <v>98</v>
      </c>
      <c r="F115" s="7" t="n">
        <v>1998</v>
      </c>
      <c r="G115" s="7" t="s">
        <v>81</v>
      </c>
      <c r="H115" s="7" t="s">
        <v>87</v>
      </c>
      <c r="J115" s="7" t="s">
        <v>64</v>
      </c>
      <c r="K115" s="7" t="s">
        <v>65</v>
      </c>
      <c r="L115" s="7" t="s">
        <v>66</v>
      </c>
      <c r="M115" s="7" t="n">
        <v>31</v>
      </c>
      <c r="N115" s="7" t="n">
        <v>1161</v>
      </c>
    </row>
    <row r="116" customFormat="false" ht="15" hidden="false" customHeight="false" outlineLevel="0" collapsed="false">
      <c r="A116" s="7" t="s">
        <v>59</v>
      </c>
      <c r="B116" s="7" t="s">
        <v>96</v>
      </c>
      <c r="C116" s="7" t="s">
        <v>96</v>
      </c>
      <c r="D116" s="7" t="s">
        <v>97</v>
      </c>
      <c r="E116" s="7" t="s">
        <v>98</v>
      </c>
      <c r="F116" s="7" t="n">
        <v>1998</v>
      </c>
      <c r="G116" s="7" t="s">
        <v>67</v>
      </c>
      <c r="H116" s="7" t="s">
        <v>78</v>
      </c>
      <c r="J116" s="7" t="s">
        <v>64</v>
      </c>
      <c r="K116" s="7" t="s">
        <v>79</v>
      </c>
      <c r="L116" s="7" t="s">
        <v>66</v>
      </c>
      <c r="M116" s="7" t="n">
        <v>24.8</v>
      </c>
      <c r="N116" s="7" t="n">
        <v>1161</v>
      </c>
    </row>
    <row r="117" customFormat="false" ht="15" hidden="false" customHeight="false" outlineLevel="0" collapsed="false">
      <c r="A117" s="7" t="s">
        <v>59</v>
      </c>
      <c r="B117" s="7" t="s">
        <v>96</v>
      </c>
      <c r="C117" s="7" t="s">
        <v>96</v>
      </c>
      <c r="D117" s="7" t="s">
        <v>97</v>
      </c>
      <c r="E117" s="7" t="s">
        <v>98</v>
      </c>
      <c r="F117" s="7" t="n">
        <v>1998</v>
      </c>
      <c r="G117" s="7" t="s">
        <v>67</v>
      </c>
      <c r="H117" s="7" t="s">
        <v>86</v>
      </c>
      <c r="J117" s="7" t="s">
        <v>64</v>
      </c>
      <c r="K117" s="7" t="s">
        <v>65</v>
      </c>
      <c r="L117" s="7" t="s">
        <v>66</v>
      </c>
      <c r="M117" s="7" t="n">
        <v>10.6</v>
      </c>
      <c r="N117" s="7" t="n">
        <v>1161</v>
      </c>
    </row>
    <row r="118" customFormat="false" ht="15" hidden="false" customHeight="false" outlineLevel="0" collapsed="false">
      <c r="A118" s="7" t="s">
        <v>59</v>
      </c>
      <c r="B118" s="7" t="s">
        <v>96</v>
      </c>
      <c r="C118" s="7" t="s">
        <v>96</v>
      </c>
      <c r="D118" s="7" t="s">
        <v>97</v>
      </c>
      <c r="E118" s="7" t="s">
        <v>98</v>
      </c>
      <c r="F118" s="7" t="n">
        <v>1998</v>
      </c>
      <c r="G118" s="7" t="s">
        <v>67</v>
      </c>
      <c r="H118" s="7" t="s">
        <v>63</v>
      </c>
      <c r="J118" s="7" t="s">
        <v>64</v>
      </c>
      <c r="K118" s="7" t="s">
        <v>65</v>
      </c>
      <c r="L118" s="7" t="s">
        <v>66</v>
      </c>
      <c r="M118" s="7" t="n">
        <v>26.3</v>
      </c>
      <c r="N118" s="7" t="n">
        <v>1161</v>
      </c>
    </row>
    <row r="119" customFormat="false" ht="15" hidden="false" customHeight="false" outlineLevel="0" collapsed="false">
      <c r="A119" s="7" t="s">
        <v>59</v>
      </c>
      <c r="B119" s="7" t="s">
        <v>96</v>
      </c>
      <c r="C119" s="7" t="s">
        <v>96</v>
      </c>
      <c r="D119" s="7" t="s">
        <v>97</v>
      </c>
      <c r="E119" s="7" t="s">
        <v>98</v>
      </c>
      <c r="F119" s="7" t="n">
        <v>1998</v>
      </c>
      <c r="G119" s="7" t="s">
        <v>67</v>
      </c>
      <c r="H119" s="7" t="s">
        <v>87</v>
      </c>
      <c r="J119" s="7" t="s">
        <v>64</v>
      </c>
      <c r="K119" s="7" t="s">
        <v>65</v>
      </c>
      <c r="L119" s="7" t="s">
        <v>66</v>
      </c>
      <c r="M119" s="7" t="n">
        <v>15.7</v>
      </c>
      <c r="N119" s="7" t="n">
        <v>1161</v>
      </c>
    </row>
    <row r="120" customFormat="false" ht="15" hidden="false" customHeight="false" outlineLevel="0" collapsed="false">
      <c r="A120" s="7" t="s">
        <v>59</v>
      </c>
      <c r="B120" s="7" t="s">
        <v>96</v>
      </c>
      <c r="C120" s="7" t="s">
        <v>96</v>
      </c>
      <c r="D120" s="7" t="s">
        <v>97</v>
      </c>
      <c r="E120" s="7" t="s">
        <v>98</v>
      </c>
      <c r="F120" s="7" t="n">
        <v>1998</v>
      </c>
      <c r="G120" s="7" t="s">
        <v>82</v>
      </c>
      <c r="H120" s="7" t="s">
        <v>78</v>
      </c>
      <c r="J120" s="7" t="s">
        <v>64</v>
      </c>
      <c r="K120" s="7" t="s">
        <v>79</v>
      </c>
      <c r="L120" s="7" t="s">
        <v>66</v>
      </c>
      <c r="M120" s="7" t="n">
        <v>14.3</v>
      </c>
      <c r="N120" s="7" t="n">
        <v>1161</v>
      </c>
    </row>
    <row r="121" customFormat="false" ht="15" hidden="false" customHeight="false" outlineLevel="0" collapsed="false">
      <c r="A121" s="7" t="s">
        <v>59</v>
      </c>
      <c r="B121" s="7" t="s">
        <v>96</v>
      </c>
      <c r="C121" s="7" t="s">
        <v>96</v>
      </c>
      <c r="D121" s="7" t="s">
        <v>97</v>
      </c>
      <c r="E121" s="7" t="s">
        <v>98</v>
      </c>
      <c r="F121" s="7" t="n">
        <v>1998</v>
      </c>
      <c r="G121" s="7" t="s">
        <v>82</v>
      </c>
      <c r="H121" s="7" t="s">
        <v>86</v>
      </c>
      <c r="J121" s="7" t="s">
        <v>64</v>
      </c>
      <c r="K121" s="7" t="s">
        <v>65</v>
      </c>
      <c r="L121" s="7" t="s">
        <v>66</v>
      </c>
      <c r="M121" s="7" t="n">
        <v>7.7</v>
      </c>
      <c r="N121" s="7" t="n">
        <v>1161</v>
      </c>
    </row>
    <row r="122" customFormat="false" ht="15" hidden="false" customHeight="false" outlineLevel="0" collapsed="false">
      <c r="A122" s="7" t="s">
        <v>59</v>
      </c>
      <c r="B122" s="7" t="s">
        <v>96</v>
      </c>
      <c r="C122" s="7" t="s">
        <v>96</v>
      </c>
      <c r="D122" s="7" t="s">
        <v>97</v>
      </c>
      <c r="E122" s="7" t="s">
        <v>98</v>
      </c>
      <c r="F122" s="7" t="n">
        <v>1998</v>
      </c>
      <c r="G122" s="7" t="s">
        <v>82</v>
      </c>
      <c r="H122" s="7" t="s">
        <v>63</v>
      </c>
      <c r="J122" s="7" t="s">
        <v>64</v>
      </c>
      <c r="K122" s="7" t="s">
        <v>65</v>
      </c>
      <c r="L122" s="7" t="s">
        <v>66</v>
      </c>
      <c r="M122" s="7" t="n">
        <v>16.8</v>
      </c>
      <c r="N122" s="7" t="n">
        <v>1161</v>
      </c>
    </row>
    <row r="123" customFormat="false" ht="15" hidden="false" customHeight="false" outlineLevel="0" collapsed="false">
      <c r="A123" s="7" t="s">
        <v>59</v>
      </c>
      <c r="B123" s="7" t="s">
        <v>96</v>
      </c>
      <c r="C123" s="7" t="s">
        <v>96</v>
      </c>
      <c r="D123" s="7" t="s">
        <v>97</v>
      </c>
      <c r="E123" s="7" t="s">
        <v>98</v>
      </c>
      <c r="F123" s="7" t="n">
        <v>1998</v>
      </c>
      <c r="G123" s="7" t="s">
        <v>82</v>
      </c>
      <c r="H123" s="7" t="s">
        <v>87</v>
      </c>
      <c r="J123" s="7" t="s">
        <v>64</v>
      </c>
      <c r="K123" s="7" t="s">
        <v>65</v>
      </c>
      <c r="L123" s="7" t="s">
        <v>66</v>
      </c>
      <c r="M123" s="7" t="n">
        <v>9</v>
      </c>
      <c r="N123" s="7" t="n">
        <v>1161</v>
      </c>
    </row>
    <row r="124" customFormat="false" ht="15" hidden="false" customHeight="false" outlineLevel="0" collapsed="false">
      <c r="A124" s="7" t="s">
        <v>59</v>
      </c>
      <c r="B124" s="7" t="s">
        <v>96</v>
      </c>
      <c r="C124" s="7" t="s">
        <v>96</v>
      </c>
      <c r="D124" s="7" t="s">
        <v>97</v>
      </c>
      <c r="E124" s="7" t="s">
        <v>98</v>
      </c>
      <c r="F124" s="7" t="n">
        <v>1998</v>
      </c>
      <c r="G124" s="7" t="s">
        <v>68</v>
      </c>
      <c r="H124" s="7" t="s">
        <v>78</v>
      </c>
      <c r="J124" s="7" t="s">
        <v>64</v>
      </c>
      <c r="K124" s="7" t="s">
        <v>79</v>
      </c>
      <c r="L124" s="7" t="s">
        <v>66</v>
      </c>
      <c r="M124" s="7" t="n">
        <v>32.1</v>
      </c>
      <c r="N124" s="7" t="n">
        <v>1161</v>
      </c>
    </row>
    <row r="125" customFormat="false" ht="15" hidden="false" customHeight="false" outlineLevel="0" collapsed="false">
      <c r="A125" s="7" t="s">
        <v>59</v>
      </c>
      <c r="B125" s="7" t="s">
        <v>96</v>
      </c>
      <c r="C125" s="7" t="s">
        <v>96</v>
      </c>
      <c r="D125" s="7" t="s">
        <v>97</v>
      </c>
      <c r="E125" s="7" t="s">
        <v>98</v>
      </c>
      <c r="F125" s="7" t="n">
        <v>1998</v>
      </c>
      <c r="G125" s="7" t="s">
        <v>68</v>
      </c>
      <c r="H125" s="7" t="s">
        <v>86</v>
      </c>
      <c r="J125" s="7" t="s">
        <v>64</v>
      </c>
      <c r="K125" s="7" t="s">
        <v>65</v>
      </c>
      <c r="L125" s="7" t="s">
        <v>66</v>
      </c>
      <c r="M125" s="7" t="n">
        <v>13.1</v>
      </c>
      <c r="N125" s="7" t="n">
        <v>1161</v>
      </c>
    </row>
    <row r="126" customFormat="false" ht="15" hidden="false" customHeight="false" outlineLevel="0" collapsed="false">
      <c r="A126" s="7" t="s">
        <v>59</v>
      </c>
      <c r="B126" s="7" t="s">
        <v>96</v>
      </c>
      <c r="C126" s="7" t="s">
        <v>96</v>
      </c>
      <c r="D126" s="7" t="s">
        <v>97</v>
      </c>
      <c r="E126" s="7" t="s">
        <v>98</v>
      </c>
      <c r="F126" s="7" t="n">
        <v>1998</v>
      </c>
      <c r="G126" s="7" t="s">
        <v>68</v>
      </c>
      <c r="H126" s="7" t="s">
        <v>63</v>
      </c>
      <c r="J126" s="7" t="s">
        <v>64</v>
      </c>
      <c r="K126" s="7" t="s">
        <v>65</v>
      </c>
      <c r="L126" s="7" t="s">
        <v>66</v>
      </c>
      <c r="M126" s="7" t="n">
        <v>40.5</v>
      </c>
      <c r="N126" s="7" t="n">
        <v>1161</v>
      </c>
    </row>
    <row r="127" customFormat="false" ht="15" hidden="false" customHeight="false" outlineLevel="0" collapsed="false">
      <c r="A127" s="7" t="s">
        <v>59</v>
      </c>
      <c r="B127" s="7" t="s">
        <v>96</v>
      </c>
      <c r="C127" s="7" t="s">
        <v>96</v>
      </c>
      <c r="D127" s="7" t="s">
        <v>97</v>
      </c>
      <c r="E127" s="7" t="s">
        <v>98</v>
      </c>
      <c r="F127" s="7" t="n">
        <v>1998</v>
      </c>
      <c r="G127" s="7" t="s">
        <v>68</v>
      </c>
      <c r="H127" s="7" t="s">
        <v>87</v>
      </c>
      <c r="J127" s="7" t="s">
        <v>64</v>
      </c>
      <c r="K127" s="7" t="s">
        <v>65</v>
      </c>
      <c r="L127" s="7" t="s">
        <v>66</v>
      </c>
      <c r="M127" s="7" t="n">
        <v>27.4</v>
      </c>
      <c r="N127" s="7" t="n">
        <v>1161</v>
      </c>
    </row>
    <row r="128" customFormat="false" ht="15" hidden="false" customHeight="false" outlineLevel="0" collapsed="false">
      <c r="A128" s="7" t="s">
        <v>59</v>
      </c>
      <c r="B128" s="7" t="s">
        <v>96</v>
      </c>
      <c r="C128" s="7" t="s">
        <v>96</v>
      </c>
      <c r="D128" s="7" t="s">
        <v>97</v>
      </c>
      <c r="E128" s="7" t="s">
        <v>98</v>
      </c>
      <c r="F128" s="7" t="n">
        <v>1998</v>
      </c>
      <c r="G128" s="7" t="s">
        <v>83</v>
      </c>
      <c r="H128" s="7" t="s">
        <v>78</v>
      </c>
      <c r="J128" s="7" t="s">
        <v>64</v>
      </c>
      <c r="K128" s="7" t="s">
        <v>79</v>
      </c>
      <c r="L128" s="7" t="s">
        <v>66</v>
      </c>
      <c r="M128" s="7" t="n">
        <v>54.3</v>
      </c>
      <c r="N128" s="7" t="n">
        <v>1161</v>
      </c>
    </row>
    <row r="129" customFormat="false" ht="15" hidden="false" customHeight="false" outlineLevel="0" collapsed="false">
      <c r="A129" s="7" t="s">
        <v>59</v>
      </c>
      <c r="B129" s="7" t="s">
        <v>96</v>
      </c>
      <c r="C129" s="7" t="s">
        <v>96</v>
      </c>
      <c r="D129" s="7" t="s">
        <v>97</v>
      </c>
      <c r="E129" s="7" t="s">
        <v>98</v>
      </c>
      <c r="F129" s="7" t="n">
        <v>1998</v>
      </c>
      <c r="G129" s="7" t="s">
        <v>83</v>
      </c>
      <c r="H129" s="7" t="s">
        <v>86</v>
      </c>
      <c r="J129" s="7" t="s">
        <v>64</v>
      </c>
      <c r="K129" s="7" t="s">
        <v>65</v>
      </c>
      <c r="L129" s="7" t="s">
        <v>66</v>
      </c>
      <c r="M129" s="7" t="n">
        <v>17.5</v>
      </c>
      <c r="N129" s="7" t="n">
        <v>1161</v>
      </c>
    </row>
    <row r="130" customFormat="false" ht="15" hidden="false" customHeight="false" outlineLevel="0" collapsed="false">
      <c r="A130" s="7" t="s">
        <v>59</v>
      </c>
      <c r="B130" s="7" t="s">
        <v>96</v>
      </c>
      <c r="C130" s="7" t="s">
        <v>96</v>
      </c>
      <c r="D130" s="7" t="s">
        <v>97</v>
      </c>
      <c r="E130" s="7" t="s">
        <v>98</v>
      </c>
      <c r="F130" s="7" t="n">
        <v>1998</v>
      </c>
      <c r="G130" s="7" t="s">
        <v>83</v>
      </c>
      <c r="H130" s="7" t="s">
        <v>63</v>
      </c>
      <c r="J130" s="7" t="s">
        <v>64</v>
      </c>
      <c r="K130" s="7" t="s">
        <v>65</v>
      </c>
      <c r="L130" s="7" t="s">
        <v>66</v>
      </c>
      <c r="M130" s="7" t="n">
        <v>56.8</v>
      </c>
      <c r="N130" s="7" t="n">
        <v>1161</v>
      </c>
    </row>
    <row r="131" customFormat="false" ht="15" hidden="false" customHeight="false" outlineLevel="0" collapsed="false">
      <c r="A131" s="7" t="s">
        <v>59</v>
      </c>
      <c r="B131" s="7" t="s">
        <v>96</v>
      </c>
      <c r="C131" s="7" t="s">
        <v>96</v>
      </c>
      <c r="D131" s="7" t="s">
        <v>97</v>
      </c>
      <c r="E131" s="7" t="s">
        <v>98</v>
      </c>
      <c r="F131" s="7" t="n">
        <v>1998</v>
      </c>
      <c r="G131" s="7" t="s">
        <v>83</v>
      </c>
      <c r="H131" s="7" t="s">
        <v>87</v>
      </c>
      <c r="J131" s="7" t="s">
        <v>64</v>
      </c>
      <c r="K131" s="7" t="s">
        <v>65</v>
      </c>
      <c r="L131" s="7" t="s">
        <v>66</v>
      </c>
      <c r="M131" s="7" t="n">
        <v>39.2</v>
      </c>
      <c r="N131" s="7" t="n">
        <v>1161</v>
      </c>
    </row>
    <row r="132" customFormat="false" ht="15" hidden="false" customHeight="false" outlineLevel="0" collapsed="false">
      <c r="A132" s="7" t="s">
        <v>59</v>
      </c>
      <c r="B132" s="7" t="s">
        <v>96</v>
      </c>
      <c r="C132" s="7" t="s">
        <v>96</v>
      </c>
      <c r="D132" s="7" t="s">
        <v>97</v>
      </c>
      <c r="E132" s="7" t="s">
        <v>98</v>
      </c>
      <c r="F132" s="7" t="n">
        <v>1998</v>
      </c>
      <c r="G132" s="7" t="s">
        <v>69</v>
      </c>
      <c r="H132" s="7" t="s">
        <v>78</v>
      </c>
      <c r="J132" s="7" t="s">
        <v>64</v>
      </c>
      <c r="K132" s="7" t="s">
        <v>79</v>
      </c>
      <c r="L132" s="7" t="s">
        <v>66</v>
      </c>
      <c r="M132" s="7" t="n">
        <v>23</v>
      </c>
      <c r="N132" s="7" t="n">
        <v>1161</v>
      </c>
    </row>
    <row r="133" customFormat="false" ht="15" hidden="false" customHeight="false" outlineLevel="0" collapsed="false">
      <c r="A133" s="7" t="s">
        <v>59</v>
      </c>
      <c r="B133" s="7" t="s">
        <v>96</v>
      </c>
      <c r="C133" s="7" t="s">
        <v>96</v>
      </c>
      <c r="D133" s="7" t="s">
        <v>97</v>
      </c>
      <c r="E133" s="7" t="s">
        <v>98</v>
      </c>
      <c r="F133" s="7" t="n">
        <v>1998</v>
      </c>
      <c r="G133" s="7" t="s">
        <v>69</v>
      </c>
      <c r="H133" s="7" t="s">
        <v>86</v>
      </c>
      <c r="J133" s="7" t="s">
        <v>64</v>
      </c>
      <c r="K133" s="7" t="s">
        <v>65</v>
      </c>
      <c r="L133" s="7" t="s">
        <v>66</v>
      </c>
      <c r="M133" s="7" t="n">
        <v>10</v>
      </c>
      <c r="N133" s="7" t="n">
        <v>1161</v>
      </c>
    </row>
    <row r="134" customFormat="false" ht="15" hidden="false" customHeight="false" outlineLevel="0" collapsed="false">
      <c r="A134" s="7" t="s">
        <v>59</v>
      </c>
      <c r="B134" s="7" t="s">
        <v>96</v>
      </c>
      <c r="C134" s="7" t="s">
        <v>96</v>
      </c>
      <c r="D134" s="7" t="s">
        <v>97</v>
      </c>
      <c r="E134" s="7" t="s">
        <v>98</v>
      </c>
      <c r="F134" s="7" t="n">
        <v>1998</v>
      </c>
      <c r="G134" s="7" t="s">
        <v>69</v>
      </c>
      <c r="H134" s="7" t="s">
        <v>63</v>
      </c>
      <c r="J134" s="7" t="s">
        <v>64</v>
      </c>
      <c r="K134" s="7" t="s">
        <v>65</v>
      </c>
      <c r="L134" s="7" t="s">
        <v>66</v>
      </c>
      <c r="M134" s="7" t="n">
        <v>24.8</v>
      </c>
      <c r="N134" s="7" t="n">
        <v>1161</v>
      </c>
    </row>
    <row r="135" customFormat="false" ht="15" hidden="false" customHeight="false" outlineLevel="0" collapsed="false">
      <c r="A135" s="7" t="s">
        <v>59</v>
      </c>
      <c r="B135" s="7" t="s">
        <v>96</v>
      </c>
      <c r="C135" s="7" t="s">
        <v>96</v>
      </c>
      <c r="D135" s="7" t="s">
        <v>97</v>
      </c>
      <c r="E135" s="7" t="s">
        <v>98</v>
      </c>
      <c r="F135" s="7" t="n">
        <v>1998</v>
      </c>
      <c r="G135" s="7" t="s">
        <v>69</v>
      </c>
      <c r="H135" s="7" t="s">
        <v>87</v>
      </c>
      <c r="J135" s="7" t="s">
        <v>64</v>
      </c>
      <c r="K135" s="7" t="s">
        <v>65</v>
      </c>
      <c r="L135" s="7" t="s">
        <v>66</v>
      </c>
      <c r="M135" s="7" t="n">
        <v>14.8</v>
      </c>
      <c r="N135" s="7" t="n">
        <v>1161</v>
      </c>
    </row>
    <row r="136" customFormat="false" ht="15" hidden="false" customHeight="false" outlineLevel="0" collapsed="false">
      <c r="A136" s="7" t="s">
        <v>59</v>
      </c>
      <c r="B136" s="7" t="s">
        <v>96</v>
      </c>
      <c r="C136" s="7" t="s">
        <v>96</v>
      </c>
      <c r="D136" s="7" t="s">
        <v>97</v>
      </c>
      <c r="E136" s="7" t="s">
        <v>98</v>
      </c>
      <c r="F136" s="7" t="n">
        <v>1998</v>
      </c>
      <c r="G136" s="7" t="s">
        <v>72</v>
      </c>
      <c r="H136" s="7" t="s">
        <v>63</v>
      </c>
      <c r="J136" s="7" t="s">
        <v>64</v>
      </c>
      <c r="L136" s="7" t="s">
        <v>71</v>
      </c>
      <c r="M136" s="7" t="n">
        <v>44.3</v>
      </c>
      <c r="N136" s="7" t="n">
        <v>3547</v>
      </c>
    </row>
    <row r="137" customFormat="false" ht="15" hidden="false" customHeight="false" outlineLevel="0" collapsed="false">
      <c r="A137" s="7" t="s">
        <v>59</v>
      </c>
      <c r="C137" s="7" t="s">
        <v>99</v>
      </c>
      <c r="D137" s="7" t="s">
        <v>100</v>
      </c>
      <c r="E137" s="7" t="s">
        <v>100</v>
      </c>
      <c r="F137" s="7" t="n">
        <v>1998</v>
      </c>
      <c r="G137" s="7" t="s">
        <v>62</v>
      </c>
      <c r="H137" s="7" t="s">
        <v>86</v>
      </c>
      <c r="I137" s="7" t="n">
        <v>25.2</v>
      </c>
      <c r="J137" s="7" t="s">
        <v>64</v>
      </c>
      <c r="K137" s="7" t="s">
        <v>65</v>
      </c>
      <c r="L137" s="7" t="s">
        <v>66</v>
      </c>
      <c r="M137" s="7" t="n">
        <v>17.2</v>
      </c>
      <c r="N137" s="7" t="n">
        <v>2841</v>
      </c>
    </row>
    <row r="138" customFormat="false" ht="15" hidden="false" customHeight="false" outlineLevel="0" collapsed="false">
      <c r="A138" s="7" t="s">
        <v>59</v>
      </c>
      <c r="C138" s="7" t="s">
        <v>99</v>
      </c>
      <c r="D138" s="7" t="s">
        <v>100</v>
      </c>
      <c r="E138" s="7" t="s">
        <v>100</v>
      </c>
      <c r="F138" s="7" t="n">
        <v>1998</v>
      </c>
      <c r="G138" s="7" t="s">
        <v>62</v>
      </c>
      <c r="H138" s="7" t="s">
        <v>63</v>
      </c>
      <c r="I138" s="7" t="n">
        <v>25.2</v>
      </c>
      <c r="J138" s="7" t="s">
        <v>64</v>
      </c>
      <c r="K138" s="7" t="s">
        <v>65</v>
      </c>
      <c r="L138" s="7" t="s">
        <v>66</v>
      </c>
      <c r="M138" s="7" t="n">
        <v>43</v>
      </c>
      <c r="N138" s="7" t="n">
        <v>2841</v>
      </c>
    </row>
    <row r="139" customFormat="false" ht="15" hidden="false" customHeight="false" outlineLevel="0" collapsed="false">
      <c r="A139" s="7" t="s">
        <v>59</v>
      </c>
      <c r="C139" s="7" t="s">
        <v>99</v>
      </c>
      <c r="D139" s="7" t="s">
        <v>100</v>
      </c>
      <c r="E139" s="7" t="s">
        <v>100</v>
      </c>
      <c r="F139" s="7" t="n">
        <v>1998</v>
      </c>
      <c r="G139" s="7" t="s">
        <v>62</v>
      </c>
      <c r="H139" s="7" t="s">
        <v>87</v>
      </c>
      <c r="I139" s="7" t="n">
        <v>25.2</v>
      </c>
      <c r="J139" s="7" t="s">
        <v>64</v>
      </c>
      <c r="K139" s="7" t="s">
        <v>65</v>
      </c>
      <c r="L139" s="7" t="s">
        <v>66</v>
      </c>
      <c r="M139" s="7" t="n">
        <v>25.8</v>
      </c>
      <c r="N139" s="7" t="n">
        <v>2841</v>
      </c>
    </row>
    <row r="140" customFormat="false" ht="15" hidden="false" customHeight="false" outlineLevel="0" collapsed="false">
      <c r="A140" s="7" t="s">
        <v>59</v>
      </c>
      <c r="C140" s="7" t="s">
        <v>99</v>
      </c>
      <c r="D140" s="7" t="s">
        <v>100</v>
      </c>
      <c r="E140" s="7" t="s">
        <v>100</v>
      </c>
      <c r="F140" s="7" t="n">
        <v>1998</v>
      </c>
      <c r="G140" s="7" t="s">
        <v>81</v>
      </c>
      <c r="H140" s="7" t="s">
        <v>86</v>
      </c>
      <c r="I140" s="7" t="n">
        <v>25.2</v>
      </c>
      <c r="J140" s="7" t="s">
        <v>64</v>
      </c>
      <c r="K140" s="7" t="s">
        <v>65</v>
      </c>
      <c r="L140" s="7" t="s">
        <v>66</v>
      </c>
      <c r="M140" s="7" t="n">
        <v>16.5</v>
      </c>
      <c r="N140" s="7" t="n">
        <v>2841</v>
      </c>
    </row>
    <row r="141" customFormat="false" ht="15" hidden="false" customHeight="false" outlineLevel="0" collapsed="false">
      <c r="A141" s="7" t="s">
        <v>59</v>
      </c>
      <c r="C141" s="7" t="s">
        <v>99</v>
      </c>
      <c r="D141" s="7" t="s">
        <v>100</v>
      </c>
      <c r="E141" s="7" t="s">
        <v>100</v>
      </c>
      <c r="F141" s="7" t="n">
        <v>1998</v>
      </c>
      <c r="G141" s="7" t="s">
        <v>81</v>
      </c>
      <c r="H141" s="7" t="s">
        <v>63</v>
      </c>
      <c r="I141" s="7" t="n">
        <v>25.2</v>
      </c>
      <c r="J141" s="7" t="s">
        <v>64</v>
      </c>
      <c r="K141" s="7" t="s">
        <v>65</v>
      </c>
      <c r="L141" s="7" t="s">
        <v>66</v>
      </c>
      <c r="M141" s="7" t="n">
        <v>41.1</v>
      </c>
      <c r="N141" s="7" t="n">
        <v>2841</v>
      </c>
    </row>
    <row r="142" customFormat="false" ht="15" hidden="false" customHeight="false" outlineLevel="0" collapsed="false">
      <c r="A142" s="7" t="s">
        <v>59</v>
      </c>
      <c r="C142" s="7" t="s">
        <v>99</v>
      </c>
      <c r="D142" s="7" t="s">
        <v>100</v>
      </c>
      <c r="E142" s="7" t="s">
        <v>100</v>
      </c>
      <c r="F142" s="7" t="n">
        <v>1998</v>
      </c>
      <c r="G142" s="7" t="s">
        <v>81</v>
      </c>
      <c r="H142" s="7" t="s">
        <v>87</v>
      </c>
      <c r="I142" s="7" t="n">
        <v>25.2</v>
      </c>
      <c r="J142" s="7" t="s">
        <v>64</v>
      </c>
      <c r="K142" s="7" t="s">
        <v>65</v>
      </c>
      <c r="L142" s="7" t="s">
        <v>66</v>
      </c>
      <c r="M142" s="7" t="n">
        <v>25.1</v>
      </c>
      <c r="N142" s="7" t="n">
        <v>2841</v>
      </c>
    </row>
    <row r="143" customFormat="false" ht="15" hidden="false" customHeight="false" outlineLevel="0" collapsed="false">
      <c r="A143" s="7" t="s">
        <v>59</v>
      </c>
      <c r="C143" s="7" t="s">
        <v>99</v>
      </c>
      <c r="D143" s="7" t="s">
        <v>100</v>
      </c>
      <c r="E143" s="7" t="s">
        <v>100</v>
      </c>
      <c r="F143" s="7" t="n">
        <v>1998</v>
      </c>
      <c r="G143" s="7" t="s">
        <v>67</v>
      </c>
      <c r="H143" s="7" t="s">
        <v>86</v>
      </c>
      <c r="I143" s="7" t="n">
        <v>25.2</v>
      </c>
      <c r="J143" s="7" t="s">
        <v>64</v>
      </c>
      <c r="K143" s="7" t="s">
        <v>65</v>
      </c>
      <c r="L143" s="7" t="s">
        <v>66</v>
      </c>
      <c r="M143" s="7" t="n">
        <v>12.4</v>
      </c>
      <c r="N143" s="7" t="n">
        <v>2841</v>
      </c>
    </row>
    <row r="144" customFormat="false" ht="15" hidden="false" customHeight="false" outlineLevel="0" collapsed="false">
      <c r="A144" s="7" t="s">
        <v>59</v>
      </c>
      <c r="C144" s="7" t="s">
        <v>99</v>
      </c>
      <c r="D144" s="7" t="s">
        <v>100</v>
      </c>
      <c r="E144" s="7" t="s">
        <v>100</v>
      </c>
      <c r="F144" s="7" t="n">
        <v>1998</v>
      </c>
      <c r="G144" s="7" t="s">
        <v>67</v>
      </c>
      <c r="H144" s="7" t="s">
        <v>63</v>
      </c>
      <c r="I144" s="7" t="n">
        <v>25.2</v>
      </c>
      <c r="J144" s="7" t="s">
        <v>64</v>
      </c>
      <c r="K144" s="7" t="s">
        <v>65</v>
      </c>
      <c r="L144" s="7" t="s">
        <v>66</v>
      </c>
      <c r="M144" s="7" t="n">
        <v>23.4</v>
      </c>
      <c r="N144" s="7" t="n">
        <v>2841</v>
      </c>
    </row>
    <row r="145" customFormat="false" ht="15" hidden="false" customHeight="false" outlineLevel="0" collapsed="false">
      <c r="A145" s="7" t="s">
        <v>59</v>
      </c>
      <c r="C145" s="7" t="s">
        <v>99</v>
      </c>
      <c r="D145" s="7" t="s">
        <v>100</v>
      </c>
      <c r="E145" s="7" t="s">
        <v>100</v>
      </c>
      <c r="F145" s="7" t="n">
        <v>1998</v>
      </c>
      <c r="G145" s="7" t="s">
        <v>67</v>
      </c>
      <c r="H145" s="7" t="s">
        <v>87</v>
      </c>
      <c r="I145" s="7" t="n">
        <v>25.2</v>
      </c>
      <c r="J145" s="7" t="s">
        <v>64</v>
      </c>
      <c r="K145" s="7" t="s">
        <v>65</v>
      </c>
      <c r="L145" s="7" t="s">
        <v>66</v>
      </c>
      <c r="M145" s="7" t="n">
        <v>11.1</v>
      </c>
      <c r="N145" s="7" t="n">
        <v>2841</v>
      </c>
    </row>
    <row r="146" customFormat="false" ht="15" hidden="false" customHeight="false" outlineLevel="0" collapsed="false">
      <c r="A146" s="7" t="s">
        <v>59</v>
      </c>
      <c r="C146" s="7" t="s">
        <v>99</v>
      </c>
      <c r="D146" s="7" t="s">
        <v>100</v>
      </c>
      <c r="E146" s="7" t="s">
        <v>100</v>
      </c>
      <c r="F146" s="7" t="n">
        <v>1998</v>
      </c>
      <c r="G146" s="7" t="s">
        <v>82</v>
      </c>
      <c r="H146" s="7" t="s">
        <v>86</v>
      </c>
      <c r="I146" s="7" t="n">
        <v>25.2</v>
      </c>
      <c r="J146" s="7" t="s">
        <v>64</v>
      </c>
      <c r="K146" s="7" t="s">
        <v>65</v>
      </c>
      <c r="L146" s="7" t="s">
        <v>66</v>
      </c>
      <c r="M146" s="7" t="n">
        <v>5.5</v>
      </c>
      <c r="N146" s="7" t="n">
        <v>2841</v>
      </c>
    </row>
    <row r="147" customFormat="false" ht="15" hidden="false" customHeight="false" outlineLevel="0" collapsed="false">
      <c r="A147" s="7" t="s">
        <v>59</v>
      </c>
      <c r="C147" s="7" t="s">
        <v>99</v>
      </c>
      <c r="D147" s="7" t="s">
        <v>100</v>
      </c>
      <c r="E147" s="7" t="s">
        <v>100</v>
      </c>
      <c r="F147" s="7" t="n">
        <v>1998</v>
      </c>
      <c r="G147" s="7" t="s">
        <v>82</v>
      </c>
      <c r="H147" s="7" t="s">
        <v>63</v>
      </c>
      <c r="I147" s="7" t="n">
        <v>25.2</v>
      </c>
      <c r="J147" s="7" t="s">
        <v>64</v>
      </c>
      <c r="K147" s="7" t="s">
        <v>65</v>
      </c>
      <c r="L147" s="7" t="s">
        <v>66</v>
      </c>
      <c r="M147" s="7" t="n">
        <v>13.3</v>
      </c>
      <c r="N147" s="7" t="n">
        <v>2841</v>
      </c>
    </row>
    <row r="148" customFormat="false" ht="15" hidden="false" customHeight="false" outlineLevel="0" collapsed="false">
      <c r="A148" s="7" t="s">
        <v>59</v>
      </c>
      <c r="C148" s="7" t="s">
        <v>99</v>
      </c>
      <c r="D148" s="7" t="s">
        <v>100</v>
      </c>
      <c r="E148" s="7" t="s">
        <v>100</v>
      </c>
      <c r="F148" s="7" t="n">
        <v>1998</v>
      </c>
      <c r="G148" s="7" t="s">
        <v>68</v>
      </c>
      <c r="H148" s="7" t="s">
        <v>86</v>
      </c>
      <c r="I148" s="7" t="n">
        <v>25.2</v>
      </c>
      <c r="J148" s="7" t="s">
        <v>64</v>
      </c>
      <c r="K148" s="7" t="s">
        <v>65</v>
      </c>
      <c r="L148" s="7" t="s">
        <v>66</v>
      </c>
      <c r="M148" s="7" t="n">
        <v>15.9</v>
      </c>
      <c r="N148" s="7" t="n">
        <v>2841</v>
      </c>
    </row>
    <row r="149" customFormat="false" ht="15" hidden="false" customHeight="false" outlineLevel="0" collapsed="false">
      <c r="A149" s="7" t="s">
        <v>59</v>
      </c>
      <c r="C149" s="7" t="s">
        <v>99</v>
      </c>
      <c r="D149" s="7" t="s">
        <v>100</v>
      </c>
      <c r="E149" s="7" t="s">
        <v>100</v>
      </c>
      <c r="F149" s="7" t="n">
        <v>1998</v>
      </c>
      <c r="G149" s="7" t="s">
        <v>68</v>
      </c>
      <c r="H149" s="7" t="s">
        <v>63</v>
      </c>
      <c r="I149" s="7" t="n">
        <v>25.2</v>
      </c>
      <c r="J149" s="7" t="s">
        <v>64</v>
      </c>
      <c r="K149" s="7" t="s">
        <v>65</v>
      </c>
      <c r="L149" s="7" t="s">
        <v>66</v>
      </c>
      <c r="M149" s="7" t="n">
        <v>35</v>
      </c>
      <c r="N149" s="7" t="n">
        <v>2841</v>
      </c>
    </row>
    <row r="150" customFormat="false" ht="15" hidden="false" customHeight="false" outlineLevel="0" collapsed="false">
      <c r="A150" s="7" t="s">
        <v>59</v>
      </c>
      <c r="C150" s="7" t="s">
        <v>99</v>
      </c>
      <c r="D150" s="7" t="s">
        <v>100</v>
      </c>
      <c r="E150" s="7" t="s">
        <v>100</v>
      </c>
      <c r="F150" s="7" t="n">
        <v>1998</v>
      </c>
      <c r="G150" s="7" t="s">
        <v>83</v>
      </c>
      <c r="H150" s="7" t="s">
        <v>86</v>
      </c>
      <c r="I150" s="7" t="n">
        <v>25.2</v>
      </c>
      <c r="J150" s="7" t="s">
        <v>64</v>
      </c>
      <c r="K150" s="7" t="s">
        <v>65</v>
      </c>
      <c r="L150" s="7" t="s">
        <v>66</v>
      </c>
      <c r="M150" s="7" t="n">
        <v>11.8</v>
      </c>
      <c r="N150" s="7" t="n">
        <v>2841</v>
      </c>
    </row>
    <row r="151" customFormat="false" ht="15" hidden="false" customHeight="false" outlineLevel="0" collapsed="false">
      <c r="A151" s="7" t="s">
        <v>59</v>
      </c>
      <c r="C151" s="7" t="s">
        <v>99</v>
      </c>
      <c r="D151" s="7" t="s">
        <v>100</v>
      </c>
      <c r="E151" s="7" t="s">
        <v>100</v>
      </c>
      <c r="F151" s="7" t="n">
        <v>1998</v>
      </c>
      <c r="G151" s="7" t="s">
        <v>83</v>
      </c>
      <c r="H151" s="7" t="s">
        <v>63</v>
      </c>
      <c r="I151" s="7" t="n">
        <v>25.2</v>
      </c>
      <c r="J151" s="7" t="s">
        <v>64</v>
      </c>
      <c r="K151" s="7" t="s">
        <v>65</v>
      </c>
      <c r="L151" s="7" t="s">
        <v>66</v>
      </c>
      <c r="M151" s="7" t="n">
        <v>37.4</v>
      </c>
      <c r="N151" s="7" t="n">
        <v>2841</v>
      </c>
    </row>
    <row r="152" customFormat="false" ht="15" hidden="false" customHeight="false" outlineLevel="0" collapsed="false">
      <c r="A152" s="7" t="s">
        <v>59</v>
      </c>
      <c r="C152" s="7" t="s">
        <v>99</v>
      </c>
      <c r="D152" s="7" t="s">
        <v>100</v>
      </c>
      <c r="E152" s="7" t="s">
        <v>100</v>
      </c>
      <c r="F152" s="7" t="n">
        <v>1998</v>
      </c>
      <c r="G152" s="7" t="s">
        <v>69</v>
      </c>
      <c r="H152" s="7" t="s">
        <v>63</v>
      </c>
      <c r="I152" s="7" t="n">
        <v>25.2</v>
      </c>
      <c r="J152" s="7" t="s">
        <v>64</v>
      </c>
      <c r="K152" s="7" t="s">
        <v>65</v>
      </c>
      <c r="L152" s="7" t="s">
        <v>66</v>
      </c>
      <c r="M152" s="7" t="n">
        <v>18.8</v>
      </c>
      <c r="N152" s="7" t="n">
        <v>2841</v>
      </c>
    </row>
    <row r="153" customFormat="false" ht="15" hidden="false" customHeight="false" outlineLevel="0" collapsed="false">
      <c r="A153" s="7" t="s">
        <v>59</v>
      </c>
      <c r="B153" s="7" t="s">
        <v>101</v>
      </c>
      <c r="C153" s="7" t="s">
        <v>101</v>
      </c>
      <c r="D153" s="7" t="s">
        <v>102</v>
      </c>
      <c r="E153" s="7" t="s">
        <v>103</v>
      </c>
      <c r="F153" s="7" t="n">
        <v>2002</v>
      </c>
      <c r="G153" s="7" t="s">
        <v>62</v>
      </c>
      <c r="H153" s="7" t="s">
        <v>78</v>
      </c>
      <c r="I153" s="7" t="n">
        <v>21.3</v>
      </c>
      <c r="J153" s="7" t="s">
        <v>64</v>
      </c>
      <c r="K153" s="7" t="s">
        <v>79</v>
      </c>
      <c r="L153" s="7" t="s">
        <v>66</v>
      </c>
      <c r="M153" s="7" t="n">
        <v>46.9</v>
      </c>
      <c r="N153" s="7" t="n">
        <v>999</v>
      </c>
    </row>
    <row r="154" customFormat="false" ht="15" hidden="false" customHeight="false" outlineLevel="0" collapsed="false">
      <c r="A154" s="7" t="s">
        <v>59</v>
      </c>
      <c r="B154" s="7" t="s">
        <v>101</v>
      </c>
      <c r="C154" s="7" t="s">
        <v>101</v>
      </c>
      <c r="D154" s="7" t="s">
        <v>102</v>
      </c>
      <c r="E154" s="7" t="s">
        <v>103</v>
      </c>
      <c r="F154" s="7" t="n">
        <v>2002</v>
      </c>
      <c r="G154" s="7" t="s">
        <v>62</v>
      </c>
      <c r="H154" s="7" t="s">
        <v>86</v>
      </c>
      <c r="I154" s="7" t="n">
        <v>21.3</v>
      </c>
      <c r="J154" s="7" t="s">
        <v>64</v>
      </c>
      <c r="K154" s="7" t="s">
        <v>65</v>
      </c>
      <c r="L154" s="7" t="s">
        <v>66</v>
      </c>
      <c r="M154" s="7" t="n">
        <v>20.2</v>
      </c>
      <c r="N154" s="7" t="n">
        <v>999</v>
      </c>
    </row>
    <row r="155" customFormat="false" ht="15" hidden="false" customHeight="false" outlineLevel="0" collapsed="false">
      <c r="A155" s="7" t="s">
        <v>59</v>
      </c>
      <c r="B155" s="7" t="s">
        <v>101</v>
      </c>
      <c r="C155" s="7" t="s">
        <v>101</v>
      </c>
      <c r="D155" s="7" t="s">
        <v>102</v>
      </c>
      <c r="E155" s="7" t="s">
        <v>103</v>
      </c>
      <c r="F155" s="7" t="n">
        <v>2002</v>
      </c>
      <c r="G155" s="7" t="s">
        <v>62</v>
      </c>
      <c r="H155" s="7" t="s">
        <v>63</v>
      </c>
      <c r="I155" s="7" t="n">
        <v>21.3</v>
      </c>
      <c r="J155" s="7" t="s">
        <v>64</v>
      </c>
      <c r="K155" s="7" t="s">
        <v>65</v>
      </c>
      <c r="L155" s="7" t="s">
        <v>66</v>
      </c>
      <c r="M155" s="7" t="n">
        <v>48.3</v>
      </c>
      <c r="N155" s="7" t="n">
        <v>999</v>
      </c>
    </row>
    <row r="156" customFormat="false" ht="15" hidden="false" customHeight="false" outlineLevel="0" collapsed="false">
      <c r="A156" s="7" t="s">
        <v>59</v>
      </c>
      <c r="B156" s="7" t="s">
        <v>101</v>
      </c>
      <c r="C156" s="7" t="s">
        <v>101</v>
      </c>
      <c r="D156" s="7" t="s">
        <v>102</v>
      </c>
      <c r="E156" s="7" t="s">
        <v>103</v>
      </c>
      <c r="F156" s="7" t="n">
        <v>2002</v>
      </c>
      <c r="G156" s="7" t="s">
        <v>62</v>
      </c>
      <c r="H156" s="7" t="s">
        <v>87</v>
      </c>
      <c r="I156" s="7" t="n">
        <v>21.3</v>
      </c>
      <c r="J156" s="7" t="s">
        <v>64</v>
      </c>
      <c r="K156" s="7" t="s">
        <v>65</v>
      </c>
      <c r="L156" s="7" t="s">
        <v>66</v>
      </c>
      <c r="M156" s="7" t="n">
        <v>28.1</v>
      </c>
      <c r="N156" s="7" t="n">
        <v>999</v>
      </c>
    </row>
    <row r="157" customFormat="false" ht="15" hidden="false" customHeight="false" outlineLevel="0" collapsed="false">
      <c r="A157" s="7" t="s">
        <v>59</v>
      </c>
      <c r="B157" s="7" t="s">
        <v>101</v>
      </c>
      <c r="C157" s="7" t="s">
        <v>101</v>
      </c>
      <c r="D157" s="7" t="s">
        <v>102</v>
      </c>
      <c r="E157" s="7" t="s">
        <v>103</v>
      </c>
      <c r="F157" s="7" t="n">
        <v>2002</v>
      </c>
      <c r="G157" s="7" t="s">
        <v>81</v>
      </c>
      <c r="H157" s="7" t="s">
        <v>78</v>
      </c>
      <c r="I157" s="7" t="n">
        <v>21.3</v>
      </c>
      <c r="J157" s="7" t="s">
        <v>64</v>
      </c>
      <c r="K157" s="7" t="s">
        <v>79</v>
      </c>
      <c r="L157" s="7" t="s">
        <v>66</v>
      </c>
      <c r="M157" s="7" t="n">
        <v>38.7</v>
      </c>
      <c r="N157" s="7" t="n">
        <v>999</v>
      </c>
    </row>
    <row r="158" customFormat="false" ht="15" hidden="false" customHeight="false" outlineLevel="0" collapsed="false">
      <c r="A158" s="7" t="s">
        <v>59</v>
      </c>
      <c r="B158" s="7" t="s">
        <v>101</v>
      </c>
      <c r="C158" s="7" t="s">
        <v>101</v>
      </c>
      <c r="D158" s="7" t="s">
        <v>102</v>
      </c>
      <c r="E158" s="7" t="s">
        <v>103</v>
      </c>
      <c r="F158" s="7" t="n">
        <v>2002</v>
      </c>
      <c r="G158" s="7" t="s">
        <v>81</v>
      </c>
      <c r="H158" s="7" t="s">
        <v>86</v>
      </c>
      <c r="I158" s="7" t="n">
        <v>21.3</v>
      </c>
      <c r="J158" s="7" t="s">
        <v>64</v>
      </c>
      <c r="K158" s="7" t="s">
        <v>65</v>
      </c>
      <c r="L158" s="7" t="s">
        <v>66</v>
      </c>
      <c r="M158" s="7" t="n">
        <v>18</v>
      </c>
      <c r="N158" s="7" t="n">
        <v>999</v>
      </c>
    </row>
    <row r="159" customFormat="false" ht="15" hidden="false" customHeight="false" outlineLevel="0" collapsed="false">
      <c r="A159" s="7" t="s">
        <v>59</v>
      </c>
      <c r="B159" s="7" t="s">
        <v>101</v>
      </c>
      <c r="C159" s="7" t="s">
        <v>101</v>
      </c>
      <c r="D159" s="7" t="s">
        <v>102</v>
      </c>
      <c r="E159" s="7" t="s">
        <v>103</v>
      </c>
      <c r="F159" s="7" t="n">
        <v>2002</v>
      </c>
      <c r="G159" s="7" t="s">
        <v>81</v>
      </c>
      <c r="H159" s="7" t="s">
        <v>63</v>
      </c>
      <c r="I159" s="7" t="n">
        <v>21.3</v>
      </c>
      <c r="J159" s="7" t="s">
        <v>64</v>
      </c>
      <c r="K159" s="7" t="s">
        <v>65</v>
      </c>
      <c r="L159" s="7" t="s">
        <v>66</v>
      </c>
      <c r="M159" s="7" t="n">
        <v>42.6</v>
      </c>
      <c r="N159" s="7" t="n">
        <v>999</v>
      </c>
    </row>
    <row r="160" customFormat="false" ht="15" hidden="false" customHeight="false" outlineLevel="0" collapsed="false">
      <c r="A160" s="7" t="s">
        <v>59</v>
      </c>
      <c r="B160" s="7" t="s">
        <v>101</v>
      </c>
      <c r="C160" s="7" t="s">
        <v>101</v>
      </c>
      <c r="D160" s="7" t="s">
        <v>102</v>
      </c>
      <c r="E160" s="7" t="s">
        <v>103</v>
      </c>
      <c r="F160" s="7" t="n">
        <v>2002</v>
      </c>
      <c r="G160" s="7" t="s">
        <v>81</v>
      </c>
      <c r="H160" s="7" t="s">
        <v>87</v>
      </c>
      <c r="I160" s="7" t="n">
        <v>21.3</v>
      </c>
      <c r="J160" s="7" t="s">
        <v>64</v>
      </c>
      <c r="K160" s="7" t="s">
        <v>65</v>
      </c>
      <c r="L160" s="7" t="s">
        <v>66</v>
      </c>
      <c r="M160" s="7" t="n">
        <v>24.6</v>
      </c>
      <c r="N160" s="7" t="n">
        <v>999</v>
      </c>
    </row>
    <row r="161" customFormat="false" ht="15" hidden="false" customHeight="false" outlineLevel="0" collapsed="false">
      <c r="A161" s="7" t="s">
        <v>59</v>
      </c>
      <c r="B161" s="7" t="s">
        <v>101</v>
      </c>
      <c r="C161" s="7" t="s">
        <v>101</v>
      </c>
      <c r="D161" s="7" t="s">
        <v>102</v>
      </c>
      <c r="E161" s="7" t="s">
        <v>103</v>
      </c>
      <c r="F161" s="7" t="n">
        <v>2002</v>
      </c>
      <c r="G161" s="7" t="s">
        <v>67</v>
      </c>
      <c r="H161" s="7" t="s">
        <v>78</v>
      </c>
      <c r="I161" s="7" t="n">
        <v>21.3</v>
      </c>
      <c r="J161" s="7" t="s">
        <v>64</v>
      </c>
      <c r="K161" s="7" t="s">
        <v>79</v>
      </c>
      <c r="L161" s="7" t="s">
        <v>66</v>
      </c>
      <c r="M161" s="7" t="n">
        <v>20.1</v>
      </c>
      <c r="N161" s="7" t="n">
        <v>999</v>
      </c>
    </row>
    <row r="162" customFormat="false" ht="15" hidden="false" customHeight="false" outlineLevel="0" collapsed="false">
      <c r="A162" s="7" t="s">
        <v>59</v>
      </c>
      <c r="B162" s="7" t="s">
        <v>101</v>
      </c>
      <c r="C162" s="7" t="s">
        <v>101</v>
      </c>
      <c r="D162" s="7" t="s">
        <v>102</v>
      </c>
      <c r="E162" s="7" t="s">
        <v>103</v>
      </c>
      <c r="F162" s="7" t="n">
        <v>2002</v>
      </c>
      <c r="G162" s="7" t="s">
        <v>67</v>
      </c>
      <c r="H162" s="7" t="s">
        <v>86</v>
      </c>
      <c r="I162" s="7" t="n">
        <v>21.3</v>
      </c>
      <c r="J162" s="7" t="s">
        <v>64</v>
      </c>
      <c r="K162" s="7" t="s">
        <v>65</v>
      </c>
      <c r="L162" s="7" t="s">
        <v>66</v>
      </c>
      <c r="M162" s="7" t="n">
        <v>10.4</v>
      </c>
      <c r="N162" s="7" t="n">
        <v>999</v>
      </c>
    </row>
    <row r="163" customFormat="false" ht="15" hidden="false" customHeight="false" outlineLevel="0" collapsed="false">
      <c r="A163" s="7" t="s">
        <v>59</v>
      </c>
      <c r="B163" s="7" t="s">
        <v>101</v>
      </c>
      <c r="C163" s="7" t="s">
        <v>101</v>
      </c>
      <c r="D163" s="7" t="s">
        <v>102</v>
      </c>
      <c r="E163" s="7" t="s">
        <v>103</v>
      </c>
      <c r="F163" s="7" t="n">
        <v>2002</v>
      </c>
      <c r="G163" s="7" t="s">
        <v>67</v>
      </c>
      <c r="H163" s="7" t="s">
        <v>63</v>
      </c>
      <c r="I163" s="7" t="n">
        <v>21.3</v>
      </c>
      <c r="J163" s="7" t="s">
        <v>64</v>
      </c>
      <c r="K163" s="7" t="s">
        <v>65</v>
      </c>
      <c r="L163" s="7" t="s">
        <v>66</v>
      </c>
      <c r="M163" s="7" t="n">
        <v>21.4</v>
      </c>
      <c r="N163" s="7" t="n">
        <v>999</v>
      </c>
    </row>
    <row r="164" customFormat="false" ht="15" hidden="false" customHeight="false" outlineLevel="0" collapsed="false">
      <c r="A164" s="7" t="s">
        <v>59</v>
      </c>
      <c r="B164" s="7" t="s">
        <v>101</v>
      </c>
      <c r="C164" s="7" t="s">
        <v>101</v>
      </c>
      <c r="D164" s="7" t="s">
        <v>102</v>
      </c>
      <c r="E164" s="7" t="s">
        <v>103</v>
      </c>
      <c r="F164" s="7" t="n">
        <v>2002</v>
      </c>
      <c r="G164" s="7" t="s">
        <v>67</v>
      </c>
      <c r="H164" s="7" t="s">
        <v>87</v>
      </c>
      <c r="I164" s="7" t="n">
        <v>21.3</v>
      </c>
      <c r="J164" s="7" t="s">
        <v>64</v>
      </c>
      <c r="K164" s="7" t="s">
        <v>65</v>
      </c>
      <c r="L164" s="7" t="s">
        <v>66</v>
      </c>
      <c r="M164" s="7" t="n">
        <v>11</v>
      </c>
      <c r="N164" s="7" t="n">
        <v>999</v>
      </c>
    </row>
    <row r="165" customFormat="false" ht="15" hidden="false" customHeight="false" outlineLevel="0" collapsed="false">
      <c r="A165" s="7" t="s">
        <v>59</v>
      </c>
      <c r="B165" s="7" t="s">
        <v>101</v>
      </c>
      <c r="C165" s="7" t="s">
        <v>101</v>
      </c>
      <c r="D165" s="7" t="s">
        <v>102</v>
      </c>
      <c r="E165" s="7" t="s">
        <v>103</v>
      </c>
      <c r="F165" s="7" t="n">
        <v>2002</v>
      </c>
      <c r="G165" s="7" t="s">
        <v>82</v>
      </c>
      <c r="H165" s="7" t="s">
        <v>78</v>
      </c>
      <c r="I165" s="7" t="n">
        <v>21.3</v>
      </c>
      <c r="J165" s="7" t="s">
        <v>64</v>
      </c>
      <c r="K165" s="7" t="s">
        <v>79</v>
      </c>
      <c r="L165" s="7" t="s">
        <v>66</v>
      </c>
      <c r="M165" s="7" t="n">
        <v>11.3</v>
      </c>
      <c r="N165" s="7" t="n">
        <v>999</v>
      </c>
    </row>
    <row r="166" customFormat="false" ht="15" hidden="false" customHeight="false" outlineLevel="0" collapsed="false">
      <c r="A166" s="7" t="s">
        <v>59</v>
      </c>
      <c r="B166" s="7" t="s">
        <v>101</v>
      </c>
      <c r="C166" s="7" t="s">
        <v>101</v>
      </c>
      <c r="D166" s="7" t="s">
        <v>102</v>
      </c>
      <c r="E166" s="7" t="s">
        <v>103</v>
      </c>
      <c r="F166" s="7" t="n">
        <v>2002</v>
      </c>
      <c r="G166" s="7" t="s">
        <v>82</v>
      </c>
      <c r="H166" s="7" t="s">
        <v>86</v>
      </c>
      <c r="I166" s="7" t="n">
        <v>21.3</v>
      </c>
      <c r="J166" s="7" t="s">
        <v>64</v>
      </c>
      <c r="K166" s="7" t="s">
        <v>65</v>
      </c>
      <c r="L166" s="7" t="s">
        <v>66</v>
      </c>
      <c r="M166" s="7" t="n">
        <v>8.3</v>
      </c>
      <c r="N166" s="7" t="n">
        <v>999</v>
      </c>
    </row>
    <row r="167" customFormat="false" ht="15" hidden="false" customHeight="false" outlineLevel="0" collapsed="false">
      <c r="A167" s="7" t="s">
        <v>59</v>
      </c>
      <c r="B167" s="7" t="s">
        <v>101</v>
      </c>
      <c r="C167" s="7" t="s">
        <v>101</v>
      </c>
      <c r="D167" s="7" t="s">
        <v>102</v>
      </c>
      <c r="E167" s="7" t="s">
        <v>103</v>
      </c>
      <c r="F167" s="7" t="n">
        <v>2002</v>
      </c>
      <c r="G167" s="7" t="s">
        <v>82</v>
      </c>
      <c r="H167" s="7" t="s">
        <v>63</v>
      </c>
      <c r="I167" s="7" t="n">
        <v>21.3</v>
      </c>
      <c r="J167" s="7" t="s">
        <v>64</v>
      </c>
      <c r="K167" s="7" t="s">
        <v>65</v>
      </c>
      <c r="L167" s="7" t="s">
        <v>66</v>
      </c>
      <c r="M167" s="7" t="n">
        <v>12.9</v>
      </c>
      <c r="N167" s="7" t="n">
        <v>999</v>
      </c>
    </row>
    <row r="168" customFormat="false" ht="15" hidden="false" customHeight="false" outlineLevel="0" collapsed="false">
      <c r="A168" s="7" t="s">
        <v>59</v>
      </c>
      <c r="B168" s="7" t="s">
        <v>101</v>
      </c>
      <c r="C168" s="7" t="s">
        <v>101</v>
      </c>
      <c r="D168" s="7" t="s">
        <v>102</v>
      </c>
      <c r="E168" s="7" t="s">
        <v>103</v>
      </c>
      <c r="F168" s="7" t="n">
        <v>2002</v>
      </c>
      <c r="G168" s="7" t="s">
        <v>82</v>
      </c>
      <c r="H168" s="7" t="s">
        <v>87</v>
      </c>
      <c r="I168" s="7" t="n">
        <v>21.3</v>
      </c>
      <c r="J168" s="7" t="s">
        <v>64</v>
      </c>
      <c r="K168" s="7" t="s">
        <v>65</v>
      </c>
      <c r="L168" s="7" t="s">
        <v>66</v>
      </c>
      <c r="M168" s="7" t="n">
        <v>4.7</v>
      </c>
      <c r="N168" s="7" t="n">
        <v>999</v>
      </c>
    </row>
    <row r="169" customFormat="false" ht="15" hidden="false" customHeight="false" outlineLevel="0" collapsed="false">
      <c r="A169" s="7" t="s">
        <v>59</v>
      </c>
      <c r="B169" s="7" t="s">
        <v>101</v>
      </c>
      <c r="C169" s="7" t="s">
        <v>101</v>
      </c>
      <c r="D169" s="7" t="s">
        <v>102</v>
      </c>
      <c r="E169" s="7" t="s">
        <v>103</v>
      </c>
      <c r="F169" s="7" t="n">
        <v>2002</v>
      </c>
      <c r="G169" s="7" t="s">
        <v>68</v>
      </c>
      <c r="H169" s="7" t="s">
        <v>78</v>
      </c>
      <c r="I169" s="7" t="n">
        <v>21.3</v>
      </c>
      <c r="J169" s="7" t="s">
        <v>64</v>
      </c>
      <c r="K169" s="7" t="s">
        <v>79</v>
      </c>
      <c r="L169" s="7" t="s">
        <v>66</v>
      </c>
      <c r="M169" s="7" t="n">
        <v>31.4</v>
      </c>
      <c r="N169" s="7" t="n">
        <v>999</v>
      </c>
    </row>
    <row r="170" customFormat="false" ht="15" hidden="false" customHeight="false" outlineLevel="0" collapsed="false">
      <c r="A170" s="7" t="s">
        <v>59</v>
      </c>
      <c r="B170" s="7" t="s">
        <v>101</v>
      </c>
      <c r="C170" s="7" t="s">
        <v>101</v>
      </c>
      <c r="D170" s="7" t="s">
        <v>102</v>
      </c>
      <c r="E170" s="7" t="s">
        <v>103</v>
      </c>
      <c r="F170" s="7" t="n">
        <v>2002</v>
      </c>
      <c r="G170" s="7" t="s">
        <v>68</v>
      </c>
      <c r="H170" s="7" t="s">
        <v>86</v>
      </c>
      <c r="I170" s="7" t="n">
        <v>21.3</v>
      </c>
      <c r="J170" s="7" t="s">
        <v>64</v>
      </c>
      <c r="K170" s="7" t="s">
        <v>65</v>
      </c>
      <c r="L170" s="7" t="s">
        <v>66</v>
      </c>
      <c r="M170" s="7" t="n">
        <v>13.5</v>
      </c>
      <c r="N170" s="7" t="n">
        <v>999</v>
      </c>
    </row>
    <row r="171" customFormat="false" ht="15" hidden="false" customHeight="false" outlineLevel="0" collapsed="false">
      <c r="A171" s="7" t="s">
        <v>59</v>
      </c>
      <c r="B171" s="7" t="s">
        <v>101</v>
      </c>
      <c r="C171" s="7" t="s">
        <v>101</v>
      </c>
      <c r="D171" s="7" t="s">
        <v>102</v>
      </c>
      <c r="E171" s="7" t="s">
        <v>103</v>
      </c>
      <c r="F171" s="7" t="n">
        <v>2002</v>
      </c>
      <c r="G171" s="7" t="s">
        <v>68</v>
      </c>
      <c r="H171" s="7" t="s">
        <v>63</v>
      </c>
      <c r="I171" s="7" t="n">
        <v>21.3</v>
      </c>
      <c r="J171" s="7" t="s">
        <v>64</v>
      </c>
      <c r="K171" s="7" t="s">
        <v>65</v>
      </c>
      <c r="L171" s="7" t="s">
        <v>66</v>
      </c>
      <c r="M171" s="7" t="n">
        <v>35.9</v>
      </c>
      <c r="N171" s="7" t="n">
        <v>999</v>
      </c>
    </row>
    <row r="172" customFormat="false" ht="15" hidden="false" customHeight="false" outlineLevel="0" collapsed="false">
      <c r="A172" s="7" t="s">
        <v>59</v>
      </c>
      <c r="B172" s="7" t="s">
        <v>101</v>
      </c>
      <c r="C172" s="7" t="s">
        <v>101</v>
      </c>
      <c r="D172" s="7" t="s">
        <v>102</v>
      </c>
      <c r="E172" s="7" t="s">
        <v>103</v>
      </c>
      <c r="F172" s="7" t="n">
        <v>2002</v>
      </c>
      <c r="G172" s="7" t="s">
        <v>68</v>
      </c>
      <c r="H172" s="7" t="s">
        <v>87</v>
      </c>
      <c r="I172" s="7" t="n">
        <v>21.3</v>
      </c>
      <c r="J172" s="7" t="s">
        <v>64</v>
      </c>
      <c r="K172" s="7" t="s">
        <v>65</v>
      </c>
      <c r="L172" s="7" t="s">
        <v>66</v>
      </c>
      <c r="M172" s="7" t="n">
        <v>22.4</v>
      </c>
      <c r="N172" s="7" t="n">
        <v>999</v>
      </c>
    </row>
    <row r="173" customFormat="false" ht="15" hidden="false" customHeight="false" outlineLevel="0" collapsed="false">
      <c r="A173" s="7" t="s">
        <v>59</v>
      </c>
      <c r="B173" s="7" t="s">
        <v>101</v>
      </c>
      <c r="C173" s="7" t="s">
        <v>101</v>
      </c>
      <c r="D173" s="7" t="s">
        <v>102</v>
      </c>
      <c r="E173" s="7" t="s">
        <v>103</v>
      </c>
      <c r="F173" s="7" t="n">
        <v>2002</v>
      </c>
      <c r="G173" s="7" t="s">
        <v>83</v>
      </c>
      <c r="H173" s="7" t="s">
        <v>78</v>
      </c>
      <c r="I173" s="7" t="n">
        <v>21.3</v>
      </c>
      <c r="J173" s="7" t="s">
        <v>64</v>
      </c>
      <c r="K173" s="7" t="s">
        <v>79</v>
      </c>
      <c r="L173" s="7" t="s">
        <v>66</v>
      </c>
      <c r="M173" s="7" t="n">
        <v>63.7</v>
      </c>
      <c r="N173" s="7" t="n">
        <v>999</v>
      </c>
    </row>
    <row r="174" customFormat="false" ht="15" hidden="false" customHeight="false" outlineLevel="0" collapsed="false">
      <c r="A174" s="7" t="s">
        <v>59</v>
      </c>
      <c r="B174" s="7" t="s">
        <v>101</v>
      </c>
      <c r="C174" s="7" t="s">
        <v>101</v>
      </c>
      <c r="D174" s="7" t="s">
        <v>102</v>
      </c>
      <c r="E174" s="7" t="s">
        <v>103</v>
      </c>
      <c r="F174" s="7" t="n">
        <v>2002</v>
      </c>
      <c r="G174" s="7" t="s">
        <v>83</v>
      </c>
      <c r="H174" s="7" t="s">
        <v>86</v>
      </c>
      <c r="I174" s="7" t="n">
        <v>21.3</v>
      </c>
      <c r="J174" s="7" t="s">
        <v>64</v>
      </c>
      <c r="K174" s="7" t="s">
        <v>65</v>
      </c>
      <c r="L174" s="7" t="s">
        <v>66</v>
      </c>
      <c r="M174" s="7" t="n">
        <v>17.8</v>
      </c>
      <c r="N174" s="7" t="n">
        <v>999</v>
      </c>
    </row>
    <row r="175" customFormat="false" ht="15" hidden="false" customHeight="false" outlineLevel="0" collapsed="false">
      <c r="A175" s="7" t="s">
        <v>59</v>
      </c>
      <c r="B175" s="7" t="s">
        <v>101</v>
      </c>
      <c r="C175" s="7" t="s">
        <v>101</v>
      </c>
      <c r="D175" s="7" t="s">
        <v>102</v>
      </c>
      <c r="E175" s="7" t="s">
        <v>103</v>
      </c>
      <c r="F175" s="7" t="n">
        <v>2002</v>
      </c>
      <c r="G175" s="7" t="s">
        <v>83</v>
      </c>
      <c r="H175" s="7" t="s">
        <v>63</v>
      </c>
      <c r="I175" s="7" t="n">
        <v>21.3</v>
      </c>
      <c r="J175" s="7" t="s">
        <v>64</v>
      </c>
      <c r="K175" s="7" t="s">
        <v>65</v>
      </c>
      <c r="L175" s="7" t="s">
        <v>66</v>
      </c>
      <c r="M175" s="7" t="n">
        <v>67.2</v>
      </c>
      <c r="N175" s="7" t="n">
        <v>999</v>
      </c>
    </row>
    <row r="176" customFormat="false" ht="15" hidden="false" customHeight="false" outlineLevel="0" collapsed="false">
      <c r="A176" s="7" t="s">
        <v>59</v>
      </c>
      <c r="B176" s="7" t="s">
        <v>101</v>
      </c>
      <c r="C176" s="7" t="s">
        <v>101</v>
      </c>
      <c r="D176" s="7" t="s">
        <v>102</v>
      </c>
      <c r="E176" s="7" t="s">
        <v>103</v>
      </c>
      <c r="F176" s="7" t="n">
        <v>2002</v>
      </c>
      <c r="G176" s="7" t="s">
        <v>83</v>
      </c>
      <c r="H176" s="7" t="s">
        <v>87</v>
      </c>
      <c r="I176" s="7" t="n">
        <v>21.3</v>
      </c>
      <c r="J176" s="7" t="s">
        <v>64</v>
      </c>
      <c r="K176" s="7" t="s">
        <v>65</v>
      </c>
      <c r="L176" s="7" t="s">
        <v>66</v>
      </c>
      <c r="M176" s="7" t="n">
        <v>49.4</v>
      </c>
      <c r="N176" s="7" t="n">
        <v>999</v>
      </c>
    </row>
    <row r="177" customFormat="false" ht="15" hidden="false" customHeight="false" outlineLevel="0" collapsed="false">
      <c r="A177" s="7" t="s">
        <v>59</v>
      </c>
      <c r="B177" s="7" t="s">
        <v>101</v>
      </c>
      <c r="C177" s="7" t="s">
        <v>101</v>
      </c>
      <c r="D177" s="7" t="s">
        <v>102</v>
      </c>
      <c r="E177" s="7" t="s">
        <v>103</v>
      </c>
      <c r="F177" s="7" t="n">
        <v>2002</v>
      </c>
      <c r="G177" s="7" t="s">
        <v>69</v>
      </c>
      <c r="H177" s="7" t="s">
        <v>78</v>
      </c>
      <c r="I177" s="7" t="n">
        <v>21.3</v>
      </c>
      <c r="J177" s="7" t="s">
        <v>64</v>
      </c>
      <c r="K177" s="7" t="s">
        <v>79</v>
      </c>
      <c r="L177" s="7" t="s">
        <v>66</v>
      </c>
      <c r="M177" s="7" t="n">
        <v>26.8</v>
      </c>
      <c r="N177" s="7" t="n">
        <v>999</v>
      </c>
    </row>
    <row r="178" customFormat="false" ht="15" hidden="false" customHeight="false" outlineLevel="0" collapsed="false">
      <c r="A178" s="7" t="s">
        <v>59</v>
      </c>
      <c r="B178" s="7" t="s">
        <v>101</v>
      </c>
      <c r="C178" s="7" t="s">
        <v>101</v>
      </c>
      <c r="D178" s="7" t="s">
        <v>102</v>
      </c>
      <c r="E178" s="7" t="s">
        <v>103</v>
      </c>
      <c r="F178" s="7" t="n">
        <v>2002</v>
      </c>
      <c r="G178" s="7" t="s">
        <v>69</v>
      </c>
      <c r="H178" s="7" t="s">
        <v>86</v>
      </c>
      <c r="I178" s="7" t="n">
        <v>21.3</v>
      </c>
      <c r="J178" s="7" t="s">
        <v>64</v>
      </c>
      <c r="K178" s="7" t="s">
        <v>65</v>
      </c>
      <c r="L178" s="7" t="s">
        <v>66</v>
      </c>
      <c r="M178" s="7" t="n">
        <v>10.7</v>
      </c>
      <c r="N178" s="7" t="n">
        <v>999</v>
      </c>
    </row>
    <row r="179" customFormat="false" ht="15" hidden="false" customHeight="false" outlineLevel="0" collapsed="false">
      <c r="A179" s="7" t="s">
        <v>59</v>
      </c>
      <c r="B179" s="7" t="s">
        <v>101</v>
      </c>
      <c r="C179" s="7" t="s">
        <v>101</v>
      </c>
      <c r="D179" s="7" t="s">
        <v>102</v>
      </c>
      <c r="E179" s="7" t="s">
        <v>103</v>
      </c>
      <c r="F179" s="7" t="n">
        <v>2002</v>
      </c>
      <c r="G179" s="7" t="s">
        <v>69</v>
      </c>
      <c r="H179" s="7" t="s">
        <v>63</v>
      </c>
      <c r="I179" s="7" t="n">
        <v>21.3</v>
      </c>
      <c r="J179" s="7" t="s">
        <v>64</v>
      </c>
      <c r="K179" s="7" t="s">
        <v>65</v>
      </c>
      <c r="L179" s="7" t="s">
        <v>66</v>
      </c>
      <c r="M179" s="7" t="n">
        <v>29.4</v>
      </c>
      <c r="N179" s="7" t="n">
        <v>999</v>
      </c>
    </row>
    <row r="180" customFormat="false" ht="15" hidden="false" customHeight="false" outlineLevel="0" collapsed="false">
      <c r="A180" s="7" t="s">
        <v>59</v>
      </c>
      <c r="B180" s="7" t="s">
        <v>101</v>
      </c>
      <c r="C180" s="7" t="s">
        <v>101</v>
      </c>
      <c r="D180" s="7" t="s">
        <v>102</v>
      </c>
      <c r="E180" s="7" t="s">
        <v>103</v>
      </c>
      <c r="F180" s="7" t="n">
        <v>2002</v>
      </c>
      <c r="G180" s="7" t="s">
        <v>69</v>
      </c>
      <c r="H180" s="7" t="s">
        <v>87</v>
      </c>
      <c r="I180" s="7" t="n">
        <v>21.3</v>
      </c>
      <c r="J180" s="7" t="s">
        <v>64</v>
      </c>
      <c r="K180" s="7" t="s">
        <v>65</v>
      </c>
      <c r="L180" s="7" t="s">
        <v>66</v>
      </c>
      <c r="M180" s="7" t="n">
        <v>18.7</v>
      </c>
      <c r="N180" s="7" t="n">
        <v>999</v>
      </c>
    </row>
    <row r="181" customFormat="false" ht="15" hidden="false" customHeight="false" outlineLevel="0" collapsed="false">
      <c r="A181" s="7" t="s">
        <v>59</v>
      </c>
      <c r="B181" s="7" t="s">
        <v>101</v>
      </c>
      <c r="C181" s="7" t="s">
        <v>101</v>
      </c>
      <c r="D181" s="7" t="s">
        <v>102</v>
      </c>
      <c r="E181" s="7" t="s">
        <v>103</v>
      </c>
      <c r="F181" s="7" t="n">
        <v>2002</v>
      </c>
      <c r="G181" s="7" t="s">
        <v>72</v>
      </c>
      <c r="H181" s="7" t="s">
        <v>63</v>
      </c>
      <c r="J181" s="7" t="s">
        <v>64</v>
      </c>
      <c r="L181" s="7" t="s">
        <v>71</v>
      </c>
      <c r="M181" s="7" t="n">
        <v>40.2</v>
      </c>
    </row>
    <row r="182" customFormat="false" ht="15" hidden="false" customHeight="false" outlineLevel="0" collapsed="false">
      <c r="A182" s="7" t="s">
        <v>59</v>
      </c>
      <c r="B182" s="7" t="s">
        <v>104</v>
      </c>
      <c r="C182" s="7" t="s">
        <v>104</v>
      </c>
      <c r="D182" s="7" t="s">
        <v>105</v>
      </c>
      <c r="E182" s="7" t="s">
        <v>105</v>
      </c>
      <c r="F182" s="7" t="n">
        <v>2002</v>
      </c>
      <c r="G182" s="7" t="s">
        <v>62</v>
      </c>
      <c r="H182" s="7" t="s">
        <v>63</v>
      </c>
      <c r="I182" s="7" t="n">
        <v>28.4</v>
      </c>
      <c r="J182" s="7" t="s">
        <v>64</v>
      </c>
      <c r="K182" s="7" t="s">
        <v>65</v>
      </c>
      <c r="L182" s="7" t="s">
        <v>66</v>
      </c>
      <c r="M182" s="7" t="n">
        <v>29.3</v>
      </c>
      <c r="N182" s="7" t="n">
        <v>40777</v>
      </c>
    </row>
    <row r="183" customFormat="false" ht="15" hidden="false" customHeight="false" outlineLevel="0" collapsed="false">
      <c r="A183" s="7" t="s">
        <v>59</v>
      </c>
      <c r="B183" s="7" t="s">
        <v>104</v>
      </c>
      <c r="C183" s="7" t="s">
        <v>104</v>
      </c>
      <c r="D183" s="7" t="s">
        <v>105</v>
      </c>
      <c r="E183" s="7" t="s">
        <v>105</v>
      </c>
      <c r="F183" s="7" t="n">
        <v>2002</v>
      </c>
      <c r="G183" s="7" t="s">
        <v>81</v>
      </c>
      <c r="H183" s="7" t="s">
        <v>63</v>
      </c>
      <c r="I183" s="7" t="n">
        <v>28.4</v>
      </c>
      <c r="J183" s="7" t="s">
        <v>64</v>
      </c>
      <c r="K183" s="7" t="s">
        <v>65</v>
      </c>
      <c r="L183" s="7" t="s">
        <v>66</v>
      </c>
      <c r="M183" s="7" t="n">
        <v>43.2</v>
      </c>
      <c r="N183" s="7" t="n">
        <v>40777</v>
      </c>
    </row>
    <row r="184" customFormat="false" ht="15" hidden="false" customHeight="false" outlineLevel="0" collapsed="false">
      <c r="A184" s="7" t="s">
        <v>59</v>
      </c>
      <c r="B184" s="7" t="s">
        <v>104</v>
      </c>
      <c r="C184" s="7" t="s">
        <v>104</v>
      </c>
      <c r="D184" s="7" t="s">
        <v>105</v>
      </c>
      <c r="E184" s="7" t="s">
        <v>105</v>
      </c>
      <c r="F184" s="7" t="n">
        <v>2002</v>
      </c>
      <c r="G184" s="7" t="s">
        <v>67</v>
      </c>
      <c r="H184" s="7" t="s">
        <v>63</v>
      </c>
      <c r="I184" s="7" t="n">
        <v>28.4</v>
      </c>
      <c r="J184" s="7" t="s">
        <v>64</v>
      </c>
      <c r="K184" s="7" t="s">
        <v>65</v>
      </c>
      <c r="L184" s="7" t="s">
        <v>66</v>
      </c>
      <c r="M184" s="7" t="n">
        <v>24.8</v>
      </c>
      <c r="N184" s="7" t="n">
        <v>40777</v>
      </c>
    </row>
    <row r="185" customFormat="false" ht="15" hidden="false" customHeight="false" outlineLevel="0" collapsed="false">
      <c r="A185" s="7" t="s">
        <v>59</v>
      </c>
      <c r="B185" s="7" t="s">
        <v>104</v>
      </c>
      <c r="C185" s="7" t="s">
        <v>104</v>
      </c>
      <c r="D185" s="7" t="s">
        <v>105</v>
      </c>
      <c r="E185" s="7" t="s">
        <v>105</v>
      </c>
      <c r="F185" s="7" t="n">
        <v>2002</v>
      </c>
      <c r="G185" s="7" t="s">
        <v>82</v>
      </c>
      <c r="H185" s="7" t="s">
        <v>63</v>
      </c>
      <c r="I185" s="7" t="n">
        <v>28.4</v>
      </c>
      <c r="J185" s="7" t="s">
        <v>64</v>
      </c>
      <c r="K185" s="7" t="s">
        <v>65</v>
      </c>
      <c r="L185" s="7" t="s">
        <v>66</v>
      </c>
      <c r="M185" s="7" t="n">
        <v>16.2</v>
      </c>
      <c r="N185" s="7" t="n">
        <v>40777</v>
      </c>
    </row>
    <row r="186" customFormat="false" ht="15" hidden="false" customHeight="false" outlineLevel="0" collapsed="false">
      <c r="A186" s="7" t="s">
        <v>59</v>
      </c>
      <c r="B186" s="7" t="s">
        <v>104</v>
      </c>
      <c r="C186" s="7" t="s">
        <v>104</v>
      </c>
      <c r="D186" s="7" t="s">
        <v>105</v>
      </c>
      <c r="E186" s="7" t="s">
        <v>105</v>
      </c>
      <c r="F186" s="7" t="n">
        <v>2002</v>
      </c>
      <c r="G186" s="7" t="s">
        <v>68</v>
      </c>
      <c r="H186" s="7" t="s">
        <v>63</v>
      </c>
      <c r="I186" s="7" t="n">
        <v>28.4</v>
      </c>
      <c r="J186" s="7" t="s">
        <v>64</v>
      </c>
      <c r="K186" s="7" t="s">
        <v>65</v>
      </c>
      <c r="L186" s="7" t="s">
        <v>66</v>
      </c>
      <c r="M186" s="7" t="n">
        <v>25.3</v>
      </c>
      <c r="N186" s="7" t="n">
        <v>40777</v>
      </c>
    </row>
    <row r="187" customFormat="false" ht="15" hidden="false" customHeight="false" outlineLevel="0" collapsed="false">
      <c r="A187" s="7" t="s">
        <v>59</v>
      </c>
      <c r="B187" s="7" t="s">
        <v>104</v>
      </c>
      <c r="C187" s="7" t="s">
        <v>104</v>
      </c>
      <c r="D187" s="7" t="s">
        <v>105</v>
      </c>
      <c r="E187" s="7" t="s">
        <v>105</v>
      </c>
      <c r="F187" s="7" t="n">
        <v>2002</v>
      </c>
      <c r="G187" s="7" t="s">
        <v>106</v>
      </c>
      <c r="H187" s="7" t="s">
        <v>63</v>
      </c>
      <c r="J187" s="7" t="s">
        <v>64</v>
      </c>
      <c r="L187" s="7" t="s">
        <v>71</v>
      </c>
      <c r="M187" s="7" t="n">
        <v>7.1</v>
      </c>
      <c r="N187" s="7" t="n">
        <v>40777</v>
      </c>
    </row>
    <row r="188" customFormat="false" ht="15" hidden="false" customHeight="false" outlineLevel="0" collapsed="false">
      <c r="A188" s="7" t="s">
        <v>59</v>
      </c>
      <c r="B188" s="7" t="s">
        <v>104</v>
      </c>
      <c r="C188" s="7" t="s">
        <v>104</v>
      </c>
      <c r="D188" s="7" t="s">
        <v>105</v>
      </c>
      <c r="E188" s="7" t="s">
        <v>105</v>
      </c>
      <c r="F188" s="7" t="n">
        <v>2002</v>
      </c>
      <c r="G188" s="7" t="s">
        <v>83</v>
      </c>
      <c r="H188" s="7" t="s">
        <v>63</v>
      </c>
      <c r="I188" s="7" t="n">
        <v>28.4</v>
      </c>
      <c r="J188" s="7" t="s">
        <v>64</v>
      </c>
      <c r="K188" s="7" t="s">
        <v>65</v>
      </c>
      <c r="L188" s="7" t="s">
        <v>66</v>
      </c>
      <c r="M188" s="7" t="n">
        <v>63</v>
      </c>
      <c r="N188" s="7" t="n">
        <v>40777</v>
      </c>
    </row>
    <row r="189" customFormat="false" ht="15" hidden="false" customHeight="false" outlineLevel="0" collapsed="false">
      <c r="A189" s="7" t="s">
        <v>59</v>
      </c>
      <c r="B189" s="7" t="s">
        <v>104</v>
      </c>
      <c r="C189" s="7" t="s">
        <v>104</v>
      </c>
      <c r="D189" s="7" t="s">
        <v>105</v>
      </c>
      <c r="E189" s="7" t="s">
        <v>105</v>
      </c>
      <c r="F189" s="7" t="n">
        <v>2002</v>
      </c>
      <c r="G189" s="7" t="s">
        <v>69</v>
      </c>
      <c r="H189" s="7" t="s">
        <v>63</v>
      </c>
      <c r="I189" s="7" t="n">
        <v>28.4</v>
      </c>
      <c r="J189" s="7" t="s">
        <v>64</v>
      </c>
      <c r="K189" s="7" t="s">
        <v>65</v>
      </c>
      <c r="L189" s="7" t="s">
        <v>66</v>
      </c>
      <c r="M189" s="7" t="n">
        <v>38.6</v>
      </c>
      <c r="N189" s="7" t="n">
        <v>40777</v>
      </c>
    </row>
    <row r="190" customFormat="false" ht="15" hidden="false" customHeight="false" outlineLevel="0" collapsed="false">
      <c r="A190" s="7" t="s">
        <v>59</v>
      </c>
      <c r="B190" s="7" t="s">
        <v>107</v>
      </c>
      <c r="C190" s="7" t="s">
        <v>107</v>
      </c>
      <c r="D190" s="7" t="s">
        <v>108</v>
      </c>
      <c r="E190" s="7" t="s">
        <v>108</v>
      </c>
      <c r="F190" s="7" t="n">
        <v>2005</v>
      </c>
      <c r="G190" s="7" t="s">
        <v>62</v>
      </c>
      <c r="H190" s="7" t="s">
        <v>86</v>
      </c>
      <c r="I190" s="7" t="n">
        <v>49.5</v>
      </c>
      <c r="J190" s="7" t="s">
        <v>64</v>
      </c>
      <c r="K190" s="7" t="s">
        <v>65</v>
      </c>
      <c r="L190" s="7" t="s">
        <v>66</v>
      </c>
      <c r="M190" s="7" t="n">
        <v>54.5</v>
      </c>
      <c r="N190" s="7" t="n">
        <v>23414</v>
      </c>
    </row>
    <row r="191" customFormat="false" ht="15" hidden="false" customHeight="false" outlineLevel="0" collapsed="false">
      <c r="A191" s="7" t="s">
        <v>59</v>
      </c>
      <c r="B191" s="7" t="s">
        <v>107</v>
      </c>
      <c r="C191" s="7" t="s">
        <v>107</v>
      </c>
      <c r="D191" s="7" t="s">
        <v>108</v>
      </c>
      <c r="E191" s="7" t="s">
        <v>108</v>
      </c>
      <c r="F191" s="7" t="n">
        <v>2005</v>
      </c>
      <c r="G191" s="7" t="s">
        <v>62</v>
      </c>
      <c r="H191" s="7" t="s">
        <v>63</v>
      </c>
      <c r="I191" s="7" t="n">
        <v>49.5</v>
      </c>
      <c r="J191" s="7" t="s">
        <v>64</v>
      </c>
      <c r="K191" s="7" t="s">
        <v>65</v>
      </c>
      <c r="L191" s="7" t="s">
        <v>66</v>
      </c>
      <c r="M191" s="7" t="n">
        <v>68.6</v>
      </c>
      <c r="N191" s="7" t="n">
        <v>23414</v>
      </c>
    </row>
    <row r="192" customFormat="false" ht="15" hidden="false" customHeight="false" outlineLevel="0" collapsed="false">
      <c r="A192" s="7" t="s">
        <v>59</v>
      </c>
      <c r="B192" s="7" t="s">
        <v>107</v>
      </c>
      <c r="C192" s="7" t="s">
        <v>107</v>
      </c>
      <c r="D192" s="7" t="s">
        <v>108</v>
      </c>
      <c r="E192" s="7" t="s">
        <v>108</v>
      </c>
      <c r="F192" s="7" t="n">
        <v>2005</v>
      </c>
      <c r="G192" s="7" t="s">
        <v>81</v>
      </c>
      <c r="H192" s="7" t="s">
        <v>86</v>
      </c>
      <c r="I192" s="7" t="n">
        <v>49.5</v>
      </c>
      <c r="J192" s="7" t="s">
        <v>64</v>
      </c>
      <c r="K192" s="7" t="s">
        <v>65</v>
      </c>
      <c r="L192" s="7" t="s">
        <v>66</v>
      </c>
      <c r="M192" s="7" t="n">
        <v>36.1</v>
      </c>
      <c r="N192" s="7" t="n">
        <v>23414</v>
      </c>
    </row>
    <row r="193" customFormat="false" ht="15" hidden="false" customHeight="false" outlineLevel="0" collapsed="false">
      <c r="A193" s="7" t="s">
        <v>59</v>
      </c>
      <c r="B193" s="7" t="s">
        <v>107</v>
      </c>
      <c r="C193" s="7" t="s">
        <v>107</v>
      </c>
      <c r="D193" s="7" t="s">
        <v>108</v>
      </c>
      <c r="E193" s="7" t="s">
        <v>108</v>
      </c>
      <c r="F193" s="7" t="n">
        <v>2005</v>
      </c>
      <c r="G193" s="7" t="s">
        <v>81</v>
      </c>
      <c r="H193" s="7" t="s">
        <v>63</v>
      </c>
      <c r="I193" s="7" t="n">
        <v>49.5</v>
      </c>
      <c r="J193" s="7" t="s">
        <v>64</v>
      </c>
      <c r="K193" s="7" t="s">
        <v>65</v>
      </c>
      <c r="L193" s="7" t="s">
        <v>66</v>
      </c>
      <c r="M193" s="7" t="n">
        <v>71.7</v>
      </c>
      <c r="N193" s="7" t="n">
        <v>23414</v>
      </c>
    </row>
    <row r="194" customFormat="false" ht="15" hidden="false" customHeight="false" outlineLevel="0" collapsed="false">
      <c r="A194" s="7" t="s">
        <v>59</v>
      </c>
      <c r="B194" s="7" t="s">
        <v>107</v>
      </c>
      <c r="C194" s="7" t="s">
        <v>107</v>
      </c>
      <c r="D194" s="7" t="s">
        <v>108</v>
      </c>
      <c r="E194" s="7" t="s">
        <v>108</v>
      </c>
      <c r="F194" s="7" t="n">
        <v>2005</v>
      </c>
      <c r="G194" s="7" t="s">
        <v>67</v>
      </c>
      <c r="H194" s="7" t="s">
        <v>86</v>
      </c>
      <c r="I194" s="7" t="n">
        <v>49.5</v>
      </c>
      <c r="J194" s="7" t="s">
        <v>64</v>
      </c>
      <c r="K194" s="7" t="s">
        <v>65</v>
      </c>
      <c r="L194" s="7" t="s">
        <v>66</v>
      </c>
      <c r="M194" s="7" t="n">
        <v>25.7</v>
      </c>
      <c r="N194" s="7" t="n">
        <v>23414</v>
      </c>
    </row>
    <row r="195" customFormat="false" ht="15" hidden="false" customHeight="false" outlineLevel="0" collapsed="false">
      <c r="A195" s="7" t="s">
        <v>59</v>
      </c>
      <c r="B195" s="7" t="s">
        <v>107</v>
      </c>
      <c r="C195" s="7" t="s">
        <v>107</v>
      </c>
      <c r="D195" s="7" t="s">
        <v>108</v>
      </c>
      <c r="E195" s="7" t="s">
        <v>108</v>
      </c>
      <c r="F195" s="7" t="n">
        <v>2005</v>
      </c>
      <c r="G195" s="7" t="s">
        <v>67</v>
      </c>
      <c r="H195" s="7" t="s">
        <v>63</v>
      </c>
      <c r="I195" s="7" t="n">
        <v>49.5</v>
      </c>
      <c r="J195" s="7" t="s">
        <v>64</v>
      </c>
      <c r="K195" s="7" t="s">
        <v>65</v>
      </c>
      <c r="L195" s="7" t="s">
        <v>66</v>
      </c>
      <c r="M195" s="7" t="n">
        <v>53.5</v>
      </c>
      <c r="N195" s="7" t="n">
        <v>23414</v>
      </c>
    </row>
    <row r="196" customFormat="false" ht="15" hidden="false" customHeight="false" outlineLevel="0" collapsed="false">
      <c r="A196" s="7" t="s">
        <v>59</v>
      </c>
      <c r="B196" s="7" t="s">
        <v>107</v>
      </c>
      <c r="C196" s="7" t="s">
        <v>107</v>
      </c>
      <c r="D196" s="7" t="s">
        <v>108</v>
      </c>
      <c r="E196" s="7" t="s">
        <v>108</v>
      </c>
      <c r="F196" s="7" t="n">
        <v>2005</v>
      </c>
      <c r="G196" s="7" t="s">
        <v>82</v>
      </c>
      <c r="H196" s="7" t="s">
        <v>86</v>
      </c>
      <c r="I196" s="7" t="n">
        <v>49.5</v>
      </c>
      <c r="J196" s="7" t="s">
        <v>64</v>
      </c>
      <c r="K196" s="7" t="s">
        <v>65</v>
      </c>
      <c r="L196" s="7" t="s">
        <v>66</v>
      </c>
      <c r="M196" s="7" t="n">
        <v>17.8</v>
      </c>
      <c r="N196" s="7" t="n">
        <v>23414</v>
      </c>
    </row>
    <row r="197" customFormat="false" ht="15" hidden="false" customHeight="false" outlineLevel="0" collapsed="false">
      <c r="A197" s="7" t="s">
        <v>59</v>
      </c>
      <c r="B197" s="7" t="s">
        <v>107</v>
      </c>
      <c r="C197" s="7" t="s">
        <v>107</v>
      </c>
      <c r="D197" s="7" t="s">
        <v>108</v>
      </c>
      <c r="E197" s="7" t="s">
        <v>108</v>
      </c>
      <c r="F197" s="7" t="n">
        <v>2005</v>
      </c>
      <c r="G197" s="7" t="s">
        <v>82</v>
      </c>
      <c r="H197" s="7" t="s">
        <v>63</v>
      </c>
      <c r="I197" s="7" t="n">
        <v>49.5</v>
      </c>
      <c r="J197" s="7" t="s">
        <v>64</v>
      </c>
      <c r="K197" s="7" t="s">
        <v>65</v>
      </c>
      <c r="L197" s="7" t="s">
        <v>66</v>
      </c>
      <c r="M197" s="7" t="n">
        <v>42.2</v>
      </c>
      <c r="N197" s="7" t="n">
        <v>23414</v>
      </c>
    </row>
    <row r="198" customFormat="false" ht="15" hidden="false" customHeight="false" outlineLevel="0" collapsed="false">
      <c r="A198" s="7" t="s">
        <v>59</v>
      </c>
      <c r="B198" s="7" t="s">
        <v>107</v>
      </c>
      <c r="C198" s="7" t="s">
        <v>107</v>
      </c>
      <c r="D198" s="7" t="s">
        <v>108</v>
      </c>
      <c r="E198" s="7" t="s">
        <v>108</v>
      </c>
      <c r="F198" s="7" t="n">
        <v>2005</v>
      </c>
      <c r="G198" s="7" t="s">
        <v>109</v>
      </c>
      <c r="H198" s="7" t="s">
        <v>86</v>
      </c>
      <c r="I198" s="7" t="n">
        <v>49.5</v>
      </c>
      <c r="J198" s="7" t="s">
        <v>64</v>
      </c>
      <c r="K198" s="7" t="s">
        <v>65</v>
      </c>
      <c r="L198" s="7" t="s">
        <v>66</v>
      </c>
      <c r="M198" s="7" t="n">
        <v>29.6</v>
      </c>
      <c r="N198" s="7" t="n">
        <v>23414</v>
      </c>
    </row>
    <row r="199" customFormat="false" ht="15" hidden="false" customHeight="false" outlineLevel="0" collapsed="false">
      <c r="A199" s="7" t="s">
        <v>59</v>
      </c>
      <c r="B199" s="7" t="s">
        <v>107</v>
      </c>
      <c r="C199" s="7" t="s">
        <v>107</v>
      </c>
      <c r="D199" s="7" t="s">
        <v>108</v>
      </c>
      <c r="E199" s="7" t="s">
        <v>108</v>
      </c>
      <c r="F199" s="7" t="n">
        <v>2005</v>
      </c>
      <c r="G199" s="7" t="s">
        <v>109</v>
      </c>
      <c r="H199" s="7" t="s">
        <v>63</v>
      </c>
      <c r="I199" s="7" t="n">
        <v>49.5</v>
      </c>
      <c r="J199" s="7" t="s">
        <v>64</v>
      </c>
      <c r="K199" s="7" t="s">
        <v>65</v>
      </c>
      <c r="L199" s="7" t="s">
        <v>66</v>
      </c>
      <c r="M199" s="7" t="n">
        <v>56</v>
      </c>
      <c r="N199" s="7" t="n">
        <v>23414</v>
      </c>
    </row>
    <row r="200" customFormat="false" ht="15" hidden="false" customHeight="false" outlineLevel="0" collapsed="false">
      <c r="A200" s="7" t="s">
        <v>59</v>
      </c>
      <c r="B200" s="7" t="s">
        <v>107</v>
      </c>
      <c r="C200" s="7" t="s">
        <v>107</v>
      </c>
      <c r="D200" s="7" t="s">
        <v>108</v>
      </c>
      <c r="E200" s="7" t="s">
        <v>108</v>
      </c>
      <c r="F200" s="7" t="n">
        <v>2005</v>
      </c>
      <c r="G200" s="7" t="s">
        <v>110</v>
      </c>
      <c r="H200" s="7" t="s">
        <v>86</v>
      </c>
      <c r="I200" s="7" t="n">
        <v>49.5</v>
      </c>
      <c r="J200" s="7" t="s">
        <v>64</v>
      </c>
      <c r="K200" s="7" t="s">
        <v>65</v>
      </c>
      <c r="L200" s="7" t="s">
        <v>66</v>
      </c>
      <c r="M200" s="7" t="n">
        <v>19.5</v>
      </c>
      <c r="N200" s="7" t="n">
        <v>23414</v>
      </c>
    </row>
    <row r="201" customFormat="false" ht="15" hidden="false" customHeight="false" outlineLevel="0" collapsed="false">
      <c r="A201" s="7" t="s">
        <v>59</v>
      </c>
      <c r="B201" s="7" t="s">
        <v>107</v>
      </c>
      <c r="C201" s="7" t="s">
        <v>107</v>
      </c>
      <c r="D201" s="7" t="s">
        <v>108</v>
      </c>
      <c r="E201" s="7" t="s">
        <v>108</v>
      </c>
      <c r="F201" s="7" t="n">
        <v>2005</v>
      </c>
      <c r="G201" s="7" t="s">
        <v>110</v>
      </c>
      <c r="H201" s="7" t="s">
        <v>63</v>
      </c>
      <c r="I201" s="7" t="n">
        <v>49.5</v>
      </c>
      <c r="J201" s="7" t="s">
        <v>64</v>
      </c>
      <c r="K201" s="7" t="s">
        <v>65</v>
      </c>
      <c r="L201" s="7" t="s">
        <v>66</v>
      </c>
      <c r="M201" s="7" t="n">
        <v>41.2</v>
      </c>
      <c r="N201" s="7" t="n">
        <v>23414</v>
      </c>
    </row>
    <row r="202" customFormat="false" ht="15" hidden="false" customHeight="false" outlineLevel="0" collapsed="false">
      <c r="A202" s="7" t="s">
        <v>59</v>
      </c>
      <c r="B202" s="7" t="s">
        <v>107</v>
      </c>
      <c r="C202" s="7" t="s">
        <v>107</v>
      </c>
      <c r="D202" s="7" t="s">
        <v>108</v>
      </c>
      <c r="E202" s="7" t="s">
        <v>108</v>
      </c>
      <c r="F202" s="7" t="n">
        <v>2005</v>
      </c>
      <c r="G202" s="7" t="s">
        <v>68</v>
      </c>
      <c r="H202" s="7" t="s">
        <v>86</v>
      </c>
      <c r="I202" s="7" t="n">
        <v>49.5</v>
      </c>
      <c r="J202" s="7" t="s">
        <v>64</v>
      </c>
      <c r="K202" s="7" t="s">
        <v>65</v>
      </c>
      <c r="L202" s="7" t="s">
        <v>66</v>
      </c>
      <c r="M202" s="7" t="n">
        <v>25.8</v>
      </c>
      <c r="N202" s="7" t="n">
        <v>23414</v>
      </c>
    </row>
    <row r="203" customFormat="false" ht="15" hidden="false" customHeight="false" outlineLevel="0" collapsed="false">
      <c r="A203" s="7" t="s">
        <v>59</v>
      </c>
      <c r="B203" s="7" t="s">
        <v>107</v>
      </c>
      <c r="C203" s="7" t="s">
        <v>107</v>
      </c>
      <c r="D203" s="7" t="s">
        <v>108</v>
      </c>
      <c r="E203" s="7" t="s">
        <v>108</v>
      </c>
      <c r="F203" s="7" t="n">
        <v>2005</v>
      </c>
      <c r="G203" s="7" t="s">
        <v>68</v>
      </c>
      <c r="H203" s="7" t="s">
        <v>63</v>
      </c>
      <c r="I203" s="7" t="n">
        <v>49.5</v>
      </c>
      <c r="J203" s="7" t="s">
        <v>64</v>
      </c>
      <c r="K203" s="7" t="s">
        <v>65</v>
      </c>
      <c r="L203" s="7" t="s">
        <v>66</v>
      </c>
      <c r="M203" s="7" t="n">
        <v>62.4</v>
      </c>
      <c r="N203" s="7" t="n">
        <v>23414</v>
      </c>
    </row>
    <row r="204" customFormat="false" ht="15" hidden="false" customHeight="false" outlineLevel="0" collapsed="false">
      <c r="A204" s="7" t="s">
        <v>59</v>
      </c>
      <c r="B204" s="7" t="s">
        <v>107</v>
      </c>
      <c r="C204" s="7" t="s">
        <v>107</v>
      </c>
      <c r="D204" s="7" t="s">
        <v>108</v>
      </c>
      <c r="E204" s="7" t="s">
        <v>108</v>
      </c>
      <c r="F204" s="7" t="n">
        <v>2005</v>
      </c>
      <c r="G204" s="7" t="s">
        <v>83</v>
      </c>
      <c r="H204" s="7" t="s">
        <v>86</v>
      </c>
      <c r="I204" s="7" t="n">
        <v>49.5</v>
      </c>
      <c r="J204" s="7" t="s">
        <v>64</v>
      </c>
      <c r="K204" s="7" t="s">
        <v>65</v>
      </c>
      <c r="L204" s="7" t="s">
        <v>66</v>
      </c>
      <c r="M204" s="7" t="n">
        <v>31.7</v>
      </c>
      <c r="N204" s="7" t="n">
        <v>23414</v>
      </c>
    </row>
    <row r="205" customFormat="false" ht="15" hidden="false" customHeight="false" outlineLevel="0" collapsed="false">
      <c r="A205" s="7" t="s">
        <v>59</v>
      </c>
      <c r="B205" s="7" t="s">
        <v>107</v>
      </c>
      <c r="C205" s="7" t="s">
        <v>107</v>
      </c>
      <c r="D205" s="7" t="s">
        <v>108</v>
      </c>
      <c r="E205" s="7" t="s">
        <v>108</v>
      </c>
      <c r="F205" s="7" t="n">
        <v>2005</v>
      </c>
      <c r="G205" s="7" t="s">
        <v>83</v>
      </c>
      <c r="H205" s="7" t="s">
        <v>63</v>
      </c>
      <c r="I205" s="7" t="n">
        <v>49.5</v>
      </c>
      <c r="J205" s="7" t="s">
        <v>64</v>
      </c>
      <c r="K205" s="7" t="s">
        <v>65</v>
      </c>
      <c r="L205" s="7" t="s">
        <v>66</v>
      </c>
      <c r="M205" s="7" t="n">
        <v>78.5</v>
      </c>
      <c r="N205" s="7" t="n">
        <v>23414</v>
      </c>
    </row>
    <row r="206" customFormat="false" ht="15" hidden="false" customHeight="false" outlineLevel="0" collapsed="false">
      <c r="A206" s="7" t="s">
        <v>59</v>
      </c>
      <c r="B206" s="7" t="s">
        <v>107</v>
      </c>
      <c r="C206" s="7" t="s">
        <v>107</v>
      </c>
      <c r="D206" s="7" t="s">
        <v>108</v>
      </c>
      <c r="E206" s="7" t="s">
        <v>108</v>
      </c>
      <c r="F206" s="7" t="n">
        <v>2005</v>
      </c>
      <c r="G206" s="7" t="s">
        <v>69</v>
      </c>
      <c r="H206" s="7" t="s">
        <v>86</v>
      </c>
      <c r="I206" s="7" t="n">
        <v>49.5</v>
      </c>
      <c r="J206" s="7" t="s">
        <v>64</v>
      </c>
      <c r="K206" s="7" t="s">
        <v>65</v>
      </c>
      <c r="L206" s="7" t="s">
        <v>66</v>
      </c>
      <c r="M206" s="7" t="n">
        <v>22</v>
      </c>
      <c r="N206" s="7" t="n">
        <v>23414</v>
      </c>
    </row>
    <row r="207" customFormat="false" ht="15" hidden="false" customHeight="false" outlineLevel="0" collapsed="false">
      <c r="A207" s="7" t="s">
        <v>59</v>
      </c>
      <c r="B207" s="7" t="s">
        <v>107</v>
      </c>
      <c r="C207" s="7" t="s">
        <v>107</v>
      </c>
      <c r="D207" s="7" t="s">
        <v>108</v>
      </c>
      <c r="E207" s="7" t="s">
        <v>108</v>
      </c>
      <c r="F207" s="7" t="n">
        <v>2005</v>
      </c>
      <c r="G207" s="7" t="s">
        <v>69</v>
      </c>
      <c r="H207" s="7" t="s">
        <v>63</v>
      </c>
      <c r="I207" s="7" t="n">
        <v>49.5</v>
      </c>
      <c r="J207" s="7" t="s">
        <v>64</v>
      </c>
      <c r="K207" s="7" t="s">
        <v>65</v>
      </c>
      <c r="L207" s="7" t="s">
        <v>66</v>
      </c>
      <c r="M207" s="7" t="n">
        <v>60.7</v>
      </c>
      <c r="N207" s="7" t="n">
        <v>23414</v>
      </c>
    </row>
    <row r="208" customFormat="false" ht="15" hidden="false" customHeight="false" outlineLevel="0" collapsed="false">
      <c r="A208" s="7" t="s">
        <v>59</v>
      </c>
      <c r="B208" s="7" t="s">
        <v>107</v>
      </c>
      <c r="C208" s="7" t="s">
        <v>107</v>
      </c>
      <c r="D208" s="7" t="s">
        <v>108</v>
      </c>
      <c r="E208" s="7" t="s">
        <v>108</v>
      </c>
      <c r="F208" s="7" t="n">
        <v>2005</v>
      </c>
      <c r="G208" s="7" t="s">
        <v>72</v>
      </c>
      <c r="H208" s="7" t="s">
        <v>63</v>
      </c>
      <c r="I208" s="7" t="n">
        <v>49.5</v>
      </c>
      <c r="J208" s="7" t="s">
        <v>64</v>
      </c>
      <c r="K208" s="7" t="s">
        <v>65</v>
      </c>
      <c r="L208" s="7" t="s">
        <v>66</v>
      </c>
      <c r="M208" s="7" t="n">
        <v>7</v>
      </c>
    </row>
    <row r="209" customFormat="false" ht="15" hidden="false" customHeight="false" outlineLevel="0" collapsed="false">
      <c r="A209" s="7" t="s">
        <v>59</v>
      </c>
      <c r="B209" s="7" t="s">
        <v>107</v>
      </c>
      <c r="C209" s="7" t="s">
        <v>107</v>
      </c>
      <c r="D209" s="7" t="s">
        <v>108</v>
      </c>
      <c r="E209" s="7" t="s">
        <v>108</v>
      </c>
      <c r="F209" s="7" t="n">
        <v>2005</v>
      </c>
      <c r="G209" s="7" t="s">
        <v>111</v>
      </c>
      <c r="H209" s="7" t="s">
        <v>86</v>
      </c>
      <c r="I209" s="7" t="n">
        <v>49.5</v>
      </c>
      <c r="J209" s="7" t="s">
        <v>64</v>
      </c>
      <c r="K209" s="7" t="s">
        <v>65</v>
      </c>
      <c r="L209" s="7" t="s">
        <v>66</v>
      </c>
      <c r="M209" s="7" t="n">
        <v>20.3</v>
      </c>
      <c r="N209" s="7" t="n">
        <v>23414</v>
      </c>
    </row>
    <row r="210" customFormat="false" ht="15" hidden="false" customHeight="false" outlineLevel="0" collapsed="false">
      <c r="A210" s="7" t="s">
        <v>59</v>
      </c>
      <c r="B210" s="7" t="s">
        <v>107</v>
      </c>
      <c r="C210" s="7" t="s">
        <v>107</v>
      </c>
      <c r="D210" s="7" t="s">
        <v>108</v>
      </c>
      <c r="E210" s="7" t="s">
        <v>108</v>
      </c>
      <c r="F210" s="7" t="n">
        <v>2005</v>
      </c>
      <c r="G210" s="7" t="s">
        <v>111</v>
      </c>
      <c r="H210" s="7" t="s">
        <v>63</v>
      </c>
      <c r="I210" s="7" t="n">
        <v>49.5</v>
      </c>
      <c r="J210" s="7" t="s">
        <v>64</v>
      </c>
      <c r="K210" s="7" t="s">
        <v>65</v>
      </c>
      <c r="L210" s="7" t="s">
        <v>66</v>
      </c>
      <c r="M210" s="7" t="n">
        <v>42.9</v>
      </c>
      <c r="N210" s="7" t="n">
        <v>23414</v>
      </c>
    </row>
    <row r="211" customFormat="false" ht="15" hidden="false" customHeight="false" outlineLevel="0" collapsed="false">
      <c r="A211" s="7" t="s">
        <v>59</v>
      </c>
      <c r="B211" s="7" t="s">
        <v>112</v>
      </c>
      <c r="C211" s="7" t="s">
        <v>112</v>
      </c>
      <c r="D211" s="7" t="s">
        <v>113</v>
      </c>
      <c r="E211" s="7" t="s">
        <v>114</v>
      </c>
      <c r="F211" s="7" t="n">
        <v>2006</v>
      </c>
      <c r="G211" s="7" t="s">
        <v>62</v>
      </c>
      <c r="H211" s="7" t="s">
        <v>78</v>
      </c>
      <c r="I211" s="7" t="n">
        <v>18.2</v>
      </c>
      <c r="J211" s="7" t="s">
        <v>64</v>
      </c>
      <c r="K211" s="7" t="s">
        <v>79</v>
      </c>
      <c r="L211" s="7" t="s">
        <v>66</v>
      </c>
      <c r="M211" s="7" t="n">
        <v>50.5</v>
      </c>
      <c r="N211" s="7" t="n">
        <v>3187</v>
      </c>
    </row>
    <row r="212" customFormat="false" ht="15" hidden="false" customHeight="false" outlineLevel="0" collapsed="false">
      <c r="A212" s="7" t="s">
        <v>59</v>
      </c>
      <c r="B212" s="7" t="s">
        <v>112</v>
      </c>
      <c r="C212" s="7" t="s">
        <v>112</v>
      </c>
      <c r="D212" s="7" t="s">
        <v>113</v>
      </c>
      <c r="E212" s="7" t="s">
        <v>114</v>
      </c>
      <c r="F212" s="7" t="n">
        <v>2006</v>
      </c>
      <c r="G212" s="7" t="s">
        <v>62</v>
      </c>
      <c r="H212" s="7" t="s">
        <v>86</v>
      </c>
      <c r="I212" s="7" t="n">
        <v>18.2</v>
      </c>
      <c r="J212" s="7" t="s">
        <v>64</v>
      </c>
      <c r="K212" s="7" t="s">
        <v>65</v>
      </c>
      <c r="L212" s="7" t="s">
        <v>66</v>
      </c>
      <c r="M212" s="7" t="n">
        <v>16.9</v>
      </c>
      <c r="N212" s="7" t="n">
        <v>3187</v>
      </c>
    </row>
    <row r="213" customFormat="false" ht="15" hidden="false" customHeight="false" outlineLevel="0" collapsed="false">
      <c r="A213" s="7" t="s">
        <v>59</v>
      </c>
      <c r="B213" s="7" t="s">
        <v>112</v>
      </c>
      <c r="C213" s="7" t="s">
        <v>112</v>
      </c>
      <c r="D213" s="7" t="s">
        <v>113</v>
      </c>
      <c r="E213" s="7" t="s">
        <v>114</v>
      </c>
      <c r="F213" s="7" t="n">
        <v>2006</v>
      </c>
      <c r="G213" s="7" t="s">
        <v>62</v>
      </c>
      <c r="H213" s="7" t="s">
        <v>63</v>
      </c>
      <c r="I213" s="7" t="n">
        <v>18.2</v>
      </c>
      <c r="J213" s="7" t="s">
        <v>64</v>
      </c>
      <c r="K213" s="7" t="s">
        <v>65</v>
      </c>
      <c r="L213" s="7" t="s">
        <v>66</v>
      </c>
      <c r="M213" s="7" t="n">
        <v>51.5</v>
      </c>
      <c r="N213" s="7" t="n">
        <v>3187</v>
      </c>
    </row>
    <row r="214" customFormat="false" ht="15" hidden="false" customHeight="false" outlineLevel="0" collapsed="false">
      <c r="A214" s="7" t="s">
        <v>59</v>
      </c>
      <c r="B214" s="7" t="s">
        <v>112</v>
      </c>
      <c r="C214" s="7" t="s">
        <v>112</v>
      </c>
      <c r="D214" s="7" t="s">
        <v>113</v>
      </c>
      <c r="E214" s="7" t="s">
        <v>114</v>
      </c>
      <c r="F214" s="7" t="n">
        <v>2006</v>
      </c>
      <c r="G214" s="7" t="s">
        <v>62</v>
      </c>
      <c r="H214" s="7" t="s">
        <v>87</v>
      </c>
      <c r="I214" s="7" t="n">
        <v>18.2</v>
      </c>
      <c r="J214" s="7" t="s">
        <v>64</v>
      </c>
      <c r="K214" s="7" t="s">
        <v>65</v>
      </c>
      <c r="L214" s="7" t="s">
        <v>66</v>
      </c>
      <c r="M214" s="7" t="n">
        <v>34.6</v>
      </c>
      <c r="N214" s="7" t="n">
        <v>3187</v>
      </c>
    </row>
    <row r="215" customFormat="false" ht="15" hidden="false" customHeight="false" outlineLevel="0" collapsed="false">
      <c r="A215" s="7" t="s">
        <v>59</v>
      </c>
      <c r="B215" s="7" t="s">
        <v>112</v>
      </c>
      <c r="C215" s="7" t="s">
        <v>112</v>
      </c>
      <c r="D215" s="7" t="s">
        <v>113</v>
      </c>
      <c r="E215" s="7" t="s">
        <v>114</v>
      </c>
      <c r="F215" s="7" t="n">
        <v>2006</v>
      </c>
      <c r="G215" s="7" t="s">
        <v>81</v>
      </c>
      <c r="H215" s="7" t="s">
        <v>78</v>
      </c>
      <c r="I215" s="7" t="n">
        <v>18.2</v>
      </c>
      <c r="J215" s="7" t="s">
        <v>64</v>
      </c>
      <c r="K215" s="7" t="s">
        <v>79</v>
      </c>
      <c r="L215" s="7" t="s">
        <v>66</v>
      </c>
      <c r="M215" s="7" t="n">
        <v>46.4</v>
      </c>
      <c r="N215" s="7" t="n">
        <v>3187</v>
      </c>
    </row>
    <row r="216" customFormat="false" ht="15" hidden="false" customHeight="false" outlineLevel="0" collapsed="false">
      <c r="A216" s="7" t="s">
        <v>59</v>
      </c>
      <c r="B216" s="7" t="s">
        <v>112</v>
      </c>
      <c r="C216" s="7" t="s">
        <v>112</v>
      </c>
      <c r="D216" s="7" t="s">
        <v>113</v>
      </c>
      <c r="E216" s="7" t="s">
        <v>114</v>
      </c>
      <c r="F216" s="7" t="n">
        <v>2006</v>
      </c>
      <c r="G216" s="7" t="s">
        <v>81</v>
      </c>
      <c r="H216" s="7" t="s">
        <v>86</v>
      </c>
      <c r="I216" s="7" t="n">
        <v>18.2</v>
      </c>
      <c r="J216" s="7" t="s">
        <v>64</v>
      </c>
      <c r="K216" s="7" t="s">
        <v>65</v>
      </c>
      <c r="L216" s="7" t="s">
        <v>66</v>
      </c>
      <c r="M216" s="7" t="n">
        <v>17</v>
      </c>
      <c r="N216" s="7" t="n">
        <v>3187</v>
      </c>
    </row>
    <row r="217" customFormat="false" ht="15" hidden="false" customHeight="false" outlineLevel="0" collapsed="false">
      <c r="A217" s="7" t="s">
        <v>59</v>
      </c>
      <c r="B217" s="7" t="s">
        <v>112</v>
      </c>
      <c r="C217" s="7" t="s">
        <v>112</v>
      </c>
      <c r="D217" s="7" t="s">
        <v>113</v>
      </c>
      <c r="E217" s="7" t="s">
        <v>114</v>
      </c>
      <c r="F217" s="7" t="n">
        <v>2006</v>
      </c>
      <c r="G217" s="7" t="s">
        <v>81</v>
      </c>
      <c r="H217" s="7" t="s">
        <v>63</v>
      </c>
      <c r="I217" s="7" t="n">
        <v>18.2</v>
      </c>
      <c r="J217" s="7" t="s">
        <v>64</v>
      </c>
      <c r="K217" s="7" t="s">
        <v>65</v>
      </c>
      <c r="L217" s="7" t="s">
        <v>66</v>
      </c>
      <c r="M217" s="7" t="n">
        <v>48.6</v>
      </c>
      <c r="N217" s="7" t="n">
        <v>3187</v>
      </c>
    </row>
    <row r="218" customFormat="false" ht="15" hidden="false" customHeight="false" outlineLevel="0" collapsed="false">
      <c r="A218" s="7" t="s">
        <v>59</v>
      </c>
      <c r="B218" s="7" t="s">
        <v>112</v>
      </c>
      <c r="C218" s="7" t="s">
        <v>112</v>
      </c>
      <c r="D218" s="7" t="s">
        <v>113</v>
      </c>
      <c r="E218" s="7" t="s">
        <v>114</v>
      </c>
      <c r="F218" s="7" t="n">
        <v>2006</v>
      </c>
      <c r="G218" s="7" t="s">
        <v>81</v>
      </c>
      <c r="H218" s="7" t="s">
        <v>87</v>
      </c>
      <c r="I218" s="7" t="n">
        <v>18.2</v>
      </c>
      <c r="J218" s="7" t="s">
        <v>64</v>
      </c>
      <c r="K218" s="7" t="s">
        <v>65</v>
      </c>
      <c r="L218" s="7" t="s">
        <v>66</v>
      </c>
      <c r="M218" s="7" t="n">
        <v>31.6</v>
      </c>
      <c r="N218" s="7" t="n">
        <v>3187</v>
      </c>
    </row>
    <row r="219" customFormat="false" ht="15" hidden="false" customHeight="false" outlineLevel="0" collapsed="false">
      <c r="A219" s="7" t="s">
        <v>59</v>
      </c>
      <c r="B219" s="7" t="s">
        <v>112</v>
      </c>
      <c r="C219" s="7" t="s">
        <v>112</v>
      </c>
      <c r="D219" s="7" t="s">
        <v>113</v>
      </c>
      <c r="E219" s="7" t="s">
        <v>114</v>
      </c>
      <c r="F219" s="7" t="n">
        <v>2006</v>
      </c>
      <c r="G219" s="7" t="s">
        <v>67</v>
      </c>
      <c r="H219" s="7" t="s">
        <v>78</v>
      </c>
      <c r="I219" s="7" t="n">
        <v>18.2</v>
      </c>
      <c r="J219" s="7" t="s">
        <v>64</v>
      </c>
      <c r="K219" s="7" t="s">
        <v>79</v>
      </c>
      <c r="L219" s="7" t="s">
        <v>66</v>
      </c>
      <c r="M219" s="7" t="n">
        <v>28.1</v>
      </c>
      <c r="N219" s="7" t="n">
        <v>3187</v>
      </c>
    </row>
    <row r="220" customFormat="false" ht="15" hidden="false" customHeight="false" outlineLevel="0" collapsed="false">
      <c r="A220" s="7" t="s">
        <v>59</v>
      </c>
      <c r="B220" s="7" t="s">
        <v>112</v>
      </c>
      <c r="C220" s="7" t="s">
        <v>112</v>
      </c>
      <c r="D220" s="7" t="s">
        <v>113</v>
      </c>
      <c r="E220" s="7" t="s">
        <v>114</v>
      </c>
      <c r="F220" s="7" t="n">
        <v>2006</v>
      </c>
      <c r="G220" s="7" t="s">
        <v>67</v>
      </c>
      <c r="H220" s="7" t="s">
        <v>86</v>
      </c>
      <c r="I220" s="7" t="n">
        <v>18.2</v>
      </c>
      <c r="J220" s="7" t="s">
        <v>64</v>
      </c>
      <c r="K220" s="7" t="s">
        <v>65</v>
      </c>
      <c r="L220" s="7" t="s">
        <v>66</v>
      </c>
      <c r="M220" s="7" t="n">
        <v>14.1</v>
      </c>
      <c r="N220" s="7" t="n">
        <v>3187</v>
      </c>
    </row>
    <row r="221" customFormat="false" ht="15" hidden="false" customHeight="false" outlineLevel="0" collapsed="false">
      <c r="A221" s="7" t="s">
        <v>59</v>
      </c>
      <c r="B221" s="7" t="s">
        <v>112</v>
      </c>
      <c r="C221" s="7" t="s">
        <v>112</v>
      </c>
      <c r="D221" s="7" t="s">
        <v>113</v>
      </c>
      <c r="E221" s="7" t="s">
        <v>114</v>
      </c>
      <c r="F221" s="7" t="n">
        <v>2006</v>
      </c>
      <c r="G221" s="7" t="s">
        <v>67</v>
      </c>
      <c r="H221" s="7" t="s">
        <v>63</v>
      </c>
      <c r="I221" s="7" t="n">
        <v>18.2</v>
      </c>
      <c r="J221" s="7" t="s">
        <v>64</v>
      </c>
      <c r="K221" s="7" t="s">
        <v>65</v>
      </c>
      <c r="L221" s="7" t="s">
        <v>66</v>
      </c>
      <c r="M221" s="7" t="n">
        <v>29.6</v>
      </c>
      <c r="N221" s="7" t="n">
        <v>3187</v>
      </c>
    </row>
    <row r="222" customFormat="false" ht="15" hidden="false" customHeight="false" outlineLevel="0" collapsed="false">
      <c r="A222" s="7" t="s">
        <v>59</v>
      </c>
      <c r="B222" s="7" t="s">
        <v>112</v>
      </c>
      <c r="C222" s="7" t="s">
        <v>112</v>
      </c>
      <c r="D222" s="7" t="s">
        <v>113</v>
      </c>
      <c r="E222" s="7" t="s">
        <v>114</v>
      </c>
      <c r="F222" s="7" t="n">
        <v>2006</v>
      </c>
      <c r="G222" s="7" t="s">
        <v>67</v>
      </c>
      <c r="H222" s="7" t="s">
        <v>87</v>
      </c>
      <c r="I222" s="7" t="n">
        <v>18.2</v>
      </c>
      <c r="J222" s="7" t="s">
        <v>64</v>
      </c>
      <c r="K222" s="7" t="s">
        <v>65</v>
      </c>
      <c r="L222" s="7" t="s">
        <v>66</v>
      </c>
      <c r="M222" s="7" t="n">
        <v>15.6</v>
      </c>
      <c r="N222" s="7" t="n">
        <v>3187</v>
      </c>
    </row>
    <row r="223" customFormat="false" ht="15" hidden="false" customHeight="false" outlineLevel="0" collapsed="false">
      <c r="A223" s="7" t="s">
        <v>59</v>
      </c>
      <c r="B223" s="7" t="s">
        <v>112</v>
      </c>
      <c r="C223" s="7" t="s">
        <v>112</v>
      </c>
      <c r="D223" s="7" t="s">
        <v>113</v>
      </c>
      <c r="E223" s="7" t="s">
        <v>114</v>
      </c>
      <c r="F223" s="7" t="n">
        <v>2006</v>
      </c>
      <c r="G223" s="7" t="s">
        <v>82</v>
      </c>
      <c r="H223" s="7" t="s">
        <v>78</v>
      </c>
      <c r="I223" s="7" t="n">
        <v>18.2</v>
      </c>
      <c r="J223" s="7" t="s">
        <v>64</v>
      </c>
      <c r="K223" s="7" t="s">
        <v>79</v>
      </c>
      <c r="L223" s="7" t="s">
        <v>66</v>
      </c>
      <c r="M223" s="7" t="n">
        <v>10.9</v>
      </c>
      <c r="N223" s="7" t="n">
        <v>3187</v>
      </c>
    </row>
    <row r="224" customFormat="false" ht="15" hidden="false" customHeight="false" outlineLevel="0" collapsed="false">
      <c r="A224" s="7" t="s">
        <v>59</v>
      </c>
      <c r="B224" s="7" t="s">
        <v>112</v>
      </c>
      <c r="C224" s="7" t="s">
        <v>112</v>
      </c>
      <c r="D224" s="7" t="s">
        <v>113</v>
      </c>
      <c r="E224" s="7" t="s">
        <v>114</v>
      </c>
      <c r="F224" s="7" t="n">
        <v>2006</v>
      </c>
      <c r="G224" s="7" t="s">
        <v>82</v>
      </c>
      <c r="H224" s="7" t="s">
        <v>86</v>
      </c>
      <c r="I224" s="7" t="n">
        <v>18.2</v>
      </c>
      <c r="J224" s="7" t="s">
        <v>64</v>
      </c>
      <c r="K224" s="7" t="s">
        <v>65</v>
      </c>
      <c r="L224" s="7" t="s">
        <v>66</v>
      </c>
      <c r="M224" s="7" t="n">
        <v>11.5</v>
      </c>
      <c r="N224" s="7" t="n">
        <v>3187</v>
      </c>
    </row>
    <row r="225" customFormat="false" ht="15" hidden="false" customHeight="false" outlineLevel="0" collapsed="false">
      <c r="A225" s="7" t="s">
        <v>59</v>
      </c>
      <c r="B225" s="7" t="s">
        <v>112</v>
      </c>
      <c r="C225" s="7" t="s">
        <v>112</v>
      </c>
      <c r="D225" s="7" t="s">
        <v>113</v>
      </c>
      <c r="E225" s="7" t="s">
        <v>114</v>
      </c>
      <c r="F225" s="7" t="n">
        <v>2006</v>
      </c>
      <c r="G225" s="7" t="s">
        <v>82</v>
      </c>
      <c r="H225" s="7" t="s">
        <v>63</v>
      </c>
      <c r="I225" s="7" t="n">
        <v>18.2</v>
      </c>
      <c r="J225" s="7" t="s">
        <v>64</v>
      </c>
      <c r="K225" s="7" t="s">
        <v>65</v>
      </c>
      <c r="L225" s="7" t="s">
        <v>66</v>
      </c>
      <c r="M225" s="7" t="n">
        <v>16.4</v>
      </c>
      <c r="N225" s="7" t="n">
        <v>3187</v>
      </c>
    </row>
    <row r="226" customFormat="false" ht="15" hidden="false" customHeight="false" outlineLevel="0" collapsed="false">
      <c r="A226" s="7" t="s">
        <v>59</v>
      </c>
      <c r="B226" s="7" t="s">
        <v>112</v>
      </c>
      <c r="C226" s="7" t="s">
        <v>112</v>
      </c>
      <c r="D226" s="7" t="s">
        <v>113</v>
      </c>
      <c r="E226" s="7" t="s">
        <v>114</v>
      </c>
      <c r="F226" s="7" t="n">
        <v>2006</v>
      </c>
      <c r="G226" s="7" t="s">
        <v>82</v>
      </c>
      <c r="H226" s="7" t="s">
        <v>87</v>
      </c>
      <c r="I226" s="7" t="n">
        <v>18.2</v>
      </c>
      <c r="J226" s="7" t="s">
        <v>64</v>
      </c>
      <c r="K226" s="7" t="s">
        <v>65</v>
      </c>
      <c r="L226" s="7" t="s">
        <v>66</v>
      </c>
      <c r="M226" s="7" t="n">
        <v>5</v>
      </c>
      <c r="N226" s="7" t="n">
        <v>3187</v>
      </c>
    </row>
    <row r="227" customFormat="false" ht="15" hidden="false" customHeight="false" outlineLevel="0" collapsed="false">
      <c r="A227" s="7" t="s">
        <v>59</v>
      </c>
      <c r="B227" s="7" t="s">
        <v>112</v>
      </c>
      <c r="C227" s="7" t="s">
        <v>112</v>
      </c>
      <c r="D227" s="7" t="s">
        <v>113</v>
      </c>
      <c r="E227" s="7" t="s">
        <v>114</v>
      </c>
      <c r="F227" s="7" t="n">
        <v>2006</v>
      </c>
      <c r="G227" s="7" t="s">
        <v>68</v>
      </c>
      <c r="H227" s="7" t="s">
        <v>78</v>
      </c>
      <c r="I227" s="7" t="n">
        <v>18.2</v>
      </c>
      <c r="J227" s="7" t="s">
        <v>64</v>
      </c>
      <c r="K227" s="7" t="s">
        <v>79</v>
      </c>
      <c r="L227" s="7" t="s">
        <v>66</v>
      </c>
      <c r="M227" s="7" t="n">
        <v>38.3</v>
      </c>
      <c r="N227" s="7" t="n">
        <v>3187</v>
      </c>
    </row>
    <row r="228" customFormat="false" ht="15" hidden="false" customHeight="false" outlineLevel="0" collapsed="false">
      <c r="A228" s="7" t="s">
        <v>59</v>
      </c>
      <c r="B228" s="7" t="s">
        <v>112</v>
      </c>
      <c r="C228" s="7" t="s">
        <v>112</v>
      </c>
      <c r="D228" s="7" t="s">
        <v>113</v>
      </c>
      <c r="E228" s="7" t="s">
        <v>114</v>
      </c>
      <c r="F228" s="7" t="n">
        <v>2006</v>
      </c>
      <c r="G228" s="7" t="s">
        <v>68</v>
      </c>
      <c r="H228" s="7" t="s">
        <v>86</v>
      </c>
      <c r="I228" s="7" t="n">
        <v>18.2</v>
      </c>
      <c r="J228" s="7" t="s">
        <v>64</v>
      </c>
      <c r="K228" s="7" t="s">
        <v>65</v>
      </c>
      <c r="L228" s="7" t="s">
        <v>66</v>
      </c>
      <c r="M228" s="7" t="n">
        <v>13.9</v>
      </c>
      <c r="N228" s="7" t="n">
        <v>3187</v>
      </c>
    </row>
    <row r="229" customFormat="false" ht="15" hidden="false" customHeight="false" outlineLevel="0" collapsed="false">
      <c r="A229" s="7" t="s">
        <v>59</v>
      </c>
      <c r="B229" s="7" t="s">
        <v>112</v>
      </c>
      <c r="C229" s="7" t="s">
        <v>112</v>
      </c>
      <c r="D229" s="7" t="s">
        <v>113</v>
      </c>
      <c r="E229" s="7" t="s">
        <v>114</v>
      </c>
      <c r="F229" s="7" t="n">
        <v>2006</v>
      </c>
      <c r="G229" s="7" t="s">
        <v>68</v>
      </c>
      <c r="H229" s="7" t="s">
        <v>63</v>
      </c>
      <c r="I229" s="7" t="n">
        <v>18.2</v>
      </c>
      <c r="J229" s="7" t="s">
        <v>64</v>
      </c>
      <c r="K229" s="7" t="s">
        <v>65</v>
      </c>
      <c r="L229" s="7" t="s">
        <v>66</v>
      </c>
      <c r="M229" s="7" t="n">
        <v>44</v>
      </c>
      <c r="N229" s="7" t="n">
        <v>3187</v>
      </c>
    </row>
    <row r="230" customFormat="false" ht="15" hidden="false" customHeight="false" outlineLevel="0" collapsed="false">
      <c r="A230" s="7" t="s">
        <v>59</v>
      </c>
      <c r="B230" s="7" t="s">
        <v>112</v>
      </c>
      <c r="C230" s="7" t="s">
        <v>112</v>
      </c>
      <c r="D230" s="7" t="s">
        <v>113</v>
      </c>
      <c r="E230" s="7" t="s">
        <v>114</v>
      </c>
      <c r="F230" s="7" t="n">
        <v>2006</v>
      </c>
      <c r="G230" s="7" t="s">
        <v>68</v>
      </c>
      <c r="H230" s="7" t="s">
        <v>87</v>
      </c>
      <c r="I230" s="7" t="n">
        <v>18.2</v>
      </c>
      <c r="J230" s="7" t="s">
        <v>64</v>
      </c>
      <c r="K230" s="7" t="s">
        <v>65</v>
      </c>
      <c r="L230" s="7" t="s">
        <v>66</v>
      </c>
      <c r="M230" s="7" t="n">
        <v>30.1</v>
      </c>
      <c r="N230" s="7" t="n">
        <v>3187</v>
      </c>
    </row>
    <row r="231" customFormat="false" ht="15" hidden="false" customHeight="false" outlineLevel="0" collapsed="false">
      <c r="A231" s="7" t="s">
        <v>59</v>
      </c>
      <c r="B231" s="7" t="s">
        <v>112</v>
      </c>
      <c r="C231" s="7" t="s">
        <v>112</v>
      </c>
      <c r="D231" s="7" t="s">
        <v>113</v>
      </c>
      <c r="E231" s="7" t="s">
        <v>114</v>
      </c>
      <c r="F231" s="7" t="n">
        <v>2006</v>
      </c>
      <c r="G231" s="7" t="s">
        <v>106</v>
      </c>
      <c r="H231" s="7" t="s">
        <v>90</v>
      </c>
      <c r="J231" s="7" t="s">
        <v>64</v>
      </c>
      <c r="L231" s="7" t="s">
        <v>71</v>
      </c>
      <c r="M231" s="7" t="n">
        <v>50.8</v>
      </c>
      <c r="N231" s="7" t="n">
        <v>6427</v>
      </c>
    </row>
    <row r="232" customFormat="false" ht="15" hidden="false" customHeight="false" outlineLevel="0" collapsed="false">
      <c r="A232" s="7" t="s">
        <v>59</v>
      </c>
      <c r="B232" s="7" t="s">
        <v>112</v>
      </c>
      <c r="C232" s="7" t="s">
        <v>112</v>
      </c>
      <c r="D232" s="7" t="s">
        <v>113</v>
      </c>
      <c r="E232" s="7" t="s">
        <v>114</v>
      </c>
      <c r="F232" s="7" t="n">
        <v>2006</v>
      </c>
      <c r="G232" s="7" t="s">
        <v>83</v>
      </c>
      <c r="H232" s="7" t="s">
        <v>78</v>
      </c>
      <c r="I232" s="7" t="n">
        <v>18.2</v>
      </c>
      <c r="J232" s="7" t="s">
        <v>64</v>
      </c>
      <c r="K232" s="7" t="s">
        <v>79</v>
      </c>
      <c r="L232" s="7" t="s">
        <v>66</v>
      </c>
      <c r="M232" s="7" t="n">
        <v>52.5</v>
      </c>
      <c r="N232" s="7" t="n">
        <v>3187</v>
      </c>
    </row>
    <row r="233" customFormat="false" ht="15" hidden="false" customHeight="false" outlineLevel="0" collapsed="false">
      <c r="A233" s="7" t="s">
        <v>59</v>
      </c>
      <c r="B233" s="7" t="s">
        <v>112</v>
      </c>
      <c r="C233" s="7" t="s">
        <v>112</v>
      </c>
      <c r="D233" s="7" t="s">
        <v>113</v>
      </c>
      <c r="E233" s="7" t="s">
        <v>114</v>
      </c>
      <c r="F233" s="7" t="n">
        <v>2006</v>
      </c>
      <c r="G233" s="7" t="s">
        <v>83</v>
      </c>
      <c r="H233" s="7" t="s">
        <v>86</v>
      </c>
      <c r="I233" s="7" t="n">
        <v>18.2</v>
      </c>
      <c r="J233" s="7" t="s">
        <v>64</v>
      </c>
      <c r="K233" s="7" t="s">
        <v>65</v>
      </c>
      <c r="L233" s="7" t="s">
        <v>66</v>
      </c>
      <c r="M233" s="7" t="n">
        <v>15.6</v>
      </c>
      <c r="N233" s="7" t="n">
        <v>3187</v>
      </c>
    </row>
    <row r="234" customFormat="false" ht="15" hidden="false" customHeight="false" outlineLevel="0" collapsed="false">
      <c r="A234" s="7" t="s">
        <v>59</v>
      </c>
      <c r="B234" s="7" t="s">
        <v>112</v>
      </c>
      <c r="C234" s="7" t="s">
        <v>112</v>
      </c>
      <c r="D234" s="7" t="s">
        <v>113</v>
      </c>
      <c r="E234" s="7" t="s">
        <v>114</v>
      </c>
      <c r="F234" s="7" t="n">
        <v>2006</v>
      </c>
      <c r="G234" s="7" t="s">
        <v>83</v>
      </c>
      <c r="H234" s="7" t="s">
        <v>63</v>
      </c>
      <c r="I234" s="7" t="n">
        <v>18.2</v>
      </c>
      <c r="J234" s="7" t="s">
        <v>64</v>
      </c>
      <c r="K234" s="7" t="s">
        <v>65</v>
      </c>
      <c r="L234" s="7" t="s">
        <v>66</v>
      </c>
      <c r="M234" s="7" t="n">
        <v>55.6</v>
      </c>
      <c r="N234" s="7" t="n">
        <v>3187</v>
      </c>
    </row>
    <row r="235" customFormat="false" ht="15" hidden="false" customHeight="false" outlineLevel="0" collapsed="false">
      <c r="A235" s="7" t="s">
        <v>59</v>
      </c>
      <c r="B235" s="7" t="s">
        <v>112</v>
      </c>
      <c r="C235" s="7" t="s">
        <v>112</v>
      </c>
      <c r="D235" s="7" t="s">
        <v>113</v>
      </c>
      <c r="E235" s="7" t="s">
        <v>114</v>
      </c>
      <c r="F235" s="7" t="n">
        <v>2006</v>
      </c>
      <c r="G235" s="7" t="s">
        <v>83</v>
      </c>
      <c r="H235" s="7" t="s">
        <v>87</v>
      </c>
      <c r="I235" s="7" t="n">
        <v>18.2</v>
      </c>
      <c r="J235" s="7" t="s">
        <v>64</v>
      </c>
      <c r="K235" s="7" t="s">
        <v>65</v>
      </c>
      <c r="L235" s="7" t="s">
        <v>66</v>
      </c>
      <c r="M235" s="7" t="n">
        <v>39.9</v>
      </c>
      <c r="N235" s="7" t="n">
        <v>3187</v>
      </c>
    </row>
    <row r="236" customFormat="false" ht="15" hidden="false" customHeight="false" outlineLevel="0" collapsed="false">
      <c r="A236" s="7" t="s">
        <v>59</v>
      </c>
      <c r="B236" s="7" t="s">
        <v>112</v>
      </c>
      <c r="C236" s="7" t="s">
        <v>112</v>
      </c>
      <c r="D236" s="7" t="s">
        <v>113</v>
      </c>
      <c r="E236" s="7" t="s">
        <v>114</v>
      </c>
      <c r="F236" s="7" t="n">
        <v>2006</v>
      </c>
      <c r="G236" s="7" t="s">
        <v>69</v>
      </c>
      <c r="H236" s="7" t="s">
        <v>78</v>
      </c>
      <c r="I236" s="7" t="n">
        <v>18.2</v>
      </c>
      <c r="J236" s="7" t="s">
        <v>64</v>
      </c>
      <c r="K236" s="7" t="s">
        <v>79</v>
      </c>
      <c r="L236" s="7" t="s">
        <v>66</v>
      </c>
      <c r="M236" s="7" t="n">
        <v>27.5</v>
      </c>
      <c r="N236" s="7" t="n">
        <v>3187</v>
      </c>
    </row>
    <row r="237" customFormat="false" ht="15" hidden="false" customHeight="false" outlineLevel="0" collapsed="false">
      <c r="A237" s="7" t="s">
        <v>59</v>
      </c>
      <c r="B237" s="7" t="s">
        <v>112</v>
      </c>
      <c r="C237" s="7" t="s">
        <v>112</v>
      </c>
      <c r="D237" s="7" t="s">
        <v>113</v>
      </c>
      <c r="E237" s="7" t="s">
        <v>114</v>
      </c>
      <c r="F237" s="7" t="n">
        <v>2006</v>
      </c>
      <c r="G237" s="7" t="s">
        <v>69</v>
      </c>
      <c r="H237" s="7" t="s">
        <v>86</v>
      </c>
      <c r="I237" s="7" t="n">
        <v>18.2</v>
      </c>
      <c r="J237" s="7" t="s">
        <v>64</v>
      </c>
      <c r="K237" s="7" t="s">
        <v>65</v>
      </c>
      <c r="L237" s="7" t="s">
        <v>66</v>
      </c>
      <c r="M237" s="7" t="n">
        <v>12.9</v>
      </c>
      <c r="N237" s="7" t="n">
        <v>3187</v>
      </c>
    </row>
    <row r="238" customFormat="false" ht="15" hidden="false" customHeight="false" outlineLevel="0" collapsed="false">
      <c r="A238" s="7" t="s">
        <v>59</v>
      </c>
      <c r="B238" s="7" t="s">
        <v>112</v>
      </c>
      <c r="C238" s="7" t="s">
        <v>112</v>
      </c>
      <c r="D238" s="7" t="s">
        <v>113</v>
      </c>
      <c r="E238" s="7" t="s">
        <v>114</v>
      </c>
      <c r="F238" s="7" t="n">
        <v>2006</v>
      </c>
      <c r="G238" s="7" t="s">
        <v>69</v>
      </c>
      <c r="H238" s="7" t="s">
        <v>63</v>
      </c>
      <c r="I238" s="7" t="n">
        <v>18.2</v>
      </c>
      <c r="J238" s="7" t="s">
        <v>64</v>
      </c>
      <c r="K238" s="7" t="s">
        <v>65</v>
      </c>
      <c r="L238" s="7" t="s">
        <v>66</v>
      </c>
      <c r="M238" s="7" t="n">
        <v>29.4</v>
      </c>
      <c r="N238" s="7" t="n">
        <v>3187</v>
      </c>
    </row>
    <row r="239" customFormat="false" ht="15" hidden="false" customHeight="false" outlineLevel="0" collapsed="false">
      <c r="A239" s="7" t="s">
        <v>59</v>
      </c>
      <c r="B239" s="7" t="s">
        <v>112</v>
      </c>
      <c r="C239" s="7" t="s">
        <v>112</v>
      </c>
      <c r="D239" s="7" t="s">
        <v>113</v>
      </c>
      <c r="E239" s="7" t="s">
        <v>114</v>
      </c>
      <c r="F239" s="7" t="n">
        <v>2006</v>
      </c>
      <c r="G239" s="7" t="s">
        <v>69</v>
      </c>
      <c r="H239" s="7" t="s">
        <v>87</v>
      </c>
      <c r="I239" s="7" t="n">
        <v>18.2</v>
      </c>
      <c r="J239" s="7" t="s">
        <v>64</v>
      </c>
      <c r="K239" s="7" t="s">
        <v>65</v>
      </c>
      <c r="L239" s="7" t="s">
        <v>66</v>
      </c>
      <c r="M239" s="7" t="n">
        <v>16.5</v>
      </c>
      <c r="N239" s="7" t="n">
        <v>3187</v>
      </c>
    </row>
    <row r="240" customFormat="false" ht="15" hidden="false" customHeight="false" outlineLevel="0" collapsed="false">
      <c r="A240" s="7" t="s">
        <v>59</v>
      </c>
      <c r="B240" s="7" t="s">
        <v>112</v>
      </c>
      <c r="C240" s="7" t="s">
        <v>112</v>
      </c>
      <c r="D240" s="7" t="s">
        <v>113</v>
      </c>
      <c r="E240" s="7" t="s">
        <v>114</v>
      </c>
      <c r="F240" s="7" t="n">
        <v>2006</v>
      </c>
      <c r="G240" s="7" t="s">
        <v>72</v>
      </c>
      <c r="H240" s="7" t="s">
        <v>90</v>
      </c>
      <c r="J240" s="7" t="s">
        <v>64</v>
      </c>
      <c r="L240" s="7" t="s">
        <v>71</v>
      </c>
      <c r="M240" s="7" t="n">
        <v>47.2</v>
      </c>
      <c r="N240" s="7" t="n">
        <v>6427</v>
      </c>
    </row>
    <row r="241" customFormat="false" ht="15" hidden="false" customHeight="false" outlineLevel="0" collapsed="false">
      <c r="A241" s="7" t="s">
        <v>59</v>
      </c>
      <c r="B241" s="7" t="s">
        <v>115</v>
      </c>
      <c r="C241" s="7" t="s">
        <v>115</v>
      </c>
      <c r="D241" s="7" t="s">
        <v>116</v>
      </c>
      <c r="E241" s="7" t="s">
        <v>117</v>
      </c>
      <c r="F241" s="7" t="n">
        <v>2007</v>
      </c>
      <c r="G241" s="7" t="s">
        <v>62</v>
      </c>
      <c r="H241" s="7" t="s">
        <v>78</v>
      </c>
      <c r="I241" s="7" t="n">
        <v>26.1</v>
      </c>
      <c r="J241" s="7" t="s">
        <v>64</v>
      </c>
      <c r="K241" s="7" t="s">
        <v>79</v>
      </c>
      <c r="L241" s="7" t="s">
        <v>66</v>
      </c>
      <c r="M241" s="7" t="n">
        <v>47.9</v>
      </c>
      <c r="N241" s="7" t="n">
        <v>4945</v>
      </c>
    </row>
    <row r="242" customFormat="false" ht="15" hidden="false" customHeight="false" outlineLevel="0" collapsed="false">
      <c r="A242" s="7" t="s">
        <v>59</v>
      </c>
      <c r="B242" s="7" t="s">
        <v>115</v>
      </c>
      <c r="C242" s="7" t="s">
        <v>115</v>
      </c>
      <c r="D242" s="7" t="s">
        <v>116</v>
      </c>
      <c r="E242" s="7" t="s">
        <v>117</v>
      </c>
      <c r="F242" s="7" t="n">
        <v>2007</v>
      </c>
      <c r="G242" s="7" t="s">
        <v>62</v>
      </c>
      <c r="H242" s="7" t="s">
        <v>86</v>
      </c>
      <c r="I242" s="7" t="n">
        <v>26.1</v>
      </c>
      <c r="J242" s="7" t="s">
        <v>64</v>
      </c>
      <c r="K242" s="7" t="s">
        <v>65</v>
      </c>
      <c r="L242" s="7" t="s">
        <v>66</v>
      </c>
      <c r="M242" s="7" t="n">
        <v>23.7</v>
      </c>
      <c r="N242" s="7" t="n">
        <v>4945</v>
      </c>
    </row>
    <row r="243" customFormat="false" ht="15" hidden="false" customHeight="false" outlineLevel="0" collapsed="false">
      <c r="A243" s="7" t="s">
        <v>59</v>
      </c>
      <c r="B243" s="7" t="s">
        <v>115</v>
      </c>
      <c r="C243" s="7" t="s">
        <v>115</v>
      </c>
      <c r="D243" s="7" t="s">
        <v>116</v>
      </c>
      <c r="E243" s="7" t="s">
        <v>117</v>
      </c>
      <c r="F243" s="7" t="n">
        <v>2007</v>
      </c>
      <c r="G243" s="7" t="s">
        <v>62</v>
      </c>
      <c r="H243" s="7" t="s">
        <v>63</v>
      </c>
      <c r="I243" s="7" t="n">
        <v>26.1</v>
      </c>
      <c r="J243" s="7" t="s">
        <v>64</v>
      </c>
      <c r="K243" s="7" t="s">
        <v>65</v>
      </c>
      <c r="L243" s="7" t="s">
        <v>66</v>
      </c>
      <c r="M243" s="7" t="n">
        <v>49.7</v>
      </c>
      <c r="N243" s="7" t="n">
        <v>4945</v>
      </c>
    </row>
    <row r="244" customFormat="false" ht="15" hidden="false" customHeight="false" outlineLevel="0" collapsed="false">
      <c r="A244" s="7" t="s">
        <v>59</v>
      </c>
      <c r="B244" s="7" t="s">
        <v>115</v>
      </c>
      <c r="C244" s="7" t="s">
        <v>115</v>
      </c>
      <c r="D244" s="7" t="s">
        <v>116</v>
      </c>
      <c r="E244" s="7" t="s">
        <v>117</v>
      </c>
      <c r="F244" s="7" t="n">
        <v>2007</v>
      </c>
      <c r="G244" s="7" t="s">
        <v>62</v>
      </c>
      <c r="H244" s="7" t="s">
        <v>87</v>
      </c>
      <c r="I244" s="7" t="n">
        <v>26.1</v>
      </c>
      <c r="J244" s="7" t="s">
        <v>64</v>
      </c>
      <c r="K244" s="7" t="s">
        <v>65</v>
      </c>
      <c r="L244" s="7" t="s">
        <v>66</v>
      </c>
      <c r="M244" s="7" t="n">
        <v>25.9</v>
      </c>
      <c r="N244" s="7" t="n">
        <v>4945</v>
      </c>
    </row>
    <row r="245" customFormat="false" ht="15" hidden="false" customHeight="false" outlineLevel="0" collapsed="false">
      <c r="A245" s="7" t="s">
        <v>59</v>
      </c>
      <c r="B245" s="7" t="s">
        <v>115</v>
      </c>
      <c r="C245" s="7" t="s">
        <v>115</v>
      </c>
      <c r="D245" s="7" t="s">
        <v>116</v>
      </c>
      <c r="E245" s="7" t="s">
        <v>117</v>
      </c>
      <c r="F245" s="7" t="n">
        <v>2007</v>
      </c>
      <c r="G245" s="7" t="s">
        <v>81</v>
      </c>
      <c r="H245" s="7" t="s">
        <v>78</v>
      </c>
      <c r="I245" s="7" t="n">
        <v>26.1</v>
      </c>
      <c r="J245" s="7" t="s">
        <v>64</v>
      </c>
      <c r="K245" s="7" t="s">
        <v>79</v>
      </c>
      <c r="L245" s="7" t="s">
        <v>66</v>
      </c>
      <c r="M245" s="7" t="n">
        <v>49.4</v>
      </c>
      <c r="N245" s="7" t="n">
        <v>4945</v>
      </c>
    </row>
    <row r="246" customFormat="false" ht="15" hidden="false" customHeight="false" outlineLevel="0" collapsed="false">
      <c r="A246" s="7" t="s">
        <v>59</v>
      </c>
      <c r="B246" s="7" t="s">
        <v>115</v>
      </c>
      <c r="C246" s="7" t="s">
        <v>115</v>
      </c>
      <c r="D246" s="7" t="s">
        <v>116</v>
      </c>
      <c r="E246" s="7" t="s">
        <v>117</v>
      </c>
      <c r="F246" s="7" t="n">
        <v>2007</v>
      </c>
      <c r="G246" s="7" t="s">
        <v>81</v>
      </c>
      <c r="H246" s="7" t="s">
        <v>86</v>
      </c>
      <c r="I246" s="7" t="n">
        <v>26.1</v>
      </c>
      <c r="J246" s="7" t="s">
        <v>64</v>
      </c>
      <c r="K246" s="7" t="s">
        <v>65</v>
      </c>
      <c r="L246" s="7" t="s">
        <v>66</v>
      </c>
      <c r="M246" s="7" t="n">
        <v>24.9</v>
      </c>
      <c r="N246" s="7" t="n">
        <v>4945</v>
      </c>
    </row>
    <row r="247" customFormat="false" ht="15" hidden="false" customHeight="false" outlineLevel="0" collapsed="false">
      <c r="A247" s="7" t="s">
        <v>59</v>
      </c>
      <c r="B247" s="7" t="s">
        <v>115</v>
      </c>
      <c r="C247" s="7" t="s">
        <v>115</v>
      </c>
      <c r="D247" s="7" t="s">
        <v>116</v>
      </c>
      <c r="E247" s="7" t="s">
        <v>117</v>
      </c>
      <c r="F247" s="7" t="n">
        <v>2007</v>
      </c>
      <c r="G247" s="7" t="s">
        <v>81</v>
      </c>
      <c r="H247" s="7" t="s">
        <v>63</v>
      </c>
      <c r="I247" s="7" t="n">
        <v>26.1</v>
      </c>
      <c r="J247" s="7" t="s">
        <v>64</v>
      </c>
      <c r="K247" s="7" t="s">
        <v>65</v>
      </c>
      <c r="L247" s="7" t="s">
        <v>66</v>
      </c>
      <c r="M247" s="7" t="n">
        <v>52</v>
      </c>
      <c r="N247" s="7" t="n">
        <v>4945</v>
      </c>
    </row>
    <row r="248" customFormat="false" ht="15" hidden="false" customHeight="false" outlineLevel="0" collapsed="false">
      <c r="A248" s="7" t="s">
        <v>59</v>
      </c>
      <c r="B248" s="7" t="s">
        <v>115</v>
      </c>
      <c r="C248" s="7" t="s">
        <v>115</v>
      </c>
      <c r="D248" s="7" t="s">
        <v>116</v>
      </c>
      <c r="E248" s="7" t="s">
        <v>117</v>
      </c>
      <c r="F248" s="7" t="n">
        <v>2007</v>
      </c>
      <c r="G248" s="7" t="s">
        <v>81</v>
      </c>
      <c r="H248" s="7" t="s">
        <v>87</v>
      </c>
      <c r="I248" s="7" t="n">
        <v>26.1</v>
      </c>
      <c r="J248" s="7" t="s">
        <v>64</v>
      </c>
      <c r="K248" s="7" t="s">
        <v>65</v>
      </c>
      <c r="L248" s="7" t="s">
        <v>66</v>
      </c>
      <c r="M248" s="7" t="n">
        <v>27.1</v>
      </c>
      <c r="N248" s="7" t="n">
        <v>4945</v>
      </c>
    </row>
    <row r="249" customFormat="false" ht="15" hidden="false" customHeight="false" outlineLevel="0" collapsed="false">
      <c r="A249" s="7" t="s">
        <v>59</v>
      </c>
      <c r="B249" s="7" t="s">
        <v>115</v>
      </c>
      <c r="C249" s="7" t="s">
        <v>115</v>
      </c>
      <c r="D249" s="7" t="s">
        <v>116</v>
      </c>
      <c r="E249" s="7" t="s">
        <v>117</v>
      </c>
      <c r="F249" s="7" t="n">
        <v>2007</v>
      </c>
      <c r="G249" s="7" t="s">
        <v>67</v>
      </c>
      <c r="H249" s="7" t="s">
        <v>78</v>
      </c>
      <c r="I249" s="7" t="n">
        <v>26.1</v>
      </c>
      <c r="J249" s="7" t="s">
        <v>64</v>
      </c>
      <c r="K249" s="7" t="s">
        <v>79</v>
      </c>
      <c r="L249" s="7" t="s">
        <v>66</v>
      </c>
      <c r="M249" s="7" t="n">
        <v>32.8</v>
      </c>
      <c r="N249" s="7" t="n">
        <v>4945</v>
      </c>
    </row>
    <row r="250" customFormat="false" ht="15" hidden="false" customHeight="false" outlineLevel="0" collapsed="false">
      <c r="A250" s="7" t="s">
        <v>59</v>
      </c>
      <c r="B250" s="7" t="s">
        <v>115</v>
      </c>
      <c r="C250" s="7" t="s">
        <v>115</v>
      </c>
      <c r="D250" s="7" t="s">
        <v>116</v>
      </c>
      <c r="E250" s="7" t="s">
        <v>117</v>
      </c>
      <c r="F250" s="7" t="n">
        <v>2007</v>
      </c>
      <c r="G250" s="7" t="s">
        <v>67</v>
      </c>
      <c r="H250" s="7" t="s">
        <v>86</v>
      </c>
      <c r="I250" s="7" t="n">
        <v>26.1</v>
      </c>
      <c r="J250" s="7" t="s">
        <v>64</v>
      </c>
      <c r="K250" s="7" t="s">
        <v>65</v>
      </c>
      <c r="L250" s="7" t="s">
        <v>66</v>
      </c>
      <c r="M250" s="7" t="n">
        <v>20.2</v>
      </c>
      <c r="N250" s="7" t="n">
        <v>4945</v>
      </c>
    </row>
    <row r="251" customFormat="false" ht="15" hidden="false" customHeight="false" outlineLevel="0" collapsed="false">
      <c r="A251" s="7" t="s">
        <v>59</v>
      </c>
      <c r="B251" s="7" t="s">
        <v>115</v>
      </c>
      <c r="C251" s="7" t="s">
        <v>115</v>
      </c>
      <c r="D251" s="7" t="s">
        <v>116</v>
      </c>
      <c r="E251" s="7" t="s">
        <v>117</v>
      </c>
      <c r="F251" s="7" t="n">
        <v>2007</v>
      </c>
      <c r="G251" s="7" t="s">
        <v>67</v>
      </c>
      <c r="H251" s="7" t="s">
        <v>63</v>
      </c>
      <c r="I251" s="7" t="n">
        <v>26.1</v>
      </c>
      <c r="J251" s="7" t="s">
        <v>64</v>
      </c>
      <c r="K251" s="7" t="s">
        <v>65</v>
      </c>
      <c r="L251" s="7" t="s">
        <v>66</v>
      </c>
      <c r="M251" s="7" t="n">
        <v>35.4</v>
      </c>
      <c r="N251" s="7" t="n">
        <v>4945</v>
      </c>
    </row>
    <row r="252" customFormat="false" ht="15" hidden="false" customHeight="false" outlineLevel="0" collapsed="false">
      <c r="A252" s="7" t="s">
        <v>59</v>
      </c>
      <c r="B252" s="7" t="s">
        <v>115</v>
      </c>
      <c r="C252" s="7" t="s">
        <v>115</v>
      </c>
      <c r="D252" s="7" t="s">
        <v>116</v>
      </c>
      <c r="E252" s="7" t="s">
        <v>117</v>
      </c>
      <c r="F252" s="7" t="n">
        <v>2007</v>
      </c>
      <c r="G252" s="7" t="s">
        <v>67</v>
      </c>
      <c r="H252" s="7" t="s">
        <v>87</v>
      </c>
      <c r="I252" s="7" t="n">
        <v>26.1</v>
      </c>
      <c r="J252" s="7" t="s">
        <v>64</v>
      </c>
      <c r="K252" s="7" t="s">
        <v>65</v>
      </c>
      <c r="L252" s="7" t="s">
        <v>66</v>
      </c>
      <c r="M252" s="7" t="n">
        <v>15.2</v>
      </c>
      <c r="N252" s="7" t="n">
        <v>4945</v>
      </c>
    </row>
    <row r="253" customFormat="false" ht="15" hidden="false" customHeight="false" outlineLevel="0" collapsed="false">
      <c r="A253" s="7" t="s">
        <v>59</v>
      </c>
      <c r="B253" s="7" t="s">
        <v>115</v>
      </c>
      <c r="C253" s="7" t="s">
        <v>115</v>
      </c>
      <c r="D253" s="7" t="s">
        <v>116</v>
      </c>
      <c r="E253" s="7" t="s">
        <v>117</v>
      </c>
      <c r="F253" s="7" t="n">
        <v>2007</v>
      </c>
      <c r="G253" s="7" t="s">
        <v>82</v>
      </c>
      <c r="H253" s="7" t="s">
        <v>78</v>
      </c>
      <c r="I253" s="7" t="n">
        <v>26.1</v>
      </c>
      <c r="J253" s="7" t="s">
        <v>64</v>
      </c>
      <c r="K253" s="7" t="s">
        <v>79</v>
      </c>
      <c r="L253" s="7" t="s">
        <v>66</v>
      </c>
      <c r="M253" s="7" t="n">
        <v>19.2</v>
      </c>
      <c r="N253" s="7" t="n">
        <v>4945</v>
      </c>
    </row>
    <row r="254" customFormat="false" ht="15" hidden="false" customHeight="false" outlineLevel="0" collapsed="false">
      <c r="A254" s="7" t="s">
        <v>59</v>
      </c>
      <c r="B254" s="7" t="s">
        <v>115</v>
      </c>
      <c r="C254" s="7" t="s">
        <v>115</v>
      </c>
      <c r="D254" s="7" t="s">
        <v>116</v>
      </c>
      <c r="E254" s="7" t="s">
        <v>117</v>
      </c>
      <c r="F254" s="7" t="n">
        <v>2007</v>
      </c>
      <c r="G254" s="7" t="s">
        <v>82</v>
      </c>
      <c r="H254" s="7" t="s">
        <v>86</v>
      </c>
      <c r="I254" s="7" t="n">
        <v>26.1</v>
      </c>
      <c r="J254" s="7" t="s">
        <v>64</v>
      </c>
      <c r="K254" s="7" t="s">
        <v>65</v>
      </c>
      <c r="L254" s="7" t="s">
        <v>66</v>
      </c>
      <c r="M254" s="7" t="n">
        <v>15.7</v>
      </c>
      <c r="N254" s="7" t="n">
        <v>4945</v>
      </c>
    </row>
    <row r="255" customFormat="false" ht="15" hidden="false" customHeight="false" outlineLevel="0" collapsed="false">
      <c r="A255" s="7" t="s">
        <v>59</v>
      </c>
      <c r="B255" s="7" t="s">
        <v>115</v>
      </c>
      <c r="C255" s="7" t="s">
        <v>115</v>
      </c>
      <c r="D255" s="7" t="s">
        <v>116</v>
      </c>
      <c r="E255" s="7" t="s">
        <v>117</v>
      </c>
      <c r="F255" s="7" t="n">
        <v>2007</v>
      </c>
      <c r="G255" s="7" t="s">
        <v>82</v>
      </c>
      <c r="H255" s="7" t="s">
        <v>63</v>
      </c>
      <c r="I255" s="7" t="n">
        <v>26.1</v>
      </c>
      <c r="J255" s="7" t="s">
        <v>64</v>
      </c>
      <c r="K255" s="7" t="s">
        <v>65</v>
      </c>
      <c r="L255" s="7" t="s">
        <v>66</v>
      </c>
      <c r="M255" s="7" t="n">
        <v>22.7</v>
      </c>
      <c r="N255" s="7" t="n">
        <v>4945</v>
      </c>
    </row>
    <row r="256" customFormat="false" ht="15" hidden="false" customHeight="false" outlineLevel="0" collapsed="false">
      <c r="A256" s="7" t="s">
        <v>59</v>
      </c>
      <c r="B256" s="7" t="s">
        <v>115</v>
      </c>
      <c r="C256" s="7" t="s">
        <v>115</v>
      </c>
      <c r="D256" s="7" t="s">
        <v>116</v>
      </c>
      <c r="E256" s="7" t="s">
        <v>117</v>
      </c>
      <c r="F256" s="7" t="n">
        <v>2007</v>
      </c>
      <c r="G256" s="7" t="s">
        <v>82</v>
      </c>
      <c r="H256" s="7" t="s">
        <v>87</v>
      </c>
      <c r="I256" s="7" t="n">
        <v>26.1</v>
      </c>
      <c r="J256" s="7" t="s">
        <v>64</v>
      </c>
      <c r="K256" s="7" t="s">
        <v>65</v>
      </c>
      <c r="L256" s="7" t="s">
        <v>66</v>
      </c>
      <c r="M256" s="7" t="n">
        <v>7</v>
      </c>
      <c r="N256" s="7" t="n">
        <v>4945</v>
      </c>
    </row>
    <row r="257" customFormat="false" ht="15" hidden="false" customHeight="false" outlineLevel="0" collapsed="false">
      <c r="A257" s="7" t="s">
        <v>59</v>
      </c>
      <c r="B257" s="7" t="s">
        <v>115</v>
      </c>
      <c r="C257" s="7" t="s">
        <v>115</v>
      </c>
      <c r="D257" s="7" t="s">
        <v>116</v>
      </c>
      <c r="E257" s="7" t="s">
        <v>117</v>
      </c>
      <c r="F257" s="7" t="n">
        <v>2007</v>
      </c>
      <c r="G257" s="7" t="s">
        <v>68</v>
      </c>
      <c r="H257" s="7" t="s">
        <v>78</v>
      </c>
      <c r="I257" s="7" t="n">
        <v>26.1</v>
      </c>
      <c r="J257" s="7" t="s">
        <v>64</v>
      </c>
      <c r="K257" s="7" t="s">
        <v>79</v>
      </c>
      <c r="L257" s="7" t="s">
        <v>66</v>
      </c>
      <c r="M257" s="7" t="n">
        <v>33.6</v>
      </c>
      <c r="N257" s="7" t="n">
        <v>4945</v>
      </c>
    </row>
    <row r="258" customFormat="false" ht="15" hidden="false" customHeight="false" outlineLevel="0" collapsed="false">
      <c r="A258" s="7" t="s">
        <v>59</v>
      </c>
      <c r="B258" s="7" t="s">
        <v>115</v>
      </c>
      <c r="C258" s="7" t="s">
        <v>115</v>
      </c>
      <c r="D258" s="7" t="s">
        <v>116</v>
      </c>
      <c r="E258" s="7" t="s">
        <v>117</v>
      </c>
      <c r="F258" s="7" t="n">
        <v>2007</v>
      </c>
      <c r="G258" s="7" t="s">
        <v>68</v>
      </c>
      <c r="H258" s="7" t="s">
        <v>86</v>
      </c>
      <c r="I258" s="7" t="n">
        <v>26.1</v>
      </c>
      <c r="J258" s="7" t="s">
        <v>64</v>
      </c>
      <c r="K258" s="7" t="s">
        <v>65</v>
      </c>
      <c r="L258" s="7" t="s">
        <v>66</v>
      </c>
      <c r="M258" s="7" t="n">
        <v>19.4</v>
      </c>
      <c r="N258" s="7" t="n">
        <v>4945</v>
      </c>
    </row>
    <row r="259" customFormat="false" ht="15" hidden="false" customHeight="false" outlineLevel="0" collapsed="false">
      <c r="A259" s="7" t="s">
        <v>59</v>
      </c>
      <c r="B259" s="7" t="s">
        <v>115</v>
      </c>
      <c r="C259" s="7" t="s">
        <v>115</v>
      </c>
      <c r="D259" s="7" t="s">
        <v>116</v>
      </c>
      <c r="E259" s="7" t="s">
        <v>117</v>
      </c>
      <c r="F259" s="7" t="n">
        <v>2007</v>
      </c>
      <c r="G259" s="7" t="s">
        <v>68</v>
      </c>
      <c r="H259" s="7" t="s">
        <v>63</v>
      </c>
      <c r="I259" s="7" t="n">
        <v>26.1</v>
      </c>
      <c r="J259" s="7" t="s">
        <v>64</v>
      </c>
      <c r="K259" s="7" t="s">
        <v>65</v>
      </c>
      <c r="L259" s="7" t="s">
        <v>66</v>
      </c>
      <c r="M259" s="7" t="n">
        <v>41.4</v>
      </c>
      <c r="N259" s="7" t="n">
        <v>4945</v>
      </c>
    </row>
    <row r="260" customFormat="false" ht="15" hidden="false" customHeight="false" outlineLevel="0" collapsed="false">
      <c r="A260" s="7" t="s">
        <v>59</v>
      </c>
      <c r="B260" s="7" t="s">
        <v>115</v>
      </c>
      <c r="C260" s="7" t="s">
        <v>115</v>
      </c>
      <c r="D260" s="7" t="s">
        <v>116</v>
      </c>
      <c r="E260" s="7" t="s">
        <v>117</v>
      </c>
      <c r="F260" s="7" t="n">
        <v>2007</v>
      </c>
      <c r="G260" s="7" t="s">
        <v>68</v>
      </c>
      <c r="H260" s="7" t="s">
        <v>87</v>
      </c>
      <c r="I260" s="7" t="n">
        <v>26.1</v>
      </c>
      <c r="J260" s="7" t="s">
        <v>64</v>
      </c>
      <c r="K260" s="7" t="s">
        <v>65</v>
      </c>
      <c r="L260" s="7" t="s">
        <v>66</v>
      </c>
      <c r="M260" s="7" t="n">
        <v>22.1</v>
      </c>
      <c r="N260" s="7" t="n">
        <v>4945</v>
      </c>
    </row>
    <row r="261" customFormat="false" ht="15" hidden="false" customHeight="false" outlineLevel="0" collapsed="false">
      <c r="A261" s="7" t="s">
        <v>59</v>
      </c>
      <c r="B261" s="7" t="s">
        <v>115</v>
      </c>
      <c r="C261" s="7" t="s">
        <v>115</v>
      </c>
      <c r="D261" s="7" t="s">
        <v>116</v>
      </c>
      <c r="E261" s="7" t="s">
        <v>117</v>
      </c>
      <c r="F261" s="7" t="n">
        <v>2007</v>
      </c>
      <c r="G261" s="7" t="s">
        <v>106</v>
      </c>
      <c r="H261" s="7" t="s">
        <v>90</v>
      </c>
      <c r="J261" s="7" t="s">
        <v>64</v>
      </c>
      <c r="L261" s="7" t="s">
        <v>71</v>
      </c>
      <c r="M261" s="7" t="n">
        <v>48</v>
      </c>
      <c r="N261" s="7" t="n">
        <v>17635</v>
      </c>
    </row>
    <row r="262" customFormat="false" ht="15" hidden="false" customHeight="false" outlineLevel="0" collapsed="false">
      <c r="A262" s="7" t="s">
        <v>59</v>
      </c>
      <c r="B262" s="7" t="s">
        <v>115</v>
      </c>
      <c r="C262" s="7" t="s">
        <v>115</v>
      </c>
      <c r="D262" s="7" t="s">
        <v>116</v>
      </c>
      <c r="E262" s="7" t="s">
        <v>117</v>
      </c>
      <c r="F262" s="7" t="n">
        <v>2007</v>
      </c>
      <c r="G262" s="7" t="s">
        <v>83</v>
      </c>
      <c r="H262" s="7" t="s">
        <v>78</v>
      </c>
      <c r="I262" s="7" t="n">
        <v>26.1</v>
      </c>
      <c r="J262" s="7" t="s">
        <v>64</v>
      </c>
      <c r="K262" s="7" t="s">
        <v>79</v>
      </c>
      <c r="L262" s="7" t="s">
        <v>66</v>
      </c>
      <c r="M262" s="7" t="n">
        <v>64.1</v>
      </c>
      <c r="N262" s="7" t="n">
        <v>4945</v>
      </c>
    </row>
    <row r="263" customFormat="false" ht="15" hidden="false" customHeight="false" outlineLevel="0" collapsed="false">
      <c r="A263" s="7" t="s">
        <v>59</v>
      </c>
      <c r="B263" s="7" t="s">
        <v>115</v>
      </c>
      <c r="C263" s="7" t="s">
        <v>115</v>
      </c>
      <c r="D263" s="7" t="s">
        <v>116</v>
      </c>
      <c r="E263" s="7" t="s">
        <v>117</v>
      </c>
      <c r="F263" s="7" t="n">
        <v>2007</v>
      </c>
      <c r="G263" s="7" t="s">
        <v>83</v>
      </c>
      <c r="H263" s="7" t="s">
        <v>86</v>
      </c>
      <c r="I263" s="7" t="n">
        <v>26.1</v>
      </c>
      <c r="J263" s="7" t="s">
        <v>64</v>
      </c>
      <c r="K263" s="7" t="s">
        <v>65</v>
      </c>
      <c r="L263" s="7" t="s">
        <v>66</v>
      </c>
      <c r="M263" s="7" t="n">
        <v>24.4</v>
      </c>
      <c r="N263" s="7" t="n">
        <v>4945</v>
      </c>
    </row>
    <row r="264" customFormat="false" ht="15" hidden="false" customHeight="false" outlineLevel="0" collapsed="false">
      <c r="A264" s="7" t="s">
        <v>59</v>
      </c>
      <c r="B264" s="7" t="s">
        <v>115</v>
      </c>
      <c r="C264" s="7" t="s">
        <v>115</v>
      </c>
      <c r="D264" s="7" t="s">
        <v>116</v>
      </c>
      <c r="E264" s="7" t="s">
        <v>117</v>
      </c>
      <c r="F264" s="7" t="n">
        <v>2007</v>
      </c>
      <c r="G264" s="7" t="s">
        <v>83</v>
      </c>
      <c r="H264" s="7" t="s">
        <v>63</v>
      </c>
      <c r="I264" s="7" t="n">
        <v>26.1</v>
      </c>
      <c r="J264" s="7" t="s">
        <v>64</v>
      </c>
      <c r="K264" s="7" t="s">
        <v>65</v>
      </c>
      <c r="L264" s="7" t="s">
        <v>66</v>
      </c>
      <c r="M264" s="7" t="n">
        <v>67.8</v>
      </c>
      <c r="N264" s="7" t="n">
        <v>4945</v>
      </c>
    </row>
    <row r="265" customFormat="false" ht="15" hidden="false" customHeight="false" outlineLevel="0" collapsed="false">
      <c r="A265" s="7" t="s">
        <v>59</v>
      </c>
      <c r="B265" s="7" t="s">
        <v>115</v>
      </c>
      <c r="C265" s="7" t="s">
        <v>115</v>
      </c>
      <c r="D265" s="7" t="s">
        <v>116</v>
      </c>
      <c r="E265" s="7" t="s">
        <v>117</v>
      </c>
      <c r="F265" s="7" t="n">
        <v>2007</v>
      </c>
      <c r="G265" s="7" t="s">
        <v>83</v>
      </c>
      <c r="H265" s="7" t="s">
        <v>87</v>
      </c>
      <c r="I265" s="7" t="n">
        <v>26.1</v>
      </c>
      <c r="J265" s="7" t="s">
        <v>64</v>
      </c>
      <c r="K265" s="7" t="s">
        <v>65</v>
      </c>
      <c r="L265" s="7" t="s">
        <v>66</v>
      </c>
      <c r="M265" s="7" t="n">
        <v>43.4</v>
      </c>
      <c r="N265" s="7" t="n">
        <v>4945</v>
      </c>
    </row>
    <row r="266" customFormat="false" ht="15" hidden="false" customHeight="false" outlineLevel="0" collapsed="false">
      <c r="A266" s="7" t="s">
        <v>59</v>
      </c>
      <c r="B266" s="7" t="s">
        <v>115</v>
      </c>
      <c r="C266" s="7" t="s">
        <v>115</v>
      </c>
      <c r="D266" s="7" t="s">
        <v>116</v>
      </c>
      <c r="E266" s="7" t="s">
        <v>117</v>
      </c>
      <c r="F266" s="7" t="n">
        <v>2007</v>
      </c>
      <c r="G266" s="7" t="s">
        <v>69</v>
      </c>
      <c r="H266" s="7" t="s">
        <v>78</v>
      </c>
      <c r="I266" s="7" t="n">
        <v>26.1</v>
      </c>
      <c r="J266" s="7" t="s">
        <v>64</v>
      </c>
      <c r="K266" s="7" t="s">
        <v>79</v>
      </c>
      <c r="L266" s="7" t="s">
        <v>66</v>
      </c>
      <c r="M266" s="7" t="n">
        <v>36</v>
      </c>
      <c r="N266" s="7" t="n">
        <v>4945</v>
      </c>
    </row>
    <row r="267" customFormat="false" ht="15" hidden="false" customHeight="false" outlineLevel="0" collapsed="false">
      <c r="A267" s="7" t="s">
        <v>59</v>
      </c>
      <c r="B267" s="7" t="s">
        <v>115</v>
      </c>
      <c r="C267" s="7" t="s">
        <v>115</v>
      </c>
      <c r="D267" s="7" t="s">
        <v>116</v>
      </c>
      <c r="E267" s="7" t="s">
        <v>117</v>
      </c>
      <c r="F267" s="7" t="n">
        <v>2007</v>
      </c>
      <c r="G267" s="7" t="s">
        <v>69</v>
      </c>
      <c r="H267" s="7" t="s">
        <v>86</v>
      </c>
      <c r="I267" s="7" t="n">
        <v>26.1</v>
      </c>
      <c r="J267" s="7" t="s">
        <v>64</v>
      </c>
      <c r="K267" s="7" t="s">
        <v>65</v>
      </c>
      <c r="L267" s="7" t="s">
        <v>66</v>
      </c>
      <c r="M267" s="7" t="n">
        <v>19.2</v>
      </c>
      <c r="N267" s="7" t="n">
        <v>4945</v>
      </c>
    </row>
    <row r="268" customFormat="false" ht="15" hidden="false" customHeight="false" outlineLevel="0" collapsed="false">
      <c r="A268" s="7" t="s">
        <v>59</v>
      </c>
      <c r="B268" s="7" t="s">
        <v>115</v>
      </c>
      <c r="C268" s="7" t="s">
        <v>115</v>
      </c>
      <c r="D268" s="7" t="s">
        <v>116</v>
      </c>
      <c r="E268" s="7" t="s">
        <v>117</v>
      </c>
      <c r="F268" s="7" t="n">
        <v>2007</v>
      </c>
      <c r="G268" s="7" t="s">
        <v>69</v>
      </c>
      <c r="H268" s="7" t="s">
        <v>63</v>
      </c>
      <c r="I268" s="7" t="n">
        <v>26.1</v>
      </c>
      <c r="J268" s="7" t="s">
        <v>64</v>
      </c>
      <c r="K268" s="7" t="s">
        <v>65</v>
      </c>
      <c r="L268" s="7" t="s">
        <v>66</v>
      </c>
      <c r="M268" s="7" t="n">
        <v>38.7</v>
      </c>
      <c r="N268" s="7" t="n">
        <v>4945</v>
      </c>
    </row>
    <row r="269" customFormat="false" ht="15" hidden="false" customHeight="false" outlineLevel="0" collapsed="false">
      <c r="A269" s="7" t="s">
        <v>59</v>
      </c>
      <c r="B269" s="7" t="s">
        <v>115</v>
      </c>
      <c r="C269" s="7" t="s">
        <v>115</v>
      </c>
      <c r="D269" s="7" t="s">
        <v>116</v>
      </c>
      <c r="E269" s="7" t="s">
        <v>117</v>
      </c>
      <c r="F269" s="7" t="n">
        <v>2007</v>
      </c>
      <c r="G269" s="7" t="s">
        <v>69</v>
      </c>
      <c r="H269" s="7" t="s">
        <v>87</v>
      </c>
      <c r="I269" s="7" t="n">
        <v>26.1</v>
      </c>
      <c r="J269" s="7" t="s">
        <v>64</v>
      </c>
      <c r="K269" s="7" t="s">
        <v>65</v>
      </c>
      <c r="L269" s="7" t="s">
        <v>66</v>
      </c>
      <c r="M269" s="7" t="n">
        <v>19.5</v>
      </c>
      <c r="N269" s="7" t="n">
        <v>4945</v>
      </c>
    </row>
    <row r="270" customFormat="false" ht="15" hidden="false" customHeight="false" outlineLevel="0" collapsed="false">
      <c r="A270" s="7" t="s">
        <v>59</v>
      </c>
      <c r="B270" s="7" t="s">
        <v>115</v>
      </c>
      <c r="C270" s="7" t="s">
        <v>115</v>
      </c>
      <c r="D270" s="7" t="s">
        <v>116</v>
      </c>
      <c r="E270" s="7" t="s">
        <v>117</v>
      </c>
      <c r="F270" s="7" t="n">
        <v>2007</v>
      </c>
      <c r="G270" s="7" t="s">
        <v>72</v>
      </c>
      <c r="H270" s="7" t="s">
        <v>90</v>
      </c>
      <c r="J270" s="7" t="s">
        <v>64</v>
      </c>
      <c r="L270" s="7" t="s">
        <v>71</v>
      </c>
      <c r="M270" s="7" t="n">
        <v>45.3</v>
      </c>
      <c r="N270" s="7" t="n">
        <v>17635</v>
      </c>
    </row>
    <row r="271" customFormat="false" ht="15" hidden="false" customHeight="false" outlineLevel="0" collapsed="false">
      <c r="A271" s="7" t="s">
        <v>59</v>
      </c>
      <c r="B271" s="7" t="s">
        <v>118</v>
      </c>
      <c r="C271" s="7" t="s">
        <v>118</v>
      </c>
      <c r="D271" s="7" t="s">
        <v>119</v>
      </c>
      <c r="E271" s="7" t="s">
        <v>119</v>
      </c>
      <c r="F271" s="7" t="n">
        <v>2009</v>
      </c>
      <c r="G271" s="7" t="s">
        <v>62</v>
      </c>
      <c r="H271" s="7" t="s">
        <v>86</v>
      </c>
      <c r="I271" s="7" t="n">
        <v>39.9</v>
      </c>
      <c r="J271" s="7" t="s">
        <v>64</v>
      </c>
      <c r="K271" s="7" t="s">
        <v>65</v>
      </c>
      <c r="L271" s="7" t="s">
        <v>66</v>
      </c>
      <c r="M271" s="7" t="n">
        <v>32.7</v>
      </c>
      <c r="N271" s="7" t="n">
        <v>19551</v>
      </c>
    </row>
    <row r="272" customFormat="false" ht="15" hidden="false" customHeight="false" outlineLevel="0" collapsed="false">
      <c r="A272" s="7" t="s">
        <v>59</v>
      </c>
      <c r="B272" s="7" t="s">
        <v>118</v>
      </c>
      <c r="C272" s="7" t="s">
        <v>118</v>
      </c>
      <c r="D272" s="7" t="s">
        <v>119</v>
      </c>
      <c r="E272" s="7" t="s">
        <v>119</v>
      </c>
      <c r="F272" s="7" t="n">
        <v>2009</v>
      </c>
      <c r="G272" s="7" t="s">
        <v>62</v>
      </c>
      <c r="H272" s="7" t="s">
        <v>63</v>
      </c>
      <c r="I272" s="7" t="n">
        <v>39.9</v>
      </c>
      <c r="J272" s="7" t="s">
        <v>64</v>
      </c>
      <c r="K272" s="7" t="s">
        <v>65</v>
      </c>
      <c r="L272" s="7" t="s">
        <v>66</v>
      </c>
      <c r="M272" s="7" t="n">
        <v>76.4</v>
      </c>
      <c r="N272" s="7" t="n">
        <v>19551</v>
      </c>
    </row>
    <row r="273" customFormat="false" ht="15" hidden="false" customHeight="false" outlineLevel="0" collapsed="false">
      <c r="A273" s="7" t="s">
        <v>59</v>
      </c>
      <c r="B273" s="7" t="s">
        <v>118</v>
      </c>
      <c r="C273" s="7" t="s">
        <v>118</v>
      </c>
      <c r="D273" s="7" t="s">
        <v>119</v>
      </c>
      <c r="E273" s="7" t="s">
        <v>119</v>
      </c>
      <c r="F273" s="7" t="n">
        <v>2009</v>
      </c>
      <c r="G273" s="7" t="s">
        <v>81</v>
      </c>
      <c r="H273" s="7" t="s">
        <v>86</v>
      </c>
      <c r="I273" s="7" t="n">
        <v>39.9</v>
      </c>
      <c r="J273" s="7" t="s">
        <v>64</v>
      </c>
      <c r="K273" s="7" t="s">
        <v>65</v>
      </c>
      <c r="L273" s="7" t="s">
        <v>66</v>
      </c>
      <c r="M273" s="7" t="n">
        <v>28.9</v>
      </c>
      <c r="N273" s="7" t="n">
        <v>19551</v>
      </c>
    </row>
    <row r="274" customFormat="false" ht="15" hidden="false" customHeight="false" outlineLevel="0" collapsed="false">
      <c r="A274" s="7" t="s">
        <v>59</v>
      </c>
      <c r="B274" s="7" t="s">
        <v>118</v>
      </c>
      <c r="C274" s="7" t="s">
        <v>118</v>
      </c>
      <c r="D274" s="7" t="s">
        <v>119</v>
      </c>
      <c r="E274" s="7" t="s">
        <v>119</v>
      </c>
      <c r="F274" s="7" t="n">
        <v>2009</v>
      </c>
      <c r="G274" s="7" t="s">
        <v>81</v>
      </c>
      <c r="H274" s="7" t="s">
        <v>63</v>
      </c>
      <c r="I274" s="7" t="n">
        <v>39.9</v>
      </c>
      <c r="J274" s="7" t="s">
        <v>64</v>
      </c>
      <c r="K274" s="7" t="s">
        <v>65</v>
      </c>
      <c r="L274" s="7" t="s">
        <v>66</v>
      </c>
      <c r="M274" s="7" t="n">
        <v>73.4</v>
      </c>
      <c r="N274" s="7" t="n">
        <v>19551</v>
      </c>
    </row>
    <row r="275" customFormat="false" ht="15" hidden="false" customHeight="false" outlineLevel="0" collapsed="false">
      <c r="A275" s="7" t="s">
        <v>59</v>
      </c>
      <c r="B275" s="7" t="s">
        <v>118</v>
      </c>
      <c r="C275" s="7" t="s">
        <v>118</v>
      </c>
      <c r="D275" s="7" t="s">
        <v>119</v>
      </c>
      <c r="E275" s="7" t="s">
        <v>119</v>
      </c>
      <c r="F275" s="7" t="n">
        <v>2009</v>
      </c>
      <c r="G275" s="7" t="s">
        <v>67</v>
      </c>
      <c r="H275" s="7" t="s">
        <v>86</v>
      </c>
      <c r="I275" s="7" t="n">
        <v>39.9</v>
      </c>
      <c r="J275" s="7" t="s">
        <v>64</v>
      </c>
      <c r="K275" s="7" t="s">
        <v>65</v>
      </c>
      <c r="L275" s="7" t="s">
        <v>66</v>
      </c>
      <c r="M275" s="7" t="n">
        <v>24.7</v>
      </c>
      <c r="N275" s="7" t="n">
        <v>19551</v>
      </c>
    </row>
    <row r="276" customFormat="false" ht="15" hidden="false" customHeight="false" outlineLevel="0" collapsed="false">
      <c r="A276" s="7" t="s">
        <v>59</v>
      </c>
      <c r="B276" s="7" t="s">
        <v>118</v>
      </c>
      <c r="C276" s="7" t="s">
        <v>118</v>
      </c>
      <c r="D276" s="7" t="s">
        <v>119</v>
      </c>
      <c r="E276" s="7" t="s">
        <v>119</v>
      </c>
      <c r="F276" s="7" t="n">
        <v>2009</v>
      </c>
      <c r="G276" s="7" t="s">
        <v>67</v>
      </c>
      <c r="H276" s="7" t="s">
        <v>63</v>
      </c>
      <c r="I276" s="7" t="n">
        <v>39.9</v>
      </c>
      <c r="J276" s="7" t="s">
        <v>64</v>
      </c>
      <c r="K276" s="7" t="s">
        <v>65</v>
      </c>
      <c r="L276" s="7" t="s">
        <v>66</v>
      </c>
      <c r="M276" s="7" t="n">
        <v>67.7</v>
      </c>
      <c r="N276" s="7" t="n">
        <v>19551</v>
      </c>
    </row>
    <row r="277" customFormat="false" ht="15" hidden="false" customHeight="false" outlineLevel="0" collapsed="false">
      <c r="A277" s="7" t="s">
        <v>59</v>
      </c>
      <c r="B277" s="7" t="s">
        <v>118</v>
      </c>
      <c r="C277" s="7" t="s">
        <v>118</v>
      </c>
      <c r="D277" s="7" t="s">
        <v>119</v>
      </c>
      <c r="E277" s="7" t="s">
        <v>119</v>
      </c>
      <c r="F277" s="7" t="n">
        <v>2009</v>
      </c>
      <c r="G277" s="7" t="s">
        <v>68</v>
      </c>
      <c r="H277" s="7" t="s">
        <v>86</v>
      </c>
      <c r="I277" s="7" t="n">
        <v>39.9</v>
      </c>
      <c r="J277" s="7" t="s">
        <v>64</v>
      </c>
      <c r="K277" s="7" t="s">
        <v>65</v>
      </c>
      <c r="L277" s="7" t="s">
        <v>66</v>
      </c>
      <c r="M277" s="7" t="n">
        <v>21.5</v>
      </c>
      <c r="N277" s="7" t="n">
        <v>19551</v>
      </c>
    </row>
    <row r="278" customFormat="false" ht="15" hidden="false" customHeight="false" outlineLevel="0" collapsed="false">
      <c r="A278" s="7" t="s">
        <v>59</v>
      </c>
      <c r="B278" s="7" t="s">
        <v>118</v>
      </c>
      <c r="C278" s="7" t="s">
        <v>118</v>
      </c>
      <c r="D278" s="7" t="s">
        <v>119</v>
      </c>
      <c r="E278" s="7" t="s">
        <v>119</v>
      </c>
      <c r="F278" s="7" t="n">
        <v>2009</v>
      </c>
      <c r="G278" s="7" t="s">
        <v>68</v>
      </c>
      <c r="H278" s="7" t="s">
        <v>63</v>
      </c>
      <c r="I278" s="7" t="n">
        <v>39.9</v>
      </c>
      <c r="J278" s="7" t="s">
        <v>64</v>
      </c>
      <c r="K278" s="7" t="s">
        <v>65</v>
      </c>
      <c r="L278" s="7" t="s">
        <v>66</v>
      </c>
      <c r="M278" s="7" t="n">
        <v>63.6</v>
      </c>
      <c r="N278" s="7" t="n">
        <v>19551</v>
      </c>
    </row>
    <row r="279" customFormat="false" ht="15" hidden="false" customHeight="false" outlineLevel="0" collapsed="false">
      <c r="A279" s="7" t="s">
        <v>59</v>
      </c>
      <c r="B279" s="7" t="s">
        <v>118</v>
      </c>
      <c r="C279" s="7" t="s">
        <v>118</v>
      </c>
      <c r="D279" s="7" t="s">
        <v>119</v>
      </c>
      <c r="E279" s="7" t="s">
        <v>119</v>
      </c>
      <c r="F279" s="7" t="n">
        <v>2009</v>
      </c>
      <c r="G279" s="7" t="s">
        <v>83</v>
      </c>
      <c r="H279" s="7" t="s">
        <v>86</v>
      </c>
      <c r="I279" s="7" t="n">
        <v>39.9</v>
      </c>
      <c r="J279" s="7" t="s">
        <v>64</v>
      </c>
      <c r="K279" s="7" t="s">
        <v>65</v>
      </c>
      <c r="L279" s="7" t="s">
        <v>66</v>
      </c>
      <c r="M279" s="7" t="n">
        <v>27.3</v>
      </c>
      <c r="N279" s="7" t="n">
        <v>19551</v>
      </c>
    </row>
    <row r="280" customFormat="false" ht="15" hidden="false" customHeight="false" outlineLevel="0" collapsed="false">
      <c r="A280" s="7" t="s">
        <v>59</v>
      </c>
      <c r="B280" s="7" t="s">
        <v>118</v>
      </c>
      <c r="C280" s="7" t="s">
        <v>118</v>
      </c>
      <c r="D280" s="7" t="s">
        <v>119</v>
      </c>
      <c r="E280" s="7" t="s">
        <v>119</v>
      </c>
      <c r="F280" s="7" t="n">
        <v>2009</v>
      </c>
      <c r="G280" s="7" t="s">
        <v>83</v>
      </c>
      <c r="H280" s="7" t="s">
        <v>63</v>
      </c>
      <c r="I280" s="7" t="n">
        <v>39.9</v>
      </c>
      <c r="J280" s="7" t="s">
        <v>64</v>
      </c>
      <c r="K280" s="7" t="s">
        <v>65</v>
      </c>
      <c r="L280" s="7" t="s">
        <v>66</v>
      </c>
      <c r="M280" s="7" t="n">
        <v>78.1</v>
      </c>
      <c r="N280" s="7" t="n">
        <v>19551</v>
      </c>
    </row>
    <row r="281" customFormat="false" ht="15" hidden="false" customHeight="false" outlineLevel="0" collapsed="false">
      <c r="A281" s="7" t="s">
        <v>59</v>
      </c>
      <c r="B281" s="7" t="s">
        <v>118</v>
      </c>
      <c r="C281" s="7" t="s">
        <v>118</v>
      </c>
      <c r="D281" s="7" t="s">
        <v>119</v>
      </c>
      <c r="E281" s="7" t="s">
        <v>119</v>
      </c>
      <c r="F281" s="7" t="n">
        <v>2009</v>
      </c>
      <c r="G281" s="7" t="s">
        <v>69</v>
      </c>
      <c r="H281" s="7" t="s">
        <v>86</v>
      </c>
      <c r="I281" s="7" t="n">
        <v>39.9</v>
      </c>
      <c r="J281" s="7" t="s">
        <v>64</v>
      </c>
      <c r="K281" s="7" t="s">
        <v>65</v>
      </c>
      <c r="L281" s="7" t="s">
        <v>66</v>
      </c>
      <c r="M281" s="7" t="n">
        <v>23.4</v>
      </c>
      <c r="N281" s="7" t="n">
        <v>19551</v>
      </c>
    </row>
    <row r="282" customFormat="false" ht="15" hidden="false" customHeight="false" outlineLevel="0" collapsed="false">
      <c r="A282" s="7" t="s">
        <v>59</v>
      </c>
      <c r="B282" s="7" t="s">
        <v>118</v>
      </c>
      <c r="C282" s="7" t="s">
        <v>118</v>
      </c>
      <c r="D282" s="7" t="s">
        <v>119</v>
      </c>
      <c r="E282" s="7" t="s">
        <v>119</v>
      </c>
      <c r="F282" s="7" t="n">
        <v>2009</v>
      </c>
      <c r="G282" s="7" t="s">
        <v>69</v>
      </c>
      <c r="H282" s="7" t="s">
        <v>63</v>
      </c>
      <c r="I282" s="7" t="n">
        <v>39.9</v>
      </c>
      <c r="J282" s="7" t="s">
        <v>64</v>
      </c>
      <c r="K282" s="7" t="s">
        <v>65</v>
      </c>
      <c r="L282" s="7" t="s">
        <v>66</v>
      </c>
      <c r="M282" s="7" t="n">
        <v>74</v>
      </c>
      <c r="N282" s="7" t="n">
        <v>19551</v>
      </c>
    </row>
    <row r="283" customFormat="false" ht="15" hidden="false" customHeight="false" outlineLevel="0" collapsed="false">
      <c r="A283" s="7" t="s">
        <v>59</v>
      </c>
      <c r="B283" s="7" t="s">
        <v>118</v>
      </c>
      <c r="C283" s="7" t="s">
        <v>118</v>
      </c>
      <c r="D283" s="7" t="s">
        <v>119</v>
      </c>
      <c r="E283" s="7" t="s">
        <v>119</v>
      </c>
      <c r="F283" s="7" t="n">
        <v>2009</v>
      </c>
      <c r="G283" s="7" t="s">
        <v>72</v>
      </c>
      <c r="H283" s="7" t="s">
        <v>63</v>
      </c>
      <c r="J283" s="7" t="s">
        <v>64</v>
      </c>
      <c r="L283" s="7" t="s">
        <v>71</v>
      </c>
      <c r="M283" s="7" t="n">
        <v>58.3</v>
      </c>
      <c r="N283" s="7" t="n">
        <v>19551</v>
      </c>
    </row>
    <row r="284" customFormat="false" ht="15" hidden="false" customHeight="false" outlineLevel="0" collapsed="false">
      <c r="A284" s="7" t="s">
        <v>59</v>
      </c>
      <c r="B284" s="7" t="s">
        <v>118</v>
      </c>
      <c r="C284" s="7" t="s">
        <v>118</v>
      </c>
      <c r="D284" s="7" t="s">
        <v>119</v>
      </c>
      <c r="E284" s="7" t="s">
        <v>119</v>
      </c>
      <c r="F284" s="7" t="n">
        <v>2009</v>
      </c>
      <c r="G284" s="7" t="s">
        <v>111</v>
      </c>
      <c r="H284" s="7" t="s">
        <v>86</v>
      </c>
      <c r="I284" s="7" t="n">
        <v>39.9</v>
      </c>
      <c r="J284" s="7" t="s">
        <v>64</v>
      </c>
      <c r="K284" s="7" t="s">
        <v>65</v>
      </c>
      <c r="L284" s="7" t="s">
        <v>66</v>
      </c>
      <c r="M284" s="7" t="n">
        <v>20.5</v>
      </c>
      <c r="N284" s="7" t="n">
        <v>19551</v>
      </c>
    </row>
    <row r="285" customFormat="false" ht="15" hidden="false" customHeight="false" outlineLevel="0" collapsed="false">
      <c r="A285" s="7" t="s">
        <v>59</v>
      </c>
      <c r="B285" s="7" t="s">
        <v>118</v>
      </c>
      <c r="C285" s="7" t="s">
        <v>118</v>
      </c>
      <c r="D285" s="7" t="s">
        <v>119</v>
      </c>
      <c r="E285" s="7" t="s">
        <v>119</v>
      </c>
      <c r="F285" s="7" t="n">
        <v>2009</v>
      </c>
      <c r="G285" s="7" t="s">
        <v>111</v>
      </c>
      <c r="H285" s="7" t="s">
        <v>63</v>
      </c>
      <c r="I285" s="7" t="n">
        <v>39.9</v>
      </c>
      <c r="J285" s="7" t="s">
        <v>64</v>
      </c>
      <c r="K285" s="7" t="s">
        <v>65</v>
      </c>
      <c r="L285" s="7" t="s">
        <v>66</v>
      </c>
      <c r="M285" s="7" t="n">
        <v>60.1</v>
      </c>
      <c r="N285" s="7" t="n">
        <v>19551</v>
      </c>
    </row>
    <row r="286" customFormat="false" ht="15" hidden="false" customHeight="false" outlineLevel="0" collapsed="false">
      <c r="A286" s="7" t="s">
        <v>59</v>
      </c>
      <c r="B286" s="7" t="s">
        <v>120</v>
      </c>
      <c r="C286" s="7" t="s">
        <v>120</v>
      </c>
      <c r="D286" s="7" t="s">
        <v>121</v>
      </c>
      <c r="E286" s="7" t="s">
        <v>122</v>
      </c>
      <c r="F286" s="7" t="n">
        <v>2010</v>
      </c>
      <c r="G286" s="7" t="s">
        <v>62</v>
      </c>
      <c r="H286" s="7" t="s">
        <v>78</v>
      </c>
      <c r="I286" s="7" t="n">
        <v>24.4</v>
      </c>
      <c r="J286" s="7" t="s">
        <v>64</v>
      </c>
      <c r="K286" s="7" t="s">
        <v>79</v>
      </c>
      <c r="L286" s="7" t="s">
        <v>66</v>
      </c>
      <c r="M286" s="7" t="n">
        <v>61.7</v>
      </c>
    </row>
    <row r="287" customFormat="false" ht="15" hidden="false" customHeight="false" outlineLevel="0" collapsed="false">
      <c r="A287" s="7" t="s">
        <v>59</v>
      </c>
      <c r="B287" s="7" t="s">
        <v>120</v>
      </c>
      <c r="C287" s="7" t="s">
        <v>120</v>
      </c>
      <c r="D287" s="7" t="s">
        <v>121</v>
      </c>
      <c r="E287" s="7" t="s">
        <v>122</v>
      </c>
      <c r="F287" s="7" t="n">
        <v>2010</v>
      </c>
      <c r="G287" s="7" t="s">
        <v>62</v>
      </c>
      <c r="H287" s="7" t="s">
        <v>86</v>
      </c>
      <c r="I287" s="7" t="n">
        <v>24.4</v>
      </c>
      <c r="J287" s="7" t="s">
        <v>64</v>
      </c>
      <c r="K287" s="7" t="s">
        <v>65</v>
      </c>
      <c r="L287" s="7" t="s">
        <v>66</v>
      </c>
      <c r="M287" s="7" t="n">
        <v>28.5</v>
      </c>
    </row>
    <row r="288" customFormat="false" ht="15" hidden="false" customHeight="false" outlineLevel="0" collapsed="false">
      <c r="A288" s="7" t="s">
        <v>59</v>
      </c>
      <c r="B288" s="7" t="s">
        <v>120</v>
      </c>
      <c r="C288" s="7" t="s">
        <v>120</v>
      </c>
      <c r="D288" s="7" t="s">
        <v>121</v>
      </c>
      <c r="E288" s="7" t="s">
        <v>122</v>
      </c>
      <c r="F288" s="7" t="n">
        <v>2010</v>
      </c>
      <c r="G288" s="7" t="s">
        <v>62</v>
      </c>
      <c r="H288" s="7" t="s">
        <v>63</v>
      </c>
      <c r="I288" s="7" t="n">
        <v>24.4</v>
      </c>
      <c r="J288" s="7" t="s">
        <v>64</v>
      </c>
      <c r="K288" s="7" t="s">
        <v>65</v>
      </c>
      <c r="L288" s="7" t="s">
        <v>66</v>
      </c>
      <c r="M288" s="7" t="n">
        <v>62.4</v>
      </c>
      <c r="N288" s="7" t="n">
        <v>4986</v>
      </c>
    </row>
    <row r="289" customFormat="false" ht="15" hidden="false" customHeight="false" outlineLevel="0" collapsed="false">
      <c r="A289" s="7" t="s">
        <v>59</v>
      </c>
      <c r="B289" s="7" t="s">
        <v>120</v>
      </c>
      <c r="C289" s="7" t="s">
        <v>120</v>
      </c>
      <c r="D289" s="7" t="s">
        <v>121</v>
      </c>
      <c r="E289" s="7" t="s">
        <v>122</v>
      </c>
      <c r="F289" s="7" t="n">
        <v>2010</v>
      </c>
      <c r="G289" s="7" t="s">
        <v>62</v>
      </c>
      <c r="H289" s="7" t="s">
        <v>87</v>
      </c>
      <c r="I289" s="7" t="n">
        <v>24.4</v>
      </c>
      <c r="J289" s="7" t="s">
        <v>64</v>
      </c>
      <c r="K289" s="7" t="s">
        <v>65</v>
      </c>
      <c r="L289" s="7" t="s">
        <v>66</v>
      </c>
      <c r="M289" s="7" t="n">
        <v>33.9</v>
      </c>
    </row>
    <row r="290" customFormat="false" ht="15" hidden="false" customHeight="false" outlineLevel="0" collapsed="false">
      <c r="A290" s="7" t="s">
        <v>59</v>
      </c>
      <c r="B290" s="7" t="s">
        <v>120</v>
      </c>
      <c r="C290" s="7" t="s">
        <v>120</v>
      </c>
      <c r="D290" s="7" t="s">
        <v>121</v>
      </c>
      <c r="E290" s="7" t="s">
        <v>122</v>
      </c>
      <c r="F290" s="7" t="n">
        <v>2010</v>
      </c>
      <c r="G290" s="7" t="s">
        <v>81</v>
      </c>
      <c r="H290" s="7" t="s">
        <v>78</v>
      </c>
      <c r="I290" s="7" t="n">
        <v>24.4</v>
      </c>
      <c r="J290" s="7" t="s">
        <v>64</v>
      </c>
      <c r="K290" s="7" t="s">
        <v>79</v>
      </c>
      <c r="L290" s="7" t="s">
        <v>66</v>
      </c>
      <c r="M290" s="7" t="n">
        <v>59.3</v>
      </c>
    </row>
    <row r="291" customFormat="false" ht="15" hidden="false" customHeight="false" outlineLevel="0" collapsed="false">
      <c r="A291" s="7" t="s">
        <v>59</v>
      </c>
      <c r="B291" s="7" t="s">
        <v>120</v>
      </c>
      <c r="C291" s="7" t="s">
        <v>120</v>
      </c>
      <c r="D291" s="7" t="s">
        <v>121</v>
      </c>
      <c r="E291" s="7" t="s">
        <v>122</v>
      </c>
      <c r="F291" s="7" t="n">
        <v>2010</v>
      </c>
      <c r="G291" s="7" t="s">
        <v>81</v>
      </c>
      <c r="H291" s="7" t="s">
        <v>86</v>
      </c>
      <c r="I291" s="7" t="n">
        <v>24.4</v>
      </c>
      <c r="J291" s="7" t="s">
        <v>64</v>
      </c>
      <c r="K291" s="7" t="s">
        <v>65</v>
      </c>
      <c r="L291" s="7" t="s">
        <v>66</v>
      </c>
      <c r="M291" s="7" t="n">
        <v>29.3</v>
      </c>
    </row>
    <row r="292" customFormat="false" ht="15" hidden="false" customHeight="false" outlineLevel="0" collapsed="false">
      <c r="A292" s="7" t="s">
        <v>59</v>
      </c>
      <c r="B292" s="7" t="s">
        <v>120</v>
      </c>
      <c r="C292" s="7" t="s">
        <v>120</v>
      </c>
      <c r="D292" s="7" t="s">
        <v>121</v>
      </c>
      <c r="E292" s="7" t="s">
        <v>122</v>
      </c>
      <c r="F292" s="7" t="n">
        <v>2010</v>
      </c>
      <c r="G292" s="7" t="s">
        <v>81</v>
      </c>
      <c r="H292" s="7" t="s">
        <v>63</v>
      </c>
      <c r="I292" s="7" t="n">
        <v>24.4</v>
      </c>
      <c r="J292" s="7" t="s">
        <v>64</v>
      </c>
      <c r="K292" s="7" t="s">
        <v>65</v>
      </c>
      <c r="L292" s="7" t="s">
        <v>66</v>
      </c>
      <c r="M292" s="7" t="n">
        <v>60.4</v>
      </c>
      <c r="N292" s="7" t="n">
        <v>4986</v>
      </c>
    </row>
    <row r="293" customFormat="false" ht="15" hidden="false" customHeight="false" outlineLevel="0" collapsed="false">
      <c r="A293" s="7" t="s">
        <v>59</v>
      </c>
      <c r="B293" s="7" t="s">
        <v>120</v>
      </c>
      <c r="C293" s="7" t="s">
        <v>120</v>
      </c>
      <c r="D293" s="7" t="s">
        <v>121</v>
      </c>
      <c r="E293" s="7" t="s">
        <v>122</v>
      </c>
      <c r="F293" s="7" t="n">
        <v>2010</v>
      </c>
      <c r="G293" s="7" t="s">
        <v>81</v>
      </c>
      <c r="H293" s="7" t="s">
        <v>87</v>
      </c>
      <c r="I293" s="7" t="n">
        <v>24.4</v>
      </c>
      <c r="J293" s="7" t="s">
        <v>64</v>
      </c>
      <c r="K293" s="7" t="s">
        <v>65</v>
      </c>
      <c r="L293" s="7" t="s">
        <v>66</v>
      </c>
      <c r="M293" s="7" t="n">
        <v>31.1</v>
      </c>
    </row>
    <row r="294" customFormat="false" ht="15" hidden="false" customHeight="false" outlineLevel="0" collapsed="false">
      <c r="A294" s="7" t="s">
        <v>59</v>
      </c>
      <c r="B294" s="7" t="s">
        <v>120</v>
      </c>
      <c r="C294" s="7" t="s">
        <v>120</v>
      </c>
      <c r="D294" s="7" t="s">
        <v>121</v>
      </c>
      <c r="E294" s="7" t="s">
        <v>122</v>
      </c>
      <c r="F294" s="7" t="n">
        <v>2010</v>
      </c>
      <c r="G294" s="7" t="s">
        <v>67</v>
      </c>
      <c r="H294" s="7" t="s">
        <v>78</v>
      </c>
      <c r="I294" s="7" t="n">
        <v>24.4</v>
      </c>
      <c r="J294" s="7" t="s">
        <v>64</v>
      </c>
      <c r="K294" s="7" t="s">
        <v>79</v>
      </c>
      <c r="L294" s="7" t="s">
        <v>66</v>
      </c>
      <c r="M294" s="7" t="n">
        <v>42.6</v>
      </c>
      <c r="N294" s="7" t="n">
        <v>4986</v>
      </c>
    </row>
    <row r="295" customFormat="false" ht="15" hidden="false" customHeight="false" outlineLevel="0" collapsed="false">
      <c r="A295" s="7" t="s">
        <v>59</v>
      </c>
      <c r="B295" s="7" t="s">
        <v>120</v>
      </c>
      <c r="C295" s="7" t="s">
        <v>120</v>
      </c>
      <c r="D295" s="7" t="s">
        <v>121</v>
      </c>
      <c r="E295" s="7" t="s">
        <v>122</v>
      </c>
      <c r="F295" s="7" t="n">
        <v>2010</v>
      </c>
      <c r="G295" s="7" t="s">
        <v>67</v>
      </c>
      <c r="H295" s="7" t="s">
        <v>86</v>
      </c>
      <c r="I295" s="7" t="n">
        <v>24.4</v>
      </c>
      <c r="J295" s="7" t="s">
        <v>64</v>
      </c>
      <c r="K295" s="7" t="s">
        <v>65</v>
      </c>
      <c r="L295" s="7" t="s">
        <v>66</v>
      </c>
      <c r="M295" s="7" t="n">
        <v>26.5</v>
      </c>
    </row>
    <row r="296" customFormat="false" ht="15" hidden="false" customHeight="false" outlineLevel="0" collapsed="false">
      <c r="A296" s="7" t="s">
        <v>59</v>
      </c>
      <c r="B296" s="7" t="s">
        <v>120</v>
      </c>
      <c r="C296" s="7" t="s">
        <v>120</v>
      </c>
      <c r="D296" s="7" t="s">
        <v>121</v>
      </c>
      <c r="E296" s="7" t="s">
        <v>122</v>
      </c>
      <c r="F296" s="7" t="n">
        <v>2010</v>
      </c>
      <c r="G296" s="7" t="s">
        <v>67</v>
      </c>
      <c r="H296" s="7" t="s">
        <v>63</v>
      </c>
      <c r="I296" s="7" t="n">
        <v>24.4</v>
      </c>
      <c r="J296" s="7" t="s">
        <v>64</v>
      </c>
      <c r="K296" s="7" t="s">
        <v>65</v>
      </c>
      <c r="L296" s="7" t="s">
        <v>66</v>
      </c>
      <c r="M296" s="7" t="n">
        <v>44.7</v>
      </c>
      <c r="N296" s="7" t="n">
        <v>4986</v>
      </c>
    </row>
    <row r="297" customFormat="false" ht="15" hidden="false" customHeight="false" outlineLevel="0" collapsed="false">
      <c r="A297" s="7" t="s">
        <v>59</v>
      </c>
      <c r="B297" s="7" t="s">
        <v>120</v>
      </c>
      <c r="C297" s="7" t="s">
        <v>120</v>
      </c>
      <c r="D297" s="7" t="s">
        <v>121</v>
      </c>
      <c r="E297" s="7" t="s">
        <v>122</v>
      </c>
      <c r="F297" s="7" t="n">
        <v>2010</v>
      </c>
      <c r="G297" s="7" t="s">
        <v>67</v>
      </c>
      <c r="H297" s="7" t="s">
        <v>87</v>
      </c>
      <c r="I297" s="7" t="n">
        <v>24.4</v>
      </c>
      <c r="J297" s="7" t="s">
        <v>64</v>
      </c>
      <c r="K297" s="7" t="s">
        <v>65</v>
      </c>
      <c r="L297" s="7" t="s">
        <v>66</v>
      </c>
      <c r="M297" s="7" t="n">
        <v>18.2</v>
      </c>
    </row>
    <row r="298" customFormat="false" ht="15" hidden="false" customHeight="false" outlineLevel="0" collapsed="false">
      <c r="A298" s="7" t="s">
        <v>59</v>
      </c>
      <c r="B298" s="7" t="s">
        <v>120</v>
      </c>
      <c r="C298" s="7" t="s">
        <v>120</v>
      </c>
      <c r="D298" s="7" t="s">
        <v>121</v>
      </c>
      <c r="E298" s="7" t="s">
        <v>122</v>
      </c>
      <c r="F298" s="7" t="n">
        <v>2010</v>
      </c>
      <c r="G298" s="7" t="s">
        <v>82</v>
      </c>
      <c r="H298" s="7" t="s">
        <v>78</v>
      </c>
      <c r="I298" s="7" t="n">
        <v>24.4</v>
      </c>
      <c r="J298" s="7" t="s">
        <v>64</v>
      </c>
      <c r="K298" s="7" t="s">
        <v>79</v>
      </c>
      <c r="L298" s="7" t="s">
        <v>66</v>
      </c>
      <c r="M298" s="7" t="n">
        <v>19.6</v>
      </c>
      <c r="N298" s="7" t="n">
        <v>4986</v>
      </c>
    </row>
    <row r="299" customFormat="false" ht="15" hidden="false" customHeight="false" outlineLevel="0" collapsed="false">
      <c r="A299" s="7" t="s">
        <v>59</v>
      </c>
      <c r="B299" s="7" t="s">
        <v>120</v>
      </c>
      <c r="C299" s="7" t="s">
        <v>120</v>
      </c>
      <c r="D299" s="7" t="s">
        <v>121</v>
      </c>
      <c r="E299" s="7" t="s">
        <v>122</v>
      </c>
      <c r="F299" s="7" t="n">
        <v>2010</v>
      </c>
      <c r="G299" s="7" t="s">
        <v>82</v>
      </c>
      <c r="H299" s="7" t="s">
        <v>86</v>
      </c>
      <c r="I299" s="7" t="n">
        <v>24.4</v>
      </c>
      <c r="J299" s="7" t="s">
        <v>64</v>
      </c>
      <c r="K299" s="7" t="s">
        <v>65</v>
      </c>
      <c r="L299" s="7" t="s">
        <v>66</v>
      </c>
      <c r="M299" s="7" t="n">
        <v>23</v>
      </c>
    </row>
    <row r="300" customFormat="false" ht="15" hidden="false" customHeight="false" outlineLevel="0" collapsed="false">
      <c r="A300" s="7" t="s">
        <v>59</v>
      </c>
      <c r="B300" s="7" t="s">
        <v>120</v>
      </c>
      <c r="C300" s="7" t="s">
        <v>120</v>
      </c>
      <c r="D300" s="7" t="s">
        <v>121</v>
      </c>
      <c r="E300" s="7" t="s">
        <v>122</v>
      </c>
      <c r="F300" s="7" t="n">
        <v>2010</v>
      </c>
      <c r="G300" s="7" t="s">
        <v>82</v>
      </c>
      <c r="H300" s="7" t="s">
        <v>63</v>
      </c>
      <c r="I300" s="7" t="n">
        <v>24.4</v>
      </c>
      <c r="J300" s="7" t="s">
        <v>64</v>
      </c>
      <c r="K300" s="7" t="s">
        <v>65</v>
      </c>
      <c r="L300" s="7" t="s">
        <v>66</v>
      </c>
      <c r="M300" s="7" t="n">
        <v>27.6</v>
      </c>
      <c r="N300" s="7" t="n">
        <v>4986</v>
      </c>
    </row>
    <row r="301" customFormat="false" ht="15" hidden="false" customHeight="false" outlineLevel="0" collapsed="false">
      <c r="A301" s="7" t="s">
        <v>59</v>
      </c>
      <c r="B301" s="7" t="s">
        <v>120</v>
      </c>
      <c r="C301" s="7" t="s">
        <v>120</v>
      </c>
      <c r="D301" s="7" t="s">
        <v>121</v>
      </c>
      <c r="E301" s="7" t="s">
        <v>122</v>
      </c>
      <c r="F301" s="7" t="n">
        <v>2010</v>
      </c>
      <c r="G301" s="7" t="s">
        <v>82</v>
      </c>
      <c r="H301" s="7" t="s">
        <v>87</v>
      </c>
      <c r="I301" s="7" t="n">
        <v>24.4</v>
      </c>
      <c r="J301" s="7" t="s">
        <v>64</v>
      </c>
      <c r="K301" s="7" t="s">
        <v>65</v>
      </c>
      <c r="L301" s="7" t="s">
        <v>66</v>
      </c>
      <c r="M301" s="7" t="n">
        <v>4.6</v>
      </c>
    </row>
    <row r="302" customFormat="false" ht="15" hidden="false" customHeight="false" outlineLevel="0" collapsed="false">
      <c r="A302" s="7" t="s">
        <v>59</v>
      </c>
      <c r="B302" s="7" t="s">
        <v>120</v>
      </c>
      <c r="C302" s="7" t="s">
        <v>120</v>
      </c>
      <c r="D302" s="7" t="s">
        <v>121</v>
      </c>
      <c r="E302" s="7" t="s">
        <v>122</v>
      </c>
      <c r="F302" s="7" t="n">
        <v>2010</v>
      </c>
      <c r="G302" s="7" t="s">
        <v>109</v>
      </c>
      <c r="H302" s="7" t="s">
        <v>78</v>
      </c>
      <c r="I302" s="7" t="n">
        <v>24.4</v>
      </c>
      <c r="J302" s="7" t="s">
        <v>64</v>
      </c>
      <c r="K302" s="7" t="s">
        <v>79</v>
      </c>
      <c r="L302" s="7" t="s">
        <v>66</v>
      </c>
      <c r="M302" s="7" t="n">
        <v>54.1</v>
      </c>
      <c r="N302" s="7" t="n">
        <v>4986</v>
      </c>
    </row>
    <row r="303" customFormat="false" ht="15" hidden="false" customHeight="false" outlineLevel="0" collapsed="false">
      <c r="A303" s="7" t="s">
        <v>59</v>
      </c>
      <c r="B303" s="7" t="s">
        <v>120</v>
      </c>
      <c r="C303" s="7" t="s">
        <v>120</v>
      </c>
      <c r="D303" s="7" t="s">
        <v>121</v>
      </c>
      <c r="E303" s="7" t="s">
        <v>122</v>
      </c>
      <c r="F303" s="7" t="n">
        <v>2010</v>
      </c>
      <c r="G303" s="7" t="s">
        <v>109</v>
      </c>
      <c r="H303" s="7" t="s">
        <v>86</v>
      </c>
      <c r="I303" s="7" t="n">
        <v>24.4</v>
      </c>
      <c r="J303" s="7" t="s">
        <v>64</v>
      </c>
      <c r="K303" s="7" t="s">
        <v>65</v>
      </c>
      <c r="L303" s="7" t="s">
        <v>66</v>
      </c>
      <c r="M303" s="7" t="n">
        <v>28.8</v>
      </c>
    </row>
    <row r="304" customFormat="false" ht="15" hidden="false" customHeight="false" outlineLevel="0" collapsed="false">
      <c r="A304" s="7" t="s">
        <v>59</v>
      </c>
      <c r="B304" s="7" t="s">
        <v>120</v>
      </c>
      <c r="C304" s="7" t="s">
        <v>120</v>
      </c>
      <c r="D304" s="7" t="s">
        <v>121</v>
      </c>
      <c r="E304" s="7" t="s">
        <v>122</v>
      </c>
      <c r="F304" s="7" t="n">
        <v>2010</v>
      </c>
      <c r="G304" s="7" t="s">
        <v>109</v>
      </c>
      <c r="H304" s="7" t="s">
        <v>63</v>
      </c>
      <c r="I304" s="7" t="n">
        <v>24.4</v>
      </c>
      <c r="J304" s="7" t="s">
        <v>64</v>
      </c>
      <c r="K304" s="7" t="s">
        <v>65</v>
      </c>
      <c r="L304" s="7" t="s">
        <v>66</v>
      </c>
      <c r="M304" s="7" t="n">
        <v>55.1</v>
      </c>
      <c r="N304" s="7" t="n">
        <v>4986</v>
      </c>
    </row>
    <row r="305" customFormat="false" ht="15" hidden="false" customHeight="false" outlineLevel="0" collapsed="false">
      <c r="A305" s="7" t="s">
        <v>59</v>
      </c>
      <c r="B305" s="7" t="s">
        <v>120</v>
      </c>
      <c r="C305" s="7" t="s">
        <v>120</v>
      </c>
      <c r="D305" s="7" t="s">
        <v>121</v>
      </c>
      <c r="E305" s="7" t="s">
        <v>122</v>
      </c>
      <c r="F305" s="7" t="n">
        <v>2010</v>
      </c>
      <c r="G305" s="7" t="s">
        <v>109</v>
      </c>
      <c r="H305" s="7" t="s">
        <v>87</v>
      </c>
      <c r="I305" s="7" t="n">
        <v>24.4</v>
      </c>
      <c r="J305" s="7" t="s">
        <v>64</v>
      </c>
      <c r="K305" s="7" t="s">
        <v>65</v>
      </c>
      <c r="L305" s="7" t="s">
        <v>66</v>
      </c>
      <c r="M305" s="7" t="n">
        <v>26.3</v>
      </c>
    </row>
    <row r="306" customFormat="false" ht="15" hidden="false" customHeight="false" outlineLevel="0" collapsed="false">
      <c r="A306" s="7" t="s">
        <v>59</v>
      </c>
      <c r="B306" s="7" t="s">
        <v>120</v>
      </c>
      <c r="C306" s="7" t="s">
        <v>120</v>
      </c>
      <c r="D306" s="7" t="s">
        <v>121</v>
      </c>
      <c r="E306" s="7" t="s">
        <v>122</v>
      </c>
      <c r="F306" s="7" t="n">
        <v>2010</v>
      </c>
      <c r="G306" s="7" t="s">
        <v>110</v>
      </c>
      <c r="H306" s="7" t="s">
        <v>78</v>
      </c>
      <c r="I306" s="7" t="n">
        <v>24.4</v>
      </c>
      <c r="J306" s="7" t="s">
        <v>64</v>
      </c>
      <c r="K306" s="7" t="s">
        <v>79</v>
      </c>
      <c r="L306" s="7" t="s">
        <v>66</v>
      </c>
      <c r="M306" s="7" t="n">
        <v>34</v>
      </c>
      <c r="N306" s="7" t="n">
        <v>4986</v>
      </c>
    </row>
    <row r="307" customFormat="false" ht="15" hidden="false" customHeight="false" outlineLevel="0" collapsed="false">
      <c r="A307" s="7" t="s">
        <v>59</v>
      </c>
      <c r="B307" s="7" t="s">
        <v>120</v>
      </c>
      <c r="C307" s="7" t="s">
        <v>120</v>
      </c>
      <c r="D307" s="7" t="s">
        <v>121</v>
      </c>
      <c r="E307" s="7" t="s">
        <v>122</v>
      </c>
      <c r="F307" s="7" t="n">
        <v>2010</v>
      </c>
      <c r="G307" s="7" t="s">
        <v>110</v>
      </c>
      <c r="H307" s="7" t="s">
        <v>86</v>
      </c>
      <c r="I307" s="7" t="n">
        <v>24.4</v>
      </c>
      <c r="J307" s="7" t="s">
        <v>64</v>
      </c>
      <c r="K307" s="7" t="s">
        <v>65</v>
      </c>
      <c r="L307" s="7" t="s">
        <v>66</v>
      </c>
      <c r="M307" s="7" t="n">
        <v>26.1</v>
      </c>
    </row>
    <row r="308" customFormat="false" ht="15" hidden="false" customHeight="false" outlineLevel="0" collapsed="false">
      <c r="A308" s="7" t="s">
        <v>59</v>
      </c>
      <c r="B308" s="7" t="s">
        <v>120</v>
      </c>
      <c r="C308" s="7" t="s">
        <v>120</v>
      </c>
      <c r="D308" s="7" t="s">
        <v>121</v>
      </c>
      <c r="E308" s="7" t="s">
        <v>122</v>
      </c>
      <c r="F308" s="7" t="n">
        <v>2010</v>
      </c>
      <c r="G308" s="7" t="s">
        <v>110</v>
      </c>
      <c r="H308" s="7" t="s">
        <v>63</v>
      </c>
      <c r="I308" s="7" t="n">
        <v>24.4</v>
      </c>
      <c r="J308" s="7" t="s">
        <v>64</v>
      </c>
      <c r="K308" s="7" t="s">
        <v>65</v>
      </c>
      <c r="L308" s="7" t="s">
        <v>66</v>
      </c>
      <c r="M308" s="7" t="n">
        <v>35.9</v>
      </c>
      <c r="N308" s="7" t="n">
        <v>4986</v>
      </c>
    </row>
    <row r="309" customFormat="false" ht="15" hidden="false" customHeight="false" outlineLevel="0" collapsed="false">
      <c r="A309" s="7" t="s">
        <v>59</v>
      </c>
      <c r="B309" s="7" t="s">
        <v>120</v>
      </c>
      <c r="C309" s="7" t="s">
        <v>120</v>
      </c>
      <c r="D309" s="7" t="s">
        <v>121</v>
      </c>
      <c r="E309" s="7" t="s">
        <v>122</v>
      </c>
      <c r="F309" s="7" t="n">
        <v>2010</v>
      </c>
      <c r="G309" s="7" t="s">
        <v>110</v>
      </c>
      <c r="H309" s="7" t="s">
        <v>87</v>
      </c>
      <c r="I309" s="7" t="n">
        <v>24.4</v>
      </c>
      <c r="J309" s="7" t="s">
        <v>64</v>
      </c>
      <c r="K309" s="7" t="s">
        <v>65</v>
      </c>
      <c r="L309" s="7" t="s">
        <v>66</v>
      </c>
      <c r="M309" s="7" t="n">
        <v>9.8</v>
      </c>
    </row>
    <row r="310" customFormat="false" ht="15" hidden="false" customHeight="false" outlineLevel="0" collapsed="false">
      <c r="A310" s="7" t="s">
        <v>59</v>
      </c>
      <c r="B310" s="7" t="s">
        <v>120</v>
      </c>
      <c r="C310" s="7" t="s">
        <v>120</v>
      </c>
      <c r="D310" s="7" t="s">
        <v>121</v>
      </c>
      <c r="E310" s="7" t="s">
        <v>122</v>
      </c>
      <c r="F310" s="7" t="n">
        <v>2010</v>
      </c>
      <c r="G310" s="7" t="s">
        <v>123</v>
      </c>
      <c r="H310" s="7" t="s">
        <v>78</v>
      </c>
      <c r="I310" s="7" t="n">
        <v>24.4</v>
      </c>
      <c r="J310" s="7" t="s">
        <v>64</v>
      </c>
      <c r="K310" s="7" t="s">
        <v>79</v>
      </c>
      <c r="L310" s="7" t="s">
        <v>66</v>
      </c>
      <c r="M310" s="7" t="n">
        <v>29</v>
      </c>
      <c r="N310" s="7" t="n">
        <v>4986</v>
      </c>
    </row>
    <row r="311" customFormat="false" ht="15" hidden="false" customHeight="false" outlineLevel="0" collapsed="false">
      <c r="A311" s="7" t="s">
        <v>59</v>
      </c>
      <c r="B311" s="7" t="s">
        <v>120</v>
      </c>
      <c r="C311" s="7" t="s">
        <v>120</v>
      </c>
      <c r="D311" s="7" t="s">
        <v>121</v>
      </c>
      <c r="E311" s="7" t="s">
        <v>122</v>
      </c>
      <c r="F311" s="7" t="n">
        <v>2010</v>
      </c>
      <c r="G311" s="7" t="s">
        <v>123</v>
      </c>
      <c r="H311" s="7" t="s">
        <v>86</v>
      </c>
      <c r="I311" s="7" t="n">
        <v>24.4</v>
      </c>
      <c r="J311" s="7" t="s">
        <v>64</v>
      </c>
      <c r="K311" s="7" t="s">
        <v>65</v>
      </c>
      <c r="L311" s="7" t="s">
        <v>66</v>
      </c>
      <c r="M311" s="7" t="n">
        <v>17.7</v>
      </c>
    </row>
    <row r="312" customFormat="false" ht="15" hidden="false" customHeight="false" outlineLevel="0" collapsed="false">
      <c r="A312" s="7" t="s">
        <v>59</v>
      </c>
      <c r="B312" s="7" t="s">
        <v>120</v>
      </c>
      <c r="C312" s="7" t="s">
        <v>120</v>
      </c>
      <c r="D312" s="7" t="s">
        <v>121</v>
      </c>
      <c r="E312" s="7" t="s">
        <v>122</v>
      </c>
      <c r="F312" s="7" t="n">
        <v>2010</v>
      </c>
      <c r="G312" s="7" t="s">
        <v>123</v>
      </c>
      <c r="H312" s="7" t="s">
        <v>63</v>
      </c>
      <c r="I312" s="7" t="n">
        <v>24.4</v>
      </c>
      <c r="J312" s="7" t="s">
        <v>64</v>
      </c>
      <c r="K312" s="7" t="s">
        <v>65</v>
      </c>
      <c r="L312" s="7" t="s">
        <v>66</v>
      </c>
      <c r="M312" s="7" t="n">
        <v>29.3</v>
      </c>
      <c r="N312" s="7" t="n">
        <v>4986</v>
      </c>
    </row>
    <row r="313" customFormat="false" ht="15" hidden="false" customHeight="false" outlineLevel="0" collapsed="false">
      <c r="A313" s="7" t="s">
        <v>59</v>
      </c>
      <c r="B313" s="7" t="s">
        <v>120</v>
      </c>
      <c r="C313" s="7" t="s">
        <v>120</v>
      </c>
      <c r="D313" s="7" t="s">
        <v>121</v>
      </c>
      <c r="E313" s="7" t="s">
        <v>122</v>
      </c>
      <c r="F313" s="7" t="n">
        <v>2010</v>
      </c>
      <c r="G313" s="7" t="s">
        <v>123</v>
      </c>
      <c r="H313" s="7" t="s">
        <v>87</v>
      </c>
      <c r="I313" s="7" t="n">
        <v>24.4</v>
      </c>
      <c r="J313" s="7" t="s">
        <v>64</v>
      </c>
      <c r="K313" s="7" t="s">
        <v>65</v>
      </c>
      <c r="L313" s="7" t="s">
        <v>66</v>
      </c>
      <c r="M313" s="7" t="n">
        <v>11.6</v>
      </c>
    </row>
    <row r="314" customFormat="false" ht="15" hidden="false" customHeight="false" outlineLevel="0" collapsed="false">
      <c r="A314" s="7" t="s">
        <v>59</v>
      </c>
      <c r="B314" s="7" t="s">
        <v>120</v>
      </c>
      <c r="C314" s="7" t="s">
        <v>120</v>
      </c>
      <c r="D314" s="7" t="s">
        <v>121</v>
      </c>
      <c r="E314" s="7" t="s">
        <v>122</v>
      </c>
      <c r="F314" s="7" t="n">
        <v>2010</v>
      </c>
      <c r="G314" s="7" t="s">
        <v>68</v>
      </c>
      <c r="H314" s="7" t="s">
        <v>78</v>
      </c>
      <c r="I314" s="7" t="n">
        <v>24.4</v>
      </c>
      <c r="J314" s="7" t="s">
        <v>64</v>
      </c>
      <c r="K314" s="7" t="s">
        <v>79</v>
      </c>
      <c r="L314" s="7" t="s">
        <v>66</v>
      </c>
      <c r="M314" s="7" t="n">
        <v>49.2</v>
      </c>
      <c r="N314" s="7" t="n">
        <v>4986</v>
      </c>
    </row>
    <row r="315" customFormat="false" ht="15" hidden="false" customHeight="false" outlineLevel="0" collapsed="false">
      <c r="A315" s="7" t="s">
        <v>59</v>
      </c>
      <c r="B315" s="7" t="s">
        <v>120</v>
      </c>
      <c r="C315" s="7" t="s">
        <v>120</v>
      </c>
      <c r="D315" s="7" t="s">
        <v>121</v>
      </c>
      <c r="E315" s="7" t="s">
        <v>122</v>
      </c>
      <c r="F315" s="7" t="n">
        <v>2010</v>
      </c>
      <c r="G315" s="7" t="s">
        <v>68</v>
      </c>
      <c r="H315" s="7" t="s">
        <v>86</v>
      </c>
      <c r="I315" s="7" t="n">
        <v>24.4</v>
      </c>
      <c r="J315" s="7" t="s">
        <v>64</v>
      </c>
      <c r="K315" s="7" t="s">
        <v>65</v>
      </c>
      <c r="L315" s="7" t="s">
        <v>66</v>
      </c>
      <c r="M315" s="7" t="n">
        <v>23.8</v>
      </c>
    </row>
    <row r="316" customFormat="false" ht="15" hidden="false" customHeight="false" outlineLevel="0" collapsed="false">
      <c r="A316" s="7" t="s">
        <v>59</v>
      </c>
      <c r="B316" s="7" t="s">
        <v>120</v>
      </c>
      <c r="C316" s="7" t="s">
        <v>120</v>
      </c>
      <c r="D316" s="7" t="s">
        <v>121</v>
      </c>
      <c r="E316" s="7" t="s">
        <v>122</v>
      </c>
      <c r="F316" s="7" t="n">
        <v>2010</v>
      </c>
      <c r="G316" s="7" t="s">
        <v>68</v>
      </c>
      <c r="H316" s="7" t="s">
        <v>63</v>
      </c>
      <c r="I316" s="7" t="n">
        <v>24.4</v>
      </c>
      <c r="J316" s="7" t="s">
        <v>64</v>
      </c>
      <c r="K316" s="7" t="s">
        <v>65</v>
      </c>
      <c r="L316" s="7" t="s">
        <v>66</v>
      </c>
      <c r="M316" s="7" t="n">
        <v>55.6</v>
      </c>
      <c r="N316" s="7" t="n">
        <v>4986</v>
      </c>
    </row>
    <row r="317" customFormat="false" ht="15" hidden="false" customHeight="false" outlineLevel="0" collapsed="false">
      <c r="A317" s="7" t="s">
        <v>59</v>
      </c>
      <c r="B317" s="7" t="s">
        <v>120</v>
      </c>
      <c r="C317" s="7" t="s">
        <v>120</v>
      </c>
      <c r="D317" s="7" t="s">
        <v>121</v>
      </c>
      <c r="E317" s="7" t="s">
        <v>122</v>
      </c>
      <c r="F317" s="7" t="n">
        <v>2010</v>
      </c>
      <c r="G317" s="7" t="s">
        <v>68</v>
      </c>
      <c r="H317" s="7" t="s">
        <v>87</v>
      </c>
      <c r="I317" s="7" t="n">
        <v>24.4</v>
      </c>
      <c r="J317" s="7" t="s">
        <v>64</v>
      </c>
      <c r="K317" s="7" t="s">
        <v>65</v>
      </c>
      <c r="L317" s="7" t="s">
        <v>66</v>
      </c>
      <c r="M317" s="7" t="n">
        <v>31.7</v>
      </c>
    </row>
    <row r="318" customFormat="false" ht="15" hidden="false" customHeight="false" outlineLevel="0" collapsed="false">
      <c r="A318" s="7" t="s">
        <v>59</v>
      </c>
      <c r="B318" s="7" t="s">
        <v>120</v>
      </c>
      <c r="C318" s="7" t="s">
        <v>120</v>
      </c>
      <c r="D318" s="7" t="s">
        <v>121</v>
      </c>
      <c r="E318" s="7" t="s">
        <v>122</v>
      </c>
      <c r="F318" s="7" t="n">
        <v>2010</v>
      </c>
      <c r="G318" s="7" t="s">
        <v>83</v>
      </c>
      <c r="H318" s="7" t="s">
        <v>78</v>
      </c>
      <c r="I318" s="7" t="n">
        <v>24.4</v>
      </c>
      <c r="J318" s="7" t="s">
        <v>64</v>
      </c>
      <c r="K318" s="7" t="s">
        <v>79</v>
      </c>
      <c r="L318" s="7" t="s">
        <v>66</v>
      </c>
      <c r="M318" s="7" t="n">
        <v>74.8</v>
      </c>
      <c r="N318" s="7" t="n">
        <v>4986</v>
      </c>
    </row>
    <row r="319" customFormat="false" ht="15" hidden="false" customHeight="false" outlineLevel="0" collapsed="false">
      <c r="A319" s="7" t="s">
        <v>59</v>
      </c>
      <c r="B319" s="7" t="s">
        <v>120</v>
      </c>
      <c r="C319" s="7" t="s">
        <v>120</v>
      </c>
      <c r="D319" s="7" t="s">
        <v>121</v>
      </c>
      <c r="E319" s="7" t="s">
        <v>122</v>
      </c>
      <c r="F319" s="7" t="n">
        <v>2010</v>
      </c>
      <c r="G319" s="7" t="s">
        <v>83</v>
      </c>
      <c r="H319" s="7" t="s">
        <v>86</v>
      </c>
      <c r="I319" s="7" t="n">
        <v>24.4</v>
      </c>
      <c r="J319" s="7" t="s">
        <v>64</v>
      </c>
      <c r="K319" s="7" t="s">
        <v>65</v>
      </c>
      <c r="L319" s="7" t="s">
        <v>66</v>
      </c>
      <c r="M319" s="7" t="n">
        <v>28.3</v>
      </c>
    </row>
    <row r="320" customFormat="false" ht="15" hidden="false" customHeight="false" outlineLevel="0" collapsed="false">
      <c r="A320" s="7" t="s">
        <v>59</v>
      </c>
      <c r="B320" s="7" t="s">
        <v>120</v>
      </c>
      <c r="C320" s="7" t="s">
        <v>120</v>
      </c>
      <c r="D320" s="7" t="s">
        <v>121</v>
      </c>
      <c r="E320" s="7" t="s">
        <v>122</v>
      </c>
      <c r="F320" s="7" t="n">
        <v>2010</v>
      </c>
      <c r="G320" s="7" t="s">
        <v>83</v>
      </c>
      <c r="H320" s="7" t="s">
        <v>63</v>
      </c>
      <c r="I320" s="7" t="n">
        <v>24.4</v>
      </c>
      <c r="J320" s="7" t="s">
        <v>64</v>
      </c>
      <c r="K320" s="7" t="s">
        <v>65</v>
      </c>
      <c r="L320" s="7" t="s">
        <v>66</v>
      </c>
      <c r="M320" s="7" t="n">
        <v>76.4</v>
      </c>
      <c r="N320" s="7" t="n">
        <v>4986</v>
      </c>
    </row>
    <row r="321" customFormat="false" ht="15" hidden="false" customHeight="false" outlineLevel="0" collapsed="false">
      <c r="A321" s="7" t="s">
        <v>59</v>
      </c>
      <c r="B321" s="7" t="s">
        <v>120</v>
      </c>
      <c r="C321" s="7" t="s">
        <v>120</v>
      </c>
      <c r="D321" s="7" t="s">
        <v>121</v>
      </c>
      <c r="E321" s="7" t="s">
        <v>122</v>
      </c>
      <c r="F321" s="7" t="n">
        <v>2010</v>
      </c>
      <c r="G321" s="7" t="s">
        <v>83</v>
      </c>
      <c r="H321" s="7" t="s">
        <v>87</v>
      </c>
      <c r="I321" s="7" t="n">
        <v>24.4</v>
      </c>
      <c r="J321" s="7" t="s">
        <v>64</v>
      </c>
      <c r="K321" s="7" t="s">
        <v>65</v>
      </c>
      <c r="L321" s="7" t="s">
        <v>66</v>
      </c>
      <c r="M321" s="7" t="n">
        <v>48.1</v>
      </c>
    </row>
    <row r="322" customFormat="false" ht="15" hidden="false" customHeight="false" outlineLevel="0" collapsed="false">
      <c r="A322" s="7" t="s">
        <v>59</v>
      </c>
      <c r="B322" s="7" t="s">
        <v>120</v>
      </c>
      <c r="C322" s="7" t="s">
        <v>120</v>
      </c>
      <c r="D322" s="7" t="s">
        <v>121</v>
      </c>
      <c r="E322" s="7" t="s">
        <v>122</v>
      </c>
      <c r="F322" s="7" t="n">
        <v>2010</v>
      </c>
      <c r="G322" s="7" t="s">
        <v>69</v>
      </c>
      <c r="H322" s="7" t="s">
        <v>78</v>
      </c>
      <c r="I322" s="7" t="n">
        <v>24.4</v>
      </c>
      <c r="J322" s="7" t="s">
        <v>64</v>
      </c>
      <c r="K322" s="7" t="s">
        <v>79</v>
      </c>
      <c r="L322" s="7" t="s">
        <v>66</v>
      </c>
      <c r="M322" s="7" t="n">
        <v>46.1</v>
      </c>
      <c r="N322" s="7" t="n">
        <v>4986</v>
      </c>
    </row>
    <row r="323" customFormat="false" ht="15" hidden="false" customHeight="false" outlineLevel="0" collapsed="false">
      <c r="A323" s="7" t="s">
        <v>59</v>
      </c>
      <c r="B323" s="7" t="s">
        <v>120</v>
      </c>
      <c r="C323" s="7" t="s">
        <v>120</v>
      </c>
      <c r="D323" s="7" t="s">
        <v>121</v>
      </c>
      <c r="E323" s="7" t="s">
        <v>122</v>
      </c>
      <c r="F323" s="7" t="n">
        <v>2010</v>
      </c>
      <c r="G323" s="7" t="s">
        <v>69</v>
      </c>
      <c r="H323" s="7" t="s">
        <v>86</v>
      </c>
      <c r="I323" s="7" t="n">
        <v>24.4</v>
      </c>
      <c r="J323" s="7" t="s">
        <v>64</v>
      </c>
      <c r="K323" s="7" t="s">
        <v>65</v>
      </c>
      <c r="L323" s="7" t="s">
        <v>66</v>
      </c>
      <c r="M323" s="7" t="n">
        <v>25.3</v>
      </c>
    </row>
    <row r="324" customFormat="false" ht="15" hidden="false" customHeight="false" outlineLevel="0" collapsed="false">
      <c r="A324" s="7" t="s">
        <v>59</v>
      </c>
      <c r="B324" s="7" t="s">
        <v>120</v>
      </c>
      <c r="C324" s="7" t="s">
        <v>120</v>
      </c>
      <c r="D324" s="7" t="s">
        <v>121</v>
      </c>
      <c r="E324" s="7" t="s">
        <v>122</v>
      </c>
      <c r="F324" s="7" t="n">
        <v>2010</v>
      </c>
      <c r="G324" s="7" t="s">
        <v>69</v>
      </c>
      <c r="H324" s="7" t="s">
        <v>63</v>
      </c>
      <c r="I324" s="7" t="n">
        <v>24.4</v>
      </c>
      <c r="J324" s="7" t="s">
        <v>64</v>
      </c>
      <c r="K324" s="7" t="s">
        <v>65</v>
      </c>
      <c r="L324" s="7" t="s">
        <v>66</v>
      </c>
      <c r="M324" s="7" t="n">
        <v>48.8</v>
      </c>
      <c r="N324" s="7" t="n">
        <v>4986</v>
      </c>
    </row>
    <row r="325" customFormat="false" ht="15" hidden="false" customHeight="false" outlineLevel="0" collapsed="false">
      <c r="A325" s="7" t="s">
        <v>59</v>
      </c>
      <c r="B325" s="7" t="s">
        <v>120</v>
      </c>
      <c r="C325" s="7" t="s">
        <v>120</v>
      </c>
      <c r="D325" s="7" t="s">
        <v>121</v>
      </c>
      <c r="E325" s="7" t="s">
        <v>122</v>
      </c>
      <c r="F325" s="7" t="n">
        <v>2010</v>
      </c>
      <c r="G325" s="7" t="s">
        <v>69</v>
      </c>
      <c r="H325" s="7" t="s">
        <v>87</v>
      </c>
      <c r="I325" s="7" t="n">
        <v>24.4</v>
      </c>
      <c r="J325" s="7" t="s">
        <v>64</v>
      </c>
      <c r="K325" s="7" t="s">
        <v>65</v>
      </c>
      <c r="L325" s="7" t="s">
        <v>66</v>
      </c>
      <c r="M325" s="7" t="n">
        <v>23.5</v>
      </c>
    </row>
    <row r="326" customFormat="false" ht="15" hidden="false" customHeight="false" outlineLevel="0" collapsed="false">
      <c r="A326" s="7" t="s">
        <v>59</v>
      </c>
      <c r="B326" s="7" t="s">
        <v>120</v>
      </c>
      <c r="C326" s="7" t="s">
        <v>120</v>
      </c>
      <c r="D326" s="7" t="s">
        <v>121</v>
      </c>
      <c r="E326" s="7" t="s">
        <v>122</v>
      </c>
      <c r="F326" s="7" t="n">
        <v>2010</v>
      </c>
      <c r="G326" s="7" t="s">
        <v>111</v>
      </c>
      <c r="H326" s="7" t="s">
        <v>78</v>
      </c>
      <c r="I326" s="7" t="n">
        <v>24.4</v>
      </c>
      <c r="J326" s="7" t="s">
        <v>64</v>
      </c>
      <c r="K326" s="7" t="s">
        <v>79</v>
      </c>
      <c r="L326" s="7" t="s">
        <v>66</v>
      </c>
      <c r="M326" s="7" t="n">
        <v>40.4</v>
      </c>
      <c r="N326" s="7" t="n">
        <v>4986</v>
      </c>
    </row>
    <row r="327" customFormat="false" ht="15" hidden="false" customHeight="false" outlineLevel="0" collapsed="false">
      <c r="A327" s="7" t="s">
        <v>59</v>
      </c>
      <c r="B327" s="7" t="s">
        <v>120</v>
      </c>
      <c r="C327" s="7" t="s">
        <v>120</v>
      </c>
      <c r="D327" s="7" t="s">
        <v>121</v>
      </c>
      <c r="E327" s="7" t="s">
        <v>122</v>
      </c>
      <c r="F327" s="7" t="n">
        <v>2010</v>
      </c>
      <c r="G327" s="7" t="s">
        <v>111</v>
      </c>
      <c r="H327" s="7" t="s">
        <v>86</v>
      </c>
      <c r="I327" s="7" t="n">
        <v>24.4</v>
      </c>
      <c r="J327" s="7" t="s">
        <v>64</v>
      </c>
      <c r="K327" s="7" t="s">
        <v>65</v>
      </c>
      <c r="L327" s="7" t="s">
        <v>66</v>
      </c>
      <c r="M327" s="7" t="n">
        <v>22.9</v>
      </c>
    </row>
    <row r="328" customFormat="false" ht="15" hidden="false" customHeight="false" outlineLevel="0" collapsed="false">
      <c r="A328" s="7" t="s">
        <v>59</v>
      </c>
      <c r="B328" s="7" t="s">
        <v>120</v>
      </c>
      <c r="C328" s="7" t="s">
        <v>120</v>
      </c>
      <c r="D328" s="7" t="s">
        <v>121</v>
      </c>
      <c r="E328" s="7" t="s">
        <v>122</v>
      </c>
      <c r="F328" s="7" t="n">
        <v>2010</v>
      </c>
      <c r="G328" s="7" t="s">
        <v>111</v>
      </c>
      <c r="H328" s="7" t="s">
        <v>63</v>
      </c>
      <c r="I328" s="7" t="n">
        <v>24.4</v>
      </c>
      <c r="J328" s="7" t="s">
        <v>64</v>
      </c>
      <c r="K328" s="7" t="s">
        <v>65</v>
      </c>
      <c r="L328" s="7" t="s">
        <v>66</v>
      </c>
      <c r="M328" s="7" t="n">
        <v>50.1</v>
      </c>
      <c r="N328" s="7" t="n">
        <v>4986</v>
      </c>
    </row>
    <row r="329" customFormat="false" ht="15" hidden="false" customHeight="false" outlineLevel="0" collapsed="false">
      <c r="A329" s="7" t="s">
        <v>59</v>
      </c>
      <c r="B329" s="7" t="s">
        <v>120</v>
      </c>
      <c r="C329" s="7" t="s">
        <v>120</v>
      </c>
      <c r="D329" s="7" t="s">
        <v>121</v>
      </c>
      <c r="E329" s="7" t="s">
        <v>122</v>
      </c>
      <c r="F329" s="7" t="n">
        <v>2010</v>
      </c>
      <c r="G329" s="7" t="s">
        <v>111</v>
      </c>
      <c r="H329" s="7" t="s">
        <v>87</v>
      </c>
      <c r="I329" s="7" t="n">
        <v>24.4</v>
      </c>
      <c r="J329" s="7" t="s">
        <v>64</v>
      </c>
      <c r="K329" s="7" t="s">
        <v>65</v>
      </c>
      <c r="L329" s="7" t="s">
        <v>66</v>
      </c>
      <c r="M329" s="7" t="n">
        <v>27.1</v>
      </c>
    </row>
    <row r="330" customFormat="false" ht="15" hidden="false" customHeight="false" outlineLevel="0" collapsed="false">
      <c r="A330" s="7" t="s">
        <v>59</v>
      </c>
      <c r="B330" s="7" t="s">
        <v>120</v>
      </c>
      <c r="C330" s="7" t="s">
        <v>120</v>
      </c>
      <c r="D330" s="7" t="s">
        <v>121</v>
      </c>
      <c r="E330" s="7" t="s">
        <v>122</v>
      </c>
      <c r="F330" s="7" t="n">
        <v>2011</v>
      </c>
      <c r="G330" s="7" t="s">
        <v>106</v>
      </c>
      <c r="H330" s="7" t="s">
        <v>63</v>
      </c>
      <c r="J330" s="7" t="s">
        <v>64</v>
      </c>
      <c r="L330" s="7" t="s">
        <v>71</v>
      </c>
      <c r="M330" s="7" t="n">
        <v>55.2</v>
      </c>
      <c r="N330" s="7" t="n">
        <v>9879</v>
      </c>
    </row>
    <row r="331" customFormat="false" ht="15" hidden="false" customHeight="false" outlineLevel="0" collapsed="false">
      <c r="A331" s="7" t="s">
        <v>59</v>
      </c>
      <c r="B331" s="7" t="s">
        <v>120</v>
      </c>
      <c r="C331" s="7" t="s">
        <v>120</v>
      </c>
      <c r="D331" s="7" t="s">
        <v>121</v>
      </c>
      <c r="E331" s="7" t="s">
        <v>122</v>
      </c>
      <c r="F331" s="7" t="n">
        <v>2011</v>
      </c>
      <c r="G331" s="7" t="s">
        <v>72</v>
      </c>
      <c r="H331" s="7" t="s">
        <v>63</v>
      </c>
      <c r="J331" s="7" t="s">
        <v>64</v>
      </c>
      <c r="L331" s="7" t="s">
        <v>71</v>
      </c>
      <c r="M331" s="7" t="n">
        <v>50.9</v>
      </c>
      <c r="N331" s="7" t="n">
        <v>9879</v>
      </c>
    </row>
    <row r="332" customFormat="false" ht="15" hidden="false" customHeight="false" outlineLevel="0" collapsed="false">
      <c r="A332" s="7" t="s">
        <v>59</v>
      </c>
      <c r="B332" s="7" t="s">
        <v>124</v>
      </c>
      <c r="C332" s="7" t="s">
        <v>124</v>
      </c>
      <c r="D332" s="7" t="s">
        <v>125</v>
      </c>
      <c r="E332" s="7" t="s">
        <v>126</v>
      </c>
      <c r="F332" s="7" t="n">
        <v>2012</v>
      </c>
      <c r="G332" s="7" t="s">
        <v>62</v>
      </c>
      <c r="H332" s="7" t="s">
        <v>78</v>
      </c>
      <c r="I332" s="7" t="n">
        <v>28</v>
      </c>
      <c r="J332" s="7" t="s">
        <v>64</v>
      </c>
      <c r="K332" s="7" t="s">
        <v>79</v>
      </c>
      <c r="L332" s="7" t="s">
        <v>66</v>
      </c>
      <c r="M332" s="7" t="n">
        <v>50.3</v>
      </c>
      <c r="N332" s="7" t="n">
        <v>5900</v>
      </c>
    </row>
    <row r="333" customFormat="false" ht="15" hidden="false" customHeight="false" outlineLevel="0" collapsed="false">
      <c r="A333" s="7" t="s">
        <v>59</v>
      </c>
      <c r="B333" s="7" t="s">
        <v>124</v>
      </c>
      <c r="C333" s="7" t="s">
        <v>124</v>
      </c>
      <c r="D333" s="7" t="s">
        <v>125</v>
      </c>
      <c r="E333" s="7" t="s">
        <v>126</v>
      </c>
      <c r="F333" s="7" t="n">
        <v>2012</v>
      </c>
      <c r="G333" s="7" t="s">
        <v>62</v>
      </c>
      <c r="H333" s="7" t="s">
        <v>86</v>
      </c>
      <c r="I333" s="7" t="n">
        <v>28</v>
      </c>
      <c r="J333" s="7" t="s">
        <v>64</v>
      </c>
      <c r="K333" s="7" t="s">
        <v>65</v>
      </c>
      <c r="L333" s="7" t="s">
        <v>66</v>
      </c>
      <c r="M333" s="7" t="n">
        <v>27</v>
      </c>
      <c r="N333" s="7" t="n">
        <v>1650</v>
      </c>
    </row>
    <row r="334" customFormat="false" ht="15" hidden="false" customHeight="false" outlineLevel="0" collapsed="false">
      <c r="A334" s="7" t="s">
        <v>59</v>
      </c>
      <c r="B334" s="7" t="s">
        <v>124</v>
      </c>
      <c r="C334" s="7" t="s">
        <v>124</v>
      </c>
      <c r="D334" s="7" t="s">
        <v>125</v>
      </c>
      <c r="E334" s="7" t="s">
        <v>126</v>
      </c>
      <c r="F334" s="7" t="n">
        <v>2012</v>
      </c>
      <c r="G334" s="7" t="s">
        <v>62</v>
      </c>
      <c r="H334" s="7" t="s">
        <v>63</v>
      </c>
      <c r="I334" s="7" t="n">
        <v>28</v>
      </c>
      <c r="J334" s="7" t="s">
        <v>64</v>
      </c>
      <c r="K334" s="7" t="s">
        <v>65</v>
      </c>
      <c r="L334" s="7" t="s">
        <v>66</v>
      </c>
      <c r="M334" s="7" t="n">
        <v>51.2</v>
      </c>
      <c r="N334" s="7" t="n">
        <v>5900</v>
      </c>
    </row>
    <row r="335" customFormat="false" ht="15" hidden="false" customHeight="false" outlineLevel="0" collapsed="false">
      <c r="A335" s="7" t="s">
        <v>59</v>
      </c>
      <c r="B335" s="7" t="s">
        <v>124</v>
      </c>
      <c r="C335" s="7" t="s">
        <v>124</v>
      </c>
      <c r="D335" s="7" t="s">
        <v>125</v>
      </c>
      <c r="E335" s="7" t="s">
        <v>126</v>
      </c>
      <c r="F335" s="7" t="n">
        <v>2012</v>
      </c>
      <c r="G335" s="7" t="s">
        <v>62</v>
      </c>
      <c r="H335" s="7" t="s">
        <v>87</v>
      </c>
      <c r="I335" s="7" t="n">
        <v>28</v>
      </c>
      <c r="J335" s="7" t="s">
        <v>64</v>
      </c>
      <c r="K335" s="7" t="s">
        <v>65</v>
      </c>
      <c r="L335" s="7" t="s">
        <v>66</v>
      </c>
      <c r="M335" s="7" t="n">
        <v>24.1</v>
      </c>
      <c r="N335" s="7" t="n">
        <v>4250</v>
      </c>
    </row>
    <row r="336" customFormat="false" ht="15" hidden="false" customHeight="false" outlineLevel="0" collapsed="false">
      <c r="A336" s="7" t="s">
        <v>59</v>
      </c>
      <c r="B336" s="7" t="s">
        <v>124</v>
      </c>
      <c r="C336" s="7" t="s">
        <v>124</v>
      </c>
      <c r="D336" s="7" t="s">
        <v>125</v>
      </c>
      <c r="E336" s="7" t="s">
        <v>126</v>
      </c>
      <c r="F336" s="7" t="n">
        <v>2012</v>
      </c>
      <c r="G336" s="7" t="s">
        <v>81</v>
      </c>
      <c r="H336" s="7" t="s">
        <v>78</v>
      </c>
      <c r="I336" s="7" t="n">
        <v>28</v>
      </c>
      <c r="J336" s="7" t="s">
        <v>64</v>
      </c>
      <c r="K336" s="7" t="s">
        <v>79</v>
      </c>
      <c r="L336" s="7" t="s">
        <v>66</v>
      </c>
      <c r="M336" s="7" t="n">
        <v>49.6</v>
      </c>
      <c r="N336" s="7" t="n">
        <v>5900</v>
      </c>
    </row>
    <row r="337" customFormat="false" ht="15" hidden="false" customHeight="false" outlineLevel="0" collapsed="false">
      <c r="A337" s="7" t="s">
        <v>59</v>
      </c>
      <c r="B337" s="7" t="s">
        <v>124</v>
      </c>
      <c r="C337" s="7" t="s">
        <v>124</v>
      </c>
      <c r="D337" s="7" t="s">
        <v>125</v>
      </c>
      <c r="E337" s="7" t="s">
        <v>126</v>
      </c>
      <c r="F337" s="7" t="n">
        <v>2012</v>
      </c>
      <c r="G337" s="7" t="s">
        <v>81</v>
      </c>
      <c r="H337" s="7" t="s">
        <v>86</v>
      </c>
      <c r="I337" s="7" t="n">
        <v>28</v>
      </c>
      <c r="J337" s="7" t="s">
        <v>64</v>
      </c>
      <c r="K337" s="7" t="s">
        <v>65</v>
      </c>
      <c r="L337" s="7" t="s">
        <v>66</v>
      </c>
      <c r="M337" s="7" t="n">
        <v>26.7</v>
      </c>
      <c r="N337" s="7" t="n">
        <v>1650</v>
      </c>
    </row>
    <row r="338" customFormat="false" ht="15" hidden="false" customHeight="false" outlineLevel="0" collapsed="false">
      <c r="A338" s="7" t="s">
        <v>59</v>
      </c>
      <c r="B338" s="7" t="s">
        <v>124</v>
      </c>
      <c r="C338" s="7" t="s">
        <v>124</v>
      </c>
      <c r="D338" s="7" t="s">
        <v>125</v>
      </c>
      <c r="E338" s="7" t="s">
        <v>126</v>
      </c>
      <c r="F338" s="7" t="n">
        <v>2012</v>
      </c>
      <c r="G338" s="7" t="s">
        <v>81</v>
      </c>
      <c r="H338" s="7" t="s">
        <v>63</v>
      </c>
      <c r="I338" s="7" t="n">
        <v>28</v>
      </c>
      <c r="J338" s="7" t="s">
        <v>64</v>
      </c>
      <c r="K338" s="7" t="s">
        <v>65</v>
      </c>
      <c r="L338" s="7" t="s">
        <v>66</v>
      </c>
      <c r="M338" s="7" t="n">
        <v>50.6</v>
      </c>
      <c r="N338" s="7" t="n">
        <v>5900</v>
      </c>
    </row>
    <row r="339" customFormat="false" ht="15" hidden="false" customHeight="false" outlineLevel="0" collapsed="false">
      <c r="A339" s="7" t="s">
        <v>59</v>
      </c>
      <c r="B339" s="7" t="s">
        <v>124</v>
      </c>
      <c r="C339" s="7" t="s">
        <v>124</v>
      </c>
      <c r="D339" s="7" t="s">
        <v>125</v>
      </c>
      <c r="E339" s="7" t="s">
        <v>126</v>
      </c>
      <c r="F339" s="7" t="n">
        <v>2012</v>
      </c>
      <c r="G339" s="7" t="s">
        <v>81</v>
      </c>
      <c r="H339" s="7" t="s">
        <v>87</v>
      </c>
      <c r="I339" s="7" t="n">
        <v>28</v>
      </c>
      <c r="J339" s="7" t="s">
        <v>64</v>
      </c>
      <c r="K339" s="7" t="s">
        <v>65</v>
      </c>
      <c r="L339" s="7" t="s">
        <v>66</v>
      </c>
      <c r="M339" s="7" t="n">
        <v>23.9</v>
      </c>
      <c r="N339" s="7" t="n">
        <v>4250</v>
      </c>
    </row>
    <row r="340" customFormat="false" ht="15" hidden="false" customHeight="false" outlineLevel="0" collapsed="false">
      <c r="A340" s="7" t="s">
        <v>59</v>
      </c>
      <c r="B340" s="7" t="s">
        <v>124</v>
      </c>
      <c r="C340" s="7" t="s">
        <v>124</v>
      </c>
      <c r="D340" s="7" t="s">
        <v>125</v>
      </c>
      <c r="E340" s="7" t="s">
        <v>126</v>
      </c>
      <c r="F340" s="7" t="n">
        <v>2012</v>
      </c>
      <c r="G340" s="7" t="s">
        <v>67</v>
      </c>
      <c r="H340" s="7" t="s">
        <v>78</v>
      </c>
      <c r="I340" s="7" t="n">
        <v>28</v>
      </c>
      <c r="J340" s="7" t="s">
        <v>64</v>
      </c>
      <c r="K340" s="7" t="s">
        <v>79</v>
      </c>
      <c r="L340" s="7" t="s">
        <v>66</v>
      </c>
      <c r="M340" s="7" t="n">
        <v>36.2</v>
      </c>
      <c r="N340" s="7" t="n">
        <v>5900</v>
      </c>
    </row>
    <row r="341" customFormat="false" ht="15" hidden="false" customHeight="false" outlineLevel="0" collapsed="false">
      <c r="A341" s="7" t="s">
        <v>59</v>
      </c>
      <c r="B341" s="7" t="s">
        <v>124</v>
      </c>
      <c r="C341" s="7" t="s">
        <v>124</v>
      </c>
      <c r="D341" s="7" t="s">
        <v>125</v>
      </c>
      <c r="E341" s="7" t="s">
        <v>126</v>
      </c>
      <c r="F341" s="7" t="n">
        <v>2012</v>
      </c>
      <c r="G341" s="7" t="s">
        <v>67</v>
      </c>
      <c r="H341" s="7" t="s">
        <v>86</v>
      </c>
      <c r="I341" s="7" t="n">
        <v>28</v>
      </c>
      <c r="J341" s="7" t="s">
        <v>64</v>
      </c>
      <c r="K341" s="7" t="s">
        <v>65</v>
      </c>
      <c r="L341" s="7" t="s">
        <v>66</v>
      </c>
      <c r="M341" s="7" t="n">
        <v>22.2</v>
      </c>
      <c r="N341" s="7" t="n">
        <v>1650</v>
      </c>
    </row>
    <row r="342" customFormat="false" ht="15" hidden="false" customHeight="false" outlineLevel="0" collapsed="false">
      <c r="A342" s="7" t="s">
        <v>59</v>
      </c>
      <c r="B342" s="7" t="s">
        <v>124</v>
      </c>
      <c r="C342" s="7" t="s">
        <v>124</v>
      </c>
      <c r="D342" s="7" t="s">
        <v>125</v>
      </c>
      <c r="E342" s="7" t="s">
        <v>126</v>
      </c>
      <c r="F342" s="7" t="n">
        <v>2012</v>
      </c>
      <c r="G342" s="7" t="s">
        <v>67</v>
      </c>
      <c r="H342" s="7" t="s">
        <v>63</v>
      </c>
      <c r="I342" s="7" t="n">
        <v>28</v>
      </c>
      <c r="J342" s="7" t="s">
        <v>64</v>
      </c>
      <c r="K342" s="7" t="s">
        <v>65</v>
      </c>
      <c r="L342" s="7" t="s">
        <v>66</v>
      </c>
      <c r="M342" s="7" t="n">
        <v>38.2</v>
      </c>
      <c r="N342" s="7" t="n">
        <v>5900</v>
      </c>
    </row>
    <row r="343" customFormat="false" ht="15" hidden="false" customHeight="false" outlineLevel="0" collapsed="false">
      <c r="A343" s="7" t="s">
        <v>59</v>
      </c>
      <c r="B343" s="7" t="s">
        <v>124</v>
      </c>
      <c r="C343" s="7" t="s">
        <v>124</v>
      </c>
      <c r="D343" s="7" t="s">
        <v>125</v>
      </c>
      <c r="E343" s="7" t="s">
        <v>126</v>
      </c>
      <c r="F343" s="7" t="n">
        <v>2012</v>
      </c>
      <c r="G343" s="7" t="s">
        <v>67</v>
      </c>
      <c r="H343" s="7" t="s">
        <v>87</v>
      </c>
      <c r="I343" s="7" t="n">
        <v>28</v>
      </c>
      <c r="J343" s="7" t="s">
        <v>64</v>
      </c>
      <c r="K343" s="7" t="s">
        <v>65</v>
      </c>
      <c r="L343" s="7" t="s">
        <v>66</v>
      </c>
      <c r="M343" s="7" t="n">
        <v>16</v>
      </c>
      <c r="N343" s="7" t="n">
        <v>4250</v>
      </c>
    </row>
    <row r="344" customFormat="false" ht="15" hidden="false" customHeight="false" outlineLevel="0" collapsed="false">
      <c r="A344" s="7" t="s">
        <v>59</v>
      </c>
      <c r="B344" s="7" t="s">
        <v>124</v>
      </c>
      <c r="C344" s="7" t="s">
        <v>124</v>
      </c>
      <c r="D344" s="7" t="s">
        <v>125</v>
      </c>
      <c r="E344" s="7" t="s">
        <v>126</v>
      </c>
      <c r="F344" s="7" t="n">
        <v>2012</v>
      </c>
      <c r="G344" s="7" t="s">
        <v>82</v>
      </c>
      <c r="H344" s="7" t="s">
        <v>78</v>
      </c>
      <c r="I344" s="7" t="n">
        <v>28</v>
      </c>
      <c r="J344" s="7" t="s">
        <v>64</v>
      </c>
      <c r="K344" s="7" t="s">
        <v>79</v>
      </c>
      <c r="L344" s="7" t="s">
        <v>66</v>
      </c>
      <c r="M344" s="7" t="n">
        <v>21.4</v>
      </c>
      <c r="N344" s="7" t="n">
        <v>5900</v>
      </c>
    </row>
    <row r="345" customFormat="false" ht="15" hidden="false" customHeight="false" outlineLevel="0" collapsed="false">
      <c r="A345" s="7" t="s">
        <v>59</v>
      </c>
      <c r="B345" s="7" t="s">
        <v>124</v>
      </c>
      <c r="C345" s="7" t="s">
        <v>124</v>
      </c>
      <c r="D345" s="7" t="s">
        <v>125</v>
      </c>
      <c r="E345" s="7" t="s">
        <v>126</v>
      </c>
      <c r="F345" s="7" t="n">
        <v>2012</v>
      </c>
      <c r="G345" s="7" t="s">
        <v>82</v>
      </c>
      <c r="H345" s="7" t="s">
        <v>86</v>
      </c>
      <c r="I345" s="7" t="n">
        <v>28</v>
      </c>
      <c r="J345" s="7" t="s">
        <v>64</v>
      </c>
      <c r="K345" s="7" t="s">
        <v>65</v>
      </c>
      <c r="L345" s="7" t="s">
        <v>66</v>
      </c>
      <c r="M345" s="7" t="n">
        <v>19</v>
      </c>
      <c r="N345" s="7" t="n">
        <v>1650</v>
      </c>
    </row>
    <row r="346" customFormat="false" ht="15" hidden="false" customHeight="false" outlineLevel="0" collapsed="false">
      <c r="A346" s="7" t="s">
        <v>59</v>
      </c>
      <c r="B346" s="7" t="s">
        <v>124</v>
      </c>
      <c r="C346" s="7" t="s">
        <v>124</v>
      </c>
      <c r="D346" s="7" t="s">
        <v>125</v>
      </c>
      <c r="E346" s="7" t="s">
        <v>126</v>
      </c>
      <c r="F346" s="7" t="n">
        <v>2012</v>
      </c>
      <c r="G346" s="7" t="s">
        <v>82</v>
      </c>
      <c r="H346" s="7" t="s">
        <v>63</v>
      </c>
      <c r="I346" s="7" t="n">
        <v>28</v>
      </c>
      <c r="J346" s="7" t="s">
        <v>64</v>
      </c>
      <c r="K346" s="7" t="s">
        <v>65</v>
      </c>
      <c r="L346" s="7" t="s">
        <v>66</v>
      </c>
      <c r="M346" s="7" t="n">
        <v>25.3</v>
      </c>
      <c r="N346" s="7" t="n">
        <v>5900</v>
      </c>
    </row>
    <row r="347" customFormat="false" ht="15" hidden="false" customHeight="false" outlineLevel="0" collapsed="false">
      <c r="A347" s="7" t="s">
        <v>59</v>
      </c>
      <c r="B347" s="7" t="s">
        <v>124</v>
      </c>
      <c r="C347" s="7" t="s">
        <v>124</v>
      </c>
      <c r="D347" s="7" t="s">
        <v>125</v>
      </c>
      <c r="E347" s="7" t="s">
        <v>126</v>
      </c>
      <c r="F347" s="7" t="n">
        <v>2012</v>
      </c>
      <c r="G347" s="7" t="s">
        <v>82</v>
      </c>
      <c r="H347" s="7" t="s">
        <v>87</v>
      </c>
      <c r="I347" s="7" t="n">
        <v>28</v>
      </c>
      <c r="J347" s="7" t="s">
        <v>64</v>
      </c>
      <c r="K347" s="7" t="s">
        <v>65</v>
      </c>
      <c r="L347" s="7" t="s">
        <v>66</v>
      </c>
      <c r="M347" s="7" t="n">
        <v>6.3</v>
      </c>
      <c r="N347" s="7" t="n">
        <v>4250</v>
      </c>
    </row>
    <row r="348" customFormat="false" ht="15" hidden="false" customHeight="false" outlineLevel="0" collapsed="false">
      <c r="A348" s="7" t="s">
        <v>59</v>
      </c>
      <c r="B348" s="7" t="s">
        <v>124</v>
      </c>
      <c r="C348" s="7" t="s">
        <v>124</v>
      </c>
      <c r="D348" s="7" t="s">
        <v>125</v>
      </c>
      <c r="E348" s="7" t="s">
        <v>126</v>
      </c>
      <c r="F348" s="7" t="n">
        <v>2012</v>
      </c>
      <c r="G348" s="7" t="s">
        <v>68</v>
      </c>
      <c r="H348" s="7" t="s">
        <v>78</v>
      </c>
      <c r="I348" s="7" t="n">
        <v>28</v>
      </c>
      <c r="J348" s="7" t="s">
        <v>64</v>
      </c>
      <c r="K348" s="7" t="s">
        <v>79</v>
      </c>
      <c r="L348" s="7" t="s">
        <v>66</v>
      </c>
      <c r="M348" s="7" t="n">
        <v>35.1</v>
      </c>
      <c r="N348" s="7" t="n">
        <v>5900</v>
      </c>
    </row>
    <row r="349" customFormat="false" ht="15" hidden="false" customHeight="false" outlineLevel="0" collapsed="false">
      <c r="A349" s="7" t="s">
        <v>59</v>
      </c>
      <c r="B349" s="7" t="s">
        <v>124</v>
      </c>
      <c r="C349" s="7" t="s">
        <v>124</v>
      </c>
      <c r="D349" s="7" t="s">
        <v>125</v>
      </c>
      <c r="E349" s="7" t="s">
        <v>126</v>
      </c>
      <c r="F349" s="7" t="n">
        <v>2012</v>
      </c>
      <c r="G349" s="7" t="s">
        <v>68</v>
      </c>
      <c r="H349" s="7" t="s">
        <v>86</v>
      </c>
      <c r="I349" s="7" t="n">
        <v>28</v>
      </c>
      <c r="J349" s="7" t="s">
        <v>64</v>
      </c>
      <c r="K349" s="7" t="s">
        <v>65</v>
      </c>
      <c r="L349" s="7" t="s">
        <v>66</v>
      </c>
      <c r="M349" s="7" t="n">
        <v>21.1</v>
      </c>
      <c r="N349" s="7" t="n">
        <v>1650</v>
      </c>
    </row>
    <row r="350" customFormat="false" ht="15" hidden="false" customHeight="false" outlineLevel="0" collapsed="false">
      <c r="A350" s="7" t="s">
        <v>59</v>
      </c>
      <c r="B350" s="7" t="s">
        <v>124</v>
      </c>
      <c r="C350" s="7" t="s">
        <v>124</v>
      </c>
      <c r="D350" s="7" t="s">
        <v>125</v>
      </c>
      <c r="E350" s="7" t="s">
        <v>126</v>
      </c>
      <c r="F350" s="7" t="n">
        <v>2012</v>
      </c>
      <c r="G350" s="7" t="s">
        <v>68</v>
      </c>
      <c r="H350" s="7" t="s">
        <v>63</v>
      </c>
      <c r="I350" s="7" t="n">
        <v>28</v>
      </c>
      <c r="J350" s="7" t="s">
        <v>64</v>
      </c>
      <c r="K350" s="7" t="s">
        <v>65</v>
      </c>
      <c r="L350" s="7" t="s">
        <v>66</v>
      </c>
      <c r="M350" s="7" t="n">
        <v>42.1</v>
      </c>
      <c r="N350" s="7" t="n">
        <v>5900</v>
      </c>
    </row>
    <row r="351" customFormat="false" ht="15" hidden="false" customHeight="false" outlineLevel="0" collapsed="false">
      <c r="A351" s="7" t="s">
        <v>59</v>
      </c>
      <c r="B351" s="7" t="s">
        <v>124</v>
      </c>
      <c r="C351" s="7" t="s">
        <v>124</v>
      </c>
      <c r="D351" s="7" t="s">
        <v>125</v>
      </c>
      <c r="E351" s="7" t="s">
        <v>126</v>
      </c>
      <c r="F351" s="7" t="n">
        <v>2012</v>
      </c>
      <c r="G351" s="7" t="s">
        <v>68</v>
      </c>
      <c r="H351" s="7" t="s">
        <v>87</v>
      </c>
      <c r="I351" s="7" t="n">
        <v>28</v>
      </c>
      <c r="J351" s="7" t="s">
        <v>64</v>
      </c>
      <c r="K351" s="7" t="s">
        <v>65</v>
      </c>
      <c r="L351" s="7" t="s">
        <v>66</v>
      </c>
      <c r="M351" s="7" t="n">
        <v>21</v>
      </c>
      <c r="N351" s="7" t="n">
        <v>4250</v>
      </c>
    </row>
    <row r="352" customFormat="false" ht="15" hidden="false" customHeight="false" outlineLevel="0" collapsed="false">
      <c r="A352" s="7" t="s">
        <v>59</v>
      </c>
      <c r="B352" s="7" t="s">
        <v>124</v>
      </c>
      <c r="C352" s="7" t="s">
        <v>124</v>
      </c>
      <c r="D352" s="7" t="s">
        <v>125</v>
      </c>
      <c r="E352" s="7" t="s">
        <v>126</v>
      </c>
      <c r="F352" s="7" t="n">
        <v>2012</v>
      </c>
      <c r="G352" s="7" t="s">
        <v>106</v>
      </c>
      <c r="H352" s="7" t="s">
        <v>90</v>
      </c>
      <c r="J352" s="7" t="s">
        <v>64</v>
      </c>
      <c r="L352" s="7" t="s">
        <v>71</v>
      </c>
      <c r="M352" s="7" t="n">
        <v>52.8</v>
      </c>
      <c r="N352" s="7" t="n">
        <v>20467</v>
      </c>
    </row>
    <row r="353" customFormat="false" ht="15" hidden="false" customHeight="false" outlineLevel="0" collapsed="false">
      <c r="A353" s="7" t="s">
        <v>59</v>
      </c>
      <c r="B353" s="7" t="s">
        <v>124</v>
      </c>
      <c r="C353" s="7" t="s">
        <v>124</v>
      </c>
      <c r="D353" s="7" t="s">
        <v>125</v>
      </c>
      <c r="E353" s="7" t="s">
        <v>126</v>
      </c>
      <c r="F353" s="7" t="n">
        <v>2012</v>
      </c>
      <c r="G353" s="7" t="s">
        <v>83</v>
      </c>
      <c r="H353" s="7" t="s">
        <v>78</v>
      </c>
      <c r="I353" s="7" t="n">
        <v>28</v>
      </c>
      <c r="J353" s="7" t="s">
        <v>64</v>
      </c>
      <c r="K353" s="7" t="s">
        <v>79</v>
      </c>
      <c r="L353" s="7" t="s">
        <v>66</v>
      </c>
      <c r="M353" s="7" t="n">
        <v>75</v>
      </c>
      <c r="N353" s="7" t="n">
        <v>5900</v>
      </c>
    </row>
    <row r="354" customFormat="false" ht="15" hidden="false" customHeight="false" outlineLevel="0" collapsed="false">
      <c r="A354" s="7" t="s">
        <v>59</v>
      </c>
      <c r="B354" s="7" t="s">
        <v>124</v>
      </c>
      <c r="C354" s="7" t="s">
        <v>124</v>
      </c>
      <c r="D354" s="7" t="s">
        <v>125</v>
      </c>
      <c r="E354" s="7" t="s">
        <v>126</v>
      </c>
      <c r="F354" s="7" t="n">
        <v>2012</v>
      </c>
      <c r="G354" s="7" t="s">
        <v>83</v>
      </c>
      <c r="H354" s="7" t="s">
        <v>86</v>
      </c>
      <c r="I354" s="7" t="n">
        <v>28</v>
      </c>
      <c r="J354" s="7" t="s">
        <v>64</v>
      </c>
      <c r="K354" s="7" t="s">
        <v>65</v>
      </c>
      <c r="L354" s="7" t="s">
        <v>66</v>
      </c>
      <c r="M354" s="7" t="n">
        <v>26.8</v>
      </c>
      <c r="N354" s="7" t="n">
        <v>1650</v>
      </c>
    </row>
    <row r="355" customFormat="false" ht="15" hidden="false" customHeight="false" outlineLevel="0" collapsed="false">
      <c r="A355" s="7" t="s">
        <v>59</v>
      </c>
      <c r="B355" s="7" t="s">
        <v>124</v>
      </c>
      <c r="C355" s="7" t="s">
        <v>124</v>
      </c>
      <c r="D355" s="7" t="s">
        <v>125</v>
      </c>
      <c r="E355" s="7" t="s">
        <v>126</v>
      </c>
      <c r="F355" s="7" t="n">
        <v>2012</v>
      </c>
      <c r="G355" s="7" t="s">
        <v>83</v>
      </c>
      <c r="H355" s="7" t="s">
        <v>63</v>
      </c>
      <c r="I355" s="7" t="n">
        <v>28</v>
      </c>
      <c r="J355" s="7" t="s">
        <v>64</v>
      </c>
      <c r="K355" s="7" t="s">
        <v>65</v>
      </c>
      <c r="L355" s="7" t="s">
        <v>66</v>
      </c>
      <c r="M355" s="7" t="n">
        <v>76.5</v>
      </c>
      <c r="N355" s="7" t="n">
        <v>5900</v>
      </c>
    </row>
    <row r="356" customFormat="false" ht="15" hidden="false" customHeight="false" outlineLevel="0" collapsed="false">
      <c r="A356" s="7" t="s">
        <v>59</v>
      </c>
      <c r="B356" s="7" t="s">
        <v>124</v>
      </c>
      <c r="C356" s="7" t="s">
        <v>124</v>
      </c>
      <c r="D356" s="7" t="s">
        <v>125</v>
      </c>
      <c r="E356" s="7" t="s">
        <v>126</v>
      </c>
      <c r="F356" s="7" t="n">
        <v>2012</v>
      </c>
      <c r="G356" s="7" t="s">
        <v>83</v>
      </c>
      <c r="H356" s="7" t="s">
        <v>87</v>
      </c>
      <c r="I356" s="7" t="n">
        <v>28</v>
      </c>
      <c r="J356" s="7" t="s">
        <v>64</v>
      </c>
      <c r="K356" s="7" t="s">
        <v>65</v>
      </c>
      <c r="L356" s="7" t="s">
        <v>66</v>
      </c>
      <c r="M356" s="7" t="n">
        <v>49.7</v>
      </c>
      <c r="N356" s="7" t="n">
        <v>4250</v>
      </c>
    </row>
    <row r="357" customFormat="false" ht="15" hidden="false" customHeight="false" outlineLevel="0" collapsed="false">
      <c r="A357" s="7" t="s">
        <v>59</v>
      </c>
      <c r="B357" s="7" t="s">
        <v>124</v>
      </c>
      <c r="C357" s="7" t="s">
        <v>124</v>
      </c>
      <c r="D357" s="7" t="s">
        <v>125</v>
      </c>
      <c r="E357" s="7" t="s">
        <v>126</v>
      </c>
      <c r="F357" s="7" t="n">
        <v>2012</v>
      </c>
      <c r="G357" s="7" t="s">
        <v>69</v>
      </c>
      <c r="H357" s="7" t="s">
        <v>78</v>
      </c>
      <c r="I357" s="7" t="n">
        <v>28</v>
      </c>
      <c r="J357" s="7" t="s">
        <v>64</v>
      </c>
      <c r="K357" s="7" t="s">
        <v>79</v>
      </c>
      <c r="L357" s="7" t="s">
        <v>66</v>
      </c>
      <c r="M357" s="7" t="n">
        <v>51.2</v>
      </c>
      <c r="N357" s="7" t="n">
        <v>5900</v>
      </c>
    </row>
    <row r="358" customFormat="false" ht="15" hidden="false" customHeight="false" outlineLevel="0" collapsed="false">
      <c r="A358" s="7" t="s">
        <v>59</v>
      </c>
      <c r="B358" s="7" t="s">
        <v>124</v>
      </c>
      <c r="C358" s="7" t="s">
        <v>124</v>
      </c>
      <c r="D358" s="7" t="s">
        <v>125</v>
      </c>
      <c r="E358" s="7" t="s">
        <v>126</v>
      </c>
      <c r="F358" s="7" t="n">
        <v>2012</v>
      </c>
      <c r="G358" s="7" t="s">
        <v>69</v>
      </c>
      <c r="H358" s="7" t="s">
        <v>86</v>
      </c>
      <c r="I358" s="7" t="n">
        <v>28</v>
      </c>
      <c r="J358" s="7" t="s">
        <v>64</v>
      </c>
      <c r="K358" s="7" t="s">
        <v>65</v>
      </c>
      <c r="L358" s="7" t="s">
        <v>66</v>
      </c>
      <c r="M358" s="7" t="n">
        <v>22.7</v>
      </c>
      <c r="N358" s="7" t="n">
        <v>1650</v>
      </c>
    </row>
    <row r="359" customFormat="false" ht="15" hidden="false" customHeight="false" outlineLevel="0" collapsed="false">
      <c r="A359" s="7" t="s">
        <v>59</v>
      </c>
      <c r="B359" s="7" t="s">
        <v>124</v>
      </c>
      <c r="C359" s="7" t="s">
        <v>124</v>
      </c>
      <c r="D359" s="7" t="s">
        <v>125</v>
      </c>
      <c r="E359" s="7" t="s">
        <v>126</v>
      </c>
      <c r="F359" s="7" t="n">
        <v>2012</v>
      </c>
      <c r="G359" s="7" t="s">
        <v>69</v>
      </c>
      <c r="H359" s="7" t="s">
        <v>63</v>
      </c>
      <c r="I359" s="7" t="n">
        <v>28</v>
      </c>
      <c r="J359" s="7" t="s">
        <v>64</v>
      </c>
      <c r="K359" s="7" t="s">
        <v>65</v>
      </c>
      <c r="L359" s="7" t="s">
        <v>66</v>
      </c>
      <c r="M359" s="7" t="n">
        <v>53.6</v>
      </c>
      <c r="N359" s="7" t="n">
        <v>5900</v>
      </c>
    </row>
    <row r="360" customFormat="false" ht="15" hidden="false" customHeight="false" outlineLevel="0" collapsed="false">
      <c r="A360" s="7" t="s">
        <v>59</v>
      </c>
      <c r="B360" s="7" t="s">
        <v>124</v>
      </c>
      <c r="C360" s="7" t="s">
        <v>124</v>
      </c>
      <c r="D360" s="7" t="s">
        <v>125</v>
      </c>
      <c r="E360" s="7" t="s">
        <v>126</v>
      </c>
      <c r="F360" s="7" t="n">
        <v>2012</v>
      </c>
      <c r="G360" s="7" t="s">
        <v>69</v>
      </c>
      <c r="H360" s="7" t="s">
        <v>87</v>
      </c>
      <c r="I360" s="7" t="n">
        <v>28</v>
      </c>
      <c r="J360" s="7" t="s">
        <v>64</v>
      </c>
      <c r="K360" s="7" t="s">
        <v>65</v>
      </c>
      <c r="L360" s="7" t="s">
        <v>66</v>
      </c>
      <c r="M360" s="7" t="n">
        <v>30.8</v>
      </c>
      <c r="N360" s="7" t="n">
        <v>4250</v>
      </c>
    </row>
    <row r="361" customFormat="false" ht="15" hidden="false" customHeight="false" outlineLevel="0" collapsed="false">
      <c r="A361" s="7" t="s">
        <v>59</v>
      </c>
      <c r="B361" s="7" t="s">
        <v>124</v>
      </c>
      <c r="C361" s="7" t="s">
        <v>124</v>
      </c>
      <c r="D361" s="7" t="s">
        <v>125</v>
      </c>
      <c r="E361" s="7" t="s">
        <v>126</v>
      </c>
      <c r="F361" s="7" t="n">
        <v>2012</v>
      </c>
      <c r="G361" s="7" t="s">
        <v>72</v>
      </c>
      <c r="H361" s="7" t="s">
        <v>90</v>
      </c>
      <c r="J361" s="7" t="s">
        <v>64</v>
      </c>
      <c r="L361" s="7" t="s">
        <v>71</v>
      </c>
      <c r="M361" s="7" t="n">
        <v>48.4</v>
      </c>
      <c r="N361" s="7" t="n">
        <v>20467</v>
      </c>
    </row>
    <row r="362" customFormat="false" ht="15" hidden="false" customHeight="false" outlineLevel="0" collapsed="false">
      <c r="A362" s="7" t="s">
        <v>59</v>
      </c>
      <c r="B362" s="7" t="s">
        <v>127</v>
      </c>
      <c r="C362" s="7" t="s">
        <v>127</v>
      </c>
      <c r="D362" s="7" t="s">
        <v>128</v>
      </c>
      <c r="E362" s="7" t="s">
        <v>129</v>
      </c>
      <c r="F362" s="7" t="n">
        <v>2012</v>
      </c>
      <c r="G362" s="7" t="s">
        <v>81</v>
      </c>
      <c r="H362" s="7" t="s">
        <v>63</v>
      </c>
      <c r="J362" s="7" t="s">
        <v>64</v>
      </c>
      <c r="K362" s="7" t="s">
        <v>65</v>
      </c>
      <c r="L362" s="7" t="s">
        <v>66</v>
      </c>
      <c r="M362" s="7" t="n">
        <v>33.7</v>
      </c>
      <c r="N362" s="7" t="n">
        <v>3625</v>
      </c>
    </row>
    <row r="363" customFormat="false" ht="15" hidden="false" customHeight="false" outlineLevel="0" collapsed="false">
      <c r="A363" s="7" t="s">
        <v>59</v>
      </c>
      <c r="B363" s="7" t="s">
        <v>127</v>
      </c>
      <c r="C363" s="7" t="s">
        <v>127</v>
      </c>
      <c r="D363" s="7" t="s">
        <v>128</v>
      </c>
      <c r="E363" s="7" t="s">
        <v>129</v>
      </c>
      <c r="F363" s="7" t="n">
        <v>2012</v>
      </c>
      <c r="G363" s="7" t="s">
        <v>67</v>
      </c>
      <c r="H363" s="7" t="s">
        <v>63</v>
      </c>
      <c r="J363" s="7" t="s">
        <v>64</v>
      </c>
      <c r="K363" s="7" t="s">
        <v>65</v>
      </c>
      <c r="L363" s="7" t="s">
        <v>66</v>
      </c>
      <c r="M363" s="7" t="n">
        <v>25</v>
      </c>
      <c r="N363" s="7" t="n">
        <v>3625</v>
      </c>
    </row>
    <row r="364" customFormat="false" ht="15" hidden="false" customHeight="false" outlineLevel="0" collapsed="false">
      <c r="A364" s="7" t="s">
        <v>59</v>
      </c>
      <c r="B364" s="7" t="s">
        <v>127</v>
      </c>
      <c r="C364" s="7" t="s">
        <v>127</v>
      </c>
      <c r="D364" s="7" t="s">
        <v>128</v>
      </c>
      <c r="E364" s="7" t="s">
        <v>129</v>
      </c>
      <c r="F364" s="7" t="n">
        <v>2012</v>
      </c>
      <c r="G364" s="7" t="s">
        <v>68</v>
      </c>
      <c r="H364" s="7" t="s">
        <v>63</v>
      </c>
      <c r="J364" s="7" t="s">
        <v>64</v>
      </c>
      <c r="K364" s="7" t="s">
        <v>65</v>
      </c>
      <c r="L364" s="7" t="s">
        <v>66</v>
      </c>
      <c r="M364" s="7" t="n">
        <v>26.9</v>
      </c>
      <c r="N364" s="7" t="n">
        <v>3625</v>
      </c>
    </row>
    <row r="365" customFormat="false" ht="15" hidden="false" customHeight="false" outlineLevel="0" collapsed="false">
      <c r="A365" s="7" t="s">
        <v>59</v>
      </c>
      <c r="B365" s="7" t="s">
        <v>130</v>
      </c>
      <c r="C365" s="7" t="s">
        <v>130</v>
      </c>
      <c r="D365" s="7" t="s">
        <v>131</v>
      </c>
      <c r="E365" s="7" t="s">
        <v>132</v>
      </c>
      <c r="F365" s="7" t="n">
        <v>2014</v>
      </c>
      <c r="G365" s="7" t="s">
        <v>62</v>
      </c>
      <c r="H365" s="7" t="s">
        <v>78</v>
      </c>
      <c r="J365" s="7" t="s">
        <v>64</v>
      </c>
      <c r="K365" s="7" t="s">
        <v>79</v>
      </c>
      <c r="L365" s="7" t="s">
        <v>91</v>
      </c>
      <c r="M365" s="7" t="n">
        <v>49.1</v>
      </c>
      <c r="N365" s="7" t="n">
        <v>5514</v>
      </c>
    </row>
    <row r="366" customFormat="false" ht="15" hidden="false" customHeight="false" outlineLevel="0" collapsed="false">
      <c r="A366" s="7" t="s">
        <v>59</v>
      </c>
      <c r="B366" s="7" t="s">
        <v>130</v>
      </c>
      <c r="C366" s="7" t="s">
        <v>130</v>
      </c>
      <c r="D366" s="7" t="s">
        <v>131</v>
      </c>
      <c r="E366" s="7" t="s">
        <v>132</v>
      </c>
      <c r="F366" s="7" t="n">
        <v>2014</v>
      </c>
      <c r="G366" s="7" t="s">
        <v>62</v>
      </c>
      <c r="H366" s="7" t="s">
        <v>86</v>
      </c>
      <c r="J366" s="7" t="s">
        <v>64</v>
      </c>
      <c r="K366" s="7" t="s">
        <v>133</v>
      </c>
      <c r="L366" s="7" t="s">
        <v>91</v>
      </c>
      <c r="M366" s="7" t="n">
        <v>18.4</v>
      </c>
      <c r="N366" s="7" t="n">
        <v>5514</v>
      </c>
    </row>
    <row r="367" customFormat="false" ht="15" hidden="false" customHeight="false" outlineLevel="0" collapsed="false">
      <c r="A367" s="7" t="s">
        <v>59</v>
      </c>
      <c r="B367" s="7" t="s">
        <v>130</v>
      </c>
      <c r="C367" s="7" t="s">
        <v>130</v>
      </c>
      <c r="D367" s="7" t="s">
        <v>131</v>
      </c>
      <c r="E367" s="7" t="s">
        <v>132</v>
      </c>
      <c r="F367" s="7" t="n">
        <v>2014</v>
      </c>
      <c r="G367" s="7" t="s">
        <v>62</v>
      </c>
      <c r="H367" s="7" t="s">
        <v>63</v>
      </c>
      <c r="J367" s="7" t="s">
        <v>64</v>
      </c>
      <c r="K367" s="7" t="s">
        <v>133</v>
      </c>
      <c r="L367" s="7" t="s">
        <v>91</v>
      </c>
      <c r="M367" s="7" t="n">
        <v>50.9</v>
      </c>
      <c r="N367" s="7" t="n">
        <v>5514</v>
      </c>
    </row>
    <row r="368" customFormat="false" ht="15" hidden="false" customHeight="false" outlineLevel="0" collapsed="false">
      <c r="A368" s="7" t="s">
        <v>59</v>
      </c>
      <c r="B368" s="7" t="s">
        <v>130</v>
      </c>
      <c r="C368" s="7" t="s">
        <v>130</v>
      </c>
      <c r="D368" s="7" t="s">
        <v>131</v>
      </c>
      <c r="E368" s="7" t="s">
        <v>132</v>
      </c>
      <c r="F368" s="7" t="n">
        <v>2014</v>
      </c>
      <c r="G368" s="7" t="s">
        <v>62</v>
      </c>
      <c r="H368" s="7" t="s">
        <v>87</v>
      </c>
      <c r="J368" s="7" t="s">
        <v>64</v>
      </c>
      <c r="K368" s="7" t="s">
        <v>133</v>
      </c>
      <c r="L368" s="7" t="s">
        <v>91</v>
      </c>
      <c r="M368" s="7" t="n">
        <v>32.5</v>
      </c>
      <c r="N368" s="7" t="n">
        <v>5514</v>
      </c>
    </row>
    <row r="369" customFormat="false" ht="15" hidden="false" customHeight="false" outlineLevel="0" collapsed="false">
      <c r="A369" s="7" t="s">
        <v>59</v>
      </c>
      <c r="B369" s="7" t="s">
        <v>130</v>
      </c>
      <c r="C369" s="7" t="s">
        <v>130</v>
      </c>
      <c r="D369" s="7" t="s">
        <v>131</v>
      </c>
      <c r="E369" s="7" t="s">
        <v>132</v>
      </c>
      <c r="F369" s="7" t="n">
        <v>2014</v>
      </c>
      <c r="G369" s="7" t="s">
        <v>81</v>
      </c>
      <c r="H369" s="7" t="s">
        <v>78</v>
      </c>
      <c r="J369" s="7" t="s">
        <v>64</v>
      </c>
      <c r="K369" s="7" t="s">
        <v>79</v>
      </c>
      <c r="L369" s="7" t="s">
        <v>91</v>
      </c>
      <c r="M369" s="7" t="n">
        <v>44.7</v>
      </c>
      <c r="N369" s="7" t="n">
        <v>5514</v>
      </c>
    </row>
    <row r="370" customFormat="false" ht="15" hidden="false" customHeight="false" outlineLevel="0" collapsed="false">
      <c r="A370" s="7" t="s">
        <v>59</v>
      </c>
      <c r="B370" s="7" t="s">
        <v>130</v>
      </c>
      <c r="C370" s="7" t="s">
        <v>130</v>
      </c>
      <c r="D370" s="7" t="s">
        <v>131</v>
      </c>
      <c r="E370" s="7" t="s">
        <v>132</v>
      </c>
      <c r="F370" s="7" t="n">
        <v>2014</v>
      </c>
      <c r="G370" s="7" t="s">
        <v>81</v>
      </c>
      <c r="H370" s="7" t="s">
        <v>86</v>
      </c>
      <c r="J370" s="7" t="s">
        <v>64</v>
      </c>
      <c r="K370" s="7" t="s">
        <v>133</v>
      </c>
      <c r="L370" s="7" t="s">
        <v>91</v>
      </c>
      <c r="M370" s="7" t="n">
        <v>18.4</v>
      </c>
      <c r="N370" s="7" t="n">
        <v>5514</v>
      </c>
    </row>
    <row r="371" customFormat="false" ht="15" hidden="false" customHeight="false" outlineLevel="0" collapsed="false">
      <c r="A371" s="7" t="s">
        <v>59</v>
      </c>
      <c r="B371" s="7" t="s">
        <v>130</v>
      </c>
      <c r="C371" s="7" t="s">
        <v>130</v>
      </c>
      <c r="D371" s="7" t="s">
        <v>131</v>
      </c>
      <c r="E371" s="7" t="s">
        <v>132</v>
      </c>
      <c r="F371" s="7" t="n">
        <v>2014</v>
      </c>
      <c r="G371" s="7" t="s">
        <v>81</v>
      </c>
      <c r="H371" s="7" t="s">
        <v>63</v>
      </c>
      <c r="J371" s="7" t="s">
        <v>64</v>
      </c>
      <c r="K371" s="7" t="s">
        <v>133</v>
      </c>
      <c r="L371" s="7" t="s">
        <v>91</v>
      </c>
      <c r="M371" s="7" t="n">
        <v>47.8</v>
      </c>
      <c r="N371" s="7" t="n">
        <v>5514</v>
      </c>
    </row>
    <row r="372" customFormat="false" ht="15" hidden="false" customHeight="false" outlineLevel="0" collapsed="false">
      <c r="A372" s="7" t="s">
        <v>59</v>
      </c>
      <c r="B372" s="7" t="s">
        <v>130</v>
      </c>
      <c r="C372" s="7" t="s">
        <v>130</v>
      </c>
      <c r="D372" s="7" t="s">
        <v>131</v>
      </c>
      <c r="E372" s="7" t="s">
        <v>132</v>
      </c>
      <c r="F372" s="7" t="n">
        <v>2014</v>
      </c>
      <c r="G372" s="7" t="s">
        <v>81</v>
      </c>
      <c r="H372" s="7" t="s">
        <v>87</v>
      </c>
      <c r="J372" s="7" t="s">
        <v>64</v>
      </c>
      <c r="K372" s="7" t="s">
        <v>133</v>
      </c>
      <c r="L372" s="7" t="s">
        <v>91</v>
      </c>
      <c r="M372" s="7" t="n">
        <v>29.4</v>
      </c>
      <c r="N372" s="7" t="n">
        <v>5514</v>
      </c>
    </row>
    <row r="373" customFormat="false" ht="15" hidden="false" customHeight="false" outlineLevel="0" collapsed="false">
      <c r="A373" s="7" t="s">
        <v>59</v>
      </c>
      <c r="B373" s="7" t="s">
        <v>130</v>
      </c>
      <c r="C373" s="7" t="s">
        <v>130</v>
      </c>
      <c r="D373" s="7" t="s">
        <v>131</v>
      </c>
      <c r="E373" s="7" t="s">
        <v>132</v>
      </c>
      <c r="F373" s="7" t="n">
        <v>2014</v>
      </c>
      <c r="G373" s="7" t="s">
        <v>134</v>
      </c>
      <c r="H373" s="7" t="s">
        <v>78</v>
      </c>
      <c r="J373" s="7" t="s">
        <v>64</v>
      </c>
      <c r="K373" s="7" t="s">
        <v>79</v>
      </c>
      <c r="L373" s="7" t="s">
        <v>91</v>
      </c>
      <c r="M373" s="7" t="n">
        <v>35.1</v>
      </c>
      <c r="N373" s="7" t="n">
        <v>5514</v>
      </c>
    </row>
    <row r="374" customFormat="false" ht="15" hidden="false" customHeight="false" outlineLevel="0" collapsed="false">
      <c r="A374" s="7" t="s">
        <v>59</v>
      </c>
      <c r="B374" s="7" t="s">
        <v>130</v>
      </c>
      <c r="C374" s="7" t="s">
        <v>130</v>
      </c>
      <c r="D374" s="7" t="s">
        <v>131</v>
      </c>
      <c r="E374" s="7" t="s">
        <v>132</v>
      </c>
      <c r="F374" s="7" t="n">
        <v>2014</v>
      </c>
      <c r="G374" s="7" t="s">
        <v>134</v>
      </c>
      <c r="H374" s="7" t="s">
        <v>86</v>
      </c>
      <c r="J374" s="7" t="s">
        <v>64</v>
      </c>
      <c r="K374" s="7" t="s">
        <v>133</v>
      </c>
      <c r="L374" s="7" t="s">
        <v>91</v>
      </c>
      <c r="M374" s="7" t="n">
        <v>16.8</v>
      </c>
      <c r="N374" s="7" t="n">
        <v>5514</v>
      </c>
    </row>
    <row r="375" customFormat="false" ht="15" hidden="false" customHeight="false" outlineLevel="0" collapsed="false">
      <c r="A375" s="7" t="s">
        <v>59</v>
      </c>
      <c r="B375" s="7" t="s">
        <v>130</v>
      </c>
      <c r="C375" s="7" t="s">
        <v>130</v>
      </c>
      <c r="D375" s="7" t="s">
        <v>131</v>
      </c>
      <c r="E375" s="7" t="s">
        <v>132</v>
      </c>
      <c r="F375" s="7" t="n">
        <v>2014</v>
      </c>
      <c r="G375" s="7" t="s">
        <v>134</v>
      </c>
      <c r="H375" s="7" t="s">
        <v>63</v>
      </c>
      <c r="J375" s="7" t="s">
        <v>64</v>
      </c>
      <c r="K375" s="7" t="s">
        <v>133</v>
      </c>
      <c r="L375" s="7" t="s">
        <v>91</v>
      </c>
      <c r="M375" s="7" t="n">
        <v>38.2</v>
      </c>
      <c r="N375" s="7" t="n">
        <v>5514</v>
      </c>
    </row>
    <row r="376" customFormat="false" ht="15" hidden="false" customHeight="false" outlineLevel="0" collapsed="false">
      <c r="A376" s="7" t="s">
        <v>59</v>
      </c>
      <c r="B376" s="7" t="s">
        <v>130</v>
      </c>
      <c r="C376" s="7" t="s">
        <v>130</v>
      </c>
      <c r="D376" s="7" t="s">
        <v>131</v>
      </c>
      <c r="E376" s="7" t="s">
        <v>132</v>
      </c>
      <c r="F376" s="7" t="n">
        <v>2014</v>
      </c>
      <c r="G376" s="7" t="s">
        <v>134</v>
      </c>
      <c r="H376" s="7" t="s">
        <v>87</v>
      </c>
      <c r="J376" s="7" t="s">
        <v>64</v>
      </c>
      <c r="K376" s="7" t="s">
        <v>133</v>
      </c>
      <c r="L376" s="7" t="s">
        <v>91</v>
      </c>
      <c r="M376" s="7" t="n">
        <v>21.3</v>
      </c>
      <c r="N376" s="7" t="n">
        <v>5514</v>
      </c>
    </row>
    <row r="377" customFormat="false" ht="15" hidden="false" customHeight="false" outlineLevel="0" collapsed="false">
      <c r="A377" s="7" t="s">
        <v>59</v>
      </c>
      <c r="B377" s="7" t="s">
        <v>130</v>
      </c>
      <c r="C377" s="7" t="s">
        <v>130</v>
      </c>
      <c r="D377" s="7" t="s">
        <v>131</v>
      </c>
      <c r="E377" s="7" t="s">
        <v>132</v>
      </c>
      <c r="F377" s="7" t="n">
        <v>2014</v>
      </c>
      <c r="G377" s="7" t="s">
        <v>67</v>
      </c>
      <c r="H377" s="7" t="s">
        <v>78</v>
      </c>
      <c r="J377" s="7" t="s">
        <v>64</v>
      </c>
      <c r="K377" s="7" t="s">
        <v>79</v>
      </c>
      <c r="L377" s="7" t="s">
        <v>91</v>
      </c>
      <c r="M377" s="7" t="n">
        <v>28.3</v>
      </c>
      <c r="N377" s="7" t="n">
        <v>5514</v>
      </c>
    </row>
    <row r="378" customFormat="false" ht="15" hidden="false" customHeight="false" outlineLevel="0" collapsed="false">
      <c r="A378" s="7" t="s">
        <v>59</v>
      </c>
      <c r="B378" s="7" t="s">
        <v>130</v>
      </c>
      <c r="C378" s="7" t="s">
        <v>130</v>
      </c>
      <c r="D378" s="7" t="s">
        <v>131</v>
      </c>
      <c r="E378" s="7" t="s">
        <v>132</v>
      </c>
      <c r="F378" s="7" t="n">
        <v>2014</v>
      </c>
      <c r="G378" s="7" t="s">
        <v>67</v>
      </c>
      <c r="H378" s="7" t="s">
        <v>86</v>
      </c>
      <c r="J378" s="7" t="s">
        <v>64</v>
      </c>
      <c r="K378" s="7" t="s">
        <v>133</v>
      </c>
      <c r="L378" s="7" t="s">
        <v>91</v>
      </c>
      <c r="M378" s="7" t="n">
        <v>15.5</v>
      </c>
      <c r="N378" s="7" t="n">
        <v>5514</v>
      </c>
    </row>
    <row r="379" customFormat="false" ht="15" hidden="false" customHeight="false" outlineLevel="0" collapsed="false">
      <c r="A379" s="7" t="s">
        <v>59</v>
      </c>
      <c r="B379" s="7" t="s">
        <v>130</v>
      </c>
      <c r="C379" s="7" t="s">
        <v>130</v>
      </c>
      <c r="D379" s="7" t="s">
        <v>131</v>
      </c>
      <c r="E379" s="7" t="s">
        <v>132</v>
      </c>
      <c r="F379" s="7" t="n">
        <v>2014</v>
      </c>
      <c r="G379" s="7" t="s">
        <v>67</v>
      </c>
      <c r="H379" s="7" t="s">
        <v>63</v>
      </c>
      <c r="J379" s="7" t="s">
        <v>64</v>
      </c>
      <c r="K379" s="7" t="s">
        <v>133</v>
      </c>
      <c r="L379" s="7" t="s">
        <v>91</v>
      </c>
      <c r="M379" s="7" t="n">
        <v>32.3</v>
      </c>
      <c r="N379" s="7" t="n">
        <v>5514</v>
      </c>
    </row>
    <row r="380" customFormat="false" ht="15" hidden="false" customHeight="false" outlineLevel="0" collapsed="false">
      <c r="A380" s="7" t="s">
        <v>59</v>
      </c>
      <c r="B380" s="7" t="s">
        <v>130</v>
      </c>
      <c r="C380" s="7" t="s">
        <v>130</v>
      </c>
      <c r="D380" s="7" t="s">
        <v>131</v>
      </c>
      <c r="E380" s="7" t="s">
        <v>132</v>
      </c>
      <c r="F380" s="7" t="n">
        <v>2014</v>
      </c>
      <c r="G380" s="7" t="s">
        <v>67</v>
      </c>
      <c r="H380" s="7" t="s">
        <v>87</v>
      </c>
      <c r="J380" s="7" t="s">
        <v>64</v>
      </c>
      <c r="K380" s="7" t="s">
        <v>133</v>
      </c>
      <c r="L380" s="7" t="s">
        <v>91</v>
      </c>
      <c r="M380" s="7" t="n">
        <v>16.8</v>
      </c>
      <c r="N380" s="7" t="n">
        <v>5514</v>
      </c>
    </row>
    <row r="381" customFormat="false" ht="15" hidden="false" customHeight="false" outlineLevel="0" collapsed="false">
      <c r="A381" s="7" t="s">
        <v>59</v>
      </c>
      <c r="B381" s="7" t="s">
        <v>130</v>
      </c>
      <c r="C381" s="7" t="s">
        <v>130</v>
      </c>
      <c r="D381" s="7" t="s">
        <v>131</v>
      </c>
      <c r="E381" s="7" t="s">
        <v>132</v>
      </c>
      <c r="F381" s="7" t="n">
        <v>2014</v>
      </c>
      <c r="G381" s="7" t="s">
        <v>82</v>
      </c>
      <c r="H381" s="7" t="s">
        <v>78</v>
      </c>
      <c r="J381" s="7" t="s">
        <v>64</v>
      </c>
      <c r="K381" s="7" t="s">
        <v>79</v>
      </c>
      <c r="L381" s="7" t="s">
        <v>91</v>
      </c>
      <c r="M381" s="7" t="n">
        <v>11.9</v>
      </c>
      <c r="N381" s="7" t="n">
        <v>5514</v>
      </c>
    </row>
    <row r="382" customFormat="false" ht="15" hidden="false" customHeight="false" outlineLevel="0" collapsed="false">
      <c r="A382" s="7" t="s">
        <v>59</v>
      </c>
      <c r="B382" s="7" t="s">
        <v>130</v>
      </c>
      <c r="C382" s="7" t="s">
        <v>130</v>
      </c>
      <c r="D382" s="7" t="s">
        <v>131</v>
      </c>
      <c r="E382" s="7" t="s">
        <v>132</v>
      </c>
      <c r="F382" s="7" t="n">
        <v>2014</v>
      </c>
      <c r="G382" s="7" t="s">
        <v>82</v>
      </c>
      <c r="H382" s="7" t="s">
        <v>86</v>
      </c>
      <c r="J382" s="7" t="s">
        <v>64</v>
      </c>
      <c r="K382" s="7" t="s">
        <v>133</v>
      </c>
      <c r="L382" s="7" t="s">
        <v>91</v>
      </c>
      <c r="M382" s="7" t="n">
        <v>11.8</v>
      </c>
      <c r="N382" s="7" t="n">
        <v>5514</v>
      </c>
    </row>
    <row r="383" customFormat="false" ht="15" hidden="false" customHeight="false" outlineLevel="0" collapsed="false">
      <c r="A383" s="7" t="s">
        <v>59</v>
      </c>
      <c r="B383" s="7" t="s">
        <v>130</v>
      </c>
      <c r="C383" s="7" t="s">
        <v>130</v>
      </c>
      <c r="D383" s="7" t="s">
        <v>131</v>
      </c>
      <c r="E383" s="7" t="s">
        <v>132</v>
      </c>
      <c r="F383" s="7" t="n">
        <v>2014</v>
      </c>
      <c r="G383" s="7" t="s">
        <v>82</v>
      </c>
      <c r="H383" s="7" t="s">
        <v>63</v>
      </c>
      <c r="J383" s="7" t="s">
        <v>64</v>
      </c>
      <c r="K383" s="7" t="s">
        <v>133</v>
      </c>
      <c r="L383" s="7" t="s">
        <v>91</v>
      </c>
      <c r="M383" s="7" t="n">
        <v>18.8</v>
      </c>
      <c r="N383" s="7" t="n">
        <v>5514</v>
      </c>
    </row>
    <row r="384" customFormat="false" ht="15" hidden="false" customHeight="false" outlineLevel="0" collapsed="false">
      <c r="A384" s="7" t="s">
        <v>59</v>
      </c>
      <c r="B384" s="7" t="s">
        <v>130</v>
      </c>
      <c r="C384" s="7" t="s">
        <v>130</v>
      </c>
      <c r="D384" s="7" t="s">
        <v>131</v>
      </c>
      <c r="E384" s="7" t="s">
        <v>132</v>
      </c>
      <c r="F384" s="7" t="n">
        <v>2014</v>
      </c>
      <c r="G384" s="7" t="s">
        <v>82</v>
      </c>
      <c r="H384" s="7" t="s">
        <v>87</v>
      </c>
      <c r="J384" s="7" t="s">
        <v>64</v>
      </c>
      <c r="K384" s="7" t="s">
        <v>133</v>
      </c>
      <c r="L384" s="7" t="s">
        <v>91</v>
      </c>
      <c r="M384" s="7" t="n">
        <v>7</v>
      </c>
      <c r="N384" s="7" t="n">
        <v>5514</v>
      </c>
    </row>
    <row r="385" customFormat="false" ht="15" hidden="false" customHeight="false" outlineLevel="0" collapsed="false">
      <c r="A385" s="7" t="s">
        <v>59</v>
      </c>
      <c r="B385" s="7" t="s">
        <v>130</v>
      </c>
      <c r="C385" s="7" t="s">
        <v>130</v>
      </c>
      <c r="D385" s="7" t="s">
        <v>131</v>
      </c>
      <c r="E385" s="7" t="s">
        <v>132</v>
      </c>
      <c r="F385" s="7" t="n">
        <v>2014</v>
      </c>
      <c r="G385" s="7" t="s">
        <v>109</v>
      </c>
      <c r="H385" s="7" t="s">
        <v>78</v>
      </c>
      <c r="J385" s="7" t="s">
        <v>64</v>
      </c>
      <c r="K385" s="7" t="s">
        <v>79</v>
      </c>
      <c r="L385" s="7" t="s">
        <v>91</v>
      </c>
      <c r="M385" s="7" t="n">
        <v>44.7</v>
      </c>
      <c r="N385" s="7" t="n">
        <v>5514</v>
      </c>
    </row>
    <row r="386" customFormat="false" ht="15" hidden="false" customHeight="false" outlineLevel="0" collapsed="false">
      <c r="A386" s="7" t="s">
        <v>59</v>
      </c>
      <c r="B386" s="7" t="s">
        <v>130</v>
      </c>
      <c r="C386" s="7" t="s">
        <v>130</v>
      </c>
      <c r="D386" s="7" t="s">
        <v>131</v>
      </c>
      <c r="E386" s="7" t="s">
        <v>132</v>
      </c>
      <c r="F386" s="7" t="n">
        <v>2014</v>
      </c>
      <c r="G386" s="7" t="s">
        <v>109</v>
      </c>
      <c r="H386" s="7" t="s">
        <v>86</v>
      </c>
      <c r="J386" s="7" t="s">
        <v>64</v>
      </c>
      <c r="K386" s="7" t="s">
        <v>133</v>
      </c>
      <c r="L386" s="7" t="s">
        <v>91</v>
      </c>
      <c r="M386" s="7" t="n">
        <v>18.4</v>
      </c>
      <c r="N386" s="7" t="n">
        <v>5514</v>
      </c>
    </row>
    <row r="387" customFormat="false" ht="15" hidden="false" customHeight="false" outlineLevel="0" collapsed="false">
      <c r="A387" s="7" t="s">
        <v>59</v>
      </c>
      <c r="B387" s="7" t="s">
        <v>130</v>
      </c>
      <c r="C387" s="7" t="s">
        <v>130</v>
      </c>
      <c r="D387" s="7" t="s">
        <v>131</v>
      </c>
      <c r="E387" s="7" t="s">
        <v>132</v>
      </c>
      <c r="F387" s="7" t="n">
        <v>2014</v>
      </c>
      <c r="G387" s="7" t="s">
        <v>109</v>
      </c>
      <c r="H387" s="7" t="s">
        <v>63</v>
      </c>
      <c r="J387" s="7" t="s">
        <v>64</v>
      </c>
      <c r="K387" s="7" t="s">
        <v>133</v>
      </c>
      <c r="L387" s="7" t="s">
        <v>91</v>
      </c>
      <c r="M387" s="7" t="n">
        <v>47.8</v>
      </c>
      <c r="N387" s="7" t="n">
        <v>5514</v>
      </c>
    </row>
    <row r="388" customFormat="false" ht="15" hidden="false" customHeight="false" outlineLevel="0" collapsed="false">
      <c r="A388" s="7" t="s">
        <v>59</v>
      </c>
      <c r="B388" s="7" t="s">
        <v>130</v>
      </c>
      <c r="C388" s="7" t="s">
        <v>130</v>
      </c>
      <c r="D388" s="7" t="s">
        <v>131</v>
      </c>
      <c r="E388" s="7" t="s">
        <v>132</v>
      </c>
      <c r="F388" s="7" t="n">
        <v>2014</v>
      </c>
      <c r="G388" s="7" t="s">
        <v>109</v>
      </c>
      <c r="H388" s="7" t="s">
        <v>87</v>
      </c>
      <c r="J388" s="7" t="s">
        <v>64</v>
      </c>
      <c r="K388" s="7" t="s">
        <v>133</v>
      </c>
      <c r="L388" s="7" t="s">
        <v>91</v>
      </c>
      <c r="M388" s="7" t="n">
        <v>29.4</v>
      </c>
      <c r="N388" s="7" t="n">
        <v>5514</v>
      </c>
    </row>
    <row r="389" customFormat="false" ht="15" hidden="false" customHeight="false" outlineLevel="0" collapsed="false">
      <c r="A389" s="7" t="s">
        <v>59</v>
      </c>
      <c r="B389" s="7" t="s">
        <v>130</v>
      </c>
      <c r="C389" s="7" t="s">
        <v>130</v>
      </c>
      <c r="D389" s="7" t="s">
        <v>131</v>
      </c>
      <c r="E389" s="7" t="s">
        <v>132</v>
      </c>
      <c r="F389" s="7" t="n">
        <v>2014</v>
      </c>
      <c r="G389" s="7" t="s">
        <v>110</v>
      </c>
      <c r="H389" s="7" t="s">
        <v>78</v>
      </c>
      <c r="J389" s="7" t="s">
        <v>64</v>
      </c>
      <c r="K389" s="7" t="s">
        <v>79</v>
      </c>
      <c r="L389" s="7" t="s">
        <v>91</v>
      </c>
      <c r="M389" s="7" t="n">
        <v>28.3</v>
      </c>
      <c r="N389" s="7" t="n">
        <v>5514</v>
      </c>
    </row>
    <row r="390" customFormat="false" ht="15" hidden="false" customHeight="false" outlineLevel="0" collapsed="false">
      <c r="A390" s="7" t="s">
        <v>59</v>
      </c>
      <c r="B390" s="7" t="s">
        <v>130</v>
      </c>
      <c r="C390" s="7" t="s">
        <v>130</v>
      </c>
      <c r="D390" s="7" t="s">
        <v>131</v>
      </c>
      <c r="E390" s="7" t="s">
        <v>132</v>
      </c>
      <c r="F390" s="7" t="n">
        <v>2014</v>
      </c>
      <c r="G390" s="7" t="s">
        <v>110</v>
      </c>
      <c r="H390" s="7" t="s">
        <v>86</v>
      </c>
      <c r="J390" s="7" t="s">
        <v>64</v>
      </c>
      <c r="K390" s="7" t="s">
        <v>133</v>
      </c>
      <c r="L390" s="7" t="s">
        <v>91</v>
      </c>
      <c r="M390" s="7" t="n">
        <v>15.5</v>
      </c>
      <c r="N390" s="7" t="n">
        <v>5514</v>
      </c>
    </row>
    <row r="391" customFormat="false" ht="15" hidden="false" customHeight="false" outlineLevel="0" collapsed="false">
      <c r="A391" s="7" t="s">
        <v>59</v>
      </c>
      <c r="B391" s="7" t="s">
        <v>130</v>
      </c>
      <c r="C391" s="7" t="s">
        <v>130</v>
      </c>
      <c r="D391" s="7" t="s">
        <v>131</v>
      </c>
      <c r="E391" s="7" t="s">
        <v>132</v>
      </c>
      <c r="F391" s="7" t="n">
        <v>2014</v>
      </c>
      <c r="G391" s="7" t="s">
        <v>110</v>
      </c>
      <c r="H391" s="7" t="s">
        <v>63</v>
      </c>
      <c r="J391" s="7" t="s">
        <v>64</v>
      </c>
      <c r="K391" s="7" t="s">
        <v>133</v>
      </c>
      <c r="L391" s="7" t="s">
        <v>91</v>
      </c>
      <c r="M391" s="7" t="n">
        <v>32.3</v>
      </c>
      <c r="N391" s="7" t="n">
        <v>5514</v>
      </c>
    </row>
    <row r="392" customFormat="false" ht="15" hidden="false" customHeight="false" outlineLevel="0" collapsed="false">
      <c r="A392" s="7" t="s">
        <v>59</v>
      </c>
      <c r="B392" s="7" t="s">
        <v>130</v>
      </c>
      <c r="C392" s="7" t="s">
        <v>130</v>
      </c>
      <c r="D392" s="7" t="s">
        <v>131</v>
      </c>
      <c r="E392" s="7" t="s">
        <v>132</v>
      </c>
      <c r="F392" s="7" t="n">
        <v>2014</v>
      </c>
      <c r="G392" s="7" t="s">
        <v>110</v>
      </c>
      <c r="H392" s="7" t="s">
        <v>87</v>
      </c>
      <c r="J392" s="7" t="s">
        <v>64</v>
      </c>
      <c r="K392" s="7" t="s">
        <v>133</v>
      </c>
      <c r="L392" s="7" t="s">
        <v>91</v>
      </c>
      <c r="M392" s="7" t="n">
        <v>16.8</v>
      </c>
      <c r="N392" s="7" t="n">
        <v>5514</v>
      </c>
    </row>
    <row r="393" customFormat="false" ht="15" hidden="false" customHeight="false" outlineLevel="0" collapsed="false">
      <c r="A393" s="7" t="s">
        <v>59</v>
      </c>
      <c r="B393" s="7" t="s">
        <v>130</v>
      </c>
      <c r="C393" s="7" t="s">
        <v>130</v>
      </c>
      <c r="D393" s="7" t="s">
        <v>131</v>
      </c>
      <c r="E393" s="7" t="s">
        <v>132</v>
      </c>
      <c r="F393" s="7" t="n">
        <v>2014</v>
      </c>
      <c r="G393" s="7" t="s">
        <v>123</v>
      </c>
      <c r="H393" s="7" t="s">
        <v>86</v>
      </c>
      <c r="J393" s="7" t="s">
        <v>64</v>
      </c>
      <c r="K393" s="7" t="s">
        <v>133</v>
      </c>
      <c r="L393" s="7" t="s">
        <v>91</v>
      </c>
      <c r="M393" s="7" t="n">
        <v>16.3</v>
      </c>
      <c r="N393" s="7" t="n">
        <v>5514</v>
      </c>
    </row>
    <row r="394" customFormat="false" ht="15" hidden="false" customHeight="false" outlineLevel="0" collapsed="false">
      <c r="A394" s="7" t="s">
        <v>59</v>
      </c>
      <c r="B394" s="7" t="s">
        <v>130</v>
      </c>
      <c r="C394" s="7" t="s">
        <v>130</v>
      </c>
      <c r="D394" s="7" t="s">
        <v>131</v>
      </c>
      <c r="E394" s="7" t="s">
        <v>132</v>
      </c>
      <c r="F394" s="7" t="n">
        <v>2014</v>
      </c>
      <c r="G394" s="7" t="s">
        <v>123</v>
      </c>
      <c r="H394" s="7" t="s">
        <v>87</v>
      </c>
      <c r="J394" s="7" t="s">
        <v>64</v>
      </c>
      <c r="K394" s="7" t="s">
        <v>133</v>
      </c>
      <c r="L394" s="7" t="s">
        <v>91</v>
      </c>
      <c r="M394" s="7" t="n">
        <v>14.1</v>
      </c>
      <c r="N394" s="7" t="n">
        <v>5514</v>
      </c>
    </row>
    <row r="395" customFormat="false" ht="15" hidden="false" customHeight="false" outlineLevel="0" collapsed="false">
      <c r="A395" s="7" t="s">
        <v>59</v>
      </c>
      <c r="B395" s="7" t="s">
        <v>130</v>
      </c>
      <c r="C395" s="7" t="s">
        <v>130</v>
      </c>
      <c r="D395" s="7" t="s">
        <v>131</v>
      </c>
      <c r="E395" s="7" t="s">
        <v>132</v>
      </c>
      <c r="F395" s="7" t="n">
        <v>2014</v>
      </c>
      <c r="G395" s="7" t="s">
        <v>135</v>
      </c>
      <c r="H395" s="7" t="s">
        <v>78</v>
      </c>
      <c r="J395" s="7" t="s">
        <v>64</v>
      </c>
      <c r="K395" s="7" t="s">
        <v>79</v>
      </c>
      <c r="L395" s="7" t="s">
        <v>91</v>
      </c>
      <c r="M395" s="7" t="n">
        <v>44.7</v>
      </c>
      <c r="N395" s="7" t="n">
        <v>5514</v>
      </c>
    </row>
    <row r="396" customFormat="false" ht="15" hidden="false" customHeight="false" outlineLevel="0" collapsed="false">
      <c r="A396" s="7" t="s">
        <v>59</v>
      </c>
      <c r="B396" s="7" t="s">
        <v>130</v>
      </c>
      <c r="C396" s="7" t="s">
        <v>130</v>
      </c>
      <c r="D396" s="7" t="s">
        <v>131</v>
      </c>
      <c r="E396" s="7" t="s">
        <v>132</v>
      </c>
      <c r="F396" s="7" t="n">
        <v>2014</v>
      </c>
      <c r="G396" s="7" t="s">
        <v>135</v>
      </c>
      <c r="H396" s="7" t="s">
        <v>86</v>
      </c>
      <c r="J396" s="7" t="s">
        <v>64</v>
      </c>
      <c r="K396" s="7" t="s">
        <v>133</v>
      </c>
      <c r="L396" s="7" t="s">
        <v>91</v>
      </c>
      <c r="M396" s="7" t="n">
        <v>18.4</v>
      </c>
      <c r="N396" s="7" t="n">
        <v>5514</v>
      </c>
    </row>
    <row r="397" customFormat="false" ht="15" hidden="false" customHeight="false" outlineLevel="0" collapsed="false">
      <c r="A397" s="7" t="s">
        <v>59</v>
      </c>
      <c r="B397" s="7" t="s">
        <v>130</v>
      </c>
      <c r="C397" s="7" t="s">
        <v>130</v>
      </c>
      <c r="D397" s="7" t="s">
        <v>131</v>
      </c>
      <c r="E397" s="7" t="s">
        <v>132</v>
      </c>
      <c r="F397" s="7" t="n">
        <v>2014</v>
      </c>
      <c r="G397" s="7" t="s">
        <v>135</v>
      </c>
      <c r="H397" s="7" t="s">
        <v>63</v>
      </c>
      <c r="J397" s="7" t="s">
        <v>64</v>
      </c>
      <c r="K397" s="7" t="s">
        <v>133</v>
      </c>
      <c r="L397" s="7" t="s">
        <v>91</v>
      </c>
      <c r="M397" s="7" t="n">
        <v>47.8</v>
      </c>
      <c r="N397" s="7" t="n">
        <v>5514</v>
      </c>
    </row>
    <row r="398" customFormat="false" ht="15" hidden="false" customHeight="false" outlineLevel="0" collapsed="false">
      <c r="A398" s="7" t="s">
        <v>59</v>
      </c>
      <c r="B398" s="7" t="s">
        <v>130</v>
      </c>
      <c r="C398" s="7" t="s">
        <v>130</v>
      </c>
      <c r="D398" s="7" t="s">
        <v>131</v>
      </c>
      <c r="E398" s="7" t="s">
        <v>132</v>
      </c>
      <c r="F398" s="7" t="n">
        <v>2014</v>
      </c>
      <c r="G398" s="7" t="s">
        <v>135</v>
      </c>
      <c r="H398" s="7" t="s">
        <v>87</v>
      </c>
      <c r="J398" s="7" t="s">
        <v>64</v>
      </c>
      <c r="K398" s="7" t="s">
        <v>133</v>
      </c>
      <c r="L398" s="7" t="s">
        <v>91</v>
      </c>
      <c r="M398" s="7" t="n">
        <v>29.4</v>
      </c>
      <c r="N398" s="7" t="n">
        <v>5514</v>
      </c>
    </row>
    <row r="399" customFormat="false" ht="15" hidden="false" customHeight="false" outlineLevel="0" collapsed="false">
      <c r="A399" s="7" t="s">
        <v>59</v>
      </c>
      <c r="B399" s="7" t="s">
        <v>130</v>
      </c>
      <c r="C399" s="7" t="s">
        <v>130</v>
      </c>
      <c r="D399" s="7" t="s">
        <v>131</v>
      </c>
      <c r="E399" s="7" t="s">
        <v>132</v>
      </c>
      <c r="F399" s="7" t="n">
        <v>2014</v>
      </c>
      <c r="G399" s="7" t="s">
        <v>136</v>
      </c>
      <c r="H399" s="7" t="s">
        <v>78</v>
      </c>
      <c r="J399" s="7" t="s">
        <v>64</v>
      </c>
      <c r="K399" s="7" t="s">
        <v>79</v>
      </c>
      <c r="L399" s="7" t="s">
        <v>91</v>
      </c>
      <c r="M399" s="7" t="n">
        <v>28.3</v>
      </c>
      <c r="N399" s="7" t="n">
        <v>5514</v>
      </c>
    </row>
    <row r="400" customFormat="false" ht="15" hidden="false" customHeight="false" outlineLevel="0" collapsed="false">
      <c r="A400" s="7" t="s">
        <v>59</v>
      </c>
      <c r="B400" s="7" t="s">
        <v>130</v>
      </c>
      <c r="C400" s="7" t="s">
        <v>130</v>
      </c>
      <c r="D400" s="7" t="s">
        <v>131</v>
      </c>
      <c r="E400" s="7" t="s">
        <v>132</v>
      </c>
      <c r="F400" s="7" t="n">
        <v>2014</v>
      </c>
      <c r="G400" s="7" t="s">
        <v>136</v>
      </c>
      <c r="H400" s="7" t="s">
        <v>86</v>
      </c>
      <c r="J400" s="7" t="s">
        <v>64</v>
      </c>
      <c r="K400" s="7" t="s">
        <v>133</v>
      </c>
      <c r="L400" s="7" t="s">
        <v>91</v>
      </c>
      <c r="M400" s="7" t="n">
        <v>15.5</v>
      </c>
      <c r="N400" s="7" t="n">
        <v>5514</v>
      </c>
    </row>
    <row r="401" customFormat="false" ht="15" hidden="false" customHeight="false" outlineLevel="0" collapsed="false">
      <c r="A401" s="7" t="s">
        <v>59</v>
      </c>
      <c r="B401" s="7" t="s">
        <v>130</v>
      </c>
      <c r="C401" s="7" t="s">
        <v>130</v>
      </c>
      <c r="D401" s="7" t="s">
        <v>131</v>
      </c>
      <c r="E401" s="7" t="s">
        <v>132</v>
      </c>
      <c r="F401" s="7" t="n">
        <v>2014</v>
      </c>
      <c r="G401" s="7" t="s">
        <v>136</v>
      </c>
      <c r="H401" s="7" t="s">
        <v>63</v>
      </c>
      <c r="J401" s="7" t="s">
        <v>64</v>
      </c>
      <c r="K401" s="7" t="s">
        <v>133</v>
      </c>
      <c r="L401" s="7" t="s">
        <v>91</v>
      </c>
      <c r="M401" s="7" t="n">
        <v>32.3</v>
      </c>
      <c r="N401" s="7" t="n">
        <v>5514</v>
      </c>
    </row>
    <row r="402" customFormat="false" ht="15" hidden="false" customHeight="false" outlineLevel="0" collapsed="false">
      <c r="A402" s="7" t="s">
        <v>59</v>
      </c>
      <c r="B402" s="7" t="s">
        <v>130</v>
      </c>
      <c r="C402" s="7" t="s">
        <v>130</v>
      </c>
      <c r="D402" s="7" t="s">
        <v>131</v>
      </c>
      <c r="E402" s="7" t="s">
        <v>132</v>
      </c>
      <c r="F402" s="7" t="n">
        <v>2014</v>
      </c>
      <c r="G402" s="7" t="s">
        <v>136</v>
      </c>
      <c r="H402" s="7" t="s">
        <v>87</v>
      </c>
      <c r="J402" s="7" t="s">
        <v>64</v>
      </c>
      <c r="K402" s="7" t="s">
        <v>133</v>
      </c>
      <c r="L402" s="7" t="s">
        <v>91</v>
      </c>
      <c r="M402" s="7" t="n">
        <v>16.8</v>
      </c>
      <c r="N402" s="7" t="n">
        <v>5514</v>
      </c>
    </row>
    <row r="403" customFormat="false" ht="15" hidden="false" customHeight="false" outlineLevel="0" collapsed="false">
      <c r="A403" s="7" t="s">
        <v>59</v>
      </c>
      <c r="B403" s="7" t="s">
        <v>130</v>
      </c>
      <c r="C403" s="7" t="s">
        <v>130</v>
      </c>
      <c r="D403" s="7" t="s">
        <v>131</v>
      </c>
      <c r="E403" s="7" t="s">
        <v>132</v>
      </c>
      <c r="F403" s="7" t="n">
        <v>2014</v>
      </c>
      <c r="G403" s="7" t="s">
        <v>137</v>
      </c>
      <c r="H403" s="7" t="s">
        <v>78</v>
      </c>
      <c r="J403" s="7" t="s">
        <v>64</v>
      </c>
      <c r="K403" s="7" t="s">
        <v>79</v>
      </c>
      <c r="L403" s="7" t="s">
        <v>91</v>
      </c>
      <c r="M403" s="7" t="n">
        <v>29.7</v>
      </c>
      <c r="N403" s="7" t="n">
        <v>5514</v>
      </c>
    </row>
    <row r="404" customFormat="false" ht="15" hidden="false" customHeight="false" outlineLevel="0" collapsed="false">
      <c r="A404" s="7" t="s">
        <v>59</v>
      </c>
      <c r="B404" s="7" t="s">
        <v>130</v>
      </c>
      <c r="C404" s="7" t="s">
        <v>130</v>
      </c>
      <c r="D404" s="7" t="s">
        <v>131</v>
      </c>
      <c r="E404" s="7" t="s">
        <v>132</v>
      </c>
      <c r="F404" s="7" t="n">
        <v>2014</v>
      </c>
      <c r="G404" s="7" t="s">
        <v>137</v>
      </c>
      <c r="H404" s="7" t="s">
        <v>86</v>
      </c>
      <c r="J404" s="7" t="s">
        <v>64</v>
      </c>
      <c r="K404" s="7" t="s">
        <v>133</v>
      </c>
      <c r="L404" s="7" t="s">
        <v>91</v>
      </c>
      <c r="M404" s="7" t="n">
        <v>8.2</v>
      </c>
      <c r="N404" s="7" t="n">
        <v>5514</v>
      </c>
    </row>
    <row r="405" customFormat="false" ht="15" hidden="false" customHeight="false" outlineLevel="0" collapsed="false">
      <c r="A405" s="7" t="s">
        <v>59</v>
      </c>
      <c r="B405" s="7" t="s">
        <v>130</v>
      </c>
      <c r="C405" s="7" t="s">
        <v>130</v>
      </c>
      <c r="D405" s="7" t="s">
        <v>131</v>
      </c>
      <c r="E405" s="7" t="s">
        <v>132</v>
      </c>
      <c r="F405" s="7" t="n">
        <v>2014</v>
      </c>
      <c r="G405" s="7" t="s">
        <v>137</v>
      </c>
      <c r="H405" s="7" t="s">
        <v>63</v>
      </c>
      <c r="J405" s="7" t="s">
        <v>64</v>
      </c>
      <c r="K405" s="7" t="s">
        <v>133</v>
      </c>
      <c r="L405" s="7" t="s">
        <v>91</v>
      </c>
      <c r="M405" s="7" t="n">
        <v>38.7</v>
      </c>
      <c r="N405" s="7" t="n">
        <v>5514</v>
      </c>
    </row>
    <row r="406" customFormat="false" ht="15" hidden="false" customHeight="false" outlineLevel="0" collapsed="false">
      <c r="A406" s="7" t="s">
        <v>59</v>
      </c>
      <c r="B406" s="7" t="s">
        <v>130</v>
      </c>
      <c r="C406" s="7" t="s">
        <v>130</v>
      </c>
      <c r="D406" s="7" t="s">
        <v>131</v>
      </c>
      <c r="E406" s="7" t="s">
        <v>132</v>
      </c>
      <c r="F406" s="7" t="n">
        <v>2014</v>
      </c>
      <c r="G406" s="7" t="s">
        <v>137</v>
      </c>
      <c r="H406" s="7" t="s">
        <v>87</v>
      </c>
      <c r="J406" s="7" t="s">
        <v>64</v>
      </c>
      <c r="K406" s="7" t="s">
        <v>133</v>
      </c>
      <c r="L406" s="7" t="s">
        <v>91</v>
      </c>
      <c r="M406" s="7" t="n">
        <v>30.4</v>
      </c>
      <c r="N406" s="7" t="n">
        <v>5514</v>
      </c>
    </row>
    <row r="407" customFormat="false" ht="15" hidden="false" customHeight="false" outlineLevel="0" collapsed="false">
      <c r="A407" s="7" t="s">
        <v>59</v>
      </c>
      <c r="B407" s="7" t="s">
        <v>130</v>
      </c>
      <c r="C407" s="7" t="s">
        <v>130</v>
      </c>
      <c r="D407" s="7" t="s">
        <v>131</v>
      </c>
      <c r="E407" s="7" t="s">
        <v>132</v>
      </c>
      <c r="F407" s="7" t="n">
        <v>2014</v>
      </c>
      <c r="G407" s="7" t="s">
        <v>68</v>
      </c>
      <c r="H407" s="7" t="s">
        <v>87</v>
      </c>
      <c r="J407" s="7" t="s">
        <v>64</v>
      </c>
      <c r="K407" s="7" t="s">
        <v>133</v>
      </c>
      <c r="L407" s="7" t="s">
        <v>91</v>
      </c>
      <c r="M407" s="7" t="n">
        <v>29.4</v>
      </c>
      <c r="N407" s="7" t="n">
        <v>5514</v>
      </c>
    </row>
    <row r="408" customFormat="false" ht="15" hidden="false" customHeight="false" outlineLevel="0" collapsed="false">
      <c r="A408" s="7" t="s">
        <v>59</v>
      </c>
      <c r="B408" s="7" t="s">
        <v>130</v>
      </c>
      <c r="C408" s="7" t="s">
        <v>130</v>
      </c>
      <c r="D408" s="7" t="s">
        <v>131</v>
      </c>
      <c r="E408" s="7" t="s">
        <v>132</v>
      </c>
      <c r="F408" s="7" t="n">
        <v>2014</v>
      </c>
      <c r="G408" s="7" t="s">
        <v>68</v>
      </c>
      <c r="H408" s="7" t="s">
        <v>78</v>
      </c>
      <c r="J408" s="7" t="s">
        <v>64</v>
      </c>
      <c r="K408" s="7" t="s">
        <v>79</v>
      </c>
      <c r="L408" s="7" t="s">
        <v>91</v>
      </c>
      <c r="M408" s="7" t="n">
        <v>36.5</v>
      </c>
      <c r="N408" s="7" t="n">
        <v>5514</v>
      </c>
    </row>
    <row r="409" customFormat="false" ht="15" hidden="false" customHeight="false" outlineLevel="0" collapsed="false">
      <c r="A409" s="7" t="s">
        <v>59</v>
      </c>
      <c r="B409" s="7" t="s">
        <v>130</v>
      </c>
      <c r="C409" s="7" t="s">
        <v>130</v>
      </c>
      <c r="D409" s="7" t="s">
        <v>131</v>
      </c>
      <c r="E409" s="7" t="s">
        <v>132</v>
      </c>
      <c r="F409" s="7" t="n">
        <v>2014</v>
      </c>
      <c r="G409" s="7" t="s">
        <v>68</v>
      </c>
      <c r="H409" s="7" t="s">
        <v>86</v>
      </c>
      <c r="J409" s="7" t="s">
        <v>64</v>
      </c>
      <c r="K409" s="7" t="s">
        <v>133</v>
      </c>
      <c r="L409" s="7" t="s">
        <v>91</v>
      </c>
      <c r="M409" s="7" t="n">
        <v>15</v>
      </c>
      <c r="N409" s="7" t="n">
        <v>5514</v>
      </c>
    </row>
    <row r="410" customFormat="false" ht="15" hidden="false" customHeight="false" outlineLevel="0" collapsed="false">
      <c r="A410" s="7" t="s">
        <v>59</v>
      </c>
      <c r="B410" s="7" t="s">
        <v>130</v>
      </c>
      <c r="C410" s="7" t="s">
        <v>130</v>
      </c>
      <c r="D410" s="7" t="s">
        <v>131</v>
      </c>
      <c r="E410" s="7" t="s">
        <v>132</v>
      </c>
      <c r="F410" s="7" t="n">
        <v>2014</v>
      </c>
      <c r="G410" s="7" t="s">
        <v>68</v>
      </c>
      <c r="H410" s="7" t="s">
        <v>63</v>
      </c>
      <c r="J410" s="7" t="s">
        <v>64</v>
      </c>
      <c r="K410" s="7" t="s">
        <v>133</v>
      </c>
      <c r="L410" s="7" t="s">
        <v>91</v>
      </c>
      <c r="M410" s="7" t="n">
        <v>44.3</v>
      </c>
      <c r="N410" s="7" t="n">
        <v>5514</v>
      </c>
    </row>
    <row r="411" customFormat="false" ht="15" hidden="false" customHeight="false" outlineLevel="0" collapsed="false">
      <c r="A411" s="7" t="s">
        <v>59</v>
      </c>
      <c r="B411" s="7" t="s">
        <v>130</v>
      </c>
      <c r="C411" s="7" t="s">
        <v>130</v>
      </c>
      <c r="D411" s="7" t="s">
        <v>131</v>
      </c>
      <c r="E411" s="7" t="s">
        <v>132</v>
      </c>
      <c r="F411" s="7" t="n">
        <v>2014</v>
      </c>
      <c r="G411" s="7" t="s">
        <v>138</v>
      </c>
      <c r="H411" s="7" t="s">
        <v>78</v>
      </c>
      <c r="J411" s="7" t="s">
        <v>64</v>
      </c>
      <c r="K411" s="7" t="s">
        <v>79</v>
      </c>
      <c r="L411" s="7" t="s">
        <v>91</v>
      </c>
      <c r="M411" s="7" t="n">
        <v>36.3</v>
      </c>
      <c r="N411" s="7" t="n">
        <v>5514</v>
      </c>
    </row>
    <row r="412" customFormat="false" ht="15" hidden="false" customHeight="false" outlineLevel="0" collapsed="false">
      <c r="A412" s="7" t="s">
        <v>59</v>
      </c>
      <c r="B412" s="7" t="s">
        <v>130</v>
      </c>
      <c r="C412" s="7" t="s">
        <v>130</v>
      </c>
      <c r="D412" s="7" t="s">
        <v>131</v>
      </c>
      <c r="E412" s="7" t="s">
        <v>132</v>
      </c>
      <c r="F412" s="7" t="n">
        <v>2014</v>
      </c>
      <c r="G412" s="7" t="s">
        <v>138</v>
      </c>
      <c r="H412" s="7" t="s">
        <v>86</v>
      </c>
      <c r="J412" s="7" t="s">
        <v>64</v>
      </c>
      <c r="K412" s="7" t="s">
        <v>133</v>
      </c>
      <c r="L412" s="7" t="s">
        <v>91</v>
      </c>
      <c r="M412" s="7" t="n">
        <v>12.3</v>
      </c>
      <c r="N412" s="7" t="n">
        <v>5514</v>
      </c>
    </row>
    <row r="413" customFormat="false" ht="15" hidden="false" customHeight="false" outlineLevel="0" collapsed="false">
      <c r="A413" s="7" t="s">
        <v>59</v>
      </c>
      <c r="B413" s="7" t="s">
        <v>130</v>
      </c>
      <c r="C413" s="7" t="s">
        <v>130</v>
      </c>
      <c r="D413" s="7" t="s">
        <v>131</v>
      </c>
      <c r="E413" s="7" t="s">
        <v>132</v>
      </c>
      <c r="F413" s="7" t="n">
        <v>2014</v>
      </c>
      <c r="G413" s="7" t="s">
        <v>138</v>
      </c>
      <c r="H413" s="7" t="s">
        <v>63</v>
      </c>
      <c r="J413" s="7" t="s">
        <v>64</v>
      </c>
      <c r="K413" s="7" t="s">
        <v>133</v>
      </c>
      <c r="L413" s="7" t="s">
        <v>91</v>
      </c>
      <c r="M413" s="7" t="n">
        <v>39.9</v>
      </c>
      <c r="N413" s="7" t="n">
        <v>5514</v>
      </c>
    </row>
    <row r="414" customFormat="false" ht="15" hidden="false" customHeight="false" outlineLevel="0" collapsed="false">
      <c r="A414" s="7" t="s">
        <v>59</v>
      </c>
      <c r="B414" s="7" t="s">
        <v>130</v>
      </c>
      <c r="C414" s="7" t="s">
        <v>130</v>
      </c>
      <c r="D414" s="7" t="s">
        <v>131</v>
      </c>
      <c r="E414" s="7" t="s">
        <v>132</v>
      </c>
      <c r="F414" s="7" t="n">
        <v>2014</v>
      </c>
      <c r="G414" s="7" t="s">
        <v>138</v>
      </c>
      <c r="H414" s="7" t="s">
        <v>87</v>
      </c>
      <c r="J414" s="7" t="s">
        <v>64</v>
      </c>
      <c r="K414" s="7" t="s">
        <v>133</v>
      </c>
      <c r="L414" s="7" t="s">
        <v>91</v>
      </c>
      <c r="M414" s="7" t="n">
        <v>27.6</v>
      </c>
      <c r="N414" s="7" t="n">
        <v>5514</v>
      </c>
    </row>
    <row r="415" customFormat="false" ht="15" hidden="false" customHeight="false" outlineLevel="0" collapsed="false">
      <c r="A415" s="7" t="s">
        <v>59</v>
      </c>
      <c r="B415" s="7" t="s">
        <v>130</v>
      </c>
      <c r="C415" s="7" t="s">
        <v>130</v>
      </c>
      <c r="D415" s="7" t="s">
        <v>131</v>
      </c>
      <c r="E415" s="7" t="s">
        <v>132</v>
      </c>
      <c r="F415" s="7" t="n">
        <v>2014</v>
      </c>
      <c r="G415" s="7" t="s">
        <v>139</v>
      </c>
      <c r="H415" s="7" t="s">
        <v>78</v>
      </c>
      <c r="J415" s="7" t="s">
        <v>64</v>
      </c>
      <c r="K415" s="7" t="s">
        <v>79</v>
      </c>
      <c r="L415" s="7" t="s">
        <v>91</v>
      </c>
      <c r="M415" s="7" t="n">
        <v>27.4</v>
      </c>
      <c r="N415" s="7" t="n">
        <v>5514</v>
      </c>
    </row>
    <row r="416" customFormat="false" ht="15" hidden="false" customHeight="false" outlineLevel="0" collapsed="false">
      <c r="A416" s="7" t="s">
        <v>59</v>
      </c>
      <c r="B416" s="7" t="s">
        <v>130</v>
      </c>
      <c r="C416" s="7" t="s">
        <v>130</v>
      </c>
      <c r="D416" s="7" t="s">
        <v>131</v>
      </c>
      <c r="E416" s="7" t="s">
        <v>132</v>
      </c>
      <c r="F416" s="7" t="n">
        <v>2014</v>
      </c>
      <c r="G416" s="7" t="s">
        <v>139</v>
      </c>
      <c r="H416" s="7" t="s">
        <v>86</v>
      </c>
      <c r="J416" s="7" t="s">
        <v>64</v>
      </c>
      <c r="K416" s="7" t="s">
        <v>133</v>
      </c>
      <c r="L416" s="7" t="s">
        <v>91</v>
      </c>
      <c r="M416" s="7" t="n">
        <v>11</v>
      </c>
      <c r="N416" s="7" t="n">
        <v>5514</v>
      </c>
    </row>
    <row r="417" customFormat="false" ht="15" hidden="false" customHeight="false" outlineLevel="0" collapsed="false">
      <c r="A417" s="7" t="s">
        <v>59</v>
      </c>
      <c r="B417" s="7" t="s">
        <v>130</v>
      </c>
      <c r="C417" s="7" t="s">
        <v>130</v>
      </c>
      <c r="D417" s="7" t="s">
        <v>131</v>
      </c>
      <c r="E417" s="7" t="s">
        <v>132</v>
      </c>
      <c r="F417" s="7" t="n">
        <v>2014</v>
      </c>
      <c r="G417" s="7" t="s">
        <v>139</v>
      </c>
      <c r="H417" s="7" t="s">
        <v>63</v>
      </c>
      <c r="J417" s="7" t="s">
        <v>64</v>
      </c>
      <c r="K417" s="7" t="s">
        <v>133</v>
      </c>
      <c r="L417" s="7" t="s">
        <v>91</v>
      </c>
      <c r="M417" s="7" t="n">
        <v>30.8</v>
      </c>
      <c r="N417" s="7" t="n">
        <v>5514</v>
      </c>
    </row>
    <row r="418" customFormat="false" ht="15" hidden="false" customHeight="false" outlineLevel="0" collapsed="false">
      <c r="A418" s="7" t="s">
        <v>59</v>
      </c>
      <c r="B418" s="7" t="s">
        <v>130</v>
      </c>
      <c r="C418" s="7" t="s">
        <v>130</v>
      </c>
      <c r="D418" s="7" t="s">
        <v>131</v>
      </c>
      <c r="E418" s="7" t="s">
        <v>132</v>
      </c>
      <c r="F418" s="7" t="n">
        <v>2014</v>
      </c>
      <c r="G418" s="7" t="s">
        <v>139</v>
      </c>
      <c r="H418" s="7" t="s">
        <v>87</v>
      </c>
      <c r="J418" s="7" t="s">
        <v>64</v>
      </c>
      <c r="K418" s="7" t="s">
        <v>133</v>
      </c>
      <c r="L418" s="7" t="s">
        <v>91</v>
      </c>
      <c r="M418" s="7" t="n">
        <v>19.9</v>
      </c>
      <c r="N418" s="7" t="n">
        <v>5514</v>
      </c>
    </row>
    <row r="419" customFormat="false" ht="15" hidden="false" customHeight="false" outlineLevel="0" collapsed="false">
      <c r="A419" s="7" t="s">
        <v>59</v>
      </c>
      <c r="B419" s="7" t="s">
        <v>130</v>
      </c>
      <c r="C419" s="7" t="s">
        <v>130</v>
      </c>
      <c r="D419" s="7" t="s">
        <v>131</v>
      </c>
      <c r="E419" s="7" t="s">
        <v>132</v>
      </c>
      <c r="F419" s="7" t="n">
        <v>2014</v>
      </c>
      <c r="G419" s="7" t="s">
        <v>140</v>
      </c>
      <c r="H419" s="7" t="s">
        <v>78</v>
      </c>
      <c r="J419" s="7" t="s">
        <v>64</v>
      </c>
      <c r="K419" s="7" t="s">
        <v>79</v>
      </c>
      <c r="L419" s="7" t="s">
        <v>91</v>
      </c>
      <c r="M419" s="7" t="n">
        <v>21.1</v>
      </c>
      <c r="N419" s="7" t="n">
        <v>5514</v>
      </c>
    </row>
    <row r="420" customFormat="false" ht="15" hidden="false" customHeight="false" outlineLevel="0" collapsed="false">
      <c r="A420" s="7" t="s">
        <v>59</v>
      </c>
      <c r="B420" s="7" t="s">
        <v>130</v>
      </c>
      <c r="C420" s="7" t="s">
        <v>130</v>
      </c>
      <c r="D420" s="7" t="s">
        <v>131</v>
      </c>
      <c r="E420" s="7" t="s">
        <v>132</v>
      </c>
      <c r="F420" s="7" t="n">
        <v>2014</v>
      </c>
      <c r="G420" s="7" t="s">
        <v>140</v>
      </c>
      <c r="H420" s="7" t="s">
        <v>86</v>
      </c>
      <c r="J420" s="7" t="s">
        <v>64</v>
      </c>
      <c r="K420" s="7" t="s">
        <v>133</v>
      </c>
      <c r="L420" s="7" t="s">
        <v>91</v>
      </c>
      <c r="M420" s="7" t="n">
        <v>10.2</v>
      </c>
      <c r="N420" s="7" t="n">
        <v>5514</v>
      </c>
    </row>
    <row r="421" customFormat="false" ht="15" hidden="false" customHeight="false" outlineLevel="0" collapsed="false">
      <c r="A421" s="7" t="s">
        <v>59</v>
      </c>
      <c r="B421" s="7" t="s">
        <v>130</v>
      </c>
      <c r="C421" s="7" t="s">
        <v>130</v>
      </c>
      <c r="D421" s="7" t="s">
        <v>131</v>
      </c>
      <c r="E421" s="7" t="s">
        <v>132</v>
      </c>
      <c r="F421" s="7" t="n">
        <v>2014</v>
      </c>
      <c r="G421" s="7" t="s">
        <v>140</v>
      </c>
      <c r="H421" s="7" t="s">
        <v>63</v>
      </c>
      <c r="J421" s="7" t="s">
        <v>64</v>
      </c>
      <c r="K421" s="7" t="s">
        <v>133</v>
      </c>
      <c r="L421" s="7" t="s">
        <v>91</v>
      </c>
      <c r="M421" s="7" t="n">
        <v>25.1</v>
      </c>
      <c r="N421" s="7" t="n">
        <v>5514</v>
      </c>
    </row>
    <row r="422" customFormat="false" ht="15" hidden="false" customHeight="false" outlineLevel="0" collapsed="false">
      <c r="A422" s="7" t="s">
        <v>59</v>
      </c>
      <c r="B422" s="7" t="s">
        <v>130</v>
      </c>
      <c r="C422" s="7" t="s">
        <v>130</v>
      </c>
      <c r="D422" s="7" t="s">
        <v>131</v>
      </c>
      <c r="E422" s="7" t="s">
        <v>132</v>
      </c>
      <c r="F422" s="7" t="n">
        <v>2014</v>
      </c>
      <c r="G422" s="7" t="s">
        <v>140</v>
      </c>
      <c r="H422" s="7" t="s">
        <v>87</v>
      </c>
      <c r="J422" s="7" t="s">
        <v>64</v>
      </c>
      <c r="K422" s="7" t="s">
        <v>133</v>
      </c>
      <c r="L422" s="7" t="s">
        <v>91</v>
      </c>
      <c r="M422" s="7" t="n">
        <v>15</v>
      </c>
      <c r="N422" s="7" t="n">
        <v>5514</v>
      </c>
    </row>
    <row r="423" customFormat="false" ht="15" hidden="false" customHeight="false" outlineLevel="0" collapsed="false">
      <c r="A423" s="7" t="s">
        <v>59</v>
      </c>
      <c r="B423" s="7" t="s">
        <v>130</v>
      </c>
      <c r="C423" s="7" t="s">
        <v>130</v>
      </c>
      <c r="D423" s="7" t="s">
        <v>131</v>
      </c>
      <c r="E423" s="7" t="s">
        <v>132</v>
      </c>
      <c r="F423" s="7" t="n">
        <v>2014</v>
      </c>
      <c r="G423" s="7" t="s">
        <v>83</v>
      </c>
      <c r="H423" s="7" t="s">
        <v>78</v>
      </c>
      <c r="J423" s="7" t="s">
        <v>64</v>
      </c>
      <c r="K423" s="7" t="s">
        <v>79</v>
      </c>
      <c r="L423" s="7" t="s">
        <v>91</v>
      </c>
      <c r="M423" s="7" t="n">
        <v>45.2</v>
      </c>
      <c r="N423" s="7" t="n">
        <v>5514</v>
      </c>
    </row>
    <row r="424" customFormat="false" ht="15" hidden="false" customHeight="false" outlineLevel="0" collapsed="false">
      <c r="A424" s="7" t="s">
        <v>59</v>
      </c>
      <c r="B424" s="7" t="s">
        <v>130</v>
      </c>
      <c r="C424" s="7" t="s">
        <v>130</v>
      </c>
      <c r="D424" s="7" t="s">
        <v>131</v>
      </c>
      <c r="E424" s="7" t="s">
        <v>132</v>
      </c>
      <c r="F424" s="7" t="n">
        <v>2014</v>
      </c>
      <c r="G424" s="7" t="s">
        <v>83</v>
      </c>
      <c r="H424" s="7" t="s">
        <v>86</v>
      </c>
      <c r="J424" s="7" t="s">
        <v>64</v>
      </c>
      <c r="K424" s="7" t="s">
        <v>133</v>
      </c>
      <c r="L424" s="7" t="s">
        <v>91</v>
      </c>
      <c r="M424" s="7" t="n">
        <v>17.2</v>
      </c>
      <c r="N424" s="7" t="n">
        <v>5514</v>
      </c>
    </row>
    <row r="425" customFormat="false" ht="15" hidden="false" customHeight="false" outlineLevel="0" collapsed="false">
      <c r="A425" s="7" t="s">
        <v>59</v>
      </c>
      <c r="B425" s="7" t="s">
        <v>130</v>
      </c>
      <c r="C425" s="7" t="s">
        <v>130</v>
      </c>
      <c r="D425" s="7" t="s">
        <v>131</v>
      </c>
      <c r="E425" s="7" t="s">
        <v>132</v>
      </c>
      <c r="F425" s="7" t="n">
        <v>2014</v>
      </c>
      <c r="G425" s="7" t="s">
        <v>83</v>
      </c>
      <c r="H425" s="7" t="s">
        <v>63</v>
      </c>
      <c r="J425" s="7" t="s">
        <v>64</v>
      </c>
      <c r="K425" s="7" t="s">
        <v>133</v>
      </c>
      <c r="L425" s="7" t="s">
        <v>91</v>
      </c>
      <c r="M425" s="7" t="n">
        <v>48.3</v>
      </c>
      <c r="N425" s="7" t="n">
        <v>5514</v>
      </c>
    </row>
    <row r="426" customFormat="false" ht="15" hidden="false" customHeight="false" outlineLevel="0" collapsed="false">
      <c r="A426" s="7" t="s">
        <v>59</v>
      </c>
      <c r="B426" s="7" t="s">
        <v>130</v>
      </c>
      <c r="C426" s="7" t="s">
        <v>130</v>
      </c>
      <c r="D426" s="7" t="s">
        <v>131</v>
      </c>
      <c r="E426" s="7" t="s">
        <v>132</v>
      </c>
      <c r="F426" s="7" t="n">
        <v>2014</v>
      </c>
      <c r="G426" s="7" t="s">
        <v>83</v>
      </c>
      <c r="H426" s="7" t="s">
        <v>87</v>
      </c>
      <c r="J426" s="7" t="s">
        <v>64</v>
      </c>
      <c r="K426" s="7" t="s">
        <v>133</v>
      </c>
      <c r="L426" s="7" t="s">
        <v>91</v>
      </c>
      <c r="M426" s="7" t="n">
        <v>31.1</v>
      </c>
      <c r="N426" s="7" t="n">
        <v>5514</v>
      </c>
    </row>
    <row r="427" customFormat="false" ht="15" hidden="false" customHeight="false" outlineLevel="0" collapsed="false">
      <c r="A427" s="7" t="s">
        <v>59</v>
      </c>
      <c r="B427" s="7" t="s">
        <v>130</v>
      </c>
      <c r="C427" s="7" t="s">
        <v>130</v>
      </c>
      <c r="D427" s="7" t="s">
        <v>131</v>
      </c>
      <c r="E427" s="7" t="s">
        <v>132</v>
      </c>
      <c r="F427" s="7" t="n">
        <v>2014</v>
      </c>
      <c r="G427" s="7" t="s">
        <v>141</v>
      </c>
      <c r="H427" s="7" t="s">
        <v>78</v>
      </c>
      <c r="J427" s="7" t="s">
        <v>64</v>
      </c>
      <c r="K427" s="7" t="s">
        <v>79</v>
      </c>
      <c r="L427" s="7" t="s">
        <v>91</v>
      </c>
      <c r="M427" s="7" t="n">
        <v>38.7</v>
      </c>
      <c r="N427" s="7" t="n">
        <v>5514</v>
      </c>
    </row>
    <row r="428" customFormat="false" ht="15" hidden="false" customHeight="false" outlineLevel="0" collapsed="false">
      <c r="A428" s="7" t="s">
        <v>59</v>
      </c>
      <c r="B428" s="7" t="s">
        <v>130</v>
      </c>
      <c r="C428" s="7" t="s">
        <v>130</v>
      </c>
      <c r="D428" s="7" t="s">
        <v>131</v>
      </c>
      <c r="E428" s="7" t="s">
        <v>132</v>
      </c>
      <c r="F428" s="7" t="n">
        <v>2014</v>
      </c>
      <c r="G428" s="7" t="s">
        <v>141</v>
      </c>
      <c r="H428" s="7" t="s">
        <v>86</v>
      </c>
      <c r="J428" s="7" t="s">
        <v>64</v>
      </c>
      <c r="K428" s="7" t="s">
        <v>133</v>
      </c>
      <c r="L428" s="7" t="s">
        <v>91</v>
      </c>
      <c r="M428" s="7" t="n">
        <v>16</v>
      </c>
      <c r="N428" s="7" t="n">
        <v>5514</v>
      </c>
    </row>
    <row r="429" customFormat="false" ht="15" hidden="false" customHeight="false" outlineLevel="0" collapsed="false">
      <c r="A429" s="7" t="s">
        <v>59</v>
      </c>
      <c r="B429" s="7" t="s">
        <v>130</v>
      </c>
      <c r="C429" s="7" t="s">
        <v>130</v>
      </c>
      <c r="D429" s="7" t="s">
        <v>131</v>
      </c>
      <c r="E429" s="7" t="s">
        <v>132</v>
      </c>
      <c r="F429" s="7" t="n">
        <v>2014</v>
      </c>
      <c r="G429" s="7" t="s">
        <v>141</v>
      </c>
      <c r="H429" s="7" t="s">
        <v>63</v>
      </c>
      <c r="J429" s="7" t="s">
        <v>64</v>
      </c>
      <c r="K429" s="7" t="s">
        <v>133</v>
      </c>
      <c r="L429" s="7" t="s">
        <v>91</v>
      </c>
      <c r="M429" s="7" t="n">
        <v>42.1</v>
      </c>
      <c r="N429" s="7" t="n">
        <v>5514</v>
      </c>
    </row>
    <row r="430" customFormat="false" ht="15" hidden="false" customHeight="false" outlineLevel="0" collapsed="false">
      <c r="A430" s="7" t="s">
        <v>59</v>
      </c>
      <c r="B430" s="7" t="s">
        <v>130</v>
      </c>
      <c r="C430" s="7" t="s">
        <v>130</v>
      </c>
      <c r="D430" s="7" t="s">
        <v>131</v>
      </c>
      <c r="E430" s="7" t="s">
        <v>132</v>
      </c>
      <c r="F430" s="7" t="n">
        <v>2014</v>
      </c>
      <c r="G430" s="7" t="s">
        <v>141</v>
      </c>
      <c r="H430" s="7" t="s">
        <v>87</v>
      </c>
      <c r="J430" s="7" t="s">
        <v>64</v>
      </c>
      <c r="K430" s="7" t="s">
        <v>133</v>
      </c>
      <c r="L430" s="7" t="s">
        <v>91</v>
      </c>
      <c r="M430" s="7" t="n">
        <v>26.2</v>
      </c>
      <c r="N430" s="7" t="n">
        <v>5514</v>
      </c>
    </row>
    <row r="431" customFormat="false" ht="15" hidden="false" customHeight="false" outlineLevel="0" collapsed="false">
      <c r="A431" s="7" t="s">
        <v>59</v>
      </c>
      <c r="B431" s="7" t="s">
        <v>130</v>
      </c>
      <c r="C431" s="7" t="s">
        <v>130</v>
      </c>
      <c r="D431" s="7" t="s">
        <v>131</v>
      </c>
      <c r="E431" s="7" t="s">
        <v>132</v>
      </c>
      <c r="F431" s="7" t="n">
        <v>2014</v>
      </c>
      <c r="G431" s="7" t="s">
        <v>69</v>
      </c>
      <c r="H431" s="7" t="s">
        <v>78</v>
      </c>
      <c r="J431" s="7" t="s">
        <v>64</v>
      </c>
      <c r="K431" s="7" t="s">
        <v>79</v>
      </c>
      <c r="L431" s="7" t="s">
        <v>91</v>
      </c>
      <c r="M431" s="7" t="n">
        <v>26.5</v>
      </c>
      <c r="N431" s="7" t="n">
        <v>5514</v>
      </c>
    </row>
    <row r="432" customFormat="false" ht="15" hidden="false" customHeight="false" outlineLevel="0" collapsed="false">
      <c r="A432" s="7" t="s">
        <v>59</v>
      </c>
      <c r="B432" s="7" t="s">
        <v>130</v>
      </c>
      <c r="C432" s="7" t="s">
        <v>130</v>
      </c>
      <c r="D432" s="7" t="s">
        <v>131</v>
      </c>
      <c r="E432" s="7" t="s">
        <v>132</v>
      </c>
      <c r="F432" s="7" t="n">
        <v>2014</v>
      </c>
      <c r="G432" s="7" t="s">
        <v>69</v>
      </c>
      <c r="H432" s="7" t="s">
        <v>86</v>
      </c>
      <c r="J432" s="7" t="s">
        <v>64</v>
      </c>
      <c r="K432" s="7" t="s">
        <v>133</v>
      </c>
      <c r="L432" s="7" t="s">
        <v>91</v>
      </c>
      <c r="M432" s="7" t="n">
        <v>14.5</v>
      </c>
      <c r="N432" s="7" t="n">
        <v>5514</v>
      </c>
    </row>
    <row r="433" customFormat="false" ht="15" hidden="false" customHeight="false" outlineLevel="0" collapsed="false">
      <c r="A433" s="7" t="s">
        <v>59</v>
      </c>
      <c r="B433" s="7" t="s">
        <v>130</v>
      </c>
      <c r="C433" s="7" t="s">
        <v>130</v>
      </c>
      <c r="D433" s="7" t="s">
        <v>131</v>
      </c>
      <c r="E433" s="7" t="s">
        <v>132</v>
      </c>
      <c r="F433" s="7" t="n">
        <v>2014</v>
      </c>
      <c r="G433" s="7" t="s">
        <v>69</v>
      </c>
      <c r="H433" s="7" t="s">
        <v>63</v>
      </c>
      <c r="J433" s="7" t="s">
        <v>64</v>
      </c>
      <c r="K433" s="7" t="s">
        <v>133</v>
      </c>
      <c r="L433" s="7" t="s">
        <v>91</v>
      </c>
      <c r="M433" s="7" t="n">
        <v>30.2</v>
      </c>
      <c r="N433" s="7" t="n">
        <v>5514</v>
      </c>
    </row>
    <row r="434" customFormat="false" ht="15" hidden="false" customHeight="false" outlineLevel="0" collapsed="false">
      <c r="A434" s="7" t="s">
        <v>59</v>
      </c>
      <c r="B434" s="7" t="s">
        <v>130</v>
      </c>
      <c r="C434" s="7" t="s">
        <v>130</v>
      </c>
      <c r="D434" s="7" t="s">
        <v>131</v>
      </c>
      <c r="E434" s="7" t="s">
        <v>132</v>
      </c>
      <c r="F434" s="7" t="n">
        <v>2014</v>
      </c>
      <c r="G434" s="7" t="s">
        <v>69</v>
      </c>
      <c r="H434" s="7" t="s">
        <v>87</v>
      </c>
      <c r="J434" s="7" t="s">
        <v>64</v>
      </c>
      <c r="K434" s="7" t="s">
        <v>133</v>
      </c>
      <c r="L434" s="7" t="s">
        <v>91</v>
      </c>
      <c r="M434" s="7" t="n">
        <v>15.7</v>
      </c>
      <c r="N434" s="7" t="n">
        <v>5514</v>
      </c>
    </row>
    <row r="435" customFormat="false" ht="15" hidden="false" customHeight="false" outlineLevel="0" collapsed="false">
      <c r="A435" s="7" t="s">
        <v>59</v>
      </c>
      <c r="B435" s="7" t="s">
        <v>130</v>
      </c>
      <c r="C435" s="7" t="s">
        <v>130</v>
      </c>
      <c r="D435" s="7" t="s">
        <v>131</v>
      </c>
      <c r="E435" s="7" t="s">
        <v>132</v>
      </c>
      <c r="F435" s="7" t="n">
        <v>2014</v>
      </c>
      <c r="G435" s="7" t="s">
        <v>111</v>
      </c>
      <c r="H435" s="7" t="s">
        <v>78</v>
      </c>
      <c r="J435" s="7" t="s">
        <v>64</v>
      </c>
      <c r="K435" s="7" t="s">
        <v>79</v>
      </c>
      <c r="L435" s="7" t="s">
        <v>91</v>
      </c>
      <c r="M435" s="7" t="n">
        <v>33.4</v>
      </c>
      <c r="N435" s="7" t="n">
        <v>5514</v>
      </c>
    </row>
    <row r="436" customFormat="false" ht="15" hidden="false" customHeight="false" outlineLevel="0" collapsed="false">
      <c r="A436" s="7" t="s">
        <v>59</v>
      </c>
      <c r="B436" s="7" t="s">
        <v>130</v>
      </c>
      <c r="C436" s="7" t="s">
        <v>130</v>
      </c>
      <c r="D436" s="7" t="s">
        <v>131</v>
      </c>
      <c r="E436" s="7" t="s">
        <v>132</v>
      </c>
      <c r="F436" s="7" t="n">
        <v>2014</v>
      </c>
      <c r="G436" s="7" t="s">
        <v>111</v>
      </c>
      <c r="H436" s="7" t="s">
        <v>86</v>
      </c>
      <c r="J436" s="7" t="s">
        <v>64</v>
      </c>
      <c r="K436" s="7" t="s">
        <v>133</v>
      </c>
      <c r="L436" s="7" t="s">
        <v>91</v>
      </c>
      <c r="M436" s="7" t="n">
        <v>14.1</v>
      </c>
      <c r="N436" s="7" t="n">
        <v>5514</v>
      </c>
    </row>
    <row r="437" customFormat="false" ht="15" hidden="false" customHeight="false" outlineLevel="0" collapsed="false">
      <c r="A437" s="7" t="s">
        <v>59</v>
      </c>
      <c r="B437" s="7" t="s">
        <v>130</v>
      </c>
      <c r="C437" s="7" t="s">
        <v>130</v>
      </c>
      <c r="D437" s="7" t="s">
        <v>131</v>
      </c>
      <c r="E437" s="7" t="s">
        <v>132</v>
      </c>
      <c r="F437" s="7" t="n">
        <v>2014</v>
      </c>
      <c r="G437" s="7" t="s">
        <v>111</v>
      </c>
      <c r="H437" s="7" t="s">
        <v>63</v>
      </c>
      <c r="J437" s="7" t="s">
        <v>64</v>
      </c>
      <c r="K437" s="7" t="s">
        <v>133</v>
      </c>
      <c r="L437" s="7" t="s">
        <v>91</v>
      </c>
      <c r="M437" s="7" t="n">
        <v>41.3</v>
      </c>
      <c r="N437" s="7" t="n">
        <v>5514</v>
      </c>
    </row>
    <row r="438" customFormat="false" ht="15" hidden="false" customHeight="false" outlineLevel="0" collapsed="false">
      <c r="A438" s="7" t="s">
        <v>59</v>
      </c>
      <c r="B438" s="7" t="s">
        <v>130</v>
      </c>
      <c r="C438" s="7" t="s">
        <v>130</v>
      </c>
      <c r="D438" s="7" t="s">
        <v>131</v>
      </c>
      <c r="E438" s="7" t="s">
        <v>132</v>
      </c>
      <c r="F438" s="7" t="n">
        <v>2014</v>
      </c>
      <c r="G438" s="7" t="s">
        <v>111</v>
      </c>
      <c r="H438" s="7" t="s">
        <v>87</v>
      </c>
      <c r="J438" s="7" t="s">
        <v>64</v>
      </c>
      <c r="K438" s="7" t="s">
        <v>133</v>
      </c>
      <c r="L438" s="7" t="s">
        <v>91</v>
      </c>
      <c r="M438" s="7" t="n">
        <v>27.1</v>
      </c>
      <c r="N438" s="7" t="n">
        <v>5514</v>
      </c>
    </row>
    <row r="439" customFormat="false" ht="15" hidden="false" customHeight="false" outlineLevel="0" collapsed="false">
      <c r="A439" s="7" t="s">
        <v>59</v>
      </c>
      <c r="B439" s="7" t="s">
        <v>142</v>
      </c>
      <c r="C439" s="7" t="s">
        <v>142</v>
      </c>
      <c r="D439" s="7" t="s">
        <v>143</v>
      </c>
      <c r="E439" s="7" t="s">
        <v>144</v>
      </c>
      <c r="F439" s="7" t="n">
        <v>2014</v>
      </c>
      <c r="G439" s="7" t="s">
        <v>81</v>
      </c>
      <c r="H439" s="7" t="s">
        <v>63</v>
      </c>
      <c r="I439" s="7" t="n">
        <v>34.4</v>
      </c>
      <c r="J439" s="7" t="s">
        <v>64</v>
      </c>
      <c r="K439" s="7" t="s">
        <v>65</v>
      </c>
      <c r="L439" s="7" t="s">
        <v>66</v>
      </c>
      <c r="M439" s="7" t="n">
        <v>63.5</v>
      </c>
      <c r="N439" s="7" t="n">
        <v>4205</v>
      </c>
    </row>
    <row r="440" customFormat="false" ht="15" hidden="false" customHeight="false" outlineLevel="0" collapsed="false">
      <c r="A440" s="7" t="s">
        <v>59</v>
      </c>
      <c r="B440" s="7" t="s">
        <v>142</v>
      </c>
      <c r="C440" s="7" t="s">
        <v>142</v>
      </c>
      <c r="D440" s="7" t="s">
        <v>143</v>
      </c>
      <c r="E440" s="7" t="s">
        <v>144</v>
      </c>
      <c r="F440" s="7" t="n">
        <v>2014</v>
      </c>
      <c r="G440" s="7" t="s">
        <v>67</v>
      </c>
      <c r="H440" s="7" t="s">
        <v>63</v>
      </c>
      <c r="I440" s="7" t="n">
        <v>34.4</v>
      </c>
      <c r="J440" s="7" t="s">
        <v>64</v>
      </c>
      <c r="K440" s="7" t="s">
        <v>65</v>
      </c>
      <c r="L440" s="7" t="s">
        <v>66</v>
      </c>
      <c r="M440" s="7" t="n">
        <v>48.8</v>
      </c>
      <c r="N440" s="7" t="n">
        <v>4205</v>
      </c>
    </row>
    <row r="441" customFormat="false" ht="15" hidden="false" customHeight="false" outlineLevel="0" collapsed="false">
      <c r="A441" s="7" t="s">
        <v>59</v>
      </c>
      <c r="B441" s="7" t="s">
        <v>142</v>
      </c>
      <c r="C441" s="7" t="s">
        <v>142</v>
      </c>
      <c r="D441" s="7" t="s">
        <v>143</v>
      </c>
      <c r="E441" s="7" t="s">
        <v>144</v>
      </c>
      <c r="F441" s="7" t="n">
        <v>2014</v>
      </c>
      <c r="G441" s="7" t="s">
        <v>68</v>
      </c>
      <c r="H441" s="7" t="s">
        <v>63</v>
      </c>
      <c r="I441" s="7" t="n">
        <v>34.4</v>
      </c>
      <c r="J441" s="7" t="s">
        <v>64</v>
      </c>
      <c r="K441" s="7" t="s">
        <v>65</v>
      </c>
      <c r="L441" s="7" t="s">
        <v>66</v>
      </c>
      <c r="M441" s="7" t="n">
        <v>50.6</v>
      </c>
      <c r="N441" s="7" t="n">
        <v>4205</v>
      </c>
    </row>
    <row r="442" customFormat="false" ht="15" hidden="false" customHeight="false" outlineLevel="0" collapsed="false">
      <c r="A442" s="7" t="s">
        <v>59</v>
      </c>
      <c r="B442" s="7" t="s">
        <v>130</v>
      </c>
      <c r="C442" s="7" t="s">
        <v>130</v>
      </c>
      <c r="D442" s="7" t="s">
        <v>131</v>
      </c>
      <c r="E442" s="7" t="s">
        <v>132</v>
      </c>
      <c r="F442" s="7" t="n">
        <v>2015</v>
      </c>
      <c r="G442" s="7" t="s">
        <v>62</v>
      </c>
      <c r="H442" s="7" t="s">
        <v>78</v>
      </c>
      <c r="I442" s="7" t="n">
        <v>29</v>
      </c>
      <c r="J442" s="7" t="s">
        <v>64</v>
      </c>
      <c r="K442" s="7" t="s">
        <v>79</v>
      </c>
      <c r="L442" s="7" t="s">
        <v>66</v>
      </c>
      <c r="M442" s="7" t="n">
        <v>52.8</v>
      </c>
      <c r="N442" s="7" t="n">
        <v>5535</v>
      </c>
    </row>
    <row r="443" customFormat="false" ht="15" hidden="false" customHeight="false" outlineLevel="0" collapsed="false">
      <c r="A443" s="7" t="s">
        <v>59</v>
      </c>
      <c r="B443" s="7" t="s">
        <v>130</v>
      </c>
      <c r="C443" s="7" t="s">
        <v>130</v>
      </c>
      <c r="D443" s="7" t="s">
        <v>131</v>
      </c>
      <c r="E443" s="7" t="s">
        <v>132</v>
      </c>
      <c r="F443" s="7" t="n">
        <v>2015</v>
      </c>
      <c r="G443" s="7" t="s">
        <v>62</v>
      </c>
      <c r="H443" s="7" t="s">
        <v>86</v>
      </c>
      <c r="I443" s="7" t="n">
        <v>29</v>
      </c>
      <c r="J443" s="7" t="s">
        <v>64</v>
      </c>
      <c r="K443" s="7" t="s">
        <v>65</v>
      </c>
      <c r="L443" s="7" t="s">
        <v>66</v>
      </c>
      <c r="M443" s="7" t="n">
        <v>27.8</v>
      </c>
      <c r="N443" s="7" t="n">
        <v>5535</v>
      </c>
    </row>
    <row r="444" customFormat="false" ht="15" hidden="false" customHeight="false" outlineLevel="0" collapsed="false">
      <c r="A444" s="7" t="s">
        <v>59</v>
      </c>
      <c r="B444" s="7" t="s">
        <v>130</v>
      </c>
      <c r="C444" s="7" t="s">
        <v>130</v>
      </c>
      <c r="D444" s="7" t="s">
        <v>131</v>
      </c>
      <c r="E444" s="7" t="s">
        <v>132</v>
      </c>
      <c r="F444" s="7" t="n">
        <v>2015</v>
      </c>
      <c r="G444" s="7" t="s">
        <v>62</v>
      </c>
      <c r="H444" s="7" t="s">
        <v>63</v>
      </c>
      <c r="I444" s="7" t="n">
        <v>29</v>
      </c>
      <c r="J444" s="7" t="s">
        <v>64</v>
      </c>
      <c r="K444" s="7" t="s">
        <v>65</v>
      </c>
      <c r="L444" s="7" t="s">
        <v>66</v>
      </c>
      <c r="M444" s="7" t="n">
        <v>53.1</v>
      </c>
      <c r="N444" s="7" t="n">
        <v>5535</v>
      </c>
    </row>
    <row r="445" customFormat="false" ht="15" hidden="false" customHeight="false" outlineLevel="0" collapsed="false">
      <c r="A445" s="7" t="s">
        <v>59</v>
      </c>
      <c r="B445" s="7" t="s">
        <v>130</v>
      </c>
      <c r="C445" s="7" t="s">
        <v>130</v>
      </c>
      <c r="D445" s="7" t="s">
        <v>131</v>
      </c>
      <c r="E445" s="7" t="s">
        <v>132</v>
      </c>
      <c r="F445" s="7" t="n">
        <v>2015</v>
      </c>
      <c r="G445" s="7" t="s">
        <v>62</v>
      </c>
      <c r="H445" s="7" t="s">
        <v>87</v>
      </c>
      <c r="I445" s="7" t="n">
        <v>29</v>
      </c>
      <c r="J445" s="7" t="s">
        <v>64</v>
      </c>
      <c r="K445" s="7" t="s">
        <v>65</v>
      </c>
      <c r="L445" s="7" t="s">
        <v>66</v>
      </c>
      <c r="M445" s="7" t="n">
        <v>25.3</v>
      </c>
      <c r="N445" s="7" t="n">
        <v>5535</v>
      </c>
    </row>
    <row r="446" customFormat="false" ht="15" hidden="false" customHeight="false" outlineLevel="0" collapsed="false">
      <c r="A446" s="7" t="s">
        <v>59</v>
      </c>
      <c r="B446" s="7" t="s">
        <v>130</v>
      </c>
      <c r="C446" s="7" t="s">
        <v>130</v>
      </c>
      <c r="D446" s="7" t="s">
        <v>131</v>
      </c>
      <c r="E446" s="7" t="s">
        <v>132</v>
      </c>
      <c r="F446" s="7" t="n">
        <v>2015</v>
      </c>
      <c r="G446" s="7" t="s">
        <v>81</v>
      </c>
      <c r="H446" s="7" t="s">
        <v>78</v>
      </c>
      <c r="I446" s="7" t="n">
        <v>29</v>
      </c>
      <c r="J446" s="7" t="s">
        <v>64</v>
      </c>
      <c r="K446" s="7" t="s">
        <v>79</v>
      </c>
      <c r="L446" s="7" t="s">
        <v>66</v>
      </c>
      <c r="M446" s="7" t="n">
        <v>48.8</v>
      </c>
      <c r="N446" s="7" t="n">
        <v>5535</v>
      </c>
    </row>
    <row r="447" customFormat="false" ht="15" hidden="false" customHeight="false" outlineLevel="0" collapsed="false">
      <c r="A447" s="7" t="s">
        <v>59</v>
      </c>
      <c r="B447" s="7" t="s">
        <v>130</v>
      </c>
      <c r="C447" s="7" t="s">
        <v>130</v>
      </c>
      <c r="D447" s="7" t="s">
        <v>131</v>
      </c>
      <c r="E447" s="7" t="s">
        <v>132</v>
      </c>
      <c r="F447" s="7" t="n">
        <v>2015</v>
      </c>
      <c r="G447" s="7" t="s">
        <v>81</v>
      </c>
      <c r="H447" s="7" t="s">
        <v>86</v>
      </c>
      <c r="I447" s="7" t="n">
        <v>29</v>
      </c>
      <c r="J447" s="7" t="s">
        <v>64</v>
      </c>
      <c r="K447" s="7" t="s">
        <v>65</v>
      </c>
      <c r="L447" s="7" t="s">
        <v>66</v>
      </c>
      <c r="M447" s="7" t="n">
        <v>26.9</v>
      </c>
      <c r="N447" s="7" t="n">
        <v>5535</v>
      </c>
    </row>
    <row r="448" customFormat="false" ht="15" hidden="false" customHeight="false" outlineLevel="0" collapsed="false">
      <c r="A448" s="7" t="s">
        <v>59</v>
      </c>
      <c r="B448" s="7" t="s">
        <v>130</v>
      </c>
      <c r="C448" s="7" t="s">
        <v>130</v>
      </c>
      <c r="D448" s="7" t="s">
        <v>131</v>
      </c>
      <c r="E448" s="7" t="s">
        <v>132</v>
      </c>
      <c r="F448" s="7" t="n">
        <v>2015</v>
      </c>
      <c r="G448" s="7" t="s">
        <v>81</v>
      </c>
      <c r="H448" s="7" t="s">
        <v>63</v>
      </c>
      <c r="I448" s="7" t="n">
        <v>29</v>
      </c>
      <c r="J448" s="7" t="s">
        <v>64</v>
      </c>
      <c r="K448" s="7" t="s">
        <v>65</v>
      </c>
      <c r="L448" s="7" t="s">
        <v>66</v>
      </c>
      <c r="M448" s="7" t="n">
        <v>49.3</v>
      </c>
      <c r="N448" s="7" t="n">
        <v>5535</v>
      </c>
    </row>
    <row r="449" customFormat="false" ht="15" hidden="false" customHeight="false" outlineLevel="0" collapsed="false">
      <c r="A449" s="7" t="s">
        <v>59</v>
      </c>
      <c r="B449" s="7" t="s">
        <v>130</v>
      </c>
      <c r="C449" s="7" t="s">
        <v>130</v>
      </c>
      <c r="D449" s="7" t="s">
        <v>131</v>
      </c>
      <c r="E449" s="7" t="s">
        <v>132</v>
      </c>
      <c r="F449" s="7" t="n">
        <v>2015</v>
      </c>
      <c r="G449" s="7" t="s">
        <v>81</v>
      </c>
      <c r="H449" s="7" t="s">
        <v>87</v>
      </c>
      <c r="I449" s="7" t="n">
        <v>29</v>
      </c>
      <c r="J449" s="7" t="s">
        <v>64</v>
      </c>
      <c r="K449" s="7" t="s">
        <v>65</v>
      </c>
      <c r="L449" s="7" t="s">
        <v>66</v>
      </c>
      <c r="M449" s="7" t="n">
        <v>22.3</v>
      </c>
      <c r="N449" s="7" t="n">
        <v>5535</v>
      </c>
    </row>
    <row r="450" customFormat="false" ht="15" hidden="false" customHeight="false" outlineLevel="0" collapsed="false">
      <c r="A450" s="7" t="s">
        <v>59</v>
      </c>
      <c r="B450" s="7" t="s">
        <v>130</v>
      </c>
      <c r="C450" s="7" t="s">
        <v>130</v>
      </c>
      <c r="D450" s="7" t="s">
        <v>131</v>
      </c>
      <c r="E450" s="7" t="s">
        <v>132</v>
      </c>
      <c r="F450" s="7" t="n">
        <v>2015</v>
      </c>
      <c r="G450" s="7" t="s">
        <v>134</v>
      </c>
      <c r="H450" s="7" t="s">
        <v>78</v>
      </c>
      <c r="I450" s="7" t="n">
        <v>29</v>
      </c>
      <c r="J450" s="7" t="s">
        <v>64</v>
      </c>
      <c r="K450" s="7" t="s">
        <v>79</v>
      </c>
      <c r="L450" s="7" t="s">
        <v>66</v>
      </c>
      <c r="M450" s="7" t="n">
        <v>40.3</v>
      </c>
      <c r="N450" s="7" t="n">
        <v>5535</v>
      </c>
    </row>
    <row r="451" customFormat="false" ht="15" hidden="false" customHeight="false" outlineLevel="0" collapsed="false">
      <c r="A451" s="7" t="s">
        <v>59</v>
      </c>
      <c r="B451" s="7" t="s">
        <v>130</v>
      </c>
      <c r="C451" s="7" t="s">
        <v>130</v>
      </c>
      <c r="D451" s="7" t="s">
        <v>131</v>
      </c>
      <c r="E451" s="7" t="s">
        <v>132</v>
      </c>
      <c r="F451" s="7" t="n">
        <v>2015</v>
      </c>
      <c r="G451" s="7" t="s">
        <v>134</v>
      </c>
      <c r="H451" s="7" t="s">
        <v>86</v>
      </c>
      <c r="I451" s="7" t="n">
        <v>29</v>
      </c>
      <c r="J451" s="7" t="s">
        <v>64</v>
      </c>
      <c r="K451" s="7" t="s">
        <v>65</v>
      </c>
      <c r="L451" s="7" t="s">
        <v>66</v>
      </c>
      <c r="M451" s="7" t="n">
        <v>24.7</v>
      </c>
      <c r="N451" s="7" t="n">
        <v>5535</v>
      </c>
    </row>
    <row r="452" customFormat="false" ht="15" hidden="false" customHeight="false" outlineLevel="0" collapsed="false">
      <c r="A452" s="7" t="s">
        <v>59</v>
      </c>
      <c r="B452" s="7" t="s">
        <v>130</v>
      </c>
      <c r="C452" s="7" t="s">
        <v>130</v>
      </c>
      <c r="D452" s="7" t="s">
        <v>131</v>
      </c>
      <c r="E452" s="7" t="s">
        <v>132</v>
      </c>
      <c r="F452" s="7" t="n">
        <v>2015</v>
      </c>
      <c r="G452" s="7" t="s">
        <v>134</v>
      </c>
      <c r="H452" s="7" t="s">
        <v>63</v>
      </c>
      <c r="I452" s="7" t="n">
        <v>29</v>
      </c>
      <c r="J452" s="7" t="s">
        <v>64</v>
      </c>
      <c r="K452" s="7" t="s">
        <v>65</v>
      </c>
      <c r="L452" s="7" t="s">
        <v>66</v>
      </c>
      <c r="M452" s="7" t="n">
        <v>40.8</v>
      </c>
      <c r="N452" s="7" t="n">
        <v>5535</v>
      </c>
    </row>
    <row r="453" customFormat="false" ht="15" hidden="false" customHeight="false" outlineLevel="0" collapsed="false">
      <c r="A453" s="7" t="s">
        <v>59</v>
      </c>
      <c r="B453" s="7" t="s">
        <v>130</v>
      </c>
      <c r="C453" s="7" t="s">
        <v>130</v>
      </c>
      <c r="D453" s="7" t="s">
        <v>131</v>
      </c>
      <c r="E453" s="7" t="s">
        <v>132</v>
      </c>
      <c r="F453" s="7" t="n">
        <v>2015</v>
      </c>
      <c r="G453" s="7" t="s">
        <v>134</v>
      </c>
      <c r="H453" s="7" t="s">
        <v>87</v>
      </c>
      <c r="I453" s="7" t="n">
        <v>29</v>
      </c>
      <c r="J453" s="7" t="s">
        <v>64</v>
      </c>
      <c r="K453" s="7" t="s">
        <v>65</v>
      </c>
      <c r="L453" s="7" t="s">
        <v>66</v>
      </c>
      <c r="M453" s="7" t="n">
        <v>16</v>
      </c>
      <c r="N453" s="7" t="n">
        <v>5535</v>
      </c>
    </row>
    <row r="454" customFormat="false" ht="15" hidden="false" customHeight="false" outlineLevel="0" collapsed="false">
      <c r="A454" s="7" t="s">
        <v>59</v>
      </c>
      <c r="B454" s="7" t="s">
        <v>130</v>
      </c>
      <c r="C454" s="7" t="s">
        <v>130</v>
      </c>
      <c r="D454" s="7" t="s">
        <v>131</v>
      </c>
      <c r="E454" s="7" t="s">
        <v>132</v>
      </c>
      <c r="F454" s="7" t="n">
        <v>2015</v>
      </c>
      <c r="G454" s="7" t="s">
        <v>67</v>
      </c>
      <c r="H454" s="7" t="s">
        <v>78</v>
      </c>
      <c r="I454" s="7" t="n">
        <v>29</v>
      </c>
      <c r="J454" s="7" t="s">
        <v>64</v>
      </c>
      <c r="K454" s="7" t="s">
        <v>79</v>
      </c>
      <c r="L454" s="7" t="s">
        <v>66</v>
      </c>
      <c r="M454" s="7" t="n">
        <v>33.6</v>
      </c>
      <c r="N454" s="7" t="n">
        <v>5535</v>
      </c>
    </row>
    <row r="455" customFormat="false" ht="15" hidden="false" customHeight="false" outlineLevel="0" collapsed="false">
      <c r="A455" s="7" t="s">
        <v>59</v>
      </c>
      <c r="B455" s="7" t="s">
        <v>130</v>
      </c>
      <c r="C455" s="7" t="s">
        <v>130</v>
      </c>
      <c r="D455" s="7" t="s">
        <v>131</v>
      </c>
      <c r="E455" s="7" t="s">
        <v>132</v>
      </c>
      <c r="F455" s="7" t="n">
        <v>2015</v>
      </c>
      <c r="G455" s="7" t="s">
        <v>67</v>
      </c>
      <c r="H455" s="7" t="s">
        <v>86</v>
      </c>
      <c r="I455" s="7" t="n">
        <v>29</v>
      </c>
      <c r="J455" s="7" t="s">
        <v>64</v>
      </c>
      <c r="K455" s="7" t="s">
        <v>65</v>
      </c>
      <c r="L455" s="7" t="s">
        <v>66</v>
      </c>
      <c r="M455" s="7" t="n">
        <v>23</v>
      </c>
      <c r="N455" s="7" t="n">
        <v>5535</v>
      </c>
    </row>
    <row r="456" customFormat="false" ht="15" hidden="false" customHeight="false" outlineLevel="0" collapsed="false">
      <c r="A456" s="7" t="s">
        <v>59</v>
      </c>
      <c r="B456" s="7" t="s">
        <v>130</v>
      </c>
      <c r="C456" s="7" t="s">
        <v>130</v>
      </c>
      <c r="D456" s="7" t="s">
        <v>131</v>
      </c>
      <c r="E456" s="7" t="s">
        <v>132</v>
      </c>
      <c r="F456" s="7" t="n">
        <v>2015</v>
      </c>
      <c r="G456" s="7" t="s">
        <v>67</v>
      </c>
      <c r="H456" s="7" t="s">
        <v>63</v>
      </c>
      <c r="I456" s="7" t="n">
        <v>29</v>
      </c>
      <c r="J456" s="7" t="s">
        <v>64</v>
      </c>
      <c r="K456" s="7" t="s">
        <v>65</v>
      </c>
      <c r="L456" s="7" t="s">
        <v>66</v>
      </c>
      <c r="M456" s="7" t="n">
        <v>34.4</v>
      </c>
      <c r="N456" s="7" t="n">
        <v>5535</v>
      </c>
    </row>
    <row r="457" customFormat="false" ht="15" hidden="false" customHeight="false" outlineLevel="0" collapsed="false">
      <c r="A457" s="7" t="s">
        <v>59</v>
      </c>
      <c r="B457" s="7" t="s">
        <v>130</v>
      </c>
      <c r="C457" s="7" t="s">
        <v>130</v>
      </c>
      <c r="D457" s="7" t="s">
        <v>131</v>
      </c>
      <c r="E457" s="7" t="s">
        <v>132</v>
      </c>
      <c r="F457" s="7" t="n">
        <v>2015</v>
      </c>
      <c r="G457" s="7" t="s">
        <v>67</v>
      </c>
      <c r="H457" s="7" t="s">
        <v>87</v>
      </c>
      <c r="I457" s="7" t="n">
        <v>29</v>
      </c>
      <c r="J457" s="7" t="s">
        <v>64</v>
      </c>
      <c r="K457" s="7" t="s">
        <v>65</v>
      </c>
      <c r="L457" s="7" t="s">
        <v>66</v>
      </c>
      <c r="M457" s="7" t="n">
        <v>11.4</v>
      </c>
      <c r="N457" s="7" t="n">
        <v>5535</v>
      </c>
    </row>
    <row r="458" customFormat="false" ht="15" hidden="false" customHeight="false" outlineLevel="0" collapsed="false">
      <c r="A458" s="7" t="s">
        <v>59</v>
      </c>
      <c r="B458" s="7" t="s">
        <v>130</v>
      </c>
      <c r="C458" s="7" t="s">
        <v>130</v>
      </c>
      <c r="D458" s="7" t="s">
        <v>131</v>
      </c>
      <c r="E458" s="7" t="s">
        <v>132</v>
      </c>
      <c r="F458" s="7" t="n">
        <v>2015</v>
      </c>
      <c r="G458" s="7" t="s">
        <v>82</v>
      </c>
      <c r="H458" s="7" t="s">
        <v>78</v>
      </c>
      <c r="I458" s="7" t="n">
        <v>29</v>
      </c>
      <c r="J458" s="7" t="s">
        <v>64</v>
      </c>
      <c r="K458" s="7" t="s">
        <v>79</v>
      </c>
      <c r="L458" s="7" t="s">
        <v>66</v>
      </c>
      <c r="M458" s="7" t="n">
        <v>17.5</v>
      </c>
      <c r="N458" s="7" t="n">
        <v>5535</v>
      </c>
    </row>
    <row r="459" customFormat="false" ht="15" hidden="false" customHeight="false" outlineLevel="0" collapsed="false">
      <c r="A459" s="7" t="s">
        <v>59</v>
      </c>
      <c r="B459" s="7" t="s">
        <v>130</v>
      </c>
      <c r="C459" s="7" t="s">
        <v>130</v>
      </c>
      <c r="D459" s="7" t="s">
        <v>131</v>
      </c>
      <c r="E459" s="7" t="s">
        <v>132</v>
      </c>
      <c r="F459" s="7" t="n">
        <v>2015</v>
      </c>
      <c r="G459" s="7" t="s">
        <v>82</v>
      </c>
      <c r="H459" s="7" t="s">
        <v>86</v>
      </c>
      <c r="I459" s="7" t="n">
        <v>29</v>
      </c>
      <c r="J459" s="7" t="s">
        <v>64</v>
      </c>
      <c r="K459" s="7" t="s">
        <v>65</v>
      </c>
      <c r="L459" s="7" t="s">
        <v>66</v>
      </c>
      <c r="M459" s="7" t="n">
        <v>16.3</v>
      </c>
      <c r="N459" s="7" t="n">
        <v>5535</v>
      </c>
    </row>
    <row r="460" customFormat="false" ht="15" hidden="false" customHeight="false" outlineLevel="0" collapsed="false">
      <c r="A460" s="7" t="s">
        <v>59</v>
      </c>
      <c r="B460" s="7" t="s">
        <v>130</v>
      </c>
      <c r="C460" s="7" t="s">
        <v>130</v>
      </c>
      <c r="D460" s="7" t="s">
        <v>131</v>
      </c>
      <c r="E460" s="7" t="s">
        <v>132</v>
      </c>
      <c r="F460" s="7" t="n">
        <v>2015</v>
      </c>
      <c r="G460" s="7" t="s">
        <v>82</v>
      </c>
      <c r="H460" s="7" t="s">
        <v>63</v>
      </c>
      <c r="I460" s="7" t="n">
        <v>29</v>
      </c>
      <c r="J460" s="7" t="s">
        <v>64</v>
      </c>
      <c r="K460" s="7" t="s">
        <v>65</v>
      </c>
      <c r="L460" s="7" t="s">
        <v>66</v>
      </c>
      <c r="M460" s="7" t="n">
        <v>21</v>
      </c>
      <c r="N460" s="7" t="n">
        <v>5535</v>
      </c>
    </row>
    <row r="461" customFormat="false" ht="15" hidden="false" customHeight="false" outlineLevel="0" collapsed="false">
      <c r="A461" s="7" t="s">
        <v>59</v>
      </c>
      <c r="B461" s="7" t="s">
        <v>130</v>
      </c>
      <c r="C461" s="7" t="s">
        <v>130</v>
      </c>
      <c r="D461" s="7" t="s">
        <v>131</v>
      </c>
      <c r="E461" s="7" t="s">
        <v>132</v>
      </c>
      <c r="F461" s="7" t="n">
        <v>2015</v>
      </c>
      <c r="G461" s="7" t="s">
        <v>82</v>
      </c>
      <c r="H461" s="7" t="s">
        <v>87</v>
      </c>
      <c r="I461" s="7" t="n">
        <v>29</v>
      </c>
      <c r="J461" s="7" t="s">
        <v>64</v>
      </c>
      <c r="K461" s="7" t="s">
        <v>65</v>
      </c>
      <c r="L461" s="7" t="s">
        <v>66</v>
      </c>
      <c r="M461" s="7" t="n">
        <v>4.7</v>
      </c>
      <c r="N461" s="7" t="n">
        <v>5535</v>
      </c>
    </row>
    <row r="462" customFormat="false" ht="15" hidden="false" customHeight="false" outlineLevel="0" collapsed="false">
      <c r="A462" s="7" t="s">
        <v>59</v>
      </c>
      <c r="B462" s="7" t="s">
        <v>130</v>
      </c>
      <c r="C462" s="7" t="s">
        <v>130</v>
      </c>
      <c r="D462" s="7" t="s">
        <v>131</v>
      </c>
      <c r="E462" s="7" t="s">
        <v>132</v>
      </c>
      <c r="F462" s="7" t="n">
        <v>2015</v>
      </c>
      <c r="G462" s="7" t="s">
        <v>109</v>
      </c>
      <c r="H462" s="7" t="s">
        <v>78</v>
      </c>
      <c r="I462" s="7" t="n">
        <v>29</v>
      </c>
      <c r="J462" s="7" t="s">
        <v>64</v>
      </c>
      <c r="K462" s="7" t="s">
        <v>79</v>
      </c>
      <c r="L462" s="7" t="s">
        <v>66</v>
      </c>
      <c r="M462" s="7" t="n">
        <v>48.8</v>
      </c>
      <c r="N462" s="7" t="n">
        <v>5535</v>
      </c>
    </row>
    <row r="463" customFormat="false" ht="15" hidden="false" customHeight="false" outlineLevel="0" collapsed="false">
      <c r="A463" s="7" t="s">
        <v>59</v>
      </c>
      <c r="B463" s="7" t="s">
        <v>130</v>
      </c>
      <c r="C463" s="7" t="s">
        <v>130</v>
      </c>
      <c r="D463" s="7" t="s">
        <v>131</v>
      </c>
      <c r="E463" s="7" t="s">
        <v>132</v>
      </c>
      <c r="F463" s="7" t="n">
        <v>2015</v>
      </c>
      <c r="G463" s="7" t="s">
        <v>109</v>
      </c>
      <c r="H463" s="7" t="s">
        <v>86</v>
      </c>
      <c r="I463" s="7" t="n">
        <v>29</v>
      </c>
      <c r="J463" s="7" t="s">
        <v>64</v>
      </c>
      <c r="K463" s="7" t="s">
        <v>65</v>
      </c>
      <c r="L463" s="7" t="s">
        <v>66</v>
      </c>
      <c r="M463" s="7" t="n">
        <v>26.9</v>
      </c>
      <c r="N463" s="7" t="n">
        <v>5535</v>
      </c>
    </row>
    <row r="464" customFormat="false" ht="15" hidden="false" customHeight="false" outlineLevel="0" collapsed="false">
      <c r="A464" s="7" t="s">
        <v>59</v>
      </c>
      <c r="B464" s="7" t="s">
        <v>130</v>
      </c>
      <c r="C464" s="7" t="s">
        <v>130</v>
      </c>
      <c r="D464" s="7" t="s">
        <v>131</v>
      </c>
      <c r="E464" s="7" t="s">
        <v>132</v>
      </c>
      <c r="F464" s="7" t="n">
        <v>2015</v>
      </c>
      <c r="G464" s="7" t="s">
        <v>109</v>
      </c>
      <c r="H464" s="7" t="s">
        <v>63</v>
      </c>
      <c r="I464" s="7" t="n">
        <v>29</v>
      </c>
      <c r="J464" s="7" t="s">
        <v>64</v>
      </c>
      <c r="K464" s="7" t="s">
        <v>65</v>
      </c>
      <c r="L464" s="7" t="s">
        <v>66</v>
      </c>
      <c r="M464" s="7" t="n">
        <v>49.3</v>
      </c>
      <c r="N464" s="7" t="n">
        <v>5535</v>
      </c>
    </row>
    <row r="465" customFormat="false" ht="15" hidden="false" customHeight="false" outlineLevel="0" collapsed="false">
      <c r="A465" s="7" t="s">
        <v>59</v>
      </c>
      <c r="B465" s="7" t="s">
        <v>130</v>
      </c>
      <c r="C465" s="7" t="s">
        <v>130</v>
      </c>
      <c r="D465" s="7" t="s">
        <v>131</v>
      </c>
      <c r="E465" s="7" t="s">
        <v>132</v>
      </c>
      <c r="F465" s="7" t="n">
        <v>2015</v>
      </c>
      <c r="G465" s="7" t="s">
        <v>109</v>
      </c>
      <c r="H465" s="7" t="s">
        <v>87</v>
      </c>
      <c r="I465" s="7" t="n">
        <v>29</v>
      </c>
      <c r="J465" s="7" t="s">
        <v>64</v>
      </c>
      <c r="K465" s="7" t="s">
        <v>65</v>
      </c>
      <c r="L465" s="7" t="s">
        <v>66</v>
      </c>
      <c r="M465" s="7" t="n">
        <v>22.3</v>
      </c>
      <c r="N465" s="7" t="n">
        <v>5535</v>
      </c>
    </row>
    <row r="466" customFormat="false" ht="15" hidden="false" customHeight="false" outlineLevel="0" collapsed="false">
      <c r="A466" s="7" t="s">
        <v>59</v>
      </c>
      <c r="B466" s="7" t="s">
        <v>130</v>
      </c>
      <c r="C466" s="7" t="s">
        <v>130</v>
      </c>
      <c r="D466" s="7" t="s">
        <v>131</v>
      </c>
      <c r="E466" s="7" t="s">
        <v>132</v>
      </c>
      <c r="F466" s="7" t="n">
        <v>2015</v>
      </c>
      <c r="G466" s="7" t="s">
        <v>110</v>
      </c>
      <c r="H466" s="7" t="s">
        <v>86</v>
      </c>
      <c r="I466" s="7" t="n">
        <v>29</v>
      </c>
      <c r="J466" s="7" t="s">
        <v>64</v>
      </c>
      <c r="K466" s="7" t="s">
        <v>65</v>
      </c>
      <c r="L466" s="7" t="s">
        <v>66</v>
      </c>
      <c r="M466" s="7" t="n">
        <v>23</v>
      </c>
      <c r="N466" s="7" t="n">
        <v>5535</v>
      </c>
    </row>
    <row r="467" customFormat="false" ht="15" hidden="false" customHeight="false" outlineLevel="0" collapsed="false">
      <c r="A467" s="7" t="s">
        <v>59</v>
      </c>
      <c r="B467" s="7" t="s">
        <v>130</v>
      </c>
      <c r="C467" s="7" t="s">
        <v>130</v>
      </c>
      <c r="D467" s="7" t="s">
        <v>131</v>
      </c>
      <c r="E467" s="7" t="s">
        <v>132</v>
      </c>
      <c r="F467" s="7" t="n">
        <v>2015</v>
      </c>
      <c r="G467" s="7" t="s">
        <v>110</v>
      </c>
      <c r="H467" s="7" t="s">
        <v>63</v>
      </c>
      <c r="I467" s="7" t="n">
        <v>29</v>
      </c>
      <c r="J467" s="7" t="s">
        <v>64</v>
      </c>
      <c r="K467" s="7" t="s">
        <v>65</v>
      </c>
      <c r="L467" s="7" t="s">
        <v>66</v>
      </c>
      <c r="M467" s="7" t="n">
        <v>34.4</v>
      </c>
      <c r="N467" s="7" t="n">
        <v>5535</v>
      </c>
    </row>
    <row r="468" customFormat="false" ht="15" hidden="false" customHeight="false" outlineLevel="0" collapsed="false">
      <c r="A468" s="7" t="s">
        <v>59</v>
      </c>
      <c r="B468" s="7" t="s">
        <v>130</v>
      </c>
      <c r="C468" s="7" t="s">
        <v>130</v>
      </c>
      <c r="D468" s="7" t="s">
        <v>131</v>
      </c>
      <c r="E468" s="7" t="s">
        <v>132</v>
      </c>
      <c r="F468" s="7" t="n">
        <v>2015</v>
      </c>
      <c r="G468" s="7" t="s">
        <v>110</v>
      </c>
      <c r="H468" s="7" t="s">
        <v>87</v>
      </c>
      <c r="I468" s="7" t="n">
        <v>29</v>
      </c>
      <c r="J468" s="7" t="s">
        <v>64</v>
      </c>
      <c r="K468" s="7" t="s">
        <v>65</v>
      </c>
      <c r="L468" s="7" t="s">
        <v>66</v>
      </c>
      <c r="M468" s="7" t="n">
        <v>11.4</v>
      </c>
      <c r="N468" s="7" t="n">
        <v>5535</v>
      </c>
    </row>
    <row r="469" customFormat="false" ht="15" hidden="false" customHeight="false" outlineLevel="0" collapsed="false">
      <c r="A469" s="7" t="s">
        <v>59</v>
      </c>
      <c r="B469" s="7" t="s">
        <v>130</v>
      </c>
      <c r="C469" s="7" t="s">
        <v>130</v>
      </c>
      <c r="D469" s="7" t="s">
        <v>131</v>
      </c>
      <c r="E469" s="7" t="s">
        <v>132</v>
      </c>
      <c r="F469" s="7" t="n">
        <v>2015</v>
      </c>
      <c r="G469" s="7" t="s">
        <v>110</v>
      </c>
      <c r="H469" s="7" t="s">
        <v>78</v>
      </c>
      <c r="I469" s="7" t="n">
        <v>29</v>
      </c>
      <c r="J469" s="7" t="s">
        <v>64</v>
      </c>
      <c r="K469" s="7" t="s">
        <v>79</v>
      </c>
      <c r="L469" s="7" t="s">
        <v>66</v>
      </c>
      <c r="M469" s="7" t="n">
        <v>33.6</v>
      </c>
      <c r="N469" s="7" t="n">
        <v>5535</v>
      </c>
    </row>
    <row r="470" customFormat="false" ht="15" hidden="false" customHeight="false" outlineLevel="0" collapsed="false">
      <c r="A470" s="7" t="s">
        <v>59</v>
      </c>
      <c r="B470" s="7" t="s">
        <v>130</v>
      </c>
      <c r="C470" s="7" t="s">
        <v>130</v>
      </c>
      <c r="D470" s="7" t="s">
        <v>131</v>
      </c>
      <c r="E470" s="7" t="s">
        <v>132</v>
      </c>
      <c r="F470" s="7" t="n">
        <v>2015</v>
      </c>
      <c r="G470" s="7" t="s">
        <v>123</v>
      </c>
      <c r="H470" s="7" t="s">
        <v>78</v>
      </c>
      <c r="I470" s="7" t="n">
        <v>29</v>
      </c>
      <c r="J470" s="7" t="s">
        <v>64</v>
      </c>
      <c r="K470" s="7" t="s">
        <v>79</v>
      </c>
      <c r="L470" s="7" t="s">
        <v>66</v>
      </c>
      <c r="M470" s="7" t="n">
        <v>30</v>
      </c>
      <c r="N470" s="7" t="n">
        <v>5535</v>
      </c>
    </row>
    <row r="471" customFormat="false" ht="15" hidden="false" customHeight="false" outlineLevel="0" collapsed="false">
      <c r="A471" s="7" t="s">
        <v>59</v>
      </c>
      <c r="B471" s="7" t="s">
        <v>130</v>
      </c>
      <c r="C471" s="7" t="s">
        <v>130</v>
      </c>
      <c r="D471" s="7" t="s">
        <v>131</v>
      </c>
      <c r="E471" s="7" t="s">
        <v>132</v>
      </c>
      <c r="F471" s="7" t="n">
        <v>2015</v>
      </c>
      <c r="G471" s="7" t="s">
        <v>123</v>
      </c>
      <c r="H471" s="7" t="s">
        <v>86</v>
      </c>
      <c r="I471" s="7" t="n">
        <v>29</v>
      </c>
      <c r="J471" s="7" t="s">
        <v>64</v>
      </c>
      <c r="K471" s="7" t="s">
        <v>65</v>
      </c>
      <c r="L471" s="7" t="s">
        <v>66</v>
      </c>
      <c r="M471" s="7" t="n">
        <v>20.3</v>
      </c>
      <c r="N471" s="7" t="n">
        <v>5535</v>
      </c>
    </row>
    <row r="472" customFormat="false" ht="15" hidden="false" customHeight="false" outlineLevel="0" collapsed="false">
      <c r="A472" s="7" t="s">
        <v>59</v>
      </c>
      <c r="B472" s="7" t="s">
        <v>130</v>
      </c>
      <c r="C472" s="7" t="s">
        <v>130</v>
      </c>
      <c r="D472" s="7" t="s">
        <v>131</v>
      </c>
      <c r="E472" s="7" t="s">
        <v>132</v>
      </c>
      <c r="F472" s="7" t="n">
        <v>2015</v>
      </c>
      <c r="G472" s="7" t="s">
        <v>123</v>
      </c>
      <c r="H472" s="7" t="s">
        <v>63</v>
      </c>
      <c r="I472" s="7" t="n">
        <v>29</v>
      </c>
      <c r="J472" s="7" t="s">
        <v>64</v>
      </c>
      <c r="K472" s="7" t="s">
        <v>65</v>
      </c>
      <c r="L472" s="7" t="s">
        <v>66</v>
      </c>
      <c r="M472" s="7" t="n">
        <v>30.1</v>
      </c>
      <c r="N472" s="7" t="n">
        <v>5535</v>
      </c>
    </row>
    <row r="473" customFormat="false" ht="15" hidden="false" customHeight="false" outlineLevel="0" collapsed="false">
      <c r="A473" s="7" t="s">
        <v>59</v>
      </c>
      <c r="B473" s="7" t="s">
        <v>130</v>
      </c>
      <c r="C473" s="7" t="s">
        <v>130</v>
      </c>
      <c r="D473" s="7" t="s">
        <v>131</v>
      </c>
      <c r="E473" s="7" t="s">
        <v>132</v>
      </c>
      <c r="F473" s="7" t="n">
        <v>2015</v>
      </c>
      <c r="G473" s="7" t="s">
        <v>123</v>
      </c>
      <c r="H473" s="7" t="s">
        <v>87</v>
      </c>
      <c r="I473" s="7" t="n">
        <v>29</v>
      </c>
      <c r="J473" s="7" t="s">
        <v>64</v>
      </c>
      <c r="K473" s="7" t="s">
        <v>65</v>
      </c>
      <c r="L473" s="7" t="s">
        <v>66</v>
      </c>
      <c r="M473" s="7" t="n">
        <v>9.7</v>
      </c>
      <c r="N473" s="7" t="n">
        <v>5535</v>
      </c>
    </row>
    <row r="474" customFormat="false" ht="15" hidden="false" customHeight="false" outlineLevel="0" collapsed="false">
      <c r="A474" s="7" t="s">
        <v>59</v>
      </c>
      <c r="B474" s="7" t="s">
        <v>130</v>
      </c>
      <c r="C474" s="7" t="s">
        <v>130</v>
      </c>
      <c r="D474" s="7" t="s">
        <v>131</v>
      </c>
      <c r="E474" s="7" t="s">
        <v>132</v>
      </c>
      <c r="F474" s="7" t="n">
        <v>2015</v>
      </c>
      <c r="G474" s="7" t="s">
        <v>135</v>
      </c>
      <c r="H474" s="7" t="s">
        <v>78</v>
      </c>
      <c r="I474" s="7" t="n">
        <v>29</v>
      </c>
      <c r="J474" s="7" t="s">
        <v>64</v>
      </c>
      <c r="K474" s="7" t="s">
        <v>79</v>
      </c>
      <c r="L474" s="7" t="s">
        <v>66</v>
      </c>
      <c r="M474" s="7" t="n">
        <v>48.8</v>
      </c>
      <c r="N474" s="7" t="n">
        <v>5535</v>
      </c>
    </row>
    <row r="475" customFormat="false" ht="15" hidden="false" customHeight="false" outlineLevel="0" collapsed="false">
      <c r="A475" s="7" t="s">
        <v>59</v>
      </c>
      <c r="B475" s="7" t="s">
        <v>130</v>
      </c>
      <c r="C475" s="7" t="s">
        <v>130</v>
      </c>
      <c r="D475" s="7" t="s">
        <v>131</v>
      </c>
      <c r="E475" s="7" t="s">
        <v>132</v>
      </c>
      <c r="F475" s="7" t="n">
        <v>2015</v>
      </c>
      <c r="G475" s="7" t="s">
        <v>135</v>
      </c>
      <c r="H475" s="7" t="s">
        <v>86</v>
      </c>
      <c r="I475" s="7" t="n">
        <v>29</v>
      </c>
      <c r="J475" s="7" t="s">
        <v>64</v>
      </c>
      <c r="K475" s="7" t="s">
        <v>65</v>
      </c>
      <c r="L475" s="7" t="s">
        <v>66</v>
      </c>
      <c r="M475" s="7" t="n">
        <v>26.9</v>
      </c>
      <c r="N475" s="7" t="n">
        <v>5535</v>
      </c>
    </row>
    <row r="476" customFormat="false" ht="15" hidden="false" customHeight="false" outlineLevel="0" collapsed="false">
      <c r="A476" s="7" t="s">
        <v>59</v>
      </c>
      <c r="B476" s="7" t="s">
        <v>130</v>
      </c>
      <c r="C476" s="7" t="s">
        <v>130</v>
      </c>
      <c r="D476" s="7" t="s">
        <v>131</v>
      </c>
      <c r="E476" s="7" t="s">
        <v>132</v>
      </c>
      <c r="F476" s="7" t="n">
        <v>2015</v>
      </c>
      <c r="G476" s="7" t="s">
        <v>135</v>
      </c>
      <c r="H476" s="7" t="s">
        <v>63</v>
      </c>
      <c r="I476" s="7" t="n">
        <v>29</v>
      </c>
      <c r="J476" s="7" t="s">
        <v>64</v>
      </c>
      <c r="K476" s="7" t="s">
        <v>65</v>
      </c>
      <c r="L476" s="7" t="s">
        <v>66</v>
      </c>
      <c r="M476" s="7" t="n">
        <v>49.3</v>
      </c>
      <c r="N476" s="7" t="n">
        <v>5535</v>
      </c>
    </row>
    <row r="477" customFormat="false" ht="15" hidden="false" customHeight="false" outlineLevel="0" collapsed="false">
      <c r="A477" s="7" t="s">
        <v>59</v>
      </c>
      <c r="B477" s="7" t="s">
        <v>130</v>
      </c>
      <c r="C477" s="7" t="s">
        <v>130</v>
      </c>
      <c r="D477" s="7" t="s">
        <v>131</v>
      </c>
      <c r="E477" s="7" t="s">
        <v>132</v>
      </c>
      <c r="F477" s="7" t="n">
        <v>2015</v>
      </c>
      <c r="G477" s="7" t="s">
        <v>135</v>
      </c>
      <c r="H477" s="7" t="s">
        <v>87</v>
      </c>
      <c r="I477" s="7" t="n">
        <v>29</v>
      </c>
      <c r="J477" s="7" t="s">
        <v>64</v>
      </c>
      <c r="K477" s="7" t="s">
        <v>65</v>
      </c>
      <c r="L477" s="7" t="s">
        <v>66</v>
      </c>
      <c r="M477" s="7" t="n">
        <v>22.3</v>
      </c>
      <c r="N477" s="7" t="n">
        <v>5535</v>
      </c>
    </row>
    <row r="478" customFormat="false" ht="15" hidden="false" customHeight="false" outlineLevel="0" collapsed="false">
      <c r="A478" s="7" t="s">
        <v>59</v>
      </c>
      <c r="B478" s="7" t="s">
        <v>130</v>
      </c>
      <c r="C478" s="7" t="s">
        <v>130</v>
      </c>
      <c r="D478" s="7" t="s">
        <v>131</v>
      </c>
      <c r="E478" s="7" t="s">
        <v>132</v>
      </c>
      <c r="F478" s="7" t="n">
        <v>2015</v>
      </c>
      <c r="G478" s="7" t="s">
        <v>136</v>
      </c>
      <c r="H478" s="7" t="s">
        <v>78</v>
      </c>
      <c r="I478" s="7" t="n">
        <v>29</v>
      </c>
      <c r="J478" s="7" t="s">
        <v>64</v>
      </c>
      <c r="K478" s="7" t="s">
        <v>79</v>
      </c>
      <c r="L478" s="7" t="s">
        <v>66</v>
      </c>
      <c r="M478" s="7" t="n">
        <v>33.6</v>
      </c>
      <c r="N478" s="7" t="n">
        <v>5535</v>
      </c>
    </row>
    <row r="479" customFormat="false" ht="15" hidden="false" customHeight="false" outlineLevel="0" collapsed="false">
      <c r="A479" s="7" t="s">
        <v>59</v>
      </c>
      <c r="B479" s="7" t="s">
        <v>130</v>
      </c>
      <c r="C479" s="7" t="s">
        <v>130</v>
      </c>
      <c r="D479" s="7" t="s">
        <v>131</v>
      </c>
      <c r="E479" s="7" t="s">
        <v>132</v>
      </c>
      <c r="F479" s="7" t="n">
        <v>2015</v>
      </c>
      <c r="G479" s="7" t="s">
        <v>136</v>
      </c>
      <c r="H479" s="7" t="s">
        <v>86</v>
      </c>
      <c r="I479" s="7" t="n">
        <v>29</v>
      </c>
      <c r="J479" s="7" t="s">
        <v>64</v>
      </c>
      <c r="K479" s="7" t="s">
        <v>65</v>
      </c>
      <c r="L479" s="7" t="s">
        <v>66</v>
      </c>
      <c r="M479" s="7" t="n">
        <v>23</v>
      </c>
      <c r="N479" s="7" t="n">
        <v>5535</v>
      </c>
    </row>
    <row r="480" customFormat="false" ht="15" hidden="false" customHeight="false" outlineLevel="0" collapsed="false">
      <c r="A480" s="7" t="s">
        <v>59</v>
      </c>
      <c r="B480" s="7" t="s">
        <v>130</v>
      </c>
      <c r="C480" s="7" t="s">
        <v>130</v>
      </c>
      <c r="D480" s="7" t="s">
        <v>131</v>
      </c>
      <c r="E480" s="7" t="s">
        <v>132</v>
      </c>
      <c r="F480" s="7" t="n">
        <v>2015</v>
      </c>
      <c r="G480" s="7" t="s">
        <v>136</v>
      </c>
      <c r="H480" s="7" t="s">
        <v>63</v>
      </c>
      <c r="I480" s="7" t="n">
        <v>29</v>
      </c>
      <c r="J480" s="7" t="s">
        <v>64</v>
      </c>
      <c r="K480" s="7" t="s">
        <v>65</v>
      </c>
      <c r="L480" s="7" t="s">
        <v>66</v>
      </c>
      <c r="M480" s="7" t="n">
        <v>34.4</v>
      </c>
      <c r="N480" s="7" t="n">
        <v>5535</v>
      </c>
    </row>
    <row r="481" customFormat="false" ht="15" hidden="false" customHeight="false" outlineLevel="0" collapsed="false">
      <c r="A481" s="7" t="s">
        <v>59</v>
      </c>
      <c r="B481" s="7" t="s">
        <v>130</v>
      </c>
      <c r="C481" s="7" t="s">
        <v>130</v>
      </c>
      <c r="D481" s="7" t="s">
        <v>131</v>
      </c>
      <c r="E481" s="7" t="s">
        <v>132</v>
      </c>
      <c r="F481" s="7" t="n">
        <v>2015</v>
      </c>
      <c r="G481" s="7" t="s">
        <v>136</v>
      </c>
      <c r="H481" s="7" t="s">
        <v>87</v>
      </c>
      <c r="I481" s="7" t="n">
        <v>29</v>
      </c>
      <c r="J481" s="7" t="s">
        <v>64</v>
      </c>
      <c r="K481" s="7" t="s">
        <v>65</v>
      </c>
      <c r="L481" s="7" t="s">
        <v>66</v>
      </c>
      <c r="M481" s="7" t="n">
        <v>11.4</v>
      </c>
      <c r="N481" s="7" t="n">
        <v>5535</v>
      </c>
    </row>
    <row r="482" customFormat="false" ht="15" hidden="false" customHeight="false" outlineLevel="0" collapsed="false">
      <c r="A482" s="7" t="s">
        <v>59</v>
      </c>
      <c r="B482" s="7" t="s">
        <v>130</v>
      </c>
      <c r="C482" s="7" t="s">
        <v>130</v>
      </c>
      <c r="D482" s="7" t="s">
        <v>131</v>
      </c>
      <c r="E482" s="7" t="s">
        <v>132</v>
      </c>
      <c r="F482" s="7" t="n">
        <v>2015</v>
      </c>
      <c r="G482" s="7" t="s">
        <v>137</v>
      </c>
      <c r="H482" s="7" t="s">
        <v>78</v>
      </c>
      <c r="I482" s="7" t="n">
        <v>29</v>
      </c>
      <c r="J482" s="7" t="s">
        <v>64</v>
      </c>
      <c r="K482" s="7" t="s">
        <v>79</v>
      </c>
      <c r="L482" s="7" t="s">
        <v>66</v>
      </c>
      <c r="M482" s="7" t="n">
        <v>40.2</v>
      </c>
      <c r="N482" s="7" t="n">
        <v>5535</v>
      </c>
    </row>
    <row r="483" customFormat="false" ht="15" hidden="false" customHeight="false" outlineLevel="0" collapsed="false">
      <c r="A483" s="7" t="s">
        <v>59</v>
      </c>
      <c r="B483" s="7" t="s">
        <v>130</v>
      </c>
      <c r="C483" s="7" t="s">
        <v>130</v>
      </c>
      <c r="D483" s="7" t="s">
        <v>131</v>
      </c>
      <c r="E483" s="7" t="s">
        <v>132</v>
      </c>
      <c r="F483" s="7" t="n">
        <v>2015</v>
      </c>
      <c r="G483" s="7" t="s">
        <v>137</v>
      </c>
      <c r="H483" s="7" t="s">
        <v>86</v>
      </c>
      <c r="I483" s="7" t="n">
        <v>29</v>
      </c>
      <c r="J483" s="7" t="s">
        <v>64</v>
      </c>
      <c r="K483" s="7" t="s">
        <v>65</v>
      </c>
      <c r="L483" s="7" t="s">
        <v>66</v>
      </c>
      <c r="M483" s="7" t="n">
        <v>18.8</v>
      </c>
      <c r="N483" s="7" t="n">
        <v>5535</v>
      </c>
    </row>
    <row r="484" customFormat="false" ht="15" hidden="false" customHeight="false" outlineLevel="0" collapsed="false">
      <c r="A484" s="7" t="s">
        <v>59</v>
      </c>
      <c r="B484" s="7" t="s">
        <v>130</v>
      </c>
      <c r="C484" s="7" t="s">
        <v>130</v>
      </c>
      <c r="D484" s="7" t="s">
        <v>131</v>
      </c>
      <c r="E484" s="7" t="s">
        <v>132</v>
      </c>
      <c r="F484" s="7" t="n">
        <v>2015</v>
      </c>
      <c r="G484" s="7" t="s">
        <v>137</v>
      </c>
      <c r="H484" s="7" t="s">
        <v>63</v>
      </c>
      <c r="I484" s="7" t="n">
        <v>29</v>
      </c>
      <c r="J484" s="7" t="s">
        <v>64</v>
      </c>
      <c r="K484" s="7" t="s">
        <v>65</v>
      </c>
      <c r="L484" s="7" t="s">
        <v>66</v>
      </c>
      <c r="M484" s="7" t="n">
        <v>42.4</v>
      </c>
      <c r="N484" s="7" t="n">
        <v>5535</v>
      </c>
    </row>
    <row r="485" customFormat="false" ht="15" hidden="false" customHeight="false" outlineLevel="0" collapsed="false">
      <c r="A485" s="7" t="s">
        <v>59</v>
      </c>
      <c r="B485" s="7" t="s">
        <v>130</v>
      </c>
      <c r="C485" s="7" t="s">
        <v>130</v>
      </c>
      <c r="D485" s="7" t="s">
        <v>131</v>
      </c>
      <c r="E485" s="7" t="s">
        <v>132</v>
      </c>
      <c r="F485" s="7" t="n">
        <v>2015</v>
      </c>
      <c r="G485" s="7" t="s">
        <v>137</v>
      </c>
      <c r="H485" s="7" t="s">
        <v>87</v>
      </c>
      <c r="I485" s="7" t="n">
        <v>29</v>
      </c>
      <c r="J485" s="7" t="s">
        <v>64</v>
      </c>
      <c r="K485" s="7" t="s">
        <v>65</v>
      </c>
      <c r="L485" s="7" t="s">
        <v>66</v>
      </c>
      <c r="M485" s="7" t="n">
        <v>23.6</v>
      </c>
      <c r="N485" s="7" t="n">
        <v>5535</v>
      </c>
    </row>
    <row r="486" customFormat="false" ht="15" hidden="false" customHeight="false" outlineLevel="0" collapsed="false">
      <c r="A486" s="7" t="s">
        <v>59</v>
      </c>
      <c r="B486" s="7" t="s">
        <v>130</v>
      </c>
      <c r="C486" s="7" t="s">
        <v>130</v>
      </c>
      <c r="D486" s="7" t="s">
        <v>131</v>
      </c>
      <c r="E486" s="7" t="s">
        <v>132</v>
      </c>
      <c r="F486" s="7" t="n">
        <v>2015</v>
      </c>
      <c r="G486" s="7" t="s">
        <v>68</v>
      </c>
      <c r="H486" s="7" t="s">
        <v>78</v>
      </c>
      <c r="I486" s="7" t="n">
        <v>29</v>
      </c>
      <c r="J486" s="7" t="s">
        <v>64</v>
      </c>
      <c r="K486" s="7" t="s">
        <v>79</v>
      </c>
      <c r="L486" s="7" t="s">
        <v>66</v>
      </c>
      <c r="M486" s="7" t="n">
        <v>38.5</v>
      </c>
      <c r="N486" s="7" t="n">
        <v>5535</v>
      </c>
    </row>
    <row r="487" customFormat="false" ht="15" hidden="false" customHeight="false" outlineLevel="0" collapsed="false">
      <c r="A487" s="7" t="s">
        <v>59</v>
      </c>
      <c r="B487" s="7" t="s">
        <v>130</v>
      </c>
      <c r="C487" s="7" t="s">
        <v>130</v>
      </c>
      <c r="D487" s="7" t="s">
        <v>131</v>
      </c>
      <c r="E487" s="7" t="s">
        <v>132</v>
      </c>
      <c r="F487" s="7" t="n">
        <v>2015</v>
      </c>
      <c r="G487" s="7" t="s">
        <v>68</v>
      </c>
      <c r="H487" s="7" t="s">
        <v>86</v>
      </c>
      <c r="I487" s="7" t="n">
        <v>29</v>
      </c>
      <c r="J487" s="7" t="s">
        <v>64</v>
      </c>
      <c r="K487" s="7" t="s">
        <v>65</v>
      </c>
      <c r="L487" s="7" t="s">
        <v>66</v>
      </c>
      <c r="M487" s="7" t="n">
        <v>20.4</v>
      </c>
      <c r="N487" s="7" t="n">
        <v>5535</v>
      </c>
    </row>
    <row r="488" customFormat="false" ht="15" hidden="false" customHeight="false" outlineLevel="0" collapsed="false">
      <c r="A488" s="7" t="s">
        <v>59</v>
      </c>
      <c r="B488" s="7" t="s">
        <v>130</v>
      </c>
      <c r="C488" s="7" t="s">
        <v>130</v>
      </c>
      <c r="D488" s="7" t="s">
        <v>131</v>
      </c>
      <c r="E488" s="7" t="s">
        <v>132</v>
      </c>
      <c r="F488" s="7" t="n">
        <v>2015</v>
      </c>
      <c r="G488" s="7" t="s">
        <v>68</v>
      </c>
      <c r="H488" s="7" t="s">
        <v>63</v>
      </c>
      <c r="I488" s="7" t="n">
        <v>29</v>
      </c>
      <c r="J488" s="7" t="s">
        <v>64</v>
      </c>
      <c r="K488" s="7" t="s">
        <v>65</v>
      </c>
      <c r="L488" s="7" t="s">
        <v>66</v>
      </c>
      <c r="M488" s="7" t="n">
        <v>41.8</v>
      </c>
      <c r="N488" s="7" t="n">
        <v>5535</v>
      </c>
    </row>
    <row r="489" customFormat="false" ht="15" hidden="false" customHeight="false" outlineLevel="0" collapsed="false">
      <c r="A489" s="7" t="s">
        <v>59</v>
      </c>
      <c r="B489" s="7" t="s">
        <v>130</v>
      </c>
      <c r="C489" s="7" t="s">
        <v>130</v>
      </c>
      <c r="D489" s="7" t="s">
        <v>131</v>
      </c>
      <c r="E489" s="7" t="s">
        <v>132</v>
      </c>
      <c r="F489" s="7" t="n">
        <v>2015</v>
      </c>
      <c r="G489" s="7" t="s">
        <v>68</v>
      </c>
      <c r="H489" s="7" t="s">
        <v>87</v>
      </c>
      <c r="I489" s="7" t="n">
        <v>29</v>
      </c>
      <c r="J489" s="7" t="s">
        <v>64</v>
      </c>
      <c r="K489" s="7" t="s">
        <v>65</v>
      </c>
      <c r="L489" s="7" t="s">
        <v>66</v>
      </c>
      <c r="M489" s="7" t="n">
        <v>21.4</v>
      </c>
      <c r="N489" s="7" t="n">
        <v>5535</v>
      </c>
    </row>
    <row r="490" customFormat="false" ht="15" hidden="false" customHeight="false" outlineLevel="0" collapsed="false">
      <c r="A490" s="7" t="s">
        <v>59</v>
      </c>
      <c r="B490" s="7" t="s">
        <v>130</v>
      </c>
      <c r="C490" s="7" t="s">
        <v>130</v>
      </c>
      <c r="D490" s="7" t="s">
        <v>131</v>
      </c>
      <c r="E490" s="7" t="s">
        <v>132</v>
      </c>
      <c r="F490" s="7" t="n">
        <v>2015</v>
      </c>
      <c r="G490" s="7" t="s">
        <v>106</v>
      </c>
      <c r="H490" s="7" t="s">
        <v>63</v>
      </c>
      <c r="J490" s="7" t="s">
        <v>64</v>
      </c>
      <c r="L490" s="7" t="s">
        <v>71</v>
      </c>
      <c r="M490" s="7" t="n">
        <v>55.3</v>
      </c>
      <c r="N490" s="7" t="n">
        <v>11547</v>
      </c>
    </row>
    <row r="491" customFormat="false" ht="15" hidden="false" customHeight="false" outlineLevel="0" collapsed="false">
      <c r="A491" s="7" t="s">
        <v>59</v>
      </c>
      <c r="B491" s="7" t="s">
        <v>130</v>
      </c>
      <c r="C491" s="7" t="s">
        <v>130</v>
      </c>
      <c r="D491" s="7" t="s">
        <v>131</v>
      </c>
      <c r="E491" s="7" t="s">
        <v>132</v>
      </c>
      <c r="F491" s="7" t="n">
        <v>2015</v>
      </c>
      <c r="G491" s="7" t="s">
        <v>138</v>
      </c>
      <c r="H491" s="7" t="s">
        <v>78</v>
      </c>
      <c r="I491" s="7" t="n">
        <v>29</v>
      </c>
      <c r="J491" s="7" t="s">
        <v>64</v>
      </c>
      <c r="K491" s="7" t="s">
        <v>79</v>
      </c>
      <c r="L491" s="7" t="s">
        <v>66</v>
      </c>
      <c r="M491" s="7" t="n">
        <v>38.8</v>
      </c>
      <c r="N491" s="7" t="n">
        <v>5535</v>
      </c>
    </row>
    <row r="492" customFormat="false" ht="15" hidden="false" customHeight="false" outlineLevel="0" collapsed="false">
      <c r="A492" s="7" t="s">
        <v>59</v>
      </c>
      <c r="B492" s="7" t="s">
        <v>130</v>
      </c>
      <c r="C492" s="7" t="s">
        <v>130</v>
      </c>
      <c r="D492" s="7" t="s">
        <v>131</v>
      </c>
      <c r="E492" s="7" t="s">
        <v>132</v>
      </c>
      <c r="F492" s="7" t="n">
        <v>2015</v>
      </c>
      <c r="G492" s="7" t="s">
        <v>138</v>
      </c>
      <c r="H492" s="7" t="s">
        <v>86</v>
      </c>
      <c r="I492" s="7" t="n">
        <v>29</v>
      </c>
      <c r="J492" s="7" t="s">
        <v>64</v>
      </c>
      <c r="K492" s="7" t="s">
        <v>65</v>
      </c>
      <c r="L492" s="7" t="s">
        <v>66</v>
      </c>
      <c r="M492" s="7" t="n">
        <v>19.3</v>
      </c>
      <c r="N492" s="7" t="n">
        <v>5535</v>
      </c>
    </row>
    <row r="493" customFormat="false" ht="15" hidden="false" customHeight="false" outlineLevel="0" collapsed="false">
      <c r="A493" s="7" t="s">
        <v>59</v>
      </c>
      <c r="B493" s="7" t="s">
        <v>130</v>
      </c>
      <c r="C493" s="7" t="s">
        <v>130</v>
      </c>
      <c r="D493" s="7" t="s">
        <v>131</v>
      </c>
      <c r="E493" s="7" t="s">
        <v>132</v>
      </c>
      <c r="F493" s="7" t="n">
        <v>2015</v>
      </c>
      <c r="G493" s="7" t="s">
        <v>138</v>
      </c>
      <c r="H493" s="7" t="s">
        <v>63</v>
      </c>
      <c r="I493" s="7" t="n">
        <v>29</v>
      </c>
      <c r="J493" s="7" t="s">
        <v>64</v>
      </c>
      <c r="K493" s="7" t="s">
        <v>65</v>
      </c>
      <c r="L493" s="7" t="s">
        <v>66</v>
      </c>
      <c r="M493" s="7" t="n">
        <v>39.6</v>
      </c>
      <c r="N493" s="7" t="n">
        <v>5535</v>
      </c>
    </row>
    <row r="494" customFormat="false" ht="15" hidden="false" customHeight="false" outlineLevel="0" collapsed="false">
      <c r="A494" s="7" t="s">
        <v>59</v>
      </c>
      <c r="B494" s="7" t="s">
        <v>130</v>
      </c>
      <c r="C494" s="7" t="s">
        <v>130</v>
      </c>
      <c r="D494" s="7" t="s">
        <v>131</v>
      </c>
      <c r="E494" s="7" t="s">
        <v>132</v>
      </c>
      <c r="F494" s="7" t="n">
        <v>2015</v>
      </c>
      <c r="G494" s="7" t="s">
        <v>138</v>
      </c>
      <c r="H494" s="7" t="s">
        <v>87</v>
      </c>
      <c r="I494" s="7" t="n">
        <v>29</v>
      </c>
      <c r="J494" s="7" t="s">
        <v>64</v>
      </c>
      <c r="K494" s="7" t="s">
        <v>65</v>
      </c>
      <c r="L494" s="7" t="s">
        <v>66</v>
      </c>
      <c r="M494" s="7" t="n">
        <v>20.4</v>
      </c>
      <c r="N494" s="7" t="n">
        <v>5535</v>
      </c>
    </row>
    <row r="495" customFormat="false" ht="15" hidden="false" customHeight="false" outlineLevel="0" collapsed="false">
      <c r="A495" s="7" t="s">
        <v>59</v>
      </c>
      <c r="B495" s="7" t="s">
        <v>130</v>
      </c>
      <c r="C495" s="7" t="s">
        <v>130</v>
      </c>
      <c r="D495" s="7" t="s">
        <v>131</v>
      </c>
      <c r="E495" s="7" t="s">
        <v>132</v>
      </c>
      <c r="F495" s="7" t="n">
        <v>2015</v>
      </c>
      <c r="G495" s="7" t="s">
        <v>139</v>
      </c>
      <c r="H495" s="7" t="s">
        <v>78</v>
      </c>
      <c r="I495" s="7" t="n">
        <v>29</v>
      </c>
      <c r="J495" s="7" t="s">
        <v>64</v>
      </c>
      <c r="K495" s="7" t="s">
        <v>79</v>
      </c>
      <c r="L495" s="7" t="s">
        <v>66</v>
      </c>
      <c r="M495" s="7" t="n">
        <v>32.4</v>
      </c>
      <c r="N495" s="7" t="n">
        <v>5535</v>
      </c>
    </row>
    <row r="496" customFormat="false" ht="15" hidden="false" customHeight="false" outlineLevel="0" collapsed="false">
      <c r="A496" s="7" t="s">
        <v>59</v>
      </c>
      <c r="B496" s="7" t="s">
        <v>130</v>
      </c>
      <c r="C496" s="7" t="s">
        <v>130</v>
      </c>
      <c r="D496" s="7" t="s">
        <v>131</v>
      </c>
      <c r="E496" s="7" t="s">
        <v>132</v>
      </c>
      <c r="F496" s="7" t="n">
        <v>2015</v>
      </c>
      <c r="G496" s="7" t="s">
        <v>139</v>
      </c>
      <c r="H496" s="7" t="s">
        <v>86</v>
      </c>
      <c r="I496" s="7" t="n">
        <v>29</v>
      </c>
      <c r="J496" s="7" t="s">
        <v>64</v>
      </c>
      <c r="K496" s="7" t="s">
        <v>65</v>
      </c>
      <c r="L496" s="7" t="s">
        <v>66</v>
      </c>
      <c r="M496" s="7" t="n">
        <v>17.9</v>
      </c>
      <c r="N496" s="7" t="n">
        <v>5535</v>
      </c>
    </row>
    <row r="497" customFormat="false" ht="15" hidden="false" customHeight="false" outlineLevel="0" collapsed="false">
      <c r="A497" s="7" t="s">
        <v>59</v>
      </c>
      <c r="B497" s="7" t="s">
        <v>130</v>
      </c>
      <c r="C497" s="7" t="s">
        <v>130</v>
      </c>
      <c r="D497" s="7" t="s">
        <v>131</v>
      </c>
      <c r="E497" s="7" t="s">
        <v>132</v>
      </c>
      <c r="F497" s="7" t="n">
        <v>2015</v>
      </c>
      <c r="G497" s="7" t="s">
        <v>139</v>
      </c>
      <c r="H497" s="7" t="s">
        <v>63</v>
      </c>
      <c r="I497" s="7" t="n">
        <v>29</v>
      </c>
      <c r="J497" s="7" t="s">
        <v>64</v>
      </c>
      <c r="K497" s="7" t="s">
        <v>65</v>
      </c>
      <c r="L497" s="7" t="s">
        <v>66</v>
      </c>
      <c r="M497" s="7" t="n">
        <v>33.1</v>
      </c>
      <c r="N497" s="7" t="n">
        <v>5535</v>
      </c>
    </row>
    <row r="498" customFormat="false" ht="15" hidden="false" customHeight="false" outlineLevel="0" collapsed="false">
      <c r="A498" s="7" t="s">
        <v>59</v>
      </c>
      <c r="B498" s="7" t="s">
        <v>130</v>
      </c>
      <c r="C498" s="7" t="s">
        <v>130</v>
      </c>
      <c r="D498" s="7" t="s">
        <v>131</v>
      </c>
      <c r="E498" s="7" t="s">
        <v>132</v>
      </c>
      <c r="F498" s="7" t="n">
        <v>2015</v>
      </c>
      <c r="G498" s="7" t="s">
        <v>139</v>
      </c>
      <c r="H498" s="7" t="s">
        <v>87</v>
      </c>
      <c r="I498" s="7" t="n">
        <v>29</v>
      </c>
      <c r="J498" s="7" t="s">
        <v>64</v>
      </c>
      <c r="K498" s="7" t="s">
        <v>65</v>
      </c>
      <c r="L498" s="7" t="s">
        <v>66</v>
      </c>
      <c r="M498" s="7" t="n">
        <v>15.2</v>
      </c>
      <c r="N498" s="7" t="n">
        <v>5535</v>
      </c>
    </row>
    <row r="499" customFormat="false" ht="15" hidden="false" customHeight="false" outlineLevel="0" collapsed="false">
      <c r="A499" s="7" t="s">
        <v>59</v>
      </c>
      <c r="B499" s="7" t="s">
        <v>130</v>
      </c>
      <c r="C499" s="7" t="s">
        <v>130</v>
      </c>
      <c r="D499" s="7" t="s">
        <v>131</v>
      </c>
      <c r="E499" s="7" t="s">
        <v>132</v>
      </c>
      <c r="F499" s="7" t="n">
        <v>2015</v>
      </c>
      <c r="G499" s="7" t="s">
        <v>140</v>
      </c>
      <c r="H499" s="7" t="s">
        <v>78</v>
      </c>
      <c r="I499" s="7" t="n">
        <v>29</v>
      </c>
      <c r="J499" s="7" t="s">
        <v>64</v>
      </c>
      <c r="K499" s="7" t="s">
        <v>79</v>
      </c>
      <c r="L499" s="7" t="s">
        <v>66</v>
      </c>
      <c r="M499" s="7" t="n">
        <v>26.2</v>
      </c>
      <c r="N499" s="7" t="n">
        <v>5535</v>
      </c>
    </row>
    <row r="500" customFormat="false" ht="15" hidden="false" customHeight="false" outlineLevel="0" collapsed="false">
      <c r="A500" s="7" t="s">
        <v>59</v>
      </c>
      <c r="B500" s="7" t="s">
        <v>130</v>
      </c>
      <c r="C500" s="7" t="s">
        <v>130</v>
      </c>
      <c r="D500" s="7" t="s">
        <v>131</v>
      </c>
      <c r="E500" s="7" t="s">
        <v>132</v>
      </c>
      <c r="F500" s="7" t="n">
        <v>2015</v>
      </c>
      <c r="G500" s="7" t="s">
        <v>140</v>
      </c>
      <c r="H500" s="7" t="s">
        <v>86</v>
      </c>
      <c r="I500" s="7" t="n">
        <v>29</v>
      </c>
      <c r="J500" s="7" t="s">
        <v>64</v>
      </c>
      <c r="K500" s="7" t="s">
        <v>65</v>
      </c>
      <c r="L500" s="7" t="s">
        <v>66</v>
      </c>
      <c r="M500" s="7" t="n">
        <v>16.6</v>
      </c>
      <c r="N500" s="7" t="n">
        <v>5535</v>
      </c>
    </row>
    <row r="501" customFormat="false" ht="15" hidden="false" customHeight="false" outlineLevel="0" collapsed="false">
      <c r="A501" s="7" t="s">
        <v>59</v>
      </c>
      <c r="B501" s="7" t="s">
        <v>130</v>
      </c>
      <c r="C501" s="7" t="s">
        <v>130</v>
      </c>
      <c r="D501" s="7" t="s">
        <v>131</v>
      </c>
      <c r="E501" s="7" t="s">
        <v>132</v>
      </c>
      <c r="F501" s="7" t="n">
        <v>2015</v>
      </c>
      <c r="G501" s="7" t="s">
        <v>140</v>
      </c>
      <c r="H501" s="7" t="s">
        <v>63</v>
      </c>
      <c r="I501" s="7" t="n">
        <v>29</v>
      </c>
      <c r="J501" s="7" t="s">
        <v>64</v>
      </c>
      <c r="K501" s="7" t="s">
        <v>65</v>
      </c>
      <c r="L501" s="7" t="s">
        <v>66</v>
      </c>
      <c r="M501" s="7" t="n">
        <v>27.2</v>
      </c>
      <c r="N501" s="7" t="n">
        <v>5535</v>
      </c>
    </row>
    <row r="502" customFormat="false" ht="15" hidden="false" customHeight="false" outlineLevel="0" collapsed="false">
      <c r="A502" s="7" t="s">
        <v>59</v>
      </c>
      <c r="B502" s="7" t="s">
        <v>130</v>
      </c>
      <c r="C502" s="7" t="s">
        <v>130</v>
      </c>
      <c r="D502" s="7" t="s">
        <v>131</v>
      </c>
      <c r="E502" s="7" t="s">
        <v>132</v>
      </c>
      <c r="F502" s="7" t="n">
        <v>2015</v>
      </c>
      <c r="G502" s="7" t="s">
        <v>140</v>
      </c>
      <c r="H502" s="7" t="s">
        <v>87</v>
      </c>
      <c r="I502" s="7" t="n">
        <v>29</v>
      </c>
      <c r="J502" s="7" t="s">
        <v>64</v>
      </c>
      <c r="K502" s="7" t="s">
        <v>65</v>
      </c>
      <c r="L502" s="7" t="s">
        <v>66</v>
      </c>
      <c r="M502" s="7" t="n">
        <v>10.7</v>
      </c>
      <c r="N502" s="7" t="n">
        <v>5535</v>
      </c>
    </row>
    <row r="503" customFormat="false" ht="15" hidden="false" customHeight="false" outlineLevel="0" collapsed="false">
      <c r="A503" s="7" t="s">
        <v>59</v>
      </c>
      <c r="B503" s="7" t="s">
        <v>130</v>
      </c>
      <c r="C503" s="7" t="s">
        <v>130</v>
      </c>
      <c r="D503" s="7" t="s">
        <v>131</v>
      </c>
      <c r="E503" s="7" t="s">
        <v>132</v>
      </c>
      <c r="F503" s="7" t="n">
        <v>2015</v>
      </c>
      <c r="G503" s="7" t="s">
        <v>83</v>
      </c>
      <c r="H503" s="7" t="s">
        <v>78</v>
      </c>
      <c r="I503" s="7" t="n">
        <v>29</v>
      </c>
      <c r="J503" s="7" t="s">
        <v>64</v>
      </c>
      <c r="K503" s="7" t="s">
        <v>79</v>
      </c>
      <c r="L503" s="7" t="s">
        <v>66</v>
      </c>
      <c r="M503" s="7" t="n">
        <v>49.8</v>
      </c>
      <c r="N503" s="7" t="n">
        <v>5535</v>
      </c>
    </row>
    <row r="504" customFormat="false" ht="15" hidden="false" customHeight="false" outlineLevel="0" collapsed="false">
      <c r="A504" s="7" t="s">
        <v>59</v>
      </c>
      <c r="B504" s="7" t="s">
        <v>130</v>
      </c>
      <c r="C504" s="7" t="s">
        <v>130</v>
      </c>
      <c r="D504" s="7" t="s">
        <v>131</v>
      </c>
      <c r="E504" s="7" t="s">
        <v>132</v>
      </c>
      <c r="F504" s="7" t="n">
        <v>2015</v>
      </c>
      <c r="G504" s="7" t="s">
        <v>83</v>
      </c>
      <c r="H504" s="7" t="s">
        <v>86</v>
      </c>
      <c r="I504" s="7" t="n">
        <v>29</v>
      </c>
      <c r="J504" s="7" t="s">
        <v>64</v>
      </c>
      <c r="K504" s="7" t="s">
        <v>65</v>
      </c>
      <c r="L504" s="7" t="s">
        <v>66</v>
      </c>
      <c r="M504" s="7" t="n">
        <v>25.5</v>
      </c>
      <c r="N504" s="7" t="n">
        <v>5535</v>
      </c>
    </row>
    <row r="505" customFormat="false" ht="15" hidden="false" customHeight="false" outlineLevel="0" collapsed="false">
      <c r="A505" s="7" t="s">
        <v>59</v>
      </c>
      <c r="B505" s="7" t="s">
        <v>130</v>
      </c>
      <c r="C505" s="7" t="s">
        <v>130</v>
      </c>
      <c r="D505" s="7" t="s">
        <v>131</v>
      </c>
      <c r="E505" s="7" t="s">
        <v>132</v>
      </c>
      <c r="F505" s="7" t="n">
        <v>2015</v>
      </c>
      <c r="G505" s="7" t="s">
        <v>83</v>
      </c>
      <c r="H505" s="7" t="s">
        <v>63</v>
      </c>
      <c r="I505" s="7" t="n">
        <v>29</v>
      </c>
      <c r="J505" s="7" t="s">
        <v>64</v>
      </c>
      <c r="K505" s="7" t="s">
        <v>65</v>
      </c>
      <c r="L505" s="7" t="s">
        <v>66</v>
      </c>
      <c r="M505" s="7" t="n">
        <v>50.4</v>
      </c>
      <c r="N505" s="7" t="n">
        <v>5535</v>
      </c>
    </row>
    <row r="506" customFormat="false" ht="15" hidden="false" customHeight="false" outlineLevel="0" collapsed="false">
      <c r="A506" s="7" t="s">
        <v>59</v>
      </c>
      <c r="B506" s="7" t="s">
        <v>130</v>
      </c>
      <c r="C506" s="7" t="s">
        <v>130</v>
      </c>
      <c r="D506" s="7" t="s">
        <v>131</v>
      </c>
      <c r="E506" s="7" t="s">
        <v>132</v>
      </c>
      <c r="F506" s="7" t="n">
        <v>2015</v>
      </c>
      <c r="G506" s="7" t="s">
        <v>83</v>
      </c>
      <c r="H506" s="7" t="s">
        <v>87</v>
      </c>
      <c r="I506" s="7" t="n">
        <v>29</v>
      </c>
      <c r="J506" s="7" t="s">
        <v>64</v>
      </c>
      <c r="K506" s="7" t="s">
        <v>65</v>
      </c>
      <c r="L506" s="7" t="s">
        <v>66</v>
      </c>
      <c r="M506" s="7" t="n">
        <v>25</v>
      </c>
      <c r="N506" s="7" t="n">
        <v>5535</v>
      </c>
    </row>
    <row r="507" customFormat="false" ht="15" hidden="false" customHeight="false" outlineLevel="0" collapsed="false">
      <c r="A507" s="7" t="s">
        <v>59</v>
      </c>
      <c r="B507" s="7" t="s">
        <v>130</v>
      </c>
      <c r="C507" s="7" t="s">
        <v>130</v>
      </c>
      <c r="D507" s="7" t="s">
        <v>131</v>
      </c>
      <c r="E507" s="7" t="s">
        <v>132</v>
      </c>
      <c r="F507" s="7" t="n">
        <v>2015</v>
      </c>
      <c r="G507" s="7" t="s">
        <v>141</v>
      </c>
      <c r="H507" s="7" t="s">
        <v>78</v>
      </c>
      <c r="I507" s="7" t="n">
        <v>29</v>
      </c>
      <c r="J507" s="7" t="s">
        <v>64</v>
      </c>
      <c r="K507" s="7" t="s">
        <v>79</v>
      </c>
      <c r="L507" s="7" t="s">
        <v>66</v>
      </c>
      <c r="M507" s="7" t="n">
        <v>43</v>
      </c>
      <c r="N507" s="7" t="n">
        <v>5535</v>
      </c>
    </row>
    <row r="508" customFormat="false" ht="15" hidden="false" customHeight="false" outlineLevel="0" collapsed="false">
      <c r="A508" s="7" t="s">
        <v>59</v>
      </c>
      <c r="B508" s="7" t="s">
        <v>130</v>
      </c>
      <c r="C508" s="7" t="s">
        <v>130</v>
      </c>
      <c r="D508" s="7" t="s">
        <v>131</v>
      </c>
      <c r="E508" s="7" t="s">
        <v>132</v>
      </c>
      <c r="F508" s="7" t="n">
        <v>2015</v>
      </c>
      <c r="G508" s="7" t="s">
        <v>141</v>
      </c>
      <c r="H508" s="7" t="s">
        <v>86</v>
      </c>
      <c r="I508" s="7" t="n">
        <v>29</v>
      </c>
      <c r="J508" s="7" t="s">
        <v>64</v>
      </c>
      <c r="K508" s="7" t="s">
        <v>65</v>
      </c>
      <c r="L508" s="7" t="s">
        <v>66</v>
      </c>
      <c r="M508" s="7" t="n">
        <v>23.3</v>
      </c>
      <c r="N508" s="7" t="n">
        <v>5535</v>
      </c>
    </row>
    <row r="509" customFormat="false" ht="15" hidden="false" customHeight="false" outlineLevel="0" collapsed="false">
      <c r="A509" s="7" t="s">
        <v>59</v>
      </c>
      <c r="B509" s="7" t="s">
        <v>130</v>
      </c>
      <c r="C509" s="7" t="s">
        <v>130</v>
      </c>
      <c r="D509" s="7" t="s">
        <v>131</v>
      </c>
      <c r="E509" s="7" t="s">
        <v>132</v>
      </c>
      <c r="F509" s="7" t="n">
        <v>2015</v>
      </c>
      <c r="G509" s="7" t="s">
        <v>141</v>
      </c>
      <c r="H509" s="7" t="s">
        <v>63</v>
      </c>
      <c r="I509" s="7" t="n">
        <v>29</v>
      </c>
      <c r="J509" s="7" t="s">
        <v>64</v>
      </c>
      <c r="K509" s="7" t="s">
        <v>65</v>
      </c>
      <c r="L509" s="7" t="s">
        <v>66</v>
      </c>
      <c r="M509" s="7" t="n">
        <v>43.5</v>
      </c>
      <c r="N509" s="7" t="n">
        <v>5535</v>
      </c>
    </row>
    <row r="510" customFormat="false" ht="15" hidden="false" customHeight="false" outlineLevel="0" collapsed="false">
      <c r="A510" s="7" t="s">
        <v>59</v>
      </c>
      <c r="B510" s="7" t="s">
        <v>130</v>
      </c>
      <c r="C510" s="7" t="s">
        <v>130</v>
      </c>
      <c r="D510" s="7" t="s">
        <v>131</v>
      </c>
      <c r="E510" s="7" t="s">
        <v>132</v>
      </c>
      <c r="F510" s="7" t="n">
        <v>2015</v>
      </c>
      <c r="G510" s="7" t="s">
        <v>141</v>
      </c>
      <c r="H510" s="7" t="s">
        <v>87</v>
      </c>
      <c r="I510" s="7" t="n">
        <v>29</v>
      </c>
      <c r="J510" s="7" t="s">
        <v>64</v>
      </c>
      <c r="K510" s="7" t="s">
        <v>65</v>
      </c>
      <c r="L510" s="7" t="s">
        <v>66</v>
      </c>
      <c r="M510" s="7" t="n">
        <v>20.2</v>
      </c>
      <c r="N510" s="7" t="n">
        <v>5535</v>
      </c>
    </row>
    <row r="511" customFormat="false" ht="15" hidden="false" customHeight="false" outlineLevel="0" collapsed="false">
      <c r="A511" s="7" t="s">
        <v>59</v>
      </c>
      <c r="B511" s="7" t="s">
        <v>130</v>
      </c>
      <c r="C511" s="7" t="s">
        <v>130</v>
      </c>
      <c r="D511" s="7" t="s">
        <v>131</v>
      </c>
      <c r="E511" s="7" t="s">
        <v>132</v>
      </c>
      <c r="F511" s="7" t="n">
        <v>2015</v>
      </c>
      <c r="G511" s="7" t="s">
        <v>69</v>
      </c>
      <c r="H511" s="7" t="s">
        <v>78</v>
      </c>
      <c r="I511" s="7" t="n">
        <v>29</v>
      </c>
      <c r="J511" s="7" t="s">
        <v>64</v>
      </c>
      <c r="K511" s="7" t="s">
        <v>79</v>
      </c>
      <c r="L511" s="7" t="s">
        <v>66</v>
      </c>
      <c r="M511" s="7" t="n">
        <v>34</v>
      </c>
      <c r="N511" s="7" t="n">
        <v>5535</v>
      </c>
    </row>
    <row r="512" customFormat="false" ht="15" hidden="false" customHeight="false" outlineLevel="0" collapsed="false">
      <c r="A512" s="7" t="s">
        <v>59</v>
      </c>
      <c r="B512" s="7" t="s">
        <v>130</v>
      </c>
      <c r="C512" s="7" t="s">
        <v>130</v>
      </c>
      <c r="D512" s="7" t="s">
        <v>131</v>
      </c>
      <c r="E512" s="7" t="s">
        <v>132</v>
      </c>
      <c r="F512" s="7" t="n">
        <v>2015</v>
      </c>
      <c r="G512" s="7" t="s">
        <v>69</v>
      </c>
      <c r="H512" s="7" t="s">
        <v>86</v>
      </c>
      <c r="I512" s="7" t="n">
        <v>29</v>
      </c>
      <c r="J512" s="7" t="s">
        <v>64</v>
      </c>
      <c r="K512" s="7" t="s">
        <v>65</v>
      </c>
      <c r="L512" s="7" t="s">
        <v>66</v>
      </c>
      <c r="M512" s="7" t="n">
        <v>21.4</v>
      </c>
      <c r="N512" s="7" t="n">
        <v>5535</v>
      </c>
    </row>
    <row r="513" customFormat="false" ht="15" hidden="false" customHeight="false" outlineLevel="0" collapsed="false">
      <c r="A513" s="7" t="s">
        <v>59</v>
      </c>
      <c r="B513" s="7" t="s">
        <v>130</v>
      </c>
      <c r="C513" s="7" t="s">
        <v>130</v>
      </c>
      <c r="D513" s="7" t="s">
        <v>131</v>
      </c>
      <c r="E513" s="7" t="s">
        <v>132</v>
      </c>
      <c r="F513" s="7" t="n">
        <v>2015</v>
      </c>
      <c r="G513" s="7" t="s">
        <v>69</v>
      </c>
      <c r="H513" s="7" t="s">
        <v>63</v>
      </c>
      <c r="I513" s="7" t="n">
        <v>29</v>
      </c>
      <c r="J513" s="7" t="s">
        <v>64</v>
      </c>
      <c r="K513" s="7" t="s">
        <v>65</v>
      </c>
      <c r="L513" s="7" t="s">
        <v>66</v>
      </c>
      <c r="M513" s="7" t="n">
        <v>34.7</v>
      </c>
      <c r="N513" s="7" t="n">
        <v>5535</v>
      </c>
    </row>
    <row r="514" customFormat="false" ht="15" hidden="false" customHeight="false" outlineLevel="0" collapsed="false">
      <c r="A514" s="7" t="s">
        <v>59</v>
      </c>
      <c r="B514" s="7" t="s">
        <v>130</v>
      </c>
      <c r="C514" s="7" t="s">
        <v>130</v>
      </c>
      <c r="D514" s="7" t="s">
        <v>131</v>
      </c>
      <c r="E514" s="7" t="s">
        <v>132</v>
      </c>
      <c r="F514" s="7" t="n">
        <v>2015</v>
      </c>
      <c r="G514" s="7" t="s">
        <v>69</v>
      </c>
      <c r="H514" s="7" t="s">
        <v>87</v>
      </c>
      <c r="I514" s="7" t="n">
        <v>29</v>
      </c>
      <c r="J514" s="7" t="s">
        <v>64</v>
      </c>
      <c r="K514" s="7" t="s">
        <v>65</v>
      </c>
      <c r="L514" s="7" t="s">
        <v>66</v>
      </c>
      <c r="M514" s="7" t="n">
        <v>13.3</v>
      </c>
      <c r="N514" s="7" t="n">
        <v>5535</v>
      </c>
    </row>
    <row r="515" customFormat="false" ht="15" hidden="false" customHeight="false" outlineLevel="0" collapsed="false">
      <c r="A515" s="7" t="s">
        <v>59</v>
      </c>
      <c r="B515" s="7" t="s">
        <v>130</v>
      </c>
      <c r="C515" s="7" t="s">
        <v>130</v>
      </c>
      <c r="D515" s="7" t="s">
        <v>131</v>
      </c>
      <c r="E515" s="7" t="s">
        <v>132</v>
      </c>
      <c r="F515" s="7" t="n">
        <v>2015</v>
      </c>
      <c r="G515" s="7" t="s">
        <v>72</v>
      </c>
      <c r="H515" s="7" t="s">
        <v>63</v>
      </c>
      <c r="J515" s="7" t="s">
        <v>64</v>
      </c>
      <c r="L515" s="7" t="s">
        <v>71</v>
      </c>
      <c r="M515" s="7" t="n">
        <v>47.7</v>
      </c>
      <c r="N515" s="7" t="n">
        <v>11547</v>
      </c>
    </row>
    <row r="516" customFormat="false" ht="15" hidden="false" customHeight="false" outlineLevel="0" collapsed="false">
      <c r="A516" s="7" t="s">
        <v>59</v>
      </c>
      <c r="B516" s="7" t="s">
        <v>130</v>
      </c>
      <c r="C516" s="7" t="s">
        <v>130</v>
      </c>
      <c r="D516" s="7" t="s">
        <v>131</v>
      </c>
      <c r="E516" s="7" t="s">
        <v>132</v>
      </c>
      <c r="F516" s="7" t="n">
        <v>2015</v>
      </c>
      <c r="G516" s="7" t="s">
        <v>111</v>
      </c>
      <c r="H516" s="7" t="s">
        <v>78</v>
      </c>
      <c r="I516" s="7" t="n">
        <v>29</v>
      </c>
      <c r="J516" s="7" t="s">
        <v>64</v>
      </c>
      <c r="K516" s="7" t="s">
        <v>79</v>
      </c>
      <c r="L516" s="7" t="s">
        <v>66</v>
      </c>
      <c r="M516" s="7" t="n">
        <v>36</v>
      </c>
      <c r="N516" s="7" t="n">
        <v>5535</v>
      </c>
    </row>
    <row r="517" customFormat="false" ht="15" hidden="false" customHeight="false" outlineLevel="0" collapsed="false">
      <c r="A517" s="7" t="s">
        <v>59</v>
      </c>
      <c r="B517" s="7" t="s">
        <v>130</v>
      </c>
      <c r="C517" s="7" t="s">
        <v>130</v>
      </c>
      <c r="D517" s="7" t="s">
        <v>131</v>
      </c>
      <c r="E517" s="7" t="s">
        <v>132</v>
      </c>
      <c r="F517" s="7" t="n">
        <v>2015</v>
      </c>
      <c r="G517" s="7" t="s">
        <v>111</v>
      </c>
      <c r="H517" s="7" t="s">
        <v>86</v>
      </c>
      <c r="I517" s="7" t="n">
        <v>29</v>
      </c>
      <c r="J517" s="7" t="s">
        <v>64</v>
      </c>
      <c r="K517" s="7" t="s">
        <v>65</v>
      </c>
      <c r="L517" s="7" t="s">
        <v>66</v>
      </c>
      <c r="M517" s="7" t="n">
        <v>19.6</v>
      </c>
      <c r="N517" s="7" t="n">
        <v>5535</v>
      </c>
    </row>
    <row r="518" customFormat="false" ht="15" hidden="false" customHeight="false" outlineLevel="0" collapsed="false">
      <c r="A518" s="7" t="s">
        <v>59</v>
      </c>
      <c r="B518" s="7" t="s">
        <v>130</v>
      </c>
      <c r="C518" s="7" t="s">
        <v>130</v>
      </c>
      <c r="D518" s="7" t="s">
        <v>131</v>
      </c>
      <c r="E518" s="7" t="s">
        <v>132</v>
      </c>
      <c r="F518" s="7" t="n">
        <v>2015</v>
      </c>
      <c r="G518" s="7" t="s">
        <v>111</v>
      </c>
      <c r="H518" s="7" t="s">
        <v>63</v>
      </c>
      <c r="I518" s="7" t="n">
        <v>29</v>
      </c>
      <c r="J518" s="7" t="s">
        <v>64</v>
      </c>
      <c r="K518" s="7" t="s">
        <v>65</v>
      </c>
      <c r="L518" s="7" t="s">
        <v>66</v>
      </c>
      <c r="M518" s="7" t="n">
        <v>39</v>
      </c>
      <c r="N518" s="7" t="n">
        <v>5535</v>
      </c>
    </row>
    <row r="519" customFormat="false" ht="15" hidden="false" customHeight="false" outlineLevel="0" collapsed="false">
      <c r="A519" s="7" t="s">
        <v>59</v>
      </c>
      <c r="B519" s="7" t="s">
        <v>130</v>
      </c>
      <c r="C519" s="7" t="s">
        <v>130</v>
      </c>
      <c r="D519" s="7" t="s">
        <v>131</v>
      </c>
      <c r="E519" s="7" t="s">
        <v>132</v>
      </c>
      <c r="F519" s="7" t="n">
        <v>2015</v>
      </c>
      <c r="G519" s="7" t="s">
        <v>111</v>
      </c>
      <c r="H519" s="7" t="s">
        <v>87</v>
      </c>
      <c r="I519" s="7" t="n">
        <v>29</v>
      </c>
      <c r="J519" s="7" t="s">
        <v>64</v>
      </c>
      <c r="K519" s="7" t="s">
        <v>65</v>
      </c>
      <c r="L519" s="7" t="s">
        <v>66</v>
      </c>
      <c r="M519" s="7" t="n">
        <v>19.3</v>
      </c>
      <c r="N519" s="7" t="n">
        <v>5535</v>
      </c>
    </row>
    <row r="520" customFormat="false" ht="15" hidden="false" customHeight="false" outlineLevel="0" collapsed="false">
      <c r="A520" s="7" t="s">
        <v>59</v>
      </c>
      <c r="B520" s="7" t="s">
        <v>145</v>
      </c>
      <c r="C520" s="7" t="s">
        <v>145</v>
      </c>
      <c r="D520" s="7" t="s">
        <v>146</v>
      </c>
      <c r="E520" s="7" t="s">
        <v>147</v>
      </c>
      <c r="F520" s="7" t="n">
        <v>2016</v>
      </c>
      <c r="G520" s="7" t="s">
        <v>62</v>
      </c>
      <c r="H520" s="7" t="s">
        <v>78</v>
      </c>
      <c r="J520" s="7" t="s">
        <v>64</v>
      </c>
      <c r="K520" s="7" t="s">
        <v>79</v>
      </c>
      <c r="L520" s="7" t="s">
        <v>91</v>
      </c>
      <c r="M520" s="7" t="n">
        <v>63.2</v>
      </c>
      <c r="N520" s="7" t="n">
        <v>5835</v>
      </c>
    </row>
    <row r="521" customFormat="false" ht="15" hidden="false" customHeight="false" outlineLevel="0" collapsed="false">
      <c r="A521" s="7" t="s">
        <v>59</v>
      </c>
      <c r="B521" s="7" t="s">
        <v>145</v>
      </c>
      <c r="C521" s="7" t="s">
        <v>145</v>
      </c>
      <c r="D521" s="7" t="s">
        <v>146</v>
      </c>
      <c r="E521" s="7" t="s">
        <v>147</v>
      </c>
      <c r="F521" s="7" t="n">
        <v>2016</v>
      </c>
      <c r="G521" s="7" t="s">
        <v>62</v>
      </c>
      <c r="H521" s="7" t="s">
        <v>86</v>
      </c>
      <c r="J521" s="7" t="s">
        <v>64</v>
      </c>
      <c r="K521" s="7" t="s">
        <v>133</v>
      </c>
      <c r="L521" s="7" t="s">
        <v>91</v>
      </c>
      <c r="M521" s="7" t="n">
        <v>27.9</v>
      </c>
      <c r="N521" s="7" t="n">
        <v>1715</v>
      </c>
    </row>
    <row r="522" customFormat="false" ht="15" hidden="false" customHeight="false" outlineLevel="0" collapsed="false">
      <c r="A522" s="7" t="s">
        <v>59</v>
      </c>
      <c r="B522" s="7" t="s">
        <v>145</v>
      </c>
      <c r="C522" s="7" t="s">
        <v>145</v>
      </c>
      <c r="D522" s="7" t="s">
        <v>146</v>
      </c>
      <c r="E522" s="7" t="s">
        <v>147</v>
      </c>
      <c r="F522" s="7" t="n">
        <v>2016</v>
      </c>
      <c r="G522" s="7" t="s">
        <v>62</v>
      </c>
      <c r="H522" s="7" t="s">
        <v>63</v>
      </c>
      <c r="J522" s="7" t="s">
        <v>64</v>
      </c>
      <c r="K522" s="7" t="s">
        <v>133</v>
      </c>
      <c r="L522" s="7" t="s">
        <v>91</v>
      </c>
      <c r="M522" s="7" t="n">
        <v>64.4</v>
      </c>
      <c r="N522" s="7" t="n">
        <v>5835</v>
      </c>
    </row>
    <row r="523" customFormat="false" ht="15" hidden="false" customHeight="false" outlineLevel="0" collapsed="false">
      <c r="A523" s="7" t="s">
        <v>59</v>
      </c>
      <c r="B523" s="7" t="s">
        <v>145</v>
      </c>
      <c r="C523" s="7" t="s">
        <v>145</v>
      </c>
      <c r="D523" s="7" t="s">
        <v>146</v>
      </c>
      <c r="E523" s="7" t="s">
        <v>147</v>
      </c>
      <c r="F523" s="7" t="n">
        <v>2016</v>
      </c>
      <c r="G523" s="7" t="s">
        <v>62</v>
      </c>
      <c r="H523" s="7" t="s">
        <v>87</v>
      </c>
      <c r="J523" s="7" t="s">
        <v>64</v>
      </c>
      <c r="K523" s="7" t="s">
        <v>133</v>
      </c>
      <c r="L523" s="7" t="s">
        <v>91</v>
      </c>
      <c r="M523" s="7" t="n">
        <v>36.5</v>
      </c>
      <c r="N523" s="7" t="n">
        <v>4120</v>
      </c>
    </row>
    <row r="524" customFormat="false" ht="15" hidden="false" customHeight="false" outlineLevel="0" collapsed="false">
      <c r="A524" s="7" t="s">
        <v>59</v>
      </c>
      <c r="B524" s="7" t="s">
        <v>145</v>
      </c>
      <c r="C524" s="7" t="s">
        <v>145</v>
      </c>
      <c r="D524" s="7" t="s">
        <v>146</v>
      </c>
      <c r="E524" s="7" t="s">
        <v>147</v>
      </c>
      <c r="F524" s="7" t="n">
        <v>2016</v>
      </c>
      <c r="G524" s="7" t="s">
        <v>81</v>
      </c>
      <c r="H524" s="7" t="s">
        <v>78</v>
      </c>
      <c r="J524" s="7" t="s">
        <v>64</v>
      </c>
      <c r="K524" s="7" t="s">
        <v>79</v>
      </c>
      <c r="L524" s="7" t="s">
        <v>91</v>
      </c>
      <c r="M524" s="7" t="n">
        <v>60.4</v>
      </c>
      <c r="N524" s="7" t="n">
        <v>5835</v>
      </c>
    </row>
    <row r="525" customFormat="false" ht="15" hidden="false" customHeight="false" outlineLevel="0" collapsed="false">
      <c r="A525" s="7" t="s">
        <v>59</v>
      </c>
      <c r="B525" s="7" t="s">
        <v>145</v>
      </c>
      <c r="C525" s="7" t="s">
        <v>145</v>
      </c>
      <c r="D525" s="7" t="s">
        <v>146</v>
      </c>
      <c r="E525" s="7" t="s">
        <v>147</v>
      </c>
      <c r="F525" s="7" t="n">
        <v>2016</v>
      </c>
      <c r="G525" s="7" t="s">
        <v>81</v>
      </c>
      <c r="H525" s="7" t="s">
        <v>86</v>
      </c>
      <c r="J525" s="7" t="s">
        <v>64</v>
      </c>
      <c r="K525" s="7" t="s">
        <v>133</v>
      </c>
      <c r="L525" s="7" t="s">
        <v>91</v>
      </c>
      <c r="M525" s="7" t="n">
        <v>27.5</v>
      </c>
      <c r="N525" s="7" t="n">
        <v>1715</v>
      </c>
    </row>
    <row r="526" customFormat="false" ht="15" hidden="false" customHeight="false" outlineLevel="0" collapsed="false">
      <c r="A526" s="7" t="s">
        <v>59</v>
      </c>
      <c r="B526" s="7" t="s">
        <v>145</v>
      </c>
      <c r="C526" s="7" t="s">
        <v>145</v>
      </c>
      <c r="D526" s="7" t="s">
        <v>146</v>
      </c>
      <c r="E526" s="7" t="s">
        <v>147</v>
      </c>
      <c r="F526" s="7" t="n">
        <v>2016</v>
      </c>
      <c r="G526" s="7" t="s">
        <v>81</v>
      </c>
      <c r="H526" s="7" t="s">
        <v>63</v>
      </c>
      <c r="J526" s="7" t="s">
        <v>64</v>
      </c>
      <c r="K526" s="7" t="s">
        <v>133</v>
      </c>
      <c r="L526" s="7" t="s">
        <v>91</v>
      </c>
      <c r="M526" s="7" t="n">
        <v>61.8</v>
      </c>
      <c r="N526" s="7" t="n">
        <v>5835</v>
      </c>
    </row>
    <row r="527" customFormat="false" ht="15" hidden="false" customHeight="false" outlineLevel="0" collapsed="false">
      <c r="A527" s="7" t="s">
        <v>59</v>
      </c>
      <c r="B527" s="7" t="s">
        <v>145</v>
      </c>
      <c r="C527" s="7" t="s">
        <v>145</v>
      </c>
      <c r="D527" s="7" t="s">
        <v>146</v>
      </c>
      <c r="E527" s="7" t="s">
        <v>147</v>
      </c>
      <c r="F527" s="7" t="n">
        <v>2016</v>
      </c>
      <c r="G527" s="7" t="s">
        <v>81</v>
      </c>
      <c r="H527" s="7" t="s">
        <v>87</v>
      </c>
      <c r="J527" s="7" t="s">
        <v>64</v>
      </c>
      <c r="K527" s="7" t="s">
        <v>133</v>
      </c>
      <c r="L527" s="7" t="s">
        <v>91</v>
      </c>
      <c r="M527" s="7" t="n">
        <v>34.3</v>
      </c>
      <c r="N527" s="7" t="n">
        <v>4120</v>
      </c>
    </row>
    <row r="528" customFormat="false" ht="15" hidden="false" customHeight="false" outlineLevel="0" collapsed="false">
      <c r="A528" s="7" t="s">
        <v>59</v>
      </c>
      <c r="B528" s="7" t="s">
        <v>145</v>
      </c>
      <c r="C528" s="7" t="s">
        <v>145</v>
      </c>
      <c r="D528" s="7" t="s">
        <v>146</v>
      </c>
      <c r="E528" s="7" t="s">
        <v>147</v>
      </c>
      <c r="F528" s="7" t="n">
        <v>2016</v>
      </c>
      <c r="G528" s="7" t="s">
        <v>134</v>
      </c>
      <c r="H528" s="7" t="s">
        <v>78</v>
      </c>
      <c r="J528" s="7" t="s">
        <v>64</v>
      </c>
      <c r="K528" s="7" t="s">
        <v>79</v>
      </c>
      <c r="L528" s="7" t="s">
        <v>91</v>
      </c>
      <c r="M528" s="7" t="n">
        <v>52.3</v>
      </c>
      <c r="N528" s="7" t="n">
        <v>5835</v>
      </c>
    </row>
    <row r="529" customFormat="false" ht="15" hidden="false" customHeight="false" outlineLevel="0" collapsed="false">
      <c r="A529" s="7" t="s">
        <v>59</v>
      </c>
      <c r="B529" s="7" t="s">
        <v>145</v>
      </c>
      <c r="C529" s="7" t="s">
        <v>145</v>
      </c>
      <c r="D529" s="7" t="s">
        <v>146</v>
      </c>
      <c r="E529" s="7" t="s">
        <v>147</v>
      </c>
      <c r="F529" s="7" t="n">
        <v>2016</v>
      </c>
      <c r="G529" s="7" t="s">
        <v>134</v>
      </c>
      <c r="H529" s="7" t="s">
        <v>86</v>
      </c>
      <c r="J529" s="7" t="s">
        <v>64</v>
      </c>
      <c r="K529" s="7" t="s">
        <v>133</v>
      </c>
      <c r="L529" s="7" t="s">
        <v>91</v>
      </c>
      <c r="M529" s="7" t="n">
        <v>26.3</v>
      </c>
      <c r="N529" s="7" t="n">
        <v>1715</v>
      </c>
    </row>
    <row r="530" customFormat="false" ht="15" hidden="false" customHeight="false" outlineLevel="0" collapsed="false">
      <c r="A530" s="7" t="s">
        <v>59</v>
      </c>
      <c r="B530" s="7" t="s">
        <v>145</v>
      </c>
      <c r="C530" s="7" t="s">
        <v>145</v>
      </c>
      <c r="D530" s="7" t="s">
        <v>146</v>
      </c>
      <c r="E530" s="7" t="s">
        <v>147</v>
      </c>
      <c r="F530" s="7" t="n">
        <v>2016</v>
      </c>
      <c r="G530" s="7" t="s">
        <v>134</v>
      </c>
      <c r="H530" s="7" t="s">
        <v>63</v>
      </c>
      <c r="J530" s="7" t="s">
        <v>64</v>
      </c>
      <c r="K530" s="7" t="s">
        <v>133</v>
      </c>
      <c r="L530" s="7" t="s">
        <v>91</v>
      </c>
      <c r="M530" s="7" t="n">
        <v>54.2</v>
      </c>
      <c r="N530" s="7" t="n">
        <v>5835</v>
      </c>
    </row>
    <row r="531" customFormat="false" ht="15" hidden="false" customHeight="false" outlineLevel="0" collapsed="false">
      <c r="A531" s="7" t="s">
        <v>59</v>
      </c>
      <c r="B531" s="7" t="s">
        <v>145</v>
      </c>
      <c r="C531" s="7" t="s">
        <v>145</v>
      </c>
      <c r="D531" s="7" t="s">
        <v>146</v>
      </c>
      <c r="E531" s="7" t="s">
        <v>147</v>
      </c>
      <c r="F531" s="7" t="n">
        <v>2016</v>
      </c>
      <c r="G531" s="7" t="s">
        <v>134</v>
      </c>
      <c r="H531" s="7" t="s">
        <v>87</v>
      </c>
      <c r="J531" s="7" t="s">
        <v>64</v>
      </c>
      <c r="K531" s="7" t="s">
        <v>133</v>
      </c>
      <c r="L531" s="7" t="s">
        <v>91</v>
      </c>
      <c r="M531" s="7" t="n">
        <v>28</v>
      </c>
      <c r="N531" s="7" t="n">
        <v>4120</v>
      </c>
    </row>
    <row r="532" customFormat="false" ht="15" hidden="false" customHeight="false" outlineLevel="0" collapsed="false">
      <c r="A532" s="7" t="s">
        <v>59</v>
      </c>
      <c r="B532" s="7" t="s">
        <v>145</v>
      </c>
      <c r="C532" s="7" t="s">
        <v>145</v>
      </c>
      <c r="D532" s="7" t="s">
        <v>146</v>
      </c>
      <c r="E532" s="7" t="s">
        <v>147</v>
      </c>
      <c r="F532" s="7" t="n">
        <v>2016</v>
      </c>
      <c r="G532" s="7" t="s">
        <v>67</v>
      </c>
      <c r="H532" s="7" t="s">
        <v>78</v>
      </c>
      <c r="J532" s="7" t="s">
        <v>64</v>
      </c>
      <c r="K532" s="7" t="s">
        <v>79</v>
      </c>
      <c r="L532" s="7" t="s">
        <v>91</v>
      </c>
      <c r="M532" s="7" t="n">
        <v>45.4</v>
      </c>
      <c r="N532" s="7" t="n">
        <v>5835</v>
      </c>
    </row>
    <row r="533" customFormat="false" ht="15" hidden="false" customHeight="false" outlineLevel="0" collapsed="false">
      <c r="A533" s="7" t="s">
        <v>59</v>
      </c>
      <c r="B533" s="7" t="s">
        <v>145</v>
      </c>
      <c r="C533" s="7" t="s">
        <v>145</v>
      </c>
      <c r="D533" s="7" t="s">
        <v>146</v>
      </c>
      <c r="E533" s="7" t="s">
        <v>147</v>
      </c>
      <c r="F533" s="7" t="n">
        <v>2016</v>
      </c>
      <c r="G533" s="7" t="s">
        <v>67</v>
      </c>
      <c r="H533" s="7" t="s">
        <v>86</v>
      </c>
      <c r="J533" s="7" t="s">
        <v>64</v>
      </c>
      <c r="K533" s="7" t="s">
        <v>133</v>
      </c>
      <c r="L533" s="7" t="s">
        <v>91</v>
      </c>
      <c r="M533" s="7" t="n">
        <v>24.4</v>
      </c>
      <c r="N533" s="7" t="n">
        <v>1715</v>
      </c>
    </row>
    <row r="534" customFormat="false" ht="15" hidden="false" customHeight="false" outlineLevel="0" collapsed="false">
      <c r="A534" s="7" t="s">
        <v>59</v>
      </c>
      <c r="B534" s="7" t="s">
        <v>145</v>
      </c>
      <c r="C534" s="7" t="s">
        <v>145</v>
      </c>
      <c r="D534" s="7" t="s">
        <v>146</v>
      </c>
      <c r="E534" s="7" t="s">
        <v>147</v>
      </c>
      <c r="F534" s="7" t="n">
        <v>2016</v>
      </c>
      <c r="G534" s="7" t="s">
        <v>67</v>
      </c>
      <c r="H534" s="7" t="s">
        <v>63</v>
      </c>
      <c r="J534" s="7" t="s">
        <v>64</v>
      </c>
      <c r="K534" s="7" t="s">
        <v>133</v>
      </c>
      <c r="L534" s="7" t="s">
        <v>91</v>
      </c>
      <c r="M534" s="7" t="n">
        <v>47.5</v>
      </c>
      <c r="N534" s="7" t="n">
        <v>5835</v>
      </c>
    </row>
    <row r="535" customFormat="false" ht="15" hidden="false" customHeight="false" outlineLevel="0" collapsed="false">
      <c r="A535" s="7" t="s">
        <v>59</v>
      </c>
      <c r="B535" s="7" t="s">
        <v>145</v>
      </c>
      <c r="C535" s="7" t="s">
        <v>145</v>
      </c>
      <c r="D535" s="7" t="s">
        <v>146</v>
      </c>
      <c r="E535" s="7" t="s">
        <v>147</v>
      </c>
      <c r="F535" s="7" t="n">
        <v>2016</v>
      </c>
      <c r="G535" s="7" t="s">
        <v>67</v>
      </c>
      <c r="H535" s="7" t="s">
        <v>87</v>
      </c>
      <c r="J535" s="7" t="s">
        <v>64</v>
      </c>
      <c r="K535" s="7" t="s">
        <v>133</v>
      </c>
      <c r="L535" s="7" t="s">
        <v>91</v>
      </c>
      <c r="M535" s="7" t="n">
        <v>23.2</v>
      </c>
      <c r="N535" s="7" t="n">
        <v>4120</v>
      </c>
    </row>
    <row r="536" customFormat="false" ht="15" hidden="false" customHeight="false" outlineLevel="0" collapsed="false">
      <c r="A536" s="7" t="s">
        <v>59</v>
      </c>
      <c r="B536" s="7" t="s">
        <v>145</v>
      </c>
      <c r="C536" s="7" t="s">
        <v>145</v>
      </c>
      <c r="D536" s="7" t="s">
        <v>146</v>
      </c>
      <c r="E536" s="7" t="s">
        <v>147</v>
      </c>
      <c r="F536" s="7" t="n">
        <v>2016</v>
      </c>
      <c r="G536" s="7" t="s">
        <v>82</v>
      </c>
      <c r="H536" s="7" t="s">
        <v>78</v>
      </c>
      <c r="J536" s="7" t="s">
        <v>64</v>
      </c>
      <c r="K536" s="7" t="s">
        <v>79</v>
      </c>
      <c r="L536" s="7" t="s">
        <v>91</v>
      </c>
      <c r="M536" s="7" t="n">
        <v>24.3</v>
      </c>
      <c r="N536" s="7" t="n">
        <v>5835</v>
      </c>
    </row>
    <row r="537" customFormat="false" ht="15" hidden="false" customHeight="false" outlineLevel="0" collapsed="false">
      <c r="A537" s="7" t="s">
        <v>59</v>
      </c>
      <c r="B537" s="7" t="s">
        <v>145</v>
      </c>
      <c r="C537" s="7" t="s">
        <v>145</v>
      </c>
      <c r="D537" s="7" t="s">
        <v>146</v>
      </c>
      <c r="E537" s="7" t="s">
        <v>147</v>
      </c>
      <c r="F537" s="7" t="n">
        <v>2016</v>
      </c>
      <c r="G537" s="7" t="s">
        <v>82</v>
      </c>
      <c r="H537" s="7" t="s">
        <v>86</v>
      </c>
      <c r="J537" s="7" t="s">
        <v>64</v>
      </c>
      <c r="K537" s="7" t="s">
        <v>133</v>
      </c>
      <c r="L537" s="7" t="s">
        <v>91</v>
      </c>
      <c r="M537" s="7" t="n">
        <v>19.8</v>
      </c>
      <c r="N537" s="7" t="n">
        <v>1715</v>
      </c>
    </row>
    <row r="538" customFormat="false" ht="15" hidden="false" customHeight="false" outlineLevel="0" collapsed="false">
      <c r="A538" s="7" t="s">
        <v>59</v>
      </c>
      <c r="B538" s="7" t="s">
        <v>145</v>
      </c>
      <c r="C538" s="7" t="s">
        <v>145</v>
      </c>
      <c r="D538" s="7" t="s">
        <v>146</v>
      </c>
      <c r="E538" s="7" t="s">
        <v>147</v>
      </c>
      <c r="F538" s="7" t="n">
        <v>2016</v>
      </c>
      <c r="G538" s="7" t="s">
        <v>82</v>
      </c>
      <c r="H538" s="7" t="s">
        <v>63</v>
      </c>
      <c r="J538" s="7" t="s">
        <v>64</v>
      </c>
      <c r="K538" s="7" t="s">
        <v>133</v>
      </c>
      <c r="L538" s="7" t="s">
        <v>91</v>
      </c>
      <c r="M538" s="7" t="n">
        <v>27.7</v>
      </c>
      <c r="N538" s="7" t="n">
        <v>5835</v>
      </c>
    </row>
    <row r="539" customFormat="false" ht="15" hidden="false" customHeight="false" outlineLevel="0" collapsed="false">
      <c r="A539" s="7" t="s">
        <v>59</v>
      </c>
      <c r="B539" s="7" t="s">
        <v>145</v>
      </c>
      <c r="C539" s="7" t="s">
        <v>145</v>
      </c>
      <c r="D539" s="7" t="s">
        <v>146</v>
      </c>
      <c r="E539" s="7" t="s">
        <v>147</v>
      </c>
      <c r="F539" s="7" t="n">
        <v>2016</v>
      </c>
      <c r="G539" s="7" t="s">
        <v>82</v>
      </c>
      <c r="H539" s="7" t="s">
        <v>87</v>
      </c>
      <c r="J539" s="7" t="s">
        <v>64</v>
      </c>
      <c r="K539" s="7" t="s">
        <v>133</v>
      </c>
      <c r="L539" s="7" t="s">
        <v>91</v>
      </c>
      <c r="M539" s="7" t="n">
        <v>7.9</v>
      </c>
      <c r="N539" s="7" t="n">
        <v>4120</v>
      </c>
    </row>
    <row r="540" customFormat="false" ht="15" hidden="false" customHeight="false" outlineLevel="0" collapsed="false">
      <c r="A540" s="7" t="s">
        <v>59</v>
      </c>
      <c r="B540" s="7" t="s">
        <v>145</v>
      </c>
      <c r="C540" s="7" t="s">
        <v>145</v>
      </c>
      <c r="D540" s="7" t="s">
        <v>146</v>
      </c>
      <c r="E540" s="7" t="s">
        <v>147</v>
      </c>
      <c r="F540" s="7" t="n">
        <v>2016</v>
      </c>
      <c r="G540" s="7" t="s">
        <v>148</v>
      </c>
      <c r="H540" s="7" t="s">
        <v>78</v>
      </c>
      <c r="J540" s="7" t="s">
        <v>64</v>
      </c>
      <c r="K540" s="7" t="s">
        <v>79</v>
      </c>
      <c r="L540" s="7" t="s">
        <v>91</v>
      </c>
      <c r="M540" s="7" t="n">
        <v>4</v>
      </c>
      <c r="N540" s="7" t="n">
        <v>5835</v>
      </c>
    </row>
    <row r="541" customFormat="false" ht="15" hidden="false" customHeight="false" outlineLevel="0" collapsed="false">
      <c r="A541" s="7" t="s">
        <v>59</v>
      </c>
      <c r="B541" s="7" t="s">
        <v>145</v>
      </c>
      <c r="C541" s="7" t="s">
        <v>145</v>
      </c>
      <c r="D541" s="7" t="s">
        <v>146</v>
      </c>
      <c r="E541" s="7" t="s">
        <v>147</v>
      </c>
      <c r="F541" s="7" t="n">
        <v>2016</v>
      </c>
      <c r="G541" s="7" t="s">
        <v>148</v>
      </c>
      <c r="H541" s="7" t="s">
        <v>86</v>
      </c>
      <c r="J541" s="7" t="s">
        <v>64</v>
      </c>
      <c r="K541" s="7" t="s">
        <v>133</v>
      </c>
      <c r="L541" s="7" t="s">
        <v>91</v>
      </c>
      <c r="M541" s="7" t="n">
        <v>3.8</v>
      </c>
      <c r="N541" s="7" t="n">
        <v>1715</v>
      </c>
    </row>
    <row r="542" customFormat="false" ht="15" hidden="false" customHeight="false" outlineLevel="0" collapsed="false">
      <c r="A542" s="7" t="s">
        <v>59</v>
      </c>
      <c r="B542" s="7" t="s">
        <v>145</v>
      </c>
      <c r="C542" s="7" t="s">
        <v>145</v>
      </c>
      <c r="D542" s="7" t="s">
        <v>146</v>
      </c>
      <c r="E542" s="7" t="s">
        <v>147</v>
      </c>
      <c r="F542" s="7" t="n">
        <v>2016</v>
      </c>
      <c r="G542" s="7" t="s">
        <v>148</v>
      </c>
      <c r="H542" s="7" t="s">
        <v>63</v>
      </c>
      <c r="J542" s="7" t="s">
        <v>64</v>
      </c>
      <c r="K542" s="7" t="s">
        <v>133</v>
      </c>
      <c r="L542" s="7" t="s">
        <v>91</v>
      </c>
      <c r="M542" s="7" t="n">
        <v>4.7</v>
      </c>
      <c r="N542" s="7" t="n">
        <v>5835</v>
      </c>
    </row>
    <row r="543" customFormat="false" ht="15" hidden="false" customHeight="false" outlineLevel="0" collapsed="false">
      <c r="A543" s="7" t="s">
        <v>59</v>
      </c>
      <c r="B543" s="7" t="s">
        <v>145</v>
      </c>
      <c r="C543" s="7" t="s">
        <v>145</v>
      </c>
      <c r="D543" s="7" t="s">
        <v>146</v>
      </c>
      <c r="E543" s="7" t="s">
        <v>147</v>
      </c>
      <c r="F543" s="7" t="n">
        <v>2016</v>
      </c>
      <c r="G543" s="7" t="s">
        <v>148</v>
      </c>
      <c r="H543" s="7" t="s">
        <v>87</v>
      </c>
      <c r="J543" s="7" t="s">
        <v>64</v>
      </c>
      <c r="K543" s="7" t="s">
        <v>133</v>
      </c>
      <c r="L543" s="7" t="s">
        <v>91</v>
      </c>
      <c r="M543" s="7" t="n">
        <v>0.9</v>
      </c>
      <c r="N543" s="7" t="n">
        <v>4120</v>
      </c>
    </row>
    <row r="544" customFormat="false" ht="15" hidden="false" customHeight="false" outlineLevel="0" collapsed="false">
      <c r="A544" s="7" t="s">
        <v>59</v>
      </c>
      <c r="B544" s="7" t="s">
        <v>145</v>
      </c>
      <c r="C544" s="7" t="s">
        <v>145</v>
      </c>
      <c r="D544" s="7" t="s">
        <v>146</v>
      </c>
      <c r="E544" s="7" t="s">
        <v>147</v>
      </c>
      <c r="F544" s="7" t="n">
        <v>2016</v>
      </c>
      <c r="G544" s="7" t="s">
        <v>109</v>
      </c>
      <c r="H544" s="7" t="s">
        <v>78</v>
      </c>
      <c r="J544" s="7" t="s">
        <v>64</v>
      </c>
      <c r="K544" s="7" t="s">
        <v>79</v>
      </c>
      <c r="L544" s="7" t="s">
        <v>91</v>
      </c>
      <c r="M544" s="7" t="n">
        <v>60.4</v>
      </c>
      <c r="N544" s="7" t="n">
        <v>5835</v>
      </c>
    </row>
    <row r="545" customFormat="false" ht="15" hidden="false" customHeight="false" outlineLevel="0" collapsed="false">
      <c r="A545" s="7" t="s">
        <v>59</v>
      </c>
      <c r="B545" s="7" t="s">
        <v>145</v>
      </c>
      <c r="C545" s="7" t="s">
        <v>145</v>
      </c>
      <c r="D545" s="7" t="s">
        <v>146</v>
      </c>
      <c r="E545" s="7" t="s">
        <v>147</v>
      </c>
      <c r="F545" s="7" t="n">
        <v>2016</v>
      </c>
      <c r="G545" s="7" t="s">
        <v>109</v>
      </c>
      <c r="H545" s="7" t="s">
        <v>86</v>
      </c>
      <c r="J545" s="7" t="s">
        <v>64</v>
      </c>
      <c r="K545" s="7" t="s">
        <v>133</v>
      </c>
      <c r="L545" s="7" t="s">
        <v>91</v>
      </c>
      <c r="M545" s="7" t="n">
        <v>27.5</v>
      </c>
      <c r="N545" s="7" t="n">
        <v>1715</v>
      </c>
    </row>
    <row r="546" customFormat="false" ht="15" hidden="false" customHeight="false" outlineLevel="0" collapsed="false">
      <c r="A546" s="7" t="s">
        <v>59</v>
      </c>
      <c r="B546" s="7" t="s">
        <v>145</v>
      </c>
      <c r="C546" s="7" t="s">
        <v>145</v>
      </c>
      <c r="D546" s="7" t="s">
        <v>146</v>
      </c>
      <c r="E546" s="7" t="s">
        <v>147</v>
      </c>
      <c r="F546" s="7" t="n">
        <v>2016</v>
      </c>
      <c r="G546" s="7" t="s">
        <v>109</v>
      </c>
      <c r="H546" s="7" t="s">
        <v>63</v>
      </c>
      <c r="J546" s="7" t="s">
        <v>64</v>
      </c>
      <c r="K546" s="7" t="s">
        <v>133</v>
      </c>
      <c r="L546" s="7" t="s">
        <v>91</v>
      </c>
      <c r="M546" s="7" t="n">
        <v>61.8</v>
      </c>
      <c r="N546" s="7" t="n">
        <v>5835</v>
      </c>
    </row>
    <row r="547" customFormat="false" ht="15" hidden="false" customHeight="false" outlineLevel="0" collapsed="false">
      <c r="A547" s="7" t="s">
        <v>59</v>
      </c>
      <c r="B547" s="7" t="s">
        <v>145</v>
      </c>
      <c r="C547" s="7" t="s">
        <v>145</v>
      </c>
      <c r="D547" s="7" t="s">
        <v>146</v>
      </c>
      <c r="E547" s="7" t="s">
        <v>147</v>
      </c>
      <c r="F547" s="7" t="n">
        <v>2016</v>
      </c>
      <c r="G547" s="7" t="s">
        <v>109</v>
      </c>
      <c r="H547" s="7" t="s">
        <v>87</v>
      </c>
      <c r="J547" s="7" t="s">
        <v>64</v>
      </c>
      <c r="K547" s="7" t="s">
        <v>133</v>
      </c>
      <c r="L547" s="7" t="s">
        <v>91</v>
      </c>
      <c r="M547" s="7" t="n">
        <v>34.3</v>
      </c>
      <c r="N547" s="7" t="n">
        <v>4120</v>
      </c>
    </row>
    <row r="548" customFormat="false" ht="15" hidden="false" customHeight="false" outlineLevel="0" collapsed="false">
      <c r="A548" s="7" t="s">
        <v>59</v>
      </c>
      <c r="B548" s="7" t="s">
        <v>145</v>
      </c>
      <c r="C548" s="7" t="s">
        <v>145</v>
      </c>
      <c r="D548" s="7" t="s">
        <v>146</v>
      </c>
      <c r="E548" s="7" t="s">
        <v>147</v>
      </c>
      <c r="F548" s="7" t="n">
        <v>2016</v>
      </c>
      <c r="G548" s="7" t="s">
        <v>149</v>
      </c>
      <c r="H548" s="7" t="s">
        <v>78</v>
      </c>
      <c r="J548" s="7" t="s">
        <v>64</v>
      </c>
      <c r="K548" s="7" t="s">
        <v>79</v>
      </c>
      <c r="L548" s="7" t="s">
        <v>91</v>
      </c>
      <c r="M548" s="7" t="n">
        <v>52.3</v>
      </c>
      <c r="N548" s="7" t="n">
        <v>5835</v>
      </c>
    </row>
    <row r="549" customFormat="false" ht="15" hidden="false" customHeight="false" outlineLevel="0" collapsed="false">
      <c r="A549" s="7" t="s">
        <v>59</v>
      </c>
      <c r="B549" s="7" t="s">
        <v>145</v>
      </c>
      <c r="C549" s="7" t="s">
        <v>145</v>
      </c>
      <c r="D549" s="7" t="s">
        <v>146</v>
      </c>
      <c r="E549" s="7" t="s">
        <v>147</v>
      </c>
      <c r="F549" s="7" t="n">
        <v>2016</v>
      </c>
      <c r="G549" s="7" t="s">
        <v>149</v>
      </c>
      <c r="H549" s="7" t="s">
        <v>86</v>
      </c>
      <c r="J549" s="7" t="s">
        <v>64</v>
      </c>
      <c r="K549" s="7" t="s">
        <v>133</v>
      </c>
      <c r="L549" s="7" t="s">
        <v>91</v>
      </c>
      <c r="M549" s="7" t="n">
        <v>26.3</v>
      </c>
      <c r="N549" s="7" t="n">
        <v>1715</v>
      </c>
    </row>
    <row r="550" customFormat="false" ht="15" hidden="false" customHeight="false" outlineLevel="0" collapsed="false">
      <c r="A550" s="7" t="s">
        <v>59</v>
      </c>
      <c r="B550" s="7" t="s">
        <v>145</v>
      </c>
      <c r="C550" s="7" t="s">
        <v>145</v>
      </c>
      <c r="D550" s="7" t="s">
        <v>146</v>
      </c>
      <c r="E550" s="7" t="s">
        <v>147</v>
      </c>
      <c r="F550" s="7" t="n">
        <v>2016</v>
      </c>
      <c r="G550" s="7" t="s">
        <v>149</v>
      </c>
      <c r="H550" s="7" t="s">
        <v>63</v>
      </c>
      <c r="J550" s="7" t="s">
        <v>64</v>
      </c>
      <c r="K550" s="7" t="s">
        <v>133</v>
      </c>
      <c r="L550" s="7" t="s">
        <v>91</v>
      </c>
      <c r="M550" s="7" t="n">
        <v>54.2</v>
      </c>
      <c r="N550" s="7" t="n">
        <v>5835</v>
      </c>
    </row>
    <row r="551" customFormat="false" ht="15" hidden="false" customHeight="false" outlineLevel="0" collapsed="false">
      <c r="A551" s="7" t="s">
        <v>59</v>
      </c>
      <c r="B551" s="7" t="s">
        <v>145</v>
      </c>
      <c r="C551" s="7" t="s">
        <v>145</v>
      </c>
      <c r="D551" s="7" t="s">
        <v>146</v>
      </c>
      <c r="E551" s="7" t="s">
        <v>147</v>
      </c>
      <c r="F551" s="7" t="n">
        <v>2016</v>
      </c>
      <c r="G551" s="7" t="s">
        <v>149</v>
      </c>
      <c r="H551" s="7" t="s">
        <v>87</v>
      </c>
      <c r="J551" s="7" t="s">
        <v>64</v>
      </c>
      <c r="K551" s="7" t="s">
        <v>133</v>
      </c>
      <c r="L551" s="7" t="s">
        <v>91</v>
      </c>
      <c r="M551" s="7" t="n">
        <v>28</v>
      </c>
      <c r="N551" s="7" t="n">
        <v>4120</v>
      </c>
    </row>
    <row r="552" customFormat="false" ht="15" hidden="false" customHeight="false" outlineLevel="0" collapsed="false">
      <c r="A552" s="7" t="s">
        <v>59</v>
      </c>
      <c r="B552" s="7" t="s">
        <v>145</v>
      </c>
      <c r="C552" s="7" t="s">
        <v>145</v>
      </c>
      <c r="D552" s="7" t="s">
        <v>146</v>
      </c>
      <c r="E552" s="7" t="s">
        <v>147</v>
      </c>
      <c r="F552" s="7" t="n">
        <v>2016</v>
      </c>
      <c r="G552" s="7" t="s">
        <v>110</v>
      </c>
      <c r="H552" s="7" t="s">
        <v>78</v>
      </c>
      <c r="J552" s="7" t="s">
        <v>64</v>
      </c>
      <c r="K552" s="7" t="s">
        <v>79</v>
      </c>
      <c r="L552" s="7" t="s">
        <v>91</v>
      </c>
      <c r="M552" s="7" t="n">
        <v>45.4</v>
      </c>
      <c r="N552" s="7" t="n">
        <v>5835</v>
      </c>
    </row>
    <row r="553" customFormat="false" ht="15" hidden="false" customHeight="false" outlineLevel="0" collapsed="false">
      <c r="A553" s="7" t="s">
        <v>59</v>
      </c>
      <c r="B553" s="7" t="s">
        <v>145</v>
      </c>
      <c r="C553" s="7" t="s">
        <v>145</v>
      </c>
      <c r="D553" s="7" t="s">
        <v>146</v>
      </c>
      <c r="E553" s="7" t="s">
        <v>147</v>
      </c>
      <c r="F553" s="7" t="n">
        <v>2016</v>
      </c>
      <c r="G553" s="7" t="s">
        <v>110</v>
      </c>
      <c r="H553" s="7" t="s">
        <v>86</v>
      </c>
      <c r="J553" s="7" t="s">
        <v>64</v>
      </c>
      <c r="K553" s="7" t="s">
        <v>133</v>
      </c>
      <c r="L553" s="7" t="s">
        <v>91</v>
      </c>
      <c r="M553" s="7" t="n">
        <v>24.4</v>
      </c>
      <c r="N553" s="7" t="n">
        <v>1715</v>
      </c>
    </row>
    <row r="554" customFormat="false" ht="15" hidden="false" customHeight="false" outlineLevel="0" collapsed="false">
      <c r="A554" s="7" t="s">
        <v>59</v>
      </c>
      <c r="B554" s="7" t="s">
        <v>145</v>
      </c>
      <c r="C554" s="7" t="s">
        <v>145</v>
      </c>
      <c r="D554" s="7" t="s">
        <v>146</v>
      </c>
      <c r="E554" s="7" t="s">
        <v>147</v>
      </c>
      <c r="F554" s="7" t="n">
        <v>2016</v>
      </c>
      <c r="G554" s="7" t="s">
        <v>110</v>
      </c>
      <c r="H554" s="7" t="s">
        <v>63</v>
      </c>
      <c r="J554" s="7" t="s">
        <v>64</v>
      </c>
      <c r="K554" s="7" t="s">
        <v>133</v>
      </c>
      <c r="L554" s="7" t="s">
        <v>91</v>
      </c>
      <c r="M554" s="7" t="n">
        <v>47.5</v>
      </c>
      <c r="N554" s="7" t="n">
        <v>5835</v>
      </c>
    </row>
    <row r="555" customFormat="false" ht="15" hidden="false" customHeight="false" outlineLevel="0" collapsed="false">
      <c r="A555" s="7" t="s">
        <v>59</v>
      </c>
      <c r="B555" s="7" t="s">
        <v>145</v>
      </c>
      <c r="C555" s="7" t="s">
        <v>145</v>
      </c>
      <c r="D555" s="7" t="s">
        <v>146</v>
      </c>
      <c r="E555" s="7" t="s">
        <v>147</v>
      </c>
      <c r="F555" s="7" t="n">
        <v>2016</v>
      </c>
      <c r="G555" s="7" t="s">
        <v>110</v>
      </c>
      <c r="H555" s="7" t="s">
        <v>87</v>
      </c>
      <c r="J555" s="7" t="s">
        <v>64</v>
      </c>
      <c r="K555" s="7" t="s">
        <v>133</v>
      </c>
      <c r="L555" s="7" t="s">
        <v>91</v>
      </c>
      <c r="M555" s="7" t="n">
        <v>23.2</v>
      </c>
      <c r="N555" s="7" t="n">
        <v>4120</v>
      </c>
    </row>
    <row r="556" customFormat="false" ht="15" hidden="false" customHeight="false" outlineLevel="0" collapsed="false">
      <c r="A556" s="7" t="s">
        <v>59</v>
      </c>
      <c r="B556" s="7" t="s">
        <v>145</v>
      </c>
      <c r="C556" s="7" t="s">
        <v>145</v>
      </c>
      <c r="D556" s="7" t="s">
        <v>146</v>
      </c>
      <c r="E556" s="7" t="s">
        <v>147</v>
      </c>
      <c r="F556" s="7" t="n">
        <v>2016</v>
      </c>
      <c r="G556" s="7" t="s">
        <v>123</v>
      </c>
      <c r="H556" s="7" t="s">
        <v>78</v>
      </c>
      <c r="J556" s="7" t="s">
        <v>64</v>
      </c>
      <c r="K556" s="7" t="s">
        <v>79</v>
      </c>
      <c r="L556" s="7" t="s">
        <v>91</v>
      </c>
      <c r="M556" s="7" t="n">
        <v>48.8</v>
      </c>
      <c r="N556" s="7" t="n">
        <v>5835</v>
      </c>
    </row>
    <row r="557" customFormat="false" ht="15" hidden="false" customHeight="false" outlineLevel="0" collapsed="false">
      <c r="A557" s="7" t="s">
        <v>59</v>
      </c>
      <c r="B557" s="7" t="s">
        <v>145</v>
      </c>
      <c r="C557" s="7" t="s">
        <v>145</v>
      </c>
      <c r="D557" s="7" t="s">
        <v>146</v>
      </c>
      <c r="E557" s="7" t="s">
        <v>147</v>
      </c>
      <c r="F557" s="7" t="n">
        <v>2016</v>
      </c>
      <c r="G557" s="7" t="s">
        <v>123</v>
      </c>
      <c r="H557" s="7" t="s">
        <v>86</v>
      </c>
      <c r="J557" s="7" t="s">
        <v>64</v>
      </c>
      <c r="K557" s="7" t="s">
        <v>133</v>
      </c>
      <c r="L557" s="7" t="s">
        <v>91</v>
      </c>
      <c r="M557" s="7" t="n">
        <v>21.5</v>
      </c>
      <c r="N557" s="7" t="n">
        <v>1715</v>
      </c>
    </row>
    <row r="558" customFormat="false" ht="15" hidden="false" customHeight="false" outlineLevel="0" collapsed="false">
      <c r="A558" s="7" t="s">
        <v>59</v>
      </c>
      <c r="B558" s="7" t="s">
        <v>145</v>
      </c>
      <c r="C558" s="7" t="s">
        <v>145</v>
      </c>
      <c r="D558" s="7" t="s">
        <v>146</v>
      </c>
      <c r="E558" s="7" t="s">
        <v>147</v>
      </c>
      <c r="F558" s="7" t="n">
        <v>2016</v>
      </c>
      <c r="G558" s="7" t="s">
        <v>123</v>
      </c>
      <c r="H558" s="7" t="s">
        <v>63</v>
      </c>
      <c r="J558" s="7" t="s">
        <v>64</v>
      </c>
      <c r="K558" s="7" t="s">
        <v>133</v>
      </c>
      <c r="L558" s="7" t="s">
        <v>91</v>
      </c>
      <c r="M558" s="7" t="n">
        <v>49.9</v>
      </c>
      <c r="N558" s="7" t="n">
        <v>5835</v>
      </c>
    </row>
    <row r="559" customFormat="false" ht="15" hidden="false" customHeight="false" outlineLevel="0" collapsed="false">
      <c r="A559" s="7" t="s">
        <v>59</v>
      </c>
      <c r="B559" s="7" t="s">
        <v>145</v>
      </c>
      <c r="C559" s="7" t="s">
        <v>145</v>
      </c>
      <c r="D559" s="7" t="s">
        <v>146</v>
      </c>
      <c r="E559" s="7" t="s">
        <v>147</v>
      </c>
      <c r="F559" s="7" t="n">
        <v>2016</v>
      </c>
      <c r="G559" s="7" t="s">
        <v>123</v>
      </c>
      <c r="H559" s="7" t="s">
        <v>87</v>
      </c>
      <c r="J559" s="7" t="s">
        <v>64</v>
      </c>
      <c r="K559" s="7" t="s">
        <v>133</v>
      </c>
      <c r="L559" s="7" t="s">
        <v>91</v>
      </c>
      <c r="M559" s="7" t="n">
        <v>28.5</v>
      </c>
      <c r="N559" s="7" t="n">
        <v>4120</v>
      </c>
    </row>
    <row r="560" customFormat="false" ht="15" hidden="false" customHeight="false" outlineLevel="0" collapsed="false">
      <c r="A560" s="7" t="s">
        <v>59</v>
      </c>
      <c r="B560" s="7" t="s">
        <v>145</v>
      </c>
      <c r="C560" s="7" t="s">
        <v>145</v>
      </c>
      <c r="D560" s="7" t="s">
        <v>146</v>
      </c>
      <c r="E560" s="7" t="s">
        <v>147</v>
      </c>
      <c r="F560" s="7" t="n">
        <v>2016</v>
      </c>
      <c r="G560" s="7" t="s">
        <v>135</v>
      </c>
      <c r="H560" s="7" t="s">
        <v>78</v>
      </c>
      <c r="J560" s="7" t="s">
        <v>64</v>
      </c>
      <c r="K560" s="7" t="s">
        <v>79</v>
      </c>
      <c r="L560" s="7" t="s">
        <v>91</v>
      </c>
      <c r="M560" s="7" t="n">
        <v>60.4</v>
      </c>
      <c r="N560" s="7" t="n">
        <v>5835</v>
      </c>
    </row>
    <row r="561" customFormat="false" ht="15" hidden="false" customHeight="false" outlineLevel="0" collapsed="false">
      <c r="A561" s="7" t="s">
        <v>59</v>
      </c>
      <c r="B561" s="7" t="s">
        <v>145</v>
      </c>
      <c r="C561" s="7" t="s">
        <v>145</v>
      </c>
      <c r="D561" s="7" t="s">
        <v>146</v>
      </c>
      <c r="E561" s="7" t="s">
        <v>147</v>
      </c>
      <c r="F561" s="7" t="n">
        <v>2016</v>
      </c>
      <c r="G561" s="7" t="s">
        <v>135</v>
      </c>
      <c r="H561" s="7" t="s">
        <v>86</v>
      </c>
      <c r="J561" s="7" t="s">
        <v>64</v>
      </c>
      <c r="K561" s="7" t="s">
        <v>133</v>
      </c>
      <c r="L561" s="7" t="s">
        <v>91</v>
      </c>
      <c r="M561" s="7" t="n">
        <v>27.5</v>
      </c>
      <c r="N561" s="7" t="n">
        <v>1715</v>
      </c>
    </row>
    <row r="562" customFormat="false" ht="15" hidden="false" customHeight="false" outlineLevel="0" collapsed="false">
      <c r="A562" s="7" t="s">
        <v>59</v>
      </c>
      <c r="B562" s="7" t="s">
        <v>145</v>
      </c>
      <c r="C562" s="7" t="s">
        <v>145</v>
      </c>
      <c r="D562" s="7" t="s">
        <v>146</v>
      </c>
      <c r="E562" s="7" t="s">
        <v>147</v>
      </c>
      <c r="F562" s="7" t="n">
        <v>2016</v>
      </c>
      <c r="G562" s="7" t="s">
        <v>135</v>
      </c>
      <c r="H562" s="7" t="s">
        <v>63</v>
      </c>
      <c r="J562" s="7" t="s">
        <v>64</v>
      </c>
      <c r="K562" s="7" t="s">
        <v>133</v>
      </c>
      <c r="L562" s="7" t="s">
        <v>91</v>
      </c>
      <c r="M562" s="7" t="n">
        <v>61.8</v>
      </c>
      <c r="N562" s="7" t="n">
        <v>5835</v>
      </c>
    </row>
    <row r="563" customFormat="false" ht="15" hidden="false" customHeight="false" outlineLevel="0" collapsed="false">
      <c r="A563" s="7" t="s">
        <v>59</v>
      </c>
      <c r="B563" s="7" t="s">
        <v>145</v>
      </c>
      <c r="C563" s="7" t="s">
        <v>145</v>
      </c>
      <c r="D563" s="7" t="s">
        <v>146</v>
      </c>
      <c r="E563" s="7" t="s">
        <v>147</v>
      </c>
      <c r="F563" s="7" t="n">
        <v>2016</v>
      </c>
      <c r="G563" s="7" t="s">
        <v>135</v>
      </c>
      <c r="H563" s="7" t="s">
        <v>87</v>
      </c>
      <c r="J563" s="7" t="s">
        <v>64</v>
      </c>
      <c r="K563" s="7" t="s">
        <v>133</v>
      </c>
      <c r="L563" s="7" t="s">
        <v>91</v>
      </c>
      <c r="M563" s="7" t="n">
        <v>34.3</v>
      </c>
      <c r="N563" s="7" t="n">
        <v>4120</v>
      </c>
    </row>
    <row r="564" customFormat="false" ht="15" hidden="false" customHeight="false" outlineLevel="0" collapsed="false">
      <c r="A564" s="7" t="s">
        <v>59</v>
      </c>
      <c r="B564" s="7" t="s">
        <v>145</v>
      </c>
      <c r="C564" s="7" t="s">
        <v>145</v>
      </c>
      <c r="D564" s="7" t="s">
        <v>146</v>
      </c>
      <c r="E564" s="7" t="s">
        <v>147</v>
      </c>
      <c r="F564" s="7" t="n">
        <v>2016</v>
      </c>
      <c r="G564" s="7" t="s">
        <v>150</v>
      </c>
      <c r="H564" s="7" t="s">
        <v>78</v>
      </c>
      <c r="J564" s="7" t="s">
        <v>64</v>
      </c>
      <c r="K564" s="7" t="s">
        <v>79</v>
      </c>
      <c r="L564" s="7" t="s">
        <v>91</v>
      </c>
      <c r="M564" s="7" t="n">
        <v>52.3</v>
      </c>
      <c r="N564" s="7" t="n">
        <v>5835</v>
      </c>
    </row>
    <row r="565" customFormat="false" ht="15" hidden="false" customHeight="false" outlineLevel="0" collapsed="false">
      <c r="A565" s="7" t="s">
        <v>59</v>
      </c>
      <c r="B565" s="7" t="s">
        <v>145</v>
      </c>
      <c r="C565" s="7" t="s">
        <v>145</v>
      </c>
      <c r="D565" s="7" t="s">
        <v>146</v>
      </c>
      <c r="E565" s="7" t="s">
        <v>147</v>
      </c>
      <c r="F565" s="7" t="n">
        <v>2016</v>
      </c>
      <c r="G565" s="7" t="s">
        <v>150</v>
      </c>
      <c r="H565" s="7" t="s">
        <v>86</v>
      </c>
      <c r="J565" s="7" t="s">
        <v>64</v>
      </c>
      <c r="K565" s="7" t="s">
        <v>133</v>
      </c>
      <c r="L565" s="7" t="s">
        <v>91</v>
      </c>
      <c r="M565" s="7" t="n">
        <v>26.3</v>
      </c>
      <c r="N565" s="7" t="n">
        <v>1715</v>
      </c>
    </row>
    <row r="566" customFormat="false" ht="15" hidden="false" customHeight="false" outlineLevel="0" collapsed="false">
      <c r="A566" s="7" t="s">
        <v>59</v>
      </c>
      <c r="B566" s="7" t="s">
        <v>145</v>
      </c>
      <c r="C566" s="7" t="s">
        <v>145</v>
      </c>
      <c r="D566" s="7" t="s">
        <v>146</v>
      </c>
      <c r="E566" s="7" t="s">
        <v>147</v>
      </c>
      <c r="F566" s="7" t="n">
        <v>2016</v>
      </c>
      <c r="G566" s="7" t="s">
        <v>150</v>
      </c>
      <c r="H566" s="7" t="s">
        <v>63</v>
      </c>
      <c r="J566" s="7" t="s">
        <v>64</v>
      </c>
      <c r="K566" s="7" t="s">
        <v>133</v>
      </c>
      <c r="L566" s="7" t="s">
        <v>91</v>
      </c>
      <c r="M566" s="7" t="n">
        <v>54.2</v>
      </c>
      <c r="N566" s="7" t="n">
        <v>5835</v>
      </c>
    </row>
    <row r="567" customFormat="false" ht="15" hidden="false" customHeight="false" outlineLevel="0" collapsed="false">
      <c r="A567" s="7" t="s">
        <v>59</v>
      </c>
      <c r="B567" s="7" t="s">
        <v>145</v>
      </c>
      <c r="C567" s="7" t="s">
        <v>145</v>
      </c>
      <c r="D567" s="7" t="s">
        <v>146</v>
      </c>
      <c r="E567" s="7" t="s">
        <v>147</v>
      </c>
      <c r="F567" s="7" t="n">
        <v>2016</v>
      </c>
      <c r="G567" s="7" t="s">
        <v>150</v>
      </c>
      <c r="H567" s="7" t="s">
        <v>87</v>
      </c>
      <c r="J567" s="7" t="s">
        <v>64</v>
      </c>
      <c r="K567" s="7" t="s">
        <v>133</v>
      </c>
      <c r="L567" s="7" t="s">
        <v>91</v>
      </c>
      <c r="M567" s="7" t="n">
        <v>28</v>
      </c>
      <c r="N567" s="7" t="n">
        <v>4120</v>
      </c>
    </row>
    <row r="568" customFormat="false" ht="15" hidden="false" customHeight="false" outlineLevel="0" collapsed="false">
      <c r="A568" s="7" t="s">
        <v>59</v>
      </c>
      <c r="B568" s="7" t="s">
        <v>145</v>
      </c>
      <c r="C568" s="7" t="s">
        <v>145</v>
      </c>
      <c r="D568" s="7" t="s">
        <v>146</v>
      </c>
      <c r="E568" s="7" t="s">
        <v>147</v>
      </c>
      <c r="F568" s="7" t="n">
        <v>2016</v>
      </c>
      <c r="G568" s="7" t="s">
        <v>136</v>
      </c>
      <c r="H568" s="7" t="s">
        <v>78</v>
      </c>
      <c r="J568" s="7" t="s">
        <v>64</v>
      </c>
      <c r="K568" s="7" t="s">
        <v>79</v>
      </c>
      <c r="L568" s="7" t="s">
        <v>91</v>
      </c>
      <c r="M568" s="7" t="n">
        <v>45.4</v>
      </c>
      <c r="N568" s="7" t="n">
        <v>5835</v>
      </c>
    </row>
    <row r="569" customFormat="false" ht="15" hidden="false" customHeight="false" outlineLevel="0" collapsed="false">
      <c r="A569" s="7" t="s">
        <v>59</v>
      </c>
      <c r="B569" s="7" t="s">
        <v>145</v>
      </c>
      <c r="C569" s="7" t="s">
        <v>145</v>
      </c>
      <c r="D569" s="7" t="s">
        <v>146</v>
      </c>
      <c r="E569" s="7" t="s">
        <v>147</v>
      </c>
      <c r="F569" s="7" t="n">
        <v>2016</v>
      </c>
      <c r="G569" s="7" t="s">
        <v>136</v>
      </c>
      <c r="H569" s="7" t="s">
        <v>86</v>
      </c>
      <c r="J569" s="7" t="s">
        <v>64</v>
      </c>
      <c r="K569" s="7" t="s">
        <v>133</v>
      </c>
      <c r="L569" s="7" t="s">
        <v>91</v>
      </c>
      <c r="M569" s="7" t="n">
        <v>24.4</v>
      </c>
      <c r="N569" s="7" t="n">
        <v>1715</v>
      </c>
    </row>
    <row r="570" customFormat="false" ht="15" hidden="false" customHeight="false" outlineLevel="0" collapsed="false">
      <c r="A570" s="7" t="s">
        <v>59</v>
      </c>
      <c r="B570" s="7" t="s">
        <v>145</v>
      </c>
      <c r="C570" s="7" t="s">
        <v>145</v>
      </c>
      <c r="D570" s="7" t="s">
        <v>146</v>
      </c>
      <c r="E570" s="7" t="s">
        <v>147</v>
      </c>
      <c r="F570" s="7" t="n">
        <v>2016</v>
      </c>
      <c r="G570" s="7" t="s">
        <v>136</v>
      </c>
      <c r="H570" s="7" t="s">
        <v>63</v>
      </c>
      <c r="J570" s="7" t="s">
        <v>64</v>
      </c>
      <c r="K570" s="7" t="s">
        <v>133</v>
      </c>
      <c r="L570" s="7" t="s">
        <v>91</v>
      </c>
      <c r="M570" s="7" t="n">
        <v>47.5</v>
      </c>
      <c r="N570" s="7" t="n">
        <v>5835</v>
      </c>
    </row>
    <row r="571" customFormat="false" ht="15" hidden="false" customHeight="false" outlineLevel="0" collapsed="false">
      <c r="A571" s="7" t="s">
        <v>59</v>
      </c>
      <c r="B571" s="7" t="s">
        <v>145</v>
      </c>
      <c r="C571" s="7" t="s">
        <v>145</v>
      </c>
      <c r="D571" s="7" t="s">
        <v>146</v>
      </c>
      <c r="E571" s="7" t="s">
        <v>147</v>
      </c>
      <c r="F571" s="7" t="n">
        <v>2016</v>
      </c>
      <c r="G571" s="7" t="s">
        <v>136</v>
      </c>
      <c r="H571" s="7" t="s">
        <v>87</v>
      </c>
      <c r="J571" s="7" t="s">
        <v>64</v>
      </c>
      <c r="K571" s="7" t="s">
        <v>133</v>
      </c>
      <c r="L571" s="7" t="s">
        <v>91</v>
      </c>
      <c r="M571" s="7" t="n">
        <v>23.2</v>
      </c>
      <c r="N571" s="7" t="n">
        <v>4120</v>
      </c>
    </row>
    <row r="572" customFormat="false" ht="15" hidden="false" customHeight="false" outlineLevel="0" collapsed="false">
      <c r="A572" s="7" t="s">
        <v>59</v>
      </c>
      <c r="B572" s="7" t="s">
        <v>145</v>
      </c>
      <c r="C572" s="7" t="s">
        <v>145</v>
      </c>
      <c r="D572" s="7" t="s">
        <v>146</v>
      </c>
      <c r="E572" s="7" t="s">
        <v>147</v>
      </c>
      <c r="F572" s="7" t="n">
        <v>2016</v>
      </c>
      <c r="G572" s="7" t="s">
        <v>137</v>
      </c>
      <c r="H572" s="7" t="s">
        <v>78</v>
      </c>
      <c r="J572" s="7" t="s">
        <v>64</v>
      </c>
      <c r="K572" s="7" t="s">
        <v>79</v>
      </c>
      <c r="L572" s="7" t="s">
        <v>91</v>
      </c>
      <c r="M572" s="7" t="n">
        <v>49.1</v>
      </c>
      <c r="N572" s="7" t="n">
        <v>5835</v>
      </c>
    </row>
    <row r="573" customFormat="false" ht="15" hidden="false" customHeight="false" outlineLevel="0" collapsed="false">
      <c r="A573" s="7" t="s">
        <v>59</v>
      </c>
      <c r="B573" s="7" t="s">
        <v>145</v>
      </c>
      <c r="C573" s="7" t="s">
        <v>145</v>
      </c>
      <c r="D573" s="7" t="s">
        <v>146</v>
      </c>
      <c r="E573" s="7" t="s">
        <v>147</v>
      </c>
      <c r="F573" s="7" t="n">
        <v>2016</v>
      </c>
      <c r="G573" s="7" t="s">
        <v>137</v>
      </c>
      <c r="H573" s="7" t="s">
        <v>86</v>
      </c>
      <c r="J573" s="7" t="s">
        <v>64</v>
      </c>
      <c r="K573" s="7" t="s">
        <v>133</v>
      </c>
      <c r="L573" s="7" t="s">
        <v>91</v>
      </c>
      <c r="M573" s="7" t="n">
        <v>21.7</v>
      </c>
      <c r="N573" s="7" t="n">
        <v>1715</v>
      </c>
    </row>
    <row r="574" customFormat="false" ht="15" hidden="false" customHeight="false" outlineLevel="0" collapsed="false">
      <c r="A574" s="7" t="s">
        <v>59</v>
      </c>
      <c r="B574" s="7" t="s">
        <v>145</v>
      </c>
      <c r="C574" s="7" t="s">
        <v>145</v>
      </c>
      <c r="D574" s="7" t="s">
        <v>146</v>
      </c>
      <c r="E574" s="7" t="s">
        <v>147</v>
      </c>
      <c r="F574" s="7" t="n">
        <v>2016</v>
      </c>
      <c r="G574" s="7" t="s">
        <v>137</v>
      </c>
      <c r="H574" s="7" t="s">
        <v>63</v>
      </c>
      <c r="J574" s="7" t="s">
        <v>64</v>
      </c>
      <c r="K574" s="7" t="s">
        <v>133</v>
      </c>
      <c r="L574" s="7" t="s">
        <v>91</v>
      </c>
      <c r="M574" s="7" t="n">
        <v>52.3</v>
      </c>
      <c r="N574" s="7" t="n">
        <v>5835</v>
      </c>
    </row>
    <row r="575" customFormat="false" ht="15" hidden="false" customHeight="false" outlineLevel="0" collapsed="false">
      <c r="A575" s="7" t="s">
        <v>59</v>
      </c>
      <c r="B575" s="7" t="s">
        <v>145</v>
      </c>
      <c r="C575" s="7" t="s">
        <v>145</v>
      </c>
      <c r="D575" s="7" t="s">
        <v>146</v>
      </c>
      <c r="E575" s="7" t="s">
        <v>147</v>
      </c>
      <c r="F575" s="7" t="n">
        <v>2016</v>
      </c>
      <c r="G575" s="7" t="s">
        <v>137</v>
      </c>
      <c r="H575" s="7" t="s">
        <v>87</v>
      </c>
      <c r="J575" s="7" t="s">
        <v>64</v>
      </c>
      <c r="K575" s="7" t="s">
        <v>133</v>
      </c>
      <c r="L575" s="7" t="s">
        <v>91</v>
      </c>
      <c r="M575" s="7" t="n">
        <v>30.7</v>
      </c>
      <c r="N575" s="7" t="n">
        <v>4120</v>
      </c>
    </row>
    <row r="576" customFormat="false" ht="15" hidden="false" customHeight="false" outlineLevel="0" collapsed="false">
      <c r="A576" s="7" t="s">
        <v>59</v>
      </c>
      <c r="B576" s="7" t="s">
        <v>145</v>
      </c>
      <c r="C576" s="7" t="s">
        <v>145</v>
      </c>
      <c r="D576" s="7" t="s">
        <v>146</v>
      </c>
      <c r="E576" s="7" t="s">
        <v>147</v>
      </c>
      <c r="F576" s="7" t="n">
        <v>2016</v>
      </c>
      <c r="G576" s="7" t="s">
        <v>68</v>
      </c>
      <c r="H576" s="7" t="s">
        <v>78</v>
      </c>
      <c r="J576" s="7" t="s">
        <v>64</v>
      </c>
      <c r="K576" s="7" t="s">
        <v>79</v>
      </c>
      <c r="L576" s="7" t="s">
        <v>91</v>
      </c>
      <c r="M576" s="7" t="n">
        <v>49.2</v>
      </c>
      <c r="N576" s="7" t="n">
        <v>5835</v>
      </c>
    </row>
    <row r="577" customFormat="false" ht="15" hidden="false" customHeight="false" outlineLevel="0" collapsed="false">
      <c r="A577" s="7" t="s">
        <v>59</v>
      </c>
      <c r="B577" s="7" t="s">
        <v>145</v>
      </c>
      <c r="C577" s="7" t="s">
        <v>145</v>
      </c>
      <c r="D577" s="7" t="s">
        <v>146</v>
      </c>
      <c r="E577" s="7" t="s">
        <v>147</v>
      </c>
      <c r="F577" s="7" t="n">
        <v>2016</v>
      </c>
      <c r="G577" s="7" t="s">
        <v>68</v>
      </c>
      <c r="H577" s="7" t="s">
        <v>86</v>
      </c>
      <c r="J577" s="7" t="s">
        <v>64</v>
      </c>
      <c r="K577" s="7" t="s">
        <v>133</v>
      </c>
      <c r="L577" s="7" t="s">
        <v>91</v>
      </c>
      <c r="M577" s="7" t="n">
        <v>22.6</v>
      </c>
      <c r="N577" s="7" t="n">
        <v>1715</v>
      </c>
    </row>
    <row r="578" customFormat="false" ht="15" hidden="false" customHeight="false" outlineLevel="0" collapsed="false">
      <c r="A578" s="7" t="s">
        <v>59</v>
      </c>
      <c r="B578" s="7" t="s">
        <v>145</v>
      </c>
      <c r="C578" s="7" t="s">
        <v>145</v>
      </c>
      <c r="D578" s="7" t="s">
        <v>146</v>
      </c>
      <c r="E578" s="7" t="s">
        <v>147</v>
      </c>
      <c r="F578" s="7" t="n">
        <v>2016</v>
      </c>
      <c r="G578" s="7" t="s">
        <v>68</v>
      </c>
      <c r="H578" s="7" t="s">
        <v>63</v>
      </c>
      <c r="J578" s="7" t="s">
        <v>64</v>
      </c>
      <c r="K578" s="7" t="s">
        <v>133</v>
      </c>
      <c r="L578" s="7" t="s">
        <v>91</v>
      </c>
      <c r="M578" s="7" t="n">
        <v>57.7</v>
      </c>
      <c r="N578" s="7" t="n">
        <v>5835</v>
      </c>
    </row>
    <row r="579" customFormat="false" ht="15" hidden="false" customHeight="false" outlineLevel="0" collapsed="false">
      <c r="A579" s="7" t="s">
        <v>59</v>
      </c>
      <c r="B579" s="7" t="s">
        <v>145</v>
      </c>
      <c r="C579" s="7" t="s">
        <v>145</v>
      </c>
      <c r="D579" s="7" t="s">
        <v>146</v>
      </c>
      <c r="E579" s="7" t="s">
        <v>147</v>
      </c>
      <c r="F579" s="7" t="n">
        <v>2016</v>
      </c>
      <c r="G579" s="7" t="s">
        <v>68</v>
      </c>
      <c r="H579" s="7" t="s">
        <v>87</v>
      </c>
      <c r="J579" s="7" t="s">
        <v>64</v>
      </c>
      <c r="K579" s="7" t="s">
        <v>133</v>
      </c>
      <c r="L579" s="7" t="s">
        <v>91</v>
      </c>
      <c r="M579" s="7" t="n">
        <v>35.1</v>
      </c>
      <c r="N579" s="7" t="n">
        <v>4120</v>
      </c>
    </row>
    <row r="580" customFormat="false" ht="15" hidden="false" customHeight="false" outlineLevel="0" collapsed="false">
      <c r="A580" s="7" t="s">
        <v>59</v>
      </c>
      <c r="B580" s="7" t="s">
        <v>145</v>
      </c>
      <c r="C580" s="7" t="s">
        <v>145</v>
      </c>
      <c r="D580" s="7" t="s">
        <v>146</v>
      </c>
      <c r="E580" s="7" t="s">
        <v>147</v>
      </c>
      <c r="F580" s="7" t="n">
        <v>2016</v>
      </c>
      <c r="G580" s="7" t="s">
        <v>138</v>
      </c>
      <c r="H580" s="7" t="s">
        <v>78</v>
      </c>
      <c r="J580" s="7" t="s">
        <v>64</v>
      </c>
      <c r="K580" s="7" t="s">
        <v>79</v>
      </c>
      <c r="L580" s="7" t="s">
        <v>91</v>
      </c>
      <c r="M580" s="7" t="n">
        <v>56.3</v>
      </c>
      <c r="N580" s="7" t="n">
        <v>5835</v>
      </c>
    </row>
    <row r="581" customFormat="false" ht="15" hidden="false" customHeight="false" outlineLevel="0" collapsed="false">
      <c r="A581" s="7" t="s">
        <v>59</v>
      </c>
      <c r="B581" s="7" t="s">
        <v>145</v>
      </c>
      <c r="C581" s="7" t="s">
        <v>145</v>
      </c>
      <c r="D581" s="7" t="s">
        <v>146</v>
      </c>
      <c r="E581" s="7" t="s">
        <v>147</v>
      </c>
      <c r="F581" s="7" t="n">
        <v>2016</v>
      </c>
      <c r="G581" s="7" t="s">
        <v>138</v>
      </c>
      <c r="H581" s="7" t="s">
        <v>86</v>
      </c>
      <c r="J581" s="7" t="s">
        <v>64</v>
      </c>
      <c r="K581" s="7" t="s">
        <v>133</v>
      </c>
      <c r="L581" s="7" t="s">
        <v>91</v>
      </c>
      <c r="M581" s="7" t="n">
        <v>25.8</v>
      </c>
      <c r="N581" s="7" t="n">
        <v>1715</v>
      </c>
    </row>
    <row r="582" customFormat="false" ht="15" hidden="false" customHeight="false" outlineLevel="0" collapsed="false">
      <c r="A582" s="7" t="s">
        <v>59</v>
      </c>
      <c r="B582" s="7" t="s">
        <v>145</v>
      </c>
      <c r="C582" s="7" t="s">
        <v>145</v>
      </c>
      <c r="D582" s="7" t="s">
        <v>146</v>
      </c>
      <c r="E582" s="7" t="s">
        <v>147</v>
      </c>
      <c r="F582" s="7" t="n">
        <v>2016</v>
      </c>
      <c r="G582" s="7" t="s">
        <v>138</v>
      </c>
      <c r="H582" s="7" t="s">
        <v>63</v>
      </c>
      <c r="J582" s="7" t="s">
        <v>64</v>
      </c>
      <c r="K582" s="7" t="s">
        <v>133</v>
      </c>
      <c r="L582" s="7" t="s">
        <v>91</v>
      </c>
      <c r="M582" s="7" t="n">
        <v>57.8</v>
      </c>
      <c r="N582" s="7" t="n">
        <v>5835</v>
      </c>
    </row>
    <row r="583" customFormat="false" ht="15" hidden="false" customHeight="false" outlineLevel="0" collapsed="false">
      <c r="A583" s="7" t="s">
        <v>59</v>
      </c>
      <c r="B583" s="7" t="s">
        <v>145</v>
      </c>
      <c r="C583" s="7" t="s">
        <v>145</v>
      </c>
      <c r="D583" s="7" t="s">
        <v>146</v>
      </c>
      <c r="E583" s="7" t="s">
        <v>147</v>
      </c>
      <c r="F583" s="7" t="n">
        <v>2016</v>
      </c>
      <c r="G583" s="7" t="s">
        <v>138</v>
      </c>
      <c r="H583" s="7" t="s">
        <v>87</v>
      </c>
      <c r="J583" s="7" t="s">
        <v>64</v>
      </c>
      <c r="K583" s="7" t="s">
        <v>133</v>
      </c>
      <c r="L583" s="7" t="s">
        <v>91</v>
      </c>
      <c r="M583" s="7" t="n">
        <v>32</v>
      </c>
      <c r="N583" s="7" t="n">
        <v>4120</v>
      </c>
    </row>
    <row r="584" customFormat="false" ht="15" hidden="false" customHeight="false" outlineLevel="0" collapsed="false">
      <c r="A584" s="7" t="s">
        <v>59</v>
      </c>
      <c r="B584" s="7" t="s">
        <v>145</v>
      </c>
      <c r="C584" s="7" t="s">
        <v>145</v>
      </c>
      <c r="D584" s="7" t="s">
        <v>146</v>
      </c>
      <c r="E584" s="7" t="s">
        <v>147</v>
      </c>
      <c r="F584" s="7" t="n">
        <v>2016</v>
      </c>
      <c r="G584" s="7" t="s">
        <v>139</v>
      </c>
      <c r="H584" s="7" t="s">
        <v>78</v>
      </c>
      <c r="J584" s="7" t="s">
        <v>64</v>
      </c>
      <c r="K584" s="7" t="s">
        <v>79</v>
      </c>
      <c r="L584" s="7" t="s">
        <v>91</v>
      </c>
      <c r="M584" s="7" t="n">
        <v>48.3</v>
      </c>
      <c r="N584" s="7" t="n">
        <v>5835</v>
      </c>
    </row>
    <row r="585" customFormat="false" ht="15" hidden="false" customHeight="false" outlineLevel="0" collapsed="false">
      <c r="A585" s="7" t="s">
        <v>59</v>
      </c>
      <c r="B585" s="7" t="s">
        <v>145</v>
      </c>
      <c r="C585" s="7" t="s">
        <v>145</v>
      </c>
      <c r="D585" s="7" t="s">
        <v>146</v>
      </c>
      <c r="E585" s="7" t="s">
        <v>147</v>
      </c>
      <c r="F585" s="7" t="n">
        <v>2016</v>
      </c>
      <c r="G585" s="7" t="s">
        <v>139</v>
      </c>
      <c r="H585" s="7" t="s">
        <v>86</v>
      </c>
      <c r="J585" s="7" t="s">
        <v>64</v>
      </c>
      <c r="K585" s="7" t="s">
        <v>133</v>
      </c>
      <c r="L585" s="7" t="s">
        <v>91</v>
      </c>
      <c r="M585" s="7" t="n">
        <v>24</v>
      </c>
      <c r="N585" s="7" t="n">
        <v>1715</v>
      </c>
    </row>
    <row r="586" customFormat="false" ht="15" hidden="false" customHeight="false" outlineLevel="0" collapsed="false">
      <c r="A586" s="7" t="s">
        <v>59</v>
      </c>
      <c r="B586" s="7" t="s">
        <v>145</v>
      </c>
      <c r="C586" s="7" t="s">
        <v>145</v>
      </c>
      <c r="D586" s="7" t="s">
        <v>146</v>
      </c>
      <c r="E586" s="7" t="s">
        <v>147</v>
      </c>
      <c r="F586" s="7" t="n">
        <v>2016</v>
      </c>
      <c r="G586" s="7" t="s">
        <v>139</v>
      </c>
      <c r="H586" s="7" t="s">
        <v>63</v>
      </c>
      <c r="J586" s="7" t="s">
        <v>64</v>
      </c>
      <c r="K586" s="7" t="s">
        <v>133</v>
      </c>
      <c r="L586" s="7" t="s">
        <v>91</v>
      </c>
      <c r="M586" s="7" t="n">
        <v>50.3</v>
      </c>
      <c r="N586" s="7" t="n">
        <v>5835</v>
      </c>
    </row>
    <row r="587" customFormat="false" ht="15" hidden="false" customHeight="false" outlineLevel="0" collapsed="false">
      <c r="A587" s="7" t="s">
        <v>59</v>
      </c>
      <c r="B587" s="7" t="s">
        <v>145</v>
      </c>
      <c r="C587" s="7" t="s">
        <v>145</v>
      </c>
      <c r="D587" s="7" t="s">
        <v>146</v>
      </c>
      <c r="E587" s="7" t="s">
        <v>147</v>
      </c>
      <c r="F587" s="7" t="n">
        <v>2016</v>
      </c>
      <c r="G587" s="7" t="s">
        <v>139</v>
      </c>
      <c r="H587" s="7" t="s">
        <v>87</v>
      </c>
      <c r="J587" s="7" t="s">
        <v>64</v>
      </c>
      <c r="K587" s="7" t="s">
        <v>133</v>
      </c>
      <c r="L587" s="7" t="s">
        <v>91</v>
      </c>
      <c r="M587" s="7" t="n">
        <v>26.3</v>
      </c>
      <c r="N587" s="7" t="n">
        <v>4120</v>
      </c>
    </row>
    <row r="588" customFormat="false" ht="15" hidden="false" customHeight="false" outlineLevel="0" collapsed="false">
      <c r="A588" s="7" t="s">
        <v>59</v>
      </c>
      <c r="B588" s="7" t="s">
        <v>145</v>
      </c>
      <c r="C588" s="7" t="s">
        <v>145</v>
      </c>
      <c r="D588" s="7" t="s">
        <v>146</v>
      </c>
      <c r="E588" s="7" t="s">
        <v>147</v>
      </c>
      <c r="F588" s="7" t="n">
        <v>2016</v>
      </c>
      <c r="G588" s="7" t="s">
        <v>140</v>
      </c>
      <c r="H588" s="7" t="s">
        <v>78</v>
      </c>
      <c r="J588" s="7" t="s">
        <v>64</v>
      </c>
      <c r="K588" s="7" t="s">
        <v>79</v>
      </c>
      <c r="L588" s="7" t="s">
        <v>91</v>
      </c>
      <c r="M588" s="7" t="n">
        <v>41.1</v>
      </c>
      <c r="N588" s="7" t="n">
        <v>5835</v>
      </c>
    </row>
    <row r="589" customFormat="false" ht="15" hidden="false" customHeight="false" outlineLevel="0" collapsed="false">
      <c r="A589" s="7" t="s">
        <v>59</v>
      </c>
      <c r="B589" s="7" t="s">
        <v>145</v>
      </c>
      <c r="C589" s="7" t="s">
        <v>145</v>
      </c>
      <c r="D589" s="7" t="s">
        <v>146</v>
      </c>
      <c r="E589" s="7" t="s">
        <v>147</v>
      </c>
      <c r="F589" s="7" t="n">
        <v>2016</v>
      </c>
      <c r="G589" s="7" t="s">
        <v>140</v>
      </c>
      <c r="H589" s="7" t="s">
        <v>86</v>
      </c>
      <c r="J589" s="7" t="s">
        <v>64</v>
      </c>
      <c r="K589" s="7" t="s">
        <v>133</v>
      </c>
      <c r="L589" s="7" t="s">
        <v>91</v>
      </c>
      <c r="M589" s="7" t="n">
        <v>21.7</v>
      </c>
      <c r="N589" s="7" t="n">
        <v>1715</v>
      </c>
    </row>
    <row r="590" customFormat="false" ht="15" hidden="false" customHeight="false" outlineLevel="0" collapsed="false">
      <c r="A590" s="7" t="s">
        <v>59</v>
      </c>
      <c r="B590" s="7" t="s">
        <v>145</v>
      </c>
      <c r="C590" s="7" t="s">
        <v>145</v>
      </c>
      <c r="D590" s="7" t="s">
        <v>146</v>
      </c>
      <c r="E590" s="7" t="s">
        <v>147</v>
      </c>
      <c r="F590" s="7" t="n">
        <v>2016</v>
      </c>
      <c r="G590" s="7" t="s">
        <v>140</v>
      </c>
      <c r="H590" s="7" t="s">
        <v>63</v>
      </c>
      <c r="J590" s="7" t="s">
        <v>64</v>
      </c>
      <c r="K590" s="7" t="s">
        <v>133</v>
      </c>
      <c r="L590" s="7" t="s">
        <v>91</v>
      </c>
      <c r="M590" s="7" t="n">
        <v>43.5</v>
      </c>
      <c r="N590" s="7" t="n">
        <v>5835</v>
      </c>
    </row>
    <row r="591" customFormat="false" ht="15" hidden="false" customHeight="false" outlineLevel="0" collapsed="false">
      <c r="A591" s="7" t="s">
        <v>59</v>
      </c>
      <c r="B591" s="7" t="s">
        <v>145</v>
      </c>
      <c r="C591" s="7" t="s">
        <v>145</v>
      </c>
      <c r="D591" s="7" t="s">
        <v>146</v>
      </c>
      <c r="E591" s="7" t="s">
        <v>147</v>
      </c>
      <c r="F591" s="7" t="n">
        <v>2016</v>
      </c>
      <c r="G591" s="7" t="s">
        <v>140</v>
      </c>
      <c r="H591" s="7" t="s">
        <v>87</v>
      </c>
      <c r="J591" s="7" t="s">
        <v>64</v>
      </c>
      <c r="K591" s="7" t="s">
        <v>133</v>
      </c>
      <c r="L591" s="7" t="s">
        <v>91</v>
      </c>
      <c r="M591" s="7" t="n">
        <v>21.8</v>
      </c>
      <c r="N591" s="7" t="n">
        <v>4120</v>
      </c>
    </row>
    <row r="592" customFormat="false" ht="15" hidden="false" customHeight="false" outlineLevel="0" collapsed="false">
      <c r="A592" s="7" t="s">
        <v>59</v>
      </c>
      <c r="B592" s="7" t="s">
        <v>145</v>
      </c>
      <c r="C592" s="7" t="s">
        <v>145</v>
      </c>
      <c r="D592" s="7" t="s">
        <v>146</v>
      </c>
      <c r="E592" s="7" t="s">
        <v>147</v>
      </c>
      <c r="F592" s="7" t="n">
        <v>2016</v>
      </c>
      <c r="G592" s="7" t="s">
        <v>151</v>
      </c>
      <c r="H592" s="7" t="s">
        <v>78</v>
      </c>
      <c r="J592" s="7" t="s">
        <v>64</v>
      </c>
      <c r="K592" s="7" t="s">
        <v>79</v>
      </c>
      <c r="L592" s="7" t="s">
        <v>91</v>
      </c>
      <c r="M592" s="7" t="n">
        <v>50.3</v>
      </c>
      <c r="N592" s="7" t="n">
        <v>5835</v>
      </c>
    </row>
    <row r="593" customFormat="false" ht="15" hidden="false" customHeight="false" outlineLevel="0" collapsed="false">
      <c r="A593" s="7" t="s">
        <v>59</v>
      </c>
      <c r="B593" s="7" t="s">
        <v>145</v>
      </c>
      <c r="C593" s="7" t="s">
        <v>145</v>
      </c>
      <c r="D593" s="7" t="s">
        <v>146</v>
      </c>
      <c r="E593" s="7" t="s">
        <v>147</v>
      </c>
      <c r="F593" s="7" t="n">
        <v>2016</v>
      </c>
      <c r="G593" s="7" t="s">
        <v>151</v>
      </c>
      <c r="H593" s="7" t="s">
        <v>86</v>
      </c>
      <c r="J593" s="7" t="s">
        <v>64</v>
      </c>
      <c r="K593" s="7" t="s">
        <v>133</v>
      </c>
      <c r="L593" s="7" t="s">
        <v>91</v>
      </c>
      <c r="M593" s="7" t="n">
        <v>24.7</v>
      </c>
      <c r="N593" s="7" t="n">
        <v>1715</v>
      </c>
    </row>
    <row r="594" customFormat="false" ht="15" hidden="false" customHeight="false" outlineLevel="0" collapsed="false">
      <c r="A594" s="7" t="s">
        <v>59</v>
      </c>
      <c r="B594" s="7" t="s">
        <v>145</v>
      </c>
      <c r="C594" s="7" t="s">
        <v>145</v>
      </c>
      <c r="D594" s="7" t="s">
        <v>146</v>
      </c>
      <c r="E594" s="7" t="s">
        <v>147</v>
      </c>
      <c r="F594" s="7" t="n">
        <v>2016</v>
      </c>
      <c r="G594" s="7" t="s">
        <v>151</v>
      </c>
      <c r="H594" s="7" t="s">
        <v>63</v>
      </c>
      <c r="J594" s="7" t="s">
        <v>64</v>
      </c>
      <c r="K594" s="7" t="s">
        <v>133</v>
      </c>
      <c r="L594" s="7" t="s">
        <v>91</v>
      </c>
      <c r="M594" s="7" t="n">
        <v>51.3</v>
      </c>
      <c r="N594" s="7" t="n">
        <v>5835</v>
      </c>
    </row>
    <row r="595" customFormat="false" ht="15" hidden="false" customHeight="false" outlineLevel="0" collapsed="false">
      <c r="A595" s="7" t="s">
        <v>59</v>
      </c>
      <c r="B595" s="7" t="s">
        <v>145</v>
      </c>
      <c r="C595" s="7" t="s">
        <v>145</v>
      </c>
      <c r="D595" s="7" t="s">
        <v>146</v>
      </c>
      <c r="E595" s="7" t="s">
        <v>147</v>
      </c>
      <c r="F595" s="7" t="n">
        <v>2016</v>
      </c>
      <c r="G595" s="7" t="s">
        <v>151</v>
      </c>
      <c r="H595" s="7" t="s">
        <v>87</v>
      </c>
      <c r="J595" s="7" t="s">
        <v>64</v>
      </c>
      <c r="K595" s="7" t="s">
        <v>133</v>
      </c>
      <c r="L595" s="7" t="s">
        <v>91</v>
      </c>
      <c r="M595" s="7" t="n">
        <v>26.6</v>
      </c>
      <c r="N595" s="7" t="n">
        <v>4120</v>
      </c>
    </row>
    <row r="596" customFormat="false" ht="15" hidden="false" customHeight="false" outlineLevel="0" collapsed="false">
      <c r="A596" s="7" t="s">
        <v>59</v>
      </c>
      <c r="B596" s="7" t="s">
        <v>145</v>
      </c>
      <c r="C596" s="7" t="s">
        <v>145</v>
      </c>
      <c r="D596" s="7" t="s">
        <v>146</v>
      </c>
      <c r="E596" s="7" t="s">
        <v>147</v>
      </c>
      <c r="F596" s="7" t="n">
        <v>2016</v>
      </c>
      <c r="G596" s="7" t="s">
        <v>83</v>
      </c>
      <c r="H596" s="7" t="s">
        <v>78</v>
      </c>
      <c r="J596" s="7" t="s">
        <v>64</v>
      </c>
      <c r="K596" s="7" t="s">
        <v>79</v>
      </c>
      <c r="L596" s="7" t="s">
        <v>91</v>
      </c>
      <c r="M596" s="7" t="n">
        <v>69.5</v>
      </c>
      <c r="N596" s="7" t="n">
        <v>5835</v>
      </c>
    </row>
    <row r="597" customFormat="false" ht="15" hidden="false" customHeight="false" outlineLevel="0" collapsed="false">
      <c r="A597" s="7" t="s">
        <v>59</v>
      </c>
      <c r="B597" s="7" t="s">
        <v>145</v>
      </c>
      <c r="C597" s="7" t="s">
        <v>145</v>
      </c>
      <c r="D597" s="7" t="s">
        <v>146</v>
      </c>
      <c r="E597" s="7" t="s">
        <v>147</v>
      </c>
      <c r="F597" s="7" t="n">
        <v>2016</v>
      </c>
      <c r="G597" s="7" t="s">
        <v>83</v>
      </c>
      <c r="H597" s="7" t="s">
        <v>86</v>
      </c>
      <c r="J597" s="7" t="s">
        <v>64</v>
      </c>
      <c r="K597" s="7" t="s">
        <v>133</v>
      </c>
      <c r="L597" s="7" t="s">
        <v>91</v>
      </c>
      <c r="M597" s="7" t="n">
        <v>27.9</v>
      </c>
      <c r="N597" s="7" t="n">
        <v>1715</v>
      </c>
    </row>
    <row r="598" customFormat="false" ht="15" hidden="false" customHeight="false" outlineLevel="0" collapsed="false">
      <c r="A598" s="7" t="s">
        <v>59</v>
      </c>
      <c r="B598" s="7" t="s">
        <v>145</v>
      </c>
      <c r="C598" s="7" t="s">
        <v>145</v>
      </c>
      <c r="D598" s="7" t="s">
        <v>146</v>
      </c>
      <c r="E598" s="7" t="s">
        <v>147</v>
      </c>
      <c r="F598" s="7" t="n">
        <v>2016</v>
      </c>
      <c r="G598" s="7" t="s">
        <v>83</v>
      </c>
      <c r="H598" s="7" t="s">
        <v>63</v>
      </c>
      <c r="J598" s="7" t="s">
        <v>64</v>
      </c>
      <c r="K598" s="7" t="s">
        <v>133</v>
      </c>
      <c r="L598" s="7" t="s">
        <v>91</v>
      </c>
      <c r="M598" s="7" t="n">
        <v>71.2</v>
      </c>
      <c r="N598" s="7" t="n">
        <v>5835</v>
      </c>
    </row>
    <row r="599" customFormat="false" ht="15" hidden="false" customHeight="false" outlineLevel="0" collapsed="false">
      <c r="A599" s="7" t="s">
        <v>59</v>
      </c>
      <c r="B599" s="7" t="s">
        <v>145</v>
      </c>
      <c r="C599" s="7" t="s">
        <v>145</v>
      </c>
      <c r="D599" s="7" t="s">
        <v>146</v>
      </c>
      <c r="E599" s="7" t="s">
        <v>147</v>
      </c>
      <c r="F599" s="7" t="n">
        <v>2016</v>
      </c>
      <c r="G599" s="7" t="s">
        <v>83</v>
      </c>
      <c r="H599" s="7" t="s">
        <v>87</v>
      </c>
      <c r="J599" s="7" t="s">
        <v>64</v>
      </c>
      <c r="K599" s="7" t="s">
        <v>133</v>
      </c>
      <c r="L599" s="7" t="s">
        <v>91</v>
      </c>
      <c r="M599" s="7" t="n">
        <v>43.3</v>
      </c>
      <c r="N599" s="7" t="n">
        <v>4120</v>
      </c>
    </row>
    <row r="600" customFormat="false" ht="15" hidden="false" customHeight="false" outlineLevel="0" collapsed="false">
      <c r="A600" s="7" t="s">
        <v>59</v>
      </c>
      <c r="B600" s="7" t="s">
        <v>145</v>
      </c>
      <c r="C600" s="7" t="s">
        <v>145</v>
      </c>
      <c r="D600" s="7" t="s">
        <v>146</v>
      </c>
      <c r="E600" s="7" t="s">
        <v>147</v>
      </c>
      <c r="F600" s="7" t="n">
        <v>2016</v>
      </c>
      <c r="G600" s="7" t="s">
        <v>141</v>
      </c>
      <c r="H600" s="7" t="s">
        <v>78</v>
      </c>
      <c r="J600" s="7" t="s">
        <v>64</v>
      </c>
      <c r="K600" s="7" t="s">
        <v>79</v>
      </c>
      <c r="L600" s="7" t="s">
        <v>91</v>
      </c>
      <c r="M600" s="7" t="n">
        <v>62.9</v>
      </c>
      <c r="N600" s="7" t="n">
        <v>5835</v>
      </c>
    </row>
    <row r="601" customFormat="false" ht="15" hidden="false" customHeight="false" outlineLevel="0" collapsed="false">
      <c r="A601" s="7" t="s">
        <v>59</v>
      </c>
      <c r="B601" s="7" t="s">
        <v>145</v>
      </c>
      <c r="C601" s="7" t="s">
        <v>145</v>
      </c>
      <c r="D601" s="7" t="s">
        <v>146</v>
      </c>
      <c r="E601" s="7" t="s">
        <v>147</v>
      </c>
      <c r="F601" s="7" t="n">
        <v>2016</v>
      </c>
      <c r="G601" s="7" t="s">
        <v>141</v>
      </c>
      <c r="H601" s="7" t="s">
        <v>86</v>
      </c>
      <c r="J601" s="7" t="s">
        <v>64</v>
      </c>
      <c r="K601" s="7" t="s">
        <v>133</v>
      </c>
      <c r="L601" s="7" t="s">
        <v>91</v>
      </c>
      <c r="M601" s="7" t="n">
        <v>26.3</v>
      </c>
      <c r="N601" s="7" t="n">
        <v>1715</v>
      </c>
    </row>
    <row r="602" customFormat="false" ht="15" hidden="false" customHeight="false" outlineLevel="0" collapsed="false">
      <c r="A602" s="7" t="s">
        <v>59</v>
      </c>
      <c r="B602" s="7" t="s">
        <v>145</v>
      </c>
      <c r="C602" s="7" t="s">
        <v>145</v>
      </c>
      <c r="D602" s="7" t="s">
        <v>146</v>
      </c>
      <c r="E602" s="7" t="s">
        <v>147</v>
      </c>
      <c r="F602" s="7" t="n">
        <v>2016</v>
      </c>
      <c r="G602" s="7" t="s">
        <v>141</v>
      </c>
      <c r="H602" s="7" t="s">
        <v>63</v>
      </c>
      <c r="J602" s="7" t="s">
        <v>64</v>
      </c>
      <c r="K602" s="7" t="s">
        <v>133</v>
      </c>
      <c r="L602" s="7" t="s">
        <v>91</v>
      </c>
      <c r="M602" s="7" t="n">
        <v>65.3</v>
      </c>
      <c r="N602" s="7" t="n">
        <v>5835</v>
      </c>
    </row>
    <row r="603" customFormat="false" ht="15" hidden="false" customHeight="false" outlineLevel="0" collapsed="false">
      <c r="A603" s="7" t="s">
        <v>59</v>
      </c>
      <c r="B603" s="7" t="s">
        <v>145</v>
      </c>
      <c r="C603" s="7" t="s">
        <v>145</v>
      </c>
      <c r="D603" s="7" t="s">
        <v>146</v>
      </c>
      <c r="E603" s="7" t="s">
        <v>147</v>
      </c>
      <c r="F603" s="7" t="n">
        <v>2016</v>
      </c>
      <c r="G603" s="7" t="s">
        <v>141</v>
      </c>
      <c r="H603" s="7" t="s">
        <v>87</v>
      </c>
      <c r="J603" s="7" t="s">
        <v>64</v>
      </c>
      <c r="K603" s="7" t="s">
        <v>133</v>
      </c>
      <c r="L603" s="7" t="s">
        <v>91</v>
      </c>
      <c r="M603" s="7" t="n">
        <v>38.9</v>
      </c>
      <c r="N603" s="7" t="n">
        <v>4120</v>
      </c>
    </row>
    <row r="604" customFormat="false" ht="15" hidden="false" customHeight="false" outlineLevel="0" collapsed="false">
      <c r="A604" s="7" t="s">
        <v>59</v>
      </c>
      <c r="B604" s="7" t="s">
        <v>145</v>
      </c>
      <c r="C604" s="7" t="s">
        <v>145</v>
      </c>
      <c r="D604" s="7" t="s">
        <v>146</v>
      </c>
      <c r="E604" s="7" t="s">
        <v>147</v>
      </c>
      <c r="F604" s="7" t="n">
        <v>2016</v>
      </c>
      <c r="G604" s="7" t="s">
        <v>69</v>
      </c>
      <c r="H604" s="7" t="s">
        <v>78</v>
      </c>
      <c r="J604" s="7" t="s">
        <v>64</v>
      </c>
      <c r="K604" s="7" t="s">
        <v>79</v>
      </c>
      <c r="L604" s="7" t="s">
        <v>91</v>
      </c>
      <c r="M604" s="7" t="n">
        <v>41.6</v>
      </c>
      <c r="N604" s="7" t="n">
        <v>5835</v>
      </c>
    </row>
    <row r="605" customFormat="false" ht="15" hidden="false" customHeight="false" outlineLevel="0" collapsed="false">
      <c r="A605" s="7" t="s">
        <v>59</v>
      </c>
      <c r="B605" s="7" t="s">
        <v>145</v>
      </c>
      <c r="C605" s="7" t="s">
        <v>145</v>
      </c>
      <c r="D605" s="7" t="s">
        <v>146</v>
      </c>
      <c r="E605" s="7" t="s">
        <v>147</v>
      </c>
      <c r="F605" s="7" t="n">
        <v>2016</v>
      </c>
      <c r="G605" s="7" t="s">
        <v>69</v>
      </c>
      <c r="H605" s="7" t="s">
        <v>86</v>
      </c>
      <c r="J605" s="7" t="s">
        <v>64</v>
      </c>
      <c r="K605" s="7" t="s">
        <v>133</v>
      </c>
      <c r="L605" s="7" t="s">
        <v>91</v>
      </c>
      <c r="M605" s="7" t="n">
        <v>23.7</v>
      </c>
      <c r="N605" s="7" t="n">
        <v>1715</v>
      </c>
    </row>
    <row r="606" customFormat="false" ht="15" hidden="false" customHeight="false" outlineLevel="0" collapsed="false">
      <c r="A606" s="7" t="s">
        <v>59</v>
      </c>
      <c r="B606" s="7" t="s">
        <v>145</v>
      </c>
      <c r="C606" s="7" t="s">
        <v>145</v>
      </c>
      <c r="D606" s="7" t="s">
        <v>146</v>
      </c>
      <c r="E606" s="7" t="s">
        <v>147</v>
      </c>
      <c r="F606" s="7" t="n">
        <v>2016</v>
      </c>
      <c r="G606" s="7" t="s">
        <v>69</v>
      </c>
      <c r="H606" s="7" t="s">
        <v>63</v>
      </c>
      <c r="J606" s="7" t="s">
        <v>64</v>
      </c>
      <c r="K606" s="7" t="s">
        <v>133</v>
      </c>
      <c r="L606" s="7" t="s">
        <v>91</v>
      </c>
      <c r="M606" s="7" t="n">
        <v>43.6</v>
      </c>
      <c r="N606" s="7" t="n">
        <v>5835</v>
      </c>
    </row>
    <row r="607" customFormat="false" ht="15" hidden="false" customHeight="false" outlineLevel="0" collapsed="false">
      <c r="A607" s="7" t="s">
        <v>59</v>
      </c>
      <c r="B607" s="7" t="s">
        <v>145</v>
      </c>
      <c r="C607" s="7" t="s">
        <v>145</v>
      </c>
      <c r="D607" s="7" t="s">
        <v>146</v>
      </c>
      <c r="E607" s="7" t="s">
        <v>147</v>
      </c>
      <c r="F607" s="7" t="n">
        <v>2016</v>
      </c>
      <c r="G607" s="7" t="s">
        <v>69</v>
      </c>
      <c r="H607" s="7" t="s">
        <v>87</v>
      </c>
      <c r="J607" s="7" t="s">
        <v>64</v>
      </c>
      <c r="K607" s="7" t="s">
        <v>133</v>
      </c>
      <c r="L607" s="7" t="s">
        <v>91</v>
      </c>
      <c r="M607" s="7" t="n">
        <v>19.9</v>
      </c>
      <c r="N607" s="7" t="n">
        <v>4120</v>
      </c>
    </row>
    <row r="608" customFormat="false" ht="15" hidden="false" customHeight="false" outlineLevel="0" collapsed="false">
      <c r="A608" s="7" t="s">
        <v>59</v>
      </c>
      <c r="B608" s="7" t="s">
        <v>152</v>
      </c>
      <c r="C608" s="7" t="s">
        <v>152</v>
      </c>
      <c r="D608" s="7" t="s">
        <v>153</v>
      </c>
      <c r="E608" s="7" t="s">
        <v>154</v>
      </c>
      <c r="F608" s="7" t="n">
        <v>2016</v>
      </c>
      <c r="G608" s="7" t="s">
        <v>81</v>
      </c>
      <c r="H608" s="7" t="s">
        <v>63</v>
      </c>
      <c r="I608" s="7" t="n">
        <v>39.8</v>
      </c>
      <c r="J608" s="7" t="s">
        <v>64</v>
      </c>
      <c r="K608" s="7" t="s">
        <v>65</v>
      </c>
      <c r="L608" s="7" t="s">
        <v>66</v>
      </c>
      <c r="M608" s="7" t="n">
        <v>69.9</v>
      </c>
      <c r="N608" s="7" t="n">
        <v>3976</v>
      </c>
    </row>
    <row r="609" customFormat="false" ht="15" hidden="false" customHeight="false" outlineLevel="0" collapsed="false">
      <c r="A609" s="7" t="s">
        <v>59</v>
      </c>
      <c r="B609" s="7" t="s">
        <v>152</v>
      </c>
      <c r="C609" s="7" t="s">
        <v>152</v>
      </c>
      <c r="D609" s="7" t="s">
        <v>153</v>
      </c>
      <c r="E609" s="7" t="s">
        <v>154</v>
      </c>
      <c r="F609" s="7" t="n">
        <v>2016</v>
      </c>
      <c r="G609" s="7" t="s">
        <v>134</v>
      </c>
      <c r="H609" s="7" t="s">
        <v>63</v>
      </c>
      <c r="I609" s="7" t="n">
        <v>39.8</v>
      </c>
      <c r="J609" s="7" t="s">
        <v>64</v>
      </c>
      <c r="K609" s="7" t="s">
        <v>65</v>
      </c>
      <c r="L609" s="7" t="s">
        <v>66</v>
      </c>
      <c r="M609" s="7" t="n">
        <v>65.4</v>
      </c>
      <c r="N609" s="7" t="n">
        <v>3976</v>
      </c>
    </row>
    <row r="610" customFormat="false" ht="15" hidden="false" customHeight="false" outlineLevel="0" collapsed="false">
      <c r="A610" s="7" t="s">
        <v>59</v>
      </c>
      <c r="B610" s="7" t="s">
        <v>152</v>
      </c>
      <c r="C610" s="7" t="s">
        <v>152</v>
      </c>
      <c r="D610" s="7" t="s">
        <v>153</v>
      </c>
      <c r="E610" s="7" t="s">
        <v>154</v>
      </c>
      <c r="F610" s="7" t="n">
        <v>2016</v>
      </c>
      <c r="G610" s="7" t="s">
        <v>67</v>
      </c>
      <c r="H610" s="7" t="s">
        <v>63</v>
      </c>
      <c r="I610" s="7" t="n">
        <v>39.8</v>
      </c>
      <c r="J610" s="7" t="s">
        <v>64</v>
      </c>
      <c r="K610" s="7" t="s">
        <v>65</v>
      </c>
      <c r="L610" s="7" t="s">
        <v>66</v>
      </c>
      <c r="M610" s="7" t="n">
        <v>57.2</v>
      </c>
      <c r="N610" s="7" t="n">
        <v>3976</v>
      </c>
    </row>
    <row r="611" customFormat="false" ht="15" hidden="false" customHeight="false" outlineLevel="0" collapsed="false">
      <c r="A611" s="7" t="s">
        <v>59</v>
      </c>
      <c r="B611" s="7" t="s">
        <v>152</v>
      </c>
      <c r="C611" s="7" t="s">
        <v>152</v>
      </c>
      <c r="D611" s="7" t="s">
        <v>153</v>
      </c>
      <c r="E611" s="7" t="s">
        <v>154</v>
      </c>
      <c r="F611" s="7" t="n">
        <v>2016</v>
      </c>
      <c r="G611" s="7" t="s">
        <v>109</v>
      </c>
      <c r="H611" s="7" t="s">
        <v>63</v>
      </c>
      <c r="I611" s="7" t="n">
        <v>39.8</v>
      </c>
      <c r="J611" s="7" t="s">
        <v>64</v>
      </c>
      <c r="K611" s="7" t="s">
        <v>65</v>
      </c>
      <c r="L611" s="7" t="s">
        <v>66</v>
      </c>
      <c r="M611" s="7" t="n">
        <v>69.9</v>
      </c>
      <c r="N611" s="7" t="n">
        <v>3976</v>
      </c>
    </row>
    <row r="612" customFormat="false" ht="15" hidden="false" customHeight="false" outlineLevel="0" collapsed="false">
      <c r="A612" s="7" t="s">
        <v>59</v>
      </c>
      <c r="B612" s="7" t="s">
        <v>152</v>
      </c>
      <c r="C612" s="7" t="s">
        <v>152</v>
      </c>
      <c r="D612" s="7" t="s">
        <v>153</v>
      </c>
      <c r="E612" s="7" t="s">
        <v>154</v>
      </c>
      <c r="F612" s="7" t="n">
        <v>2016</v>
      </c>
      <c r="G612" s="7" t="s">
        <v>149</v>
      </c>
      <c r="H612" s="7" t="s">
        <v>63</v>
      </c>
      <c r="I612" s="7" t="n">
        <v>39.8</v>
      </c>
      <c r="J612" s="7" t="s">
        <v>64</v>
      </c>
      <c r="K612" s="7" t="s">
        <v>65</v>
      </c>
      <c r="L612" s="7" t="s">
        <v>66</v>
      </c>
      <c r="M612" s="7" t="n">
        <v>65.4</v>
      </c>
      <c r="N612" s="7" t="n">
        <v>3976</v>
      </c>
    </row>
    <row r="613" customFormat="false" ht="15" hidden="false" customHeight="false" outlineLevel="0" collapsed="false">
      <c r="A613" s="7" t="s">
        <v>59</v>
      </c>
      <c r="B613" s="7" t="s">
        <v>152</v>
      </c>
      <c r="C613" s="7" t="s">
        <v>152</v>
      </c>
      <c r="D613" s="7" t="s">
        <v>153</v>
      </c>
      <c r="E613" s="7" t="s">
        <v>154</v>
      </c>
      <c r="F613" s="7" t="n">
        <v>2016</v>
      </c>
      <c r="G613" s="7" t="s">
        <v>110</v>
      </c>
      <c r="H613" s="7" t="s">
        <v>63</v>
      </c>
      <c r="I613" s="7" t="n">
        <v>39.8</v>
      </c>
      <c r="J613" s="7" t="s">
        <v>64</v>
      </c>
      <c r="K613" s="7" t="s">
        <v>65</v>
      </c>
      <c r="L613" s="7" t="s">
        <v>66</v>
      </c>
      <c r="M613" s="7" t="n">
        <v>57.2</v>
      </c>
      <c r="N613" s="7" t="n">
        <v>3976</v>
      </c>
    </row>
    <row r="614" customFormat="false" ht="15" hidden="false" customHeight="false" outlineLevel="0" collapsed="false">
      <c r="A614" s="7" t="s">
        <v>59</v>
      </c>
      <c r="B614" s="7" t="s">
        <v>152</v>
      </c>
      <c r="C614" s="7" t="s">
        <v>152</v>
      </c>
      <c r="D614" s="7" t="s">
        <v>153</v>
      </c>
      <c r="E614" s="7" t="s">
        <v>154</v>
      </c>
      <c r="F614" s="7" t="n">
        <v>2016</v>
      </c>
      <c r="G614" s="7" t="s">
        <v>135</v>
      </c>
      <c r="H614" s="7" t="s">
        <v>63</v>
      </c>
      <c r="I614" s="7" t="n">
        <v>39.8</v>
      </c>
      <c r="J614" s="7" t="s">
        <v>64</v>
      </c>
      <c r="K614" s="7" t="s">
        <v>65</v>
      </c>
      <c r="L614" s="7" t="s">
        <v>66</v>
      </c>
      <c r="M614" s="7" t="n">
        <v>69.9</v>
      </c>
      <c r="N614" s="7" t="n">
        <v>3976</v>
      </c>
    </row>
    <row r="615" customFormat="false" ht="15" hidden="false" customHeight="false" outlineLevel="0" collapsed="false">
      <c r="A615" s="7" t="s">
        <v>59</v>
      </c>
      <c r="B615" s="7" t="s">
        <v>152</v>
      </c>
      <c r="C615" s="7" t="s">
        <v>152</v>
      </c>
      <c r="D615" s="7" t="s">
        <v>153</v>
      </c>
      <c r="E615" s="7" t="s">
        <v>154</v>
      </c>
      <c r="F615" s="7" t="n">
        <v>2016</v>
      </c>
      <c r="G615" s="7" t="s">
        <v>150</v>
      </c>
      <c r="H615" s="7" t="s">
        <v>63</v>
      </c>
      <c r="I615" s="7" t="n">
        <v>39.8</v>
      </c>
      <c r="J615" s="7" t="s">
        <v>64</v>
      </c>
      <c r="K615" s="7" t="s">
        <v>65</v>
      </c>
      <c r="L615" s="7" t="s">
        <v>66</v>
      </c>
      <c r="M615" s="7" t="n">
        <v>65.4</v>
      </c>
      <c r="N615" s="7" t="n">
        <v>3976</v>
      </c>
    </row>
    <row r="616" customFormat="false" ht="15" hidden="false" customHeight="false" outlineLevel="0" collapsed="false">
      <c r="A616" s="7" t="s">
        <v>59</v>
      </c>
      <c r="B616" s="7" t="s">
        <v>152</v>
      </c>
      <c r="C616" s="7" t="s">
        <v>152</v>
      </c>
      <c r="D616" s="7" t="s">
        <v>153</v>
      </c>
      <c r="E616" s="7" t="s">
        <v>154</v>
      </c>
      <c r="F616" s="7" t="n">
        <v>2016</v>
      </c>
      <c r="G616" s="7" t="s">
        <v>136</v>
      </c>
      <c r="H616" s="7" t="s">
        <v>63</v>
      </c>
      <c r="I616" s="7" t="n">
        <v>39.8</v>
      </c>
      <c r="J616" s="7" t="s">
        <v>64</v>
      </c>
      <c r="K616" s="7" t="s">
        <v>65</v>
      </c>
      <c r="L616" s="7" t="s">
        <v>66</v>
      </c>
      <c r="M616" s="7" t="n">
        <v>57.2</v>
      </c>
      <c r="N616" s="7" t="n">
        <v>3976</v>
      </c>
    </row>
    <row r="617" customFormat="false" ht="15" hidden="false" customHeight="false" outlineLevel="0" collapsed="false">
      <c r="A617" s="7" t="s">
        <v>59</v>
      </c>
      <c r="B617" s="7" t="s">
        <v>152</v>
      </c>
      <c r="C617" s="7" t="s">
        <v>152</v>
      </c>
      <c r="D617" s="7" t="s">
        <v>153</v>
      </c>
      <c r="E617" s="7" t="s">
        <v>154</v>
      </c>
      <c r="F617" s="7" t="n">
        <v>2016</v>
      </c>
      <c r="G617" s="7" t="s">
        <v>68</v>
      </c>
      <c r="H617" s="7" t="s">
        <v>63</v>
      </c>
      <c r="I617" s="7" t="n">
        <v>39.8</v>
      </c>
      <c r="J617" s="7" t="s">
        <v>64</v>
      </c>
      <c r="K617" s="7" t="s">
        <v>65</v>
      </c>
      <c r="L617" s="7" t="s">
        <v>66</v>
      </c>
      <c r="M617" s="7" t="n">
        <v>64.7</v>
      </c>
      <c r="N617" s="7" t="n">
        <v>3976</v>
      </c>
    </row>
    <row r="618" customFormat="false" ht="15" hidden="false" customHeight="false" outlineLevel="0" collapsed="false">
      <c r="A618" s="7" t="s">
        <v>59</v>
      </c>
      <c r="B618" s="7" t="s">
        <v>145</v>
      </c>
      <c r="C618" s="7" t="s">
        <v>145</v>
      </c>
      <c r="D618" s="7" t="s">
        <v>146</v>
      </c>
      <c r="E618" s="7" t="s">
        <v>147</v>
      </c>
      <c r="F618" s="7" t="n">
        <v>2017</v>
      </c>
      <c r="G618" s="7" t="s">
        <v>62</v>
      </c>
      <c r="H618" s="7" t="s">
        <v>78</v>
      </c>
      <c r="I618" s="7" t="n">
        <v>40</v>
      </c>
      <c r="J618" s="7" t="s">
        <v>64</v>
      </c>
      <c r="K618" s="7" t="s">
        <v>79</v>
      </c>
      <c r="L618" s="7" t="s">
        <v>66</v>
      </c>
      <c r="M618" s="7" t="n">
        <v>66</v>
      </c>
      <c r="N618" s="7" t="n">
        <v>6143</v>
      </c>
    </row>
    <row r="619" customFormat="false" ht="15" hidden="false" customHeight="false" outlineLevel="0" collapsed="false">
      <c r="A619" s="7" t="s">
        <v>59</v>
      </c>
      <c r="B619" s="7" t="s">
        <v>145</v>
      </c>
      <c r="C619" s="7" t="s">
        <v>145</v>
      </c>
      <c r="D619" s="7" t="s">
        <v>146</v>
      </c>
      <c r="E619" s="7" t="s">
        <v>147</v>
      </c>
      <c r="F619" s="7" t="n">
        <v>2017</v>
      </c>
      <c r="G619" s="7" t="s">
        <v>62</v>
      </c>
      <c r="H619" s="7" t="s">
        <v>86</v>
      </c>
      <c r="I619" s="7" t="n">
        <v>40</v>
      </c>
      <c r="J619" s="7" t="s">
        <v>64</v>
      </c>
      <c r="K619" s="7" t="s">
        <v>65</v>
      </c>
      <c r="L619" s="7" t="s">
        <v>66</v>
      </c>
      <c r="M619" s="7" t="n">
        <v>37.7</v>
      </c>
      <c r="N619" s="7" t="n">
        <v>2459</v>
      </c>
    </row>
    <row r="620" customFormat="false" ht="15" hidden="false" customHeight="false" outlineLevel="0" collapsed="false">
      <c r="A620" s="7" t="s">
        <v>59</v>
      </c>
      <c r="B620" s="7" t="s">
        <v>145</v>
      </c>
      <c r="C620" s="7" t="s">
        <v>145</v>
      </c>
      <c r="D620" s="7" t="s">
        <v>146</v>
      </c>
      <c r="E620" s="7" t="s">
        <v>147</v>
      </c>
      <c r="F620" s="7" t="n">
        <v>2017</v>
      </c>
      <c r="G620" s="7" t="s">
        <v>62</v>
      </c>
      <c r="H620" s="7" t="s">
        <v>63</v>
      </c>
      <c r="I620" s="7" t="n">
        <v>40</v>
      </c>
      <c r="J620" s="7" t="s">
        <v>64</v>
      </c>
      <c r="K620" s="7" t="s">
        <v>65</v>
      </c>
      <c r="L620" s="7" t="s">
        <v>66</v>
      </c>
      <c r="M620" s="7" t="n">
        <v>66.7</v>
      </c>
      <c r="N620" s="7" t="n">
        <v>6143</v>
      </c>
    </row>
    <row r="621" customFormat="false" ht="15" hidden="false" customHeight="false" outlineLevel="0" collapsed="false">
      <c r="A621" s="7" t="s">
        <v>59</v>
      </c>
      <c r="B621" s="7" t="s">
        <v>145</v>
      </c>
      <c r="C621" s="7" t="s">
        <v>145</v>
      </c>
      <c r="D621" s="7" t="s">
        <v>146</v>
      </c>
      <c r="E621" s="7" t="s">
        <v>147</v>
      </c>
      <c r="F621" s="7" t="n">
        <v>2017</v>
      </c>
      <c r="G621" s="7" t="s">
        <v>62</v>
      </c>
      <c r="H621" s="7" t="s">
        <v>87</v>
      </c>
      <c r="I621" s="7" t="n">
        <v>40</v>
      </c>
      <c r="J621" s="7" t="s">
        <v>64</v>
      </c>
      <c r="K621" s="7" t="s">
        <v>65</v>
      </c>
      <c r="L621" s="7" t="s">
        <v>66</v>
      </c>
      <c r="M621" s="7" t="n">
        <v>28.9</v>
      </c>
      <c r="N621" s="7" t="n">
        <v>3684</v>
      </c>
    </row>
    <row r="622" customFormat="false" ht="15" hidden="false" customHeight="false" outlineLevel="0" collapsed="false">
      <c r="A622" s="7" t="s">
        <v>59</v>
      </c>
      <c r="B622" s="7" t="s">
        <v>145</v>
      </c>
      <c r="C622" s="7" t="s">
        <v>145</v>
      </c>
      <c r="D622" s="7" t="s">
        <v>146</v>
      </c>
      <c r="E622" s="7" t="s">
        <v>147</v>
      </c>
      <c r="F622" s="7" t="n">
        <v>2017</v>
      </c>
      <c r="G622" s="7" t="s">
        <v>81</v>
      </c>
      <c r="H622" s="7" t="s">
        <v>78</v>
      </c>
      <c r="I622" s="7" t="n">
        <v>40</v>
      </c>
      <c r="J622" s="7" t="s">
        <v>64</v>
      </c>
      <c r="K622" s="7" t="s">
        <v>79</v>
      </c>
      <c r="L622" s="7" t="s">
        <v>66</v>
      </c>
      <c r="M622" s="7" t="n">
        <v>64.5</v>
      </c>
      <c r="N622" s="7" t="n">
        <v>6143</v>
      </c>
    </row>
    <row r="623" customFormat="false" ht="15" hidden="false" customHeight="false" outlineLevel="0" collapsed="false">
      <c r="A623" s="7" t="s">
        <v>59</v>
      </c>
      <c r="B623" s="7" t="s">
        <v>145</v>
      </c>
      <c r="C623" s="7" t="s">
        <v>145</v>
      </c>
      <c r="D623" s="7" t="s">
        <v>146</v>
      </c>
      <c r="E623" s="7" t="s">
        <v>147</v>
      </c>
      <c r="F623" s="7" t="n">
        <v>2017</v>
      </c>
      <c r="G623" s="7" t="s">
        <v>81</v>
      </c>
      <c r="H623" s="7" t="s">
        <v>86</v>
      </c>
      <c r="I623" s="7" t="n">
        <v>40</v>
      </c>
      <c r="J623" s="7" t="s">
        <v>64</v>
      </c>
      <c r="K623" s="7" t="s">
        <v>65</v>
      </c>
      <c r="L623" s="7" t="s">
        <v>66</v>
      </c>
      <c r="M623" s="7" t="n">
        <v>37.9</v>
      </c>
      <c r="N623" s="7" t="n">
        <v>2459</v>
      </c>
    </row>
    <row r="624" customFormat="false" ht="15" hidden="false" customHeight="false" outlineLevel="0" collapsed="false">
      <c r="A624" s="7" t="s">
        <v>59</v>
      </c>
      <c r="B624" s="7" t="s">
        <v>145</v>
      </c>
      <c r="C624" s="7" t="s">
        <v>145</v>
      </c>
      <c r="D624" s="7" t="s">
        <v>146</v>
      </c>
      <c r="E624" s="7" t="s">
        <v>147</v>
      </c>
      <c r="F624" s="7" t="n">
        <v>2017</v>
      </c>
      <c r="G624" s="7" t="s">
        <v>81</v>
      </c>
      <c r="H624" s="7" t="s">
        <v>63</v>
      </c>
      <c r="I624" s="7" t="n">
        <v>40</v>
      </c>
      <c r="J624" s="7" t="s">
        <v>64</v>
      </c>
      <c r="K624" s="7" t="s">
        <v>65</v>
      </c>
      <c r="L624" s="7" t="s">
        <v>66</v>
      </c>
      <c r="M624" s="7" t="n">
        <v>65.3</v>
      </c>
      <c r="N624" s="7" t="n">
        <v>6143</v>
      </c>
    </row>
    <row r="625" customFormat="false" ht="15" hidden="false" customHeight="false" outlineLevel="0" collapsed="false">
      <c r="A625" s="7" t="s">
        <v>59</v>
      </c>
      <c r="B625" s="7" t="s">
        <v>145</v>
      </c>
      <c r="C625" s="7" t="s">
        <v>145</v>
      </c>
      <c r="D625" s="7" t="s">
        <v>146</v>
      </c>
      <c r="E625" s="7" t="s">
        <v>147</v>
      </c>
      <c r="F625" s="7" t="n">
        <v>2017</v>
      </c>
      <c r="G625" s="7" t="s">
        <v>81</v>
      </c>
      <c r="H625" s="7" t="s">
        <v>87</v>
      </c>
      <c r="I625" s="7" t="n">
        <v>40</v>
      </c>
      <c r="J625" s="7" t="s">
        <v>64</v>
      </c>
      <c r="K625" s="7" t="s">
        <v>65</v>
      </c>
      <c r="L625" s="7" t="s">
        <v>66</v>
      </c>
      <c r="M625" s="7" t="n">
        <v>27.4</v>
      </c>
      <c r="N625" s="7" t="n">
        <v>3684</v>
      </c>
    </row>
    <row r="626" customFormat="false" ht="15" hidden="false" customHeight="false" outlineLevel="0" collapsed="false">
      <c r="A626" s="7" t="s">
        <v>59</v>
      </c>
      <c r="B626" s="7" t="s">
        <v>145</v>
      </c>
      <c r="C626" s="7" t="s">
        <v>145</v>
      </c>
      <c r="D626" s="7" t="s">
        <v>146</v>
      </c>
      <c r="E626" s="7" t="s">
        <v>147</v>
      </c>
      <c r="F626" s="7" t="n">
        <v>2017</v>
      </c>
      <c r="G626" s="7" t="s">
        <v>134</v>
      </c>
      <c r="H626" s="7" t="s">
        <v>78</v>
      </c>
      <c r="I626" s="7" t="n">
        <v>40</v>
      </c>
      <c r="J626" s="7" t="s">
        <v>64</v>
      </c>
      <c r="K626" s="7" t="s">
        <v>79</v>
      </c>
      <c r="L626" s="7" t="s">
        <v>66</v>
      </c>
      <c r="M626" s="7" t="n">
        <v>56.6</v>
      </c>
      <c r="N626" s="7" t="n">
        <v>6143</v>
      </c>
    </row>
    <row r="627" customFormat="false" ht="15" hidden="false" customHeight="false" outlineLevel="0" collapsed="false">
      <c r="A627" s="7" t="s">
        <v>59</v>
      </c>
      <c r="B627" s="7" t="s">
        <v>145</v>
      </c>
      <c r="C627" s="7" t="s">
        <v>145</v>
      </c>
      <c r="D627" s="7" t="s">
        <v>146</v>
      </c>
      <c r="E627" s="7" t="s">
        <v>147</v>
      </c>
      <c r="F627" s="7" t="n">
        <v>2017</v>
      </c>
      <c r="G627" s="7" t="s">
        <v>134</v>
      </c>
      <c r="H627" s="7" t="s">
        <v>86</v>
      </c>
      <c r="I627" s="7" t="n">
        <v>40</v>
      </c>
      <c r="J627" s="7" t="s">
        <v>64</v>
      </c>
      <c r="K627" s="7" t="s">
        <v>65</v>
      </c>
      <c r="L627" s="7" t="s">
        <v>66</v>
      </c>
      <c r="M627" s="7" t="n">
        <v>35.5</v>
      </c>
      <c r="N627" s="7" t="n">
        <v>2459</v>
      </c>
    </row>
    <row r="628" customFormat="false" ht="15" hidden="false" customHeight="false" outlineLevel="0" collapsed="false">
      <c r="A628" s="7" t="s">
        <v>59</v>
      </c>
      <c r="B628" s="7" t="s">
        <v>145</v>
      </c>
      <c r="C628" s="7" t="s">
        <v>145</v>
      </c>
      <c r="D628" s="7" t="s">
        <v>146</v>
      </c>
      <c r="E628" s="7" t="s">
        <v>147</v>
      </c>
      <c r="F628" s="7" t="n">
        <v>2017</v>
      </c>
      <c r="G628" s="7" t="s">
        <v>134</v>
      </c>
      <c r="H628" s="7" t="s">
        <v>63</v>
      </c>
      <c r="I628" s="7" t="n">
        <v>40</v>
      </c>
      <c r="J628" s="7" t="s">
        <v>64</v>
      </c>
      <c r="K628" s="7" t="s">
        <v>65</v>
      </c>
      <c r="L628" s="7" t="s">
        <v>66</v>
      </c>
      <c r="M628" s="7" t="n">
        <v>57.8</v>
      </c>
      <c r="N628" s="7" t="n">
        <v>6143</v>
      </c>
    </row>
    <row r="629" customFormat="false" ht="15" hidden="false" customHeight="false" outlineLevel="0" collapsed="false">
      <c r="A629" s="7" t="s">
        <v>59</v>
      </c>
      <c r="B629" s="7" t="s">
        <v>145</v>
      </c>
      <c r="C629" s="7" t="s">
        <v>145</v>
      </c>
      <c r="D629" s="7" t="s">
        <v>146</v>
      </c>
      <c r="E629" s="7" t="s">
        <v>147</v>
      </c>
      <c r="F629" s="7" t="n">
        <v>2017</v>
      </c>
      <c r="G629" s="7" t="s">
        <v>134</v>
      </c>
      <c r="H629" s="7" t="s">
        <v>87</v>
      </c>
      <c r="I629" s="7" t="n">
        <v>40</v>
      </c>
      <c r="J629" s="7" t="s">
        <v>64</v>
      </c>
      <c r="K629" s="7" t="s">
        <v>65</v>
      </c>
      <c r="L629" s="7" t="s">
        <v>66</v>
      </c>
      <c r="M629" s="7" t="n">
        <v>22.4</v>
      </c>
      <c r="N629" s="7" t="n">
        <v>3684</v>
      </c>
    </row>
    <row r="630" customFormat="false" ht="15" hidden="false" customHeight="false" outlineLevel="0" collapsed="false">
      <c r="A630" s="7" t="s">
        <v>59</v>
      </c>
      <c r="B630" s="7" t="s">
        <v>145</v>
      </c>
      <c r="C630" s="7" t="s">
        <v>145</v>
      </c>
      <c r="D630" s="7" t="s">
        <v>146</v>
      </c>
      <c r="E630" s="7" t="s">
        <v>147</v>
      </c>
      <c r="F630" s="7" t="n">
        <v>2017</v>
      </c>
      <c r="G630" s="7" t="s">
        <v>67</v>
      </c>
      <c r="H630" s="7" t="s">
        <v>78</v>
      </c>
      <c r="I630" s="7" t="n">
        <v>40</v>
      </c>
      <c r="J630" s="7" t="s">
        <v>64</v>
      </c>
      <c r="K630" s="7" t="s">
        <v>79</v>
      </c>
      <c r="L630" s="7" t="s">
        <v>66</v>
      </c>
      <c r="M630" s="7" t="n">
        <v>48.3</v>
      </c>
      <c r="N630" s="7" t="n">
        <v>6143</v>
      </c>
    </row>
    <row r="631" customFormat="false" ht="15" hidden="false" customHeight="false" outlineLevel="0" collapsed="false">
      <c r="A631" s="7" t="s">
        <v>59</v>
      </c>
      <c r="B631" s="7" t="s">
        <v>145</v>
      </c>
      <c r="C631" s="7" t="s">
        <v>145</v>
      </c>
      <c r="D631" s="7" t="s">
        <v>146</v>
      </c>
      <c r="E631" s="7" t="s">
        <v>147</v>
      </c>
      <c r="F631" s="7" t="n">
        <v>2017</v>
      </c>
      <c r="G631" s="7" t="s">
        <v>67</v>
      </c>
      <c r="H631" s="7" t="s">
        <v>86</v>
      </c>
      <c r="I631" s="7" t="n">
        <v>40</v>
      </c>
      <c r="J631" s="7" t="s">
        <v>64</v>
      </c>
      <c r="K631" s="7" t="s">
        <v>65</v>
      </c>
      <c r="L631" s="7" t="s">
        <v>66</v>
      </c>
      <c r="M631" s="7" t="n">
        <v>32.2</v>
      </c>
      <c r="N631" s="7" t="n">
        <v>2459</v>
      </c>
    </row>
    <row r="632" customFormat="false" ht="15" hidden="false" customHeight="false" outlineLevel="0" collapsed="false">
      <c r="A632" s="7" t="s">
        <v>59</v>
      </c>
      <c r="B632" s="7" t="s">
        <v>145</v>
      </c>
      <c r="C632" s="7" t="s">
        <v>145</v>
      </c>
      <c r="D632" s="7" t="s">
        <v>146</v>
      </c>
      <c r="E632" s="7" t="s">
        <v>147</v>
      </c>
      <c r="F632" s="7" t="n">
        <v>2017</v>
      </c>
      <c r="G632" s="7" t="s">
        <v>67</v>
      </c>
      <c r="H632" s="7" t="s">
        <v>63</v>
      </c>
      <c r="I632" s="7" t="n">
        <v>40</v>
      </c>
      <c r="J632" s="7" t="s">
        <v>64</v>
      </c>
      <c r="K632" s="7" t="s">
        <v>65</v>
      </c>
      <c r="L632" s="7" t="s">
        <v>66</v>
      </c>
      <c r="M632" s="7" t="n">
        <v>50.1</v>
      </c>
      <c r="N632" s="7" t="n">
        <v>6143</v>
      </c>
    </row>
    <row r="633" customFormat="false" ht="15" hidden="false" customHeight="false" outlineLevel="0" collapsed="false">
      <c r="A633" s="7" t="s">
        <v>59</v>
      </c>
      <c r="B633" s="7" t="s">
        <v>145</v>
      </c>
      <c r="C633" s="7" t="s">
        <v>145</v>
      </c>
      <c r="D633" s="7" t="s">
        <v>146</v>
      </c>
      <c r="E633" s="7" t="s">
        <v>147</v>
      </c>
      <c r="F633" s="7" t="n">
        <v>2017</v>
      </c>
      <c r="G633" s="7" t="s">
        <v>67</v>
      </c>
      <c r="H633" s="7" t="s">
        <v>87</v>
      </c>
      <c r="I633" s="7" t="n">
        <v>40</v>
      </c>
      <c r="J633" s="7" t="s">
        <v>64</v>
      </c>
      <c r="K633" s="7" t="s">
        <v>65</v>
      </c>
      <c r="L633" s="7" t="s">
        <v>66</v>
      </c>
      <c r="M633" s="7" t="n">
        <v>17.8</v>
      </c>
      <c r="N633" s="7" t="n">
        <v>3684</v>
      </c>
    </row>
    <row r="634" customFormat="false" ht="15" hidden="false" customHeight="false" outlineLevel="0" collapsed="false">
      <c r="A634" s="7" t="s">
        <v>59</v>
      </c>
      <c r="B634" s="7" t="s">
        <v>145</v>
      </c>
      <c r="C634" s="7" t="s">
        <v>145</v>
      </c>
      <c r="D634" s="7" t="s">
        <v>146</v>
      </c>
      <c r="E634" s="7" t="s">
        <v>147</v>
      </c>
      <c r="F634" s="7" t="n">
        <v>2017</v>
      </c>
      <c r="G634" s="7" t="s">
        <v>82</v>
      </c>
      <c r="H634" s="7" t="s">
        <v>78</v>
      </c>
      <c r="I634" s="7" t="n">
        <v>40</v>
      </c>
      <c r="J634" s="7" t="s">
        <v>64</v>
      </c>
      <c r="K634" s="7" t="s">
        <v>79</v>
      </c>
      <c r="L634" s="7" t="s">
        <v>66</v>
      </c>
      <c r="M634" s="7" t="n">
        <v>28.3</v>
      </c>
      <c r="N634" s="7" t="n">
        <v>6143</v>
      </c>
    </row>
    <row r="635" customFormat="false" ht="15" hidden="false" customHeight="false" outlineLevel="0" collapsed="false">
      <c r="A635" s="7" t="s">
        <v>59</v>
      </c>
      <c r="B635" s="7" t="s">
        <v>145</v>
      </c>
      <c r="C635" s="7" t="s">
        <v>145</v>
      </c>
      <c r="D635" s="7" t="s">
        <v>146</v>
      </c>
      <c r="E635" s="7" t="s">
        <v>147</v>
      </c>
      <c r="F635" s="7" t="n">
        <v>2017</v>
      </c>
      <c r="G635" s="7" t="s">
        <v>82</v>
      </c>
      <c r="H635" s="7" t="s">
        <v>86</v>
      </c>
      <c r="I635" s="7" t="n">
        <v>40</v>
      </c>
      <c r="J635" s="7" t="s">
        <v>64</v>
      </c>
      <c r="K635" s="7" t="s">
        <v>65</v>
      </c>
      <c r="L635" s="7" t="s">
        <v>66</v>
      </c>
      <c r="M635" s="7" t="n">
        <v>25.6</v>
      </c>
      <c r="N635" s="7" t="n">
        <v>2459</v>
      </c>
    </row>
    <row r="636" customFormat="false" ht="15" hidden="false" customHeight="false" outlineLevel="0" collapsed="false">
      <c r="A636" s="7" t="s">
        <v>59</v>
      </c>
      <c r="B636" s="7" t="s">
        <v>145</v>
      </c>
      <c r="C636" s="7" t="s">
        <v>145</v>
      </c>
      <c r="D636" s="7" t="s">
        <v>146</v>
      </c>
      <c r="E636" s="7" t="s">
        <v>147</v>
      </c>
      <c r="F636" s="7" t="n">
        <v>2017</v>
      </c>
      <c r="G636" s="7" t="s">
        <v>82</v>
      </c>
      <c r="H636" s="7" t="s">
        <v>63</v>
      </c>
      <c r="I636" s="7" t="n">
        <v>40</v>
      </c>
      <c r="J636" s="7" t="s">
        <v>64</v>
      </c>
      <c r="K636" s="7" t="s">
        <v>65</v>
      </c>
      <c r="L636" s="7" t="s">
        <v>66</v>
      </c>
      <c r="M636" s="7" t="n">
        <v>31.3</v>
      </c>
      <c r="N636" s="7" t="n">
        <v>6143</v>
      </c>
    </row>
    <row r="637" customFormat="false" ht="15" hidden="false" customHeight="false" outlineLevel="0" collapsed="false">
      <c r="A637" s="7" t="s">
        <v>59</v>
      </c>
      <c r="B637" s="7" t="s">
        <v>145</v>
      </c>
      <c r="C637" s="7" t="s">
        <v>145</v>
      </c>
      <c r="D637" s="7" t="s">
        <v>146</v>
      </c>
      <c r="E637" s="7" t="s">
        <v>147</v>
      </c>
      <c r="F637" s="7" t="n">
        <v>2017</v>
      </c>
      <c r="G637" s="7" t="s">
        <v>82</v>
      </c>
      <c r="H637" s="7" t="s">
        <v>87</v>
      </c>
      <c r="I637" s="7" t="n">
        <v>40</v>
      </c>
      <c r="J637" s="7" t="s">
        <v>64</v>
      </c>
      <c r="K637" s="7" t="s">
        <v>65</v>
      </c>
      <c r="L637" s="7" t="s">
        <v>66</v>
      </c>
      <c r="M637" s="7" t="n">
        <v>5.7</v>
      </c>
      <c r="N637" s="7" t="n">
        <v>3684</v>
      </c>
    </row>
    <row r="638" customFormat="false" ht="15" hidden="false" customHeight="false" outlineLevel="0" collapsed="false">
      <c r="A638" s="7" t="s">
        <v>59</v>
      </c>
      <c r="B638" s="7" t="s">
        <v>145</v>
      </c>
      <c r="C638" s="7" t="s">
        <v>145</v>
      </c>
      <c r="D638" s="7" t="s">
        <v>146</v>
      </c>
      <c r="E638" s="7" t="s">
        <v>147</v>
      </c>
      <c r="F638" s="7" t="n">
        <v>2017</v>
      </c>
      <c r="G638" s="7" t="s">
        <v>148</v>
      </c>
      <c r="H638" s="7" t="s">
        <v>78</v>
      </c>
      <c r="I638" s="7" t="n">
        <v>40</v>
      </c>
      <c r="J638" s="7" t="s">
        <v>64</v>
      </c>
      <c r="K638" s="7" t="s">
        <v>79</v>
      </c>
      <c r="L638" s="7" t="s">
        <v>66</v>
      </c>
      <c r="M638" s="7" t="n">
        <v>19.1</v>
      </c>
      <c r="N638" s="7" t="n">
        <v>6143</v>
      </c>
    </row>
    <row r="639" customFormat="false" ht="15" hidden="false" customHeight="false" outlineLevel="0" collapsed="false">
      <c r="A639" s="7" t="s">
        <v>59</v>
      </c>
      <c r="B639" s="7" t="s">
        <v>145</v>
      </c>
      <c r="C639" s="7" t="s">
        <v>145</v>
      </c>
      <c r="D639" s="7" t="s">
        <v>146</v>
      </c>
      <c r="E639" s="7" t="s">
        <v>147</v>
      </c>
      <c r="F639" s="7" t="n">
        <v>2017</v>
      </c>
      <c r="G639" s="7" t="s">
        <v>148</v>
      </c>
      <c r="H639" s="7" t="s">
        <v>86</v>
      </c>
      <c r="I639" s="7" t="n">
        <v>40</v>
      </c>
      <c r="J639" s="7" t="s">
        <v>64</v>
      </c>
      <c r="K639" s="7" t="s">
        <v>65</v>
      </c>
      <c r="L639" s="7" t="s">
        <v>66</v>
      </c>
      <c r="M639" s="7" t="n">
        <v>18.5</v>
      </c>
      <c r="N639" s="7" t="n">
        <v>2459</v>
      </c>
    </row>
    <row r="640" customFormat="false" ht="15" hidden="false" customHeight="false" outlineLevel="0" collapsed="false">
      <c r="A640" s="7" t="s">
        <v>59</v>
      </c>
      <c r="B640" s="7" t="s">
        <v>145</v>
      </c>
      <c r="C640" s="7" t="s">
        <v>145</v>
      </c>
      <c r="D640" s="7" t="s">
        <v>146</v>
      </c>
      <c r="E640" s="7" t="s">
        <v>147</v>
      </c>
      <c r="F640" s="7" t="n">
        <v>2017</v>
      </c>
      <c r="G640" s="7" t="s">
        <v>148</v>
      </c>
      <c r="H640" s="7" t="s">
        <v>63</v>
      </c>
      <c r="I640" s="7" t="n">
        <v>40</v>
      </c>
      <c r="J640" s="7" t="s">
        <v>64</v>
      </c>
      <c r="K640" s="7" t="s">
        <v>65</v>
      </c>
      <c r="L640" s="7" t="s">
        <v>66</v>
      </c>
      <c r="M640" s="7" t="n">
        <v>21</v>
      </c>
      <c r="N640" s="7" t="n">
        <v>6143</v>
      </c>
    </row>
    <row r="641" customFormat="false" ht="15" hidden="false" customHeight="false" outlineLevel="0" collapsed="false">
      <c r="A641" s="7" t="s">
        <v>59</v>
      </c>
      <c r="B641" s="7" t="s">
        <v>145</v>
      </c>
      <c r="C641" s="7" t="s">
        <v>145</v>
      </c>
      <c r="D641" s="7" t="s">
        <v>146</v>
      </c>
      <c r="E641" s="7" t="s">
        <v>147</v>
      </c>
      <c r="F641" s="7" t="n">
        <v>2017</v>
      </c>
      <c r="G641" s="7" t="s">
        <v>148</v>
      </c>
      <c r="H641" s="7" t="s">
        <v>87</v>
      </c>
      <c r="I641" s="7" t="n">
        <v>40</v>
      </c>
      <c r="J641" s="7" t="s">
        <v>64</v>
      </c>
      <c r="K641" s="7" t="s">
        <v>65</v>
      </c>
      <c r="L641" s="7" t="s">
        <v>66</v>
      </c>
      <c r="M641" s="7" t="n">
        <v>2.5</v>
      </c>
      <c r="N641" s="7" t="n">
        <v>3684</v>
      </c>
    </row>
    <row r="642" customFormat="false" ht="15" hidden="false" customHeight="false" outlineLevel="0" collapsed="false">
      <c r="A642" s="7" t="s">
        <v>59</v>
      </c>
      <c r="B642" s="7" t="s">
        <v>145</v>
      </c>
      <c r="C642" s="7" t="s">
        <v>145</v>
      </c>
      <c r="D642" s="7" t="s">
        <v>146</v>
      </c>
      <c r="E642" s="7" t="s">
        <v>147</v>
      </c>
      <c r="F642" s="7" t="n">
        <v>2017</v>
      </c>
      <c r="G642" s="7" t="s">
        <v>109</v>
      </c>
      <c r="H642" s="7" t="s">
        <v>78</v>
      </c>
      <c r="I642" s="7" t="n">
        <v>40</v>
      </c>
      <c r="J642" s="7" t="s">
        <v>64</v>
      </c>
      <c r="K642" s="7" t="s">
        <v>79</v>
      </c>
      <c r="L642" s="7" t="s">
        <v>66</v>
      </c>
      <c r="M642" s="7" t="n">
        <v>64.5</v>
      </c>
      <c r="N642" s="7" t="n">
        <v>6143</v>
      </c>
    </row>
    <row r="643" customFormat="false" ht="15" hidden="false" customHeight="false" outlineLevel="0" collapsed="false">
      <c r="A643" s="7" t="s">
        <v>59</v>
      </c>
      <c r="B643" s="7" t="s">
        <v>145</v>
      </c>
      <c r="C643" s="7" t="s">
        <v>145</v>
      </c>
      <c r="D643" s="7" t="s">
        <v>146</v>
      </c>
      <c r="E643" s="7" t="s">
        <v>147</v>
      </c>
      <c r="F643" s="7" t="n">
        <v>2017</v>
      </c>
      <c r="G643" s="7" t="s">
        <v>109</v>
      </c>
      <c r="H643" s="7" t="s">
        <v>86</v>
      </c>
      <c r="I643" s="7" t="n">
        <v>40</v>
      </c>
      <c r="J643" s="7" t="s">
        <v>64</v>
      </c>
      <c r="K643" s="7" t="s">
        <v>65</v>
      </c>
      <c r="L643" s="7" t="s">
        <v>66</v>
      </c>
      <c r="M643" s="7" t="n">
        <v>37.9</v>
      </c>
      <c r="N643" s="7" t="n">
        <v>2459</v>
      </c>
    </row>
    <row r="644" customFormat="false" ht="15" hidden="false" customHeight="false" outlineLevel="0" collapsed="false">
      <c r="A644" s="7" t="s">
        <v>59</v>
      </c>
      <c r="B644" s="7" t="s">
        <v>145</v>
      </c>
      <c r="C644" s="7" t="s">
        <v>145</v>
      </c>
      <c r="D644" s="7" t="s">
        <v>146</v>
      </c>
      <c r="E644" s="7" t="s">
        <v>147</v>
      </c>
      <c r="F644" s="7" t="n">
        <v>2017</v>
      </c>
      <c r="G644" s="7" t="s">
        <v>109</v>
      </c>
      <c r="H644" s="7" t="s">
        <v>63</v>
      </c>
      <c r="I644" s="7" t="n">
        <v>40</v>
      </c>
      <c r="J644" s="7" t="s">
        <v>64</v>
      </c>
      <c r="K644" s="7" t="s">
        <v>65</v>
      </c>
      <c r="L644" s="7" t="s">
        <v>66</v>
      </c>
      <c r="M644" s="7" t="n">
        <v>65.3</v>
      </c>
      <c r="N644" s="7" t="n">
        <v>6143</v>
      </c>
    </row>
    <row r="645" customFormat="false" ht="15" hidden="false" customHeight="false" outlineLevel="0" collapsed="false">
      <c r="A645" s="7" t="s">
        <v>59</v>
      </c>
      <c r="B645" s="7" t="s">
        <v>145</v>
      </c>
      <c r="C645" s="7" t="s">
        <v>145</v>
      </c>
      <c r="D645" s="7" t="s">
        <v>146</v>
      </c>
      <c r="E645" s="7" t="s">
        <v>147</v>
      </c>
      <c r="F645" s="7" t="n">
        <v>2017</v>
      </c>
      <c r="G645" s="7" t="s">
        <v>109</v>
      </c>
      <c r="H645" s="7" t="s">
        <v>87</v>
      </c>
      <c r="I645" s="7" t="n">
        <v>40</v>
      </c>
      <c r="J645" s="7" t="s">
        <v>64</v>
      </c>
      <c r="K645" s="7" t="s">
        <v>65</v>
      </c>
      <c r="L645" s="7" t="s">
        <v>66</v>
      </c>
      <c r="M645" s="7" t="n">
        <v>27.4</v>
      </c>
      <c r="N645" s="7" t="n">
        <v>3684</v>
      </c>
    </row>
    <row r="646" customFormat="false" ht="15" hidden="false" customHeight="false" outlineLevel="0" collapsed="false">
      <c r="A646" s="7" t="s">
        <v>59</v>
      </c>
      <c r="B646" s="7" t="s">
        <v>145</v>
      </c>
      <c r="C646" s="7" t="s">
        <v>145</v>
      </c>
      <c r="D646" s="7" t="s">
        <v>146</v>
      </c>
      <c r="E646" s="7" t="s">
        <v>147</v>
      </c>
      <c r="F646" s="7" t="n">
        <v>2017</v>
      </c>
      <c r="G646" s="7" t="s">
        <v>149</v>
      </c>
      <c r="H646" s="7" t="s">
        <v>78</v>
      </c>
      <c r="I646" s="7" t="n">
        <v>40</v>
      </c>
      <c r="J646" s="7" t="s">
        <v>64</v>
      </c>
      <c r="K646" s="7" t="s">
        <v>79</v>
      </c>
      <c r="L646" s="7" t="s">
        <v>66</v>
      </c>
      <c r="M646" s="7" t="n">
        <v>56.6</v>
      </c>
      <c r="N646" s="7" t="n">
        <v>6143</v>
      </c>
    </row>
    <row r="647" customFormat="false" ht="15" hidden="false" customHeight="false" outlineLevel="0" collapsed="false">
      <c r="A647" s="7" t="s">
        <v>59</v>
      </c>
      <c r="B647" s="7" t="s">
        <v>145</v>
      </c>
      <c r="C647" s="7" t="s">
        <v>145</v>
      </c>
      <c r="D647" s="7" t="s">
        <v>146</v>
      </c>
      <c r="E647" s="7" t="s">
        <v>147</v>
      </c>
      <c r="F647" s="7" t="n">
        <v>2017</v>
      </c>
      <c r="G647" s="7" t="s">
        <v>149</v>
      </c>
      <c r="H647" s="7" t="s">
        <v>86</v>
      </c>
      <c r="I647" s="7" t="n">
        <v>40</v>
      </c>
      <c r="J647" s="7" t="s">
        <v>64</v>
      </c>
      <c r="K647" s="7" t="s">
        <v>65</v>
      </c>
      <c r="L647" s="7" t="s">
        <v>66</v>
      </c>
      <c r="M647" s="7" t="n">
        <v>35.5</v>
      </c>
      <c r="N647" s="7" t="n">
        <v>2459</v>
      </c>
    </row>
    <row r="648" customFormat="false" ht="15" hidden="false" customHeight="false" outlineLevel="0" collapsed="false">
      <c r="A648" s="7" t="s">
        <v>59</v>
      </c>
      <c r="B648" s="7" t="s">
        <v>145</v>
      </c>
      <c r="C648" s="7" t="s">
        <v>145</v>
      </c>
      <c r="D648" s="7" t="s">
        <v>146</v>
      </c>
      <c r="E648" s="7" t="s">
        <v>147</v>
      </c>
      <c r="F648" s="7" t="n">
        <v>2017</v>
      </c>
      <c r="G648" s="7" t="s">
        <v>149</v>
      </c>
      <c r="H648" s="7" t="s">
        <v>63</v>
      </c>
      <c r="I648" s="7" t="n">
        <v>40</v>
      </c>
      <c r="J648" s="7" t="s">
        <v>64</v>
      </c>
      <c r="K648" s="7" t="s">
        <v>65</v>
      </c>
      <c r="L648" s="7" t="s">
        <v>66</v>
      </c>
      <c r="M648" s="7" t="n">
        <v>57.8</v>
      </c>
      <c r="N648" s="7" t="n">
        <v>6143</v>
      </c>
    </row>
    <row r="649" customFormat="false" ht="15" hidden="false" customHeight="false" outlineLevel="0" collapsed="false">
      <c r="A649" s="7" t="s">
        <v>59</v>
      </c>
      <c r="B649" s="7" t="s">
        <v>145</v>
      </c>
      <c r="C649" s="7" t="s">
        <v>145</v>
      </c>
      <c r="D649" s="7" t="s">
        <v>146</v>
      </c>
      <c r="E649" s="7" t="s">
        <v>147</v>
      </c>
      <c r="F649" s="7" t="n">
        <v>2017</v>
      </c>
      <c r="G649" s="7" t="s">
        <v>149</v>
      </c>
      <c r="H649" s="7" t="s">
        <v>87</v>
      </c>
      <c r="I649" s="7" t="n">
        <v>40</v>
      </c>
      <c r="J649" s="7" t="s">
        <v>64</v>
      </c>
      <c r="K649" s="7" t="s">
        <v>65</v>
      </c>
      <c r="L649" s="7" t="s">
        <v>66</v>
      </c>
      <c r="M649" s="7" t="n">
        <v>22.4</v>
      </c>
      <c r="N649" s="7" t="n">
        <v>3684</v>
      </c>
    </row>
    <row r="650" customFormat="false" ht="15" hidden="false" customHeight="false" outlineLevel="0" collapsed="false">
      <c r="A650" s="7" t="s">
        <v>59</v>
      </c>
      <c r="B650" s="7" t="s">
        <v>145</v>
      </c>
      <c r="C650" s="7" t="s">
        <v>145</v>
      </c>
      <c r="D650" s="7" t="s">
        <v>146</v>
      </c>
      <c r="E650" s="7" t="s">
        <v>147</v>
      </c>
      <c r="F650" s="7" t="n">
        <v>2017</v>
      </c>
      <c r="G650" s="7" t="s">
        <v>110</v>
      </c>
      <c r="H650" s="7" t="s">
        <v>78</v>
      </c>
      <c r="I650" s="7" t="n">
        <v>40</v>
      </c>
      <c r="J650" s="7" t="s">
        <v>64</v>
      </c>
      <c r="K650" s="7" t="s">
        <v>79</v>
      </c>
      <c r="L650" s="7" t="s">
        <v>66</v>
      </c>
      <c r="M650" s="7" t="n">
        <v>48.3</v>
      </c>
      <c r="N650" s="7" t="n">
        <v>6143</v>
      </c>
    </row>
    <row r="651" customFormat="false" ht="15" hidden="false" customHeight="false" outlineLevel="0" collapsed="false">
      <c r="A651" s="7" t="s">
        <v>59</v>
      </c>
      <c r="B651" s="7" t="s">
        <v>145</v>
      </c>
      <c r="C651" s="7" t="s">
        <v>145</v>
      </c>
      <c r="D651" s="7" t="s">
        <v>146</v>
      </c>
      <c r="E651" s="7" t="s">
        <v>147</v>
      </c>
      <c r="F651" s="7" t="n">
        <v>2017</v>
      </c>
      <c r="G651" s="7" t="s">
        <v>110</v>
      </c>
      <c r="H651" s="7" t="s">
        <v>86</v>
      </c>
      <c r="I651" s="7" t="n">
        <v>40</v>
      </c>
      <c r="J651" s="7" t="s">
        <v>64</v>
      </c>
      <c r="K651" s="7" t="s">
        <v>65</v>
      </c>
      <c r="L651" s="7" t="s">
        <v>66</v>
      </c>
      <c r="M651" s="7" t="n">
        <v>32.2</v>
      </c>
      <c r="N651" s="7" t="n">
        <v>2459</v>
      </c>
    </row>
    <row r="652" customFormat="false" ht="15" hidden="false" customHeight="false" outlineLevel="0" collapsed="false">
      <c r="A652" s="7" t="s">
        <v>59</v>
      </c>
      <c r="B652" s="7" t="s">
        <v>145</v>
      </c>
      <c r="C652" s="7" t="s">
        <v>145</v>
      </c>
      <c r="D652" s="7" t="s">
        <v>146</v>
      </c>
      <c r="E652" s="7" t="s">
        <v>147</v>
      </c>
      <c r="F652" s="7" t="n">
        <v>2017</v>
      </c>
      <c r="G652" s="7" t="s">
        <v>110</v>
      </c>
      <c r="H652" s="7" t="s">
        <v>63</v>
      </c>
      <c r="I652" s="7" t="n">
        <v>40</v>
      </c>
      <c r="J652" s="7" t="s">
        <v>64</v>
      </c>
      <c r="K652" s="7" t="s">
        <v>65</v>
      </c>
      <c r="L652" s="7" t="s">
        <v>66</v>
      </c>
      <c r="M652" s="7" t="n">
        <v>50.1</v>
      </c>
      <c r="N652" s="7" t="n">
        <v>6143</v>
      </c>
    </row>
    <row r="653" customFormat="false" ht="15" hidden="false" customHeight="false" outlineLevel="0" collapsed="false">
      <c r="A653" s="7" t="s">
        <v>59</v>
      </c>
      <c r="B653" s="7" t="s">
        <v>145</v>
      </c>
      <c r="C653" s="7" t="s">
        <v>145</v>
      </c>
      <c r="D653" s="7" t="s">
        <v>146</v>
      </c>
      <c r="E653" s="7" t="s">
        <v>147</v>
      </c>
      <c r="F653" s="7" t="n">
        <v>2017</v>
      </c>
      <c r="G653" s="7" t="s">
        <v>110</v>
      </c>
      <c r="H653" s="7" t="s">
        <v>87</v>
      </c>
      <c r="I653" s="7" t="n">
        <v>40</v>
      </c>
      <c r="J653" s="7" t="s">
        <v>64</v>
      </c>
      <c r="K653" s="7" t="s">
        <v>65</v>
      </c>
      <c r="L653" s="7" t="s">
        <v>66</v>
      </c>
      <c r="M653" s="7" t="n">
        <v>17.8</v>
      </c>
      <c r="N653" s="7" t="n">
        <v>3684</v>
      </c>
    </row>
    <row r="654" customFormat="false" ht="15" hidden="false" customHeight="false" outlineLevel="0" collapsed="false">
      <c r="A654" s="7" t="s">
        <v>59</v>
      </c>
      <c r="B654" s="7" t="s">
        <v>145</v>
      </c>
      <c r="C654" s="7" t="s">
        <v>145</v>
      </c>
      <c r="D654" s="7" t="s">
        <v>146</v>
      </c>
      <c r="E654" s="7" t="s">
        <v>147</v>
      </c>
      <c r="F654" s="7" t="n">
        <v>2017</v>
      </c>
      <c r="G654" s="7" t="s">
        <v>123</v>
      </c>
      <c r="H654" s="7" t="s">
        <v>78</v>
      </c>
      <c r="I654" s="7" t="n">
        <v>40</v>
      </c>
      <c r="J654" s="7" t="s">
        <v>64</v>
      </c>
      <c r="K654" s="7" t="s">
        <v>79</v>
      </c>
      <c r="L654" s="7" t="s">
        <v>66</v>
      </c>
      <c r="M654" s="7" t="n">
        <v>52.2</v>
      </c>
      <c r="N654" s="7" t="n">
        <v>6143</v>
      </c>
    </row>
    <row r="655" customFormat="false" ht="15" hidden="false" customHeight="false" outlineLevel="0" collapsed="false">
      <c r="A655" s="7" t="s">
        <v>59</v>
      </c>
      <c r="B655" s="7" t="s">
        <v>145</v>
      </c>
      <c r="C655" s="7" t="s">
        <v>145</v>
      </c>
      <c r="D655" s="7" t="s">
        <v>146</v>
      </c>
      <c r="E655" s="7" t="s">
        <v>147</v>
      </c>
      <c r="F655" s="7" t="n">
        <v>2017</v>
      </c>
      <c r="G655" s="7" t="s">
        <v>123</v>
      </c>
      <c r="H655" s="7" t="s">
        <v>86</v>
      </c>
      <c r="I655" s="7" t="n">
        <v>40</v>
      </c>
      <c r="J655" s="7" t="s">
        <v>64</v>
      </c>
      <c r="K655" s="7" t="s">
        <v>65</v>
      </c>
      <c r="L655" s="7" t="s">
        <v>66</v>
      </c>
      <c r="M655" s="7" t="n">
        <v>29.8</v>
      </c>
      <c r="N655" s="7" t="n">
        <v>2459</v>
      </c>
    </row>
    <row r="656" customFormat="false" ht="15" hidden="false" customHeight="false" outlineLevel="0" collapsed="false">
      <c r="A656" s="7" t="s">
        <v>59</v>
      </c>
      <c r="B656" s="7" t="s">
        <v>145</v>
      </c>
      <c r="C656" s="7" t="s">
        <v>145</v>
      </c>
      <c r="D656" s="7" t="s">
        <v>146</v>
      </c>
      <c r="E656" s="7" t="s">
        <v>147</v>
      </c>
      <c r="F656" s="7" t="n">
        <v>2017</v>
      </c>
      <c r="G656" s="7" t="s">
        <v>123</v>
      </c>
      <c r="H656" s="7" t="s">
        <v>63</v>
      </c>
      <c r="I656" s="7" t="n">
        <v>40</v>
      </c>
      <c r="J656" s="7" t="s">
        <v>64</v>
      </c>
      <c r="K656" s="7" t="s">
        <v>65</v>
      </c>
      <c r="L656" s="7" t="s">
        <v>66</v>
      </c>
      <c r="M656" s="7" t="n">
        <v>52.4</v>
      </c>
      <c r="N656" s="7" t="n">
        <v>6143</v>
      </c>
    </row>
    <row r="657" customFormat="false" ht="15" hidden="false" customHeight="false" outlineLevel="0" collapsed="false">
      <c r="A657" s="7" t="s">
        <v>59</v>
      </c>
      <c r="B657" s="7" t="s">
        <v>145</v>
      </c>
      <c r="C657" s="7" t="s">
        <v>145</v>
      </c>
      <c r="D657" s="7" t="s">
        <v>146</v>
      </c>
      <c r="E657" s="7" t="s">
        <v>147</v>
      </c>
      <c r="F657" s="7" t="n">
        <v>2017</v>
      </c>
      <c r="G657" s="7" t="s">
        <v>123</v>
      </c>
      <c r="H657" s="7" t="s">
        <v>87</v>
      </c>
      <c r="I657" s="7" t="n">
        <v>40</v>
      </c>
      <c r="J657" s="7" t="s">
        <v>64</v>
      </c>
      <c r="K657" s="7" t="s">
        <v>65</v>
      </c>
      <c r="L657" s="7" t="s">
        <v>66</v>
      </c>
      <c r="M657" s="7" t="n">
        <v>22.6</v>
      </c>
      <c r="N657" s="7" t="n">
        <v>3684</v>
      </c>
    </row>
    <row r="658" customFormat="false" ht="15" hidden="false" customHeight="false" outlineLevel="0" collapsed="false">
      <c r="A658" s="7" t="s">
        <v>59</v>
      </c>
      <c r="B658" s="7" t="s">
        <v>145</v>
      </c>
      <c r="C658" s="7" t="s">
        <v>145</v>
      </c>
      <c r="D658" s="7" t="s">
        <v>146</v>
      </c>
      <c r="E658" s="7" t="s">
        <v>147</v>
      </c>
      <c r="F658" s="7" t="n">
        <v>2017</v>
      </c>
      <c r="G658" s="7" t="s">
        <v>135</v>
      </c>
      <c r="H658" s="7" t="s">
        <v>78</v>
      </c>
      <c r="I658" s="7" t="n">
        <v>40</v>
      </c>
      <c r="J658" s="7" t="s">
        <v>64</v>
      </c>
      <c r="K658" s="7" t="s">
        <v>79</v>
      </c>
      <c r="L658" s="7" t="s">
        <v>66</v>
      </c>
      <c r="M658" s="7" t="n">
        <v>64.5</v>
      </c>
      <c r="N658" s="7" t="n">
        <v>6143</v>
      </c>
    </row>
    <row r="659" customFormat="false" ht="15" hidden="false" customHeight="false" outlineLevel="0" collapsed="false">
      <c r="A659" s="7" t="s">
        <v>59</v>
      </c>
      <c r="B659" s="7" t="s">
        <v>145</v>
      </c>
      <c r="C659" s="7" t="s">
        <v>145</v>
      </c>
      <c r="D659" s="7" t="s">
        <v>146</v>
      </c>
      <c r="E659" s="7" t="s">
        <v>147</v>
      </c>
      <c r="F659" s="7" t="n">
        <v>2017</v>
      </c>
      <c r="G659" s="7" t="s">
        <v>135</v>
      </c>
      <c r="H659" s="7" t="s">
        <v>86</v>
      </c>
      <c r="I659" s="7" t="n">
        <v>40</v>
      </c>
      <c r="J659" s="7" t="s">
        <v>64</v>
      </c>
      <c r="K659" s="7" t="s">
        <v>65</v>
      </c>
      <c r="L659" s="7" t="s">
        <v>66</v>
      </c>
      <c r="M659" s="7" t="n">
        <v>37.9</v>
      </c>
      <c r="N659" s="7" t="n">
        <v>2459</v>
      </c>
    </row>
    <row r="660" customFormat="false" ht="15" hidden="false" customHeight="false" outlineLevel="0" collapsed="false">
      <c r="A660" s="7" t="s">
        <v>59</v>
      </c>
      <c r="B660" s="7" t="s">
        <v>145</v>
      </c>
      <c r="C660" s="7" t="s">
        <v>145</v>
      </c>
      <c r="D660" s="7" t="s">
        <v>146</v>
      </c>
      <c r="E660" s="7" t="s">
        <v>147</v>
      </c>
      <c r="F660" s="7" t="n">
        <v>2017</v>
      </c>
      <c r="G660" s="7" t="s">
        <v>135</v>
      </c>
      <c r="H660" s="7" t="s">
        <v>63</v>
      </c>
      <c r="I660" s="7" t="n">
        <v>40</v>
      </c>
      <c r="J660" s="7" t="s">
        <v>64</v>
      </c>
      <c r="K660" s="7" t="s">
        <v>65</v>
      </c>
      <c r="L660" s="7" t="s">
        <v>66</v>
      </c>
      <c r="M660" s="7" t="n">
        <v>65.3</v>
      </c>
      <c r="N660" s="7" t="n">
        <v>6143</v>
      </c>
    </row>
    <row r="661" customFormat="false" ht="15" hidden="false" customHeight="false" outlineLevel="0" collapsed="false">
      <c r="A661" s="7" t="s">
        <v>59</v>
      </c>
      <c r="B661" s="7" t="s">
        <v>145</v>
      </c>
      <c r="C661" s="7" t="s">
        <v>145</v>
      </c>
      <c r="D661" s="7" t="s">
        <v>146</v>
      </c>
      <c r="E661" s="7" t="s">
        <v>147</v>
      </c>
      <c r="F661" s="7" t="n">
        <v>2017</v>
      </c>
      <c r="G661" s="7" t="s">
        <v>135</v>
      </c>
      <c r="H661" s="7" t="s">
        <v>87</v>
      </c>
      <c r="I661" s="7" t="n">
        <v>40</v>
      </c>
      <c r="J661" s="7" t="s">
        <v>64</v>
      </c>
      <c r="K661" s="7" t="s">
        <v>65</v>
      </c>
      <c r="L661" s="7" t="s">
        <v>66</v>
      </c>
      <c r="M661" s="7" t="n">
        <v>27.4</v>
      </c>
      <c r="N661" s="7" t="n">
        <v>3684</v>
      </c>
    </row>
    <row r="662" customFormat="false" ht="15" hidden="false" customHeight="false" outlineLevel="0" collapsed="false">
      <c r="A662" s="7" t="s">
        <v>59</v>
      </c>
      <c r="B662" s="7" t="s">
        <v>145</v>
      </c>
      <c r="C662" s="7" t="s">
        <v>145</v>
      </c>
      <c r="D662" s="7" t="s">
        <v>146</v>
      </c>
      <c r="E662" s="7" t="s">
        <v>147</v>
      </c>
      <c r="F662" s="7" t="n">
        <v>2017</v>
      </c>
      <c r="G662" s="7" t="s">
        <v>150</v>
      </c>
      <c r="H662" s="7" t="s">
        <v>78</v>
      </c>
      <c r="I662" s="7" t="n">
        <v>40</v>
      </c>
      <c r="J662" s="7" t="s">
        <v>64</v>
      </c>
      <c r="K662" s="7" t="s">
        <v>79</v>
      </c>
      <c r="L662" s="7" t="s">
        <v>66</v>
      </c>
      <c r="M662" s="7" t="n">
        <v>56.6</v>
      </c>
      <c r="N662" s="7" t="n">
        <v>6143</v>
      </c>
    </row>
    <row r="663" customFormat="false" ht="15" hidden="false" customHeight="false" outlineLevel="0" collapsed="false">
      <c r="A663" s="7" t="s">
        <v>59</v>
      </c>
      <c r="B663" s="7" t="s">
        <v>145</v>
      </c>
      <c r="C663" s="7" t="s">
        <v>145</v>
      </c>
      <c r="D663" s="7" t="s">
        <v>146</v>
      </c>
      <c r="E663" s="7" t="s">
        <v>147</v>
      </c>
      <c r="F663" s="7" t="n">
        <v>2017</v>
      </c>
      <c r="G663" s="7" t="s">
        <v>150</v>
      </c>
      <c r="H663" s="7" t="s">
        <v>86</v>
      </c>
      <c r="I663" s="7" t="n">
        <v>40</v>
      </c>
      <c r="J663" s="7" t="s">
        <v>64</v>
      </c>
      <c r="K663" s="7" t="s">
        <v>65</v>
      </c>
      <c r="L663" s="7" t="s">
        <v>66</v>
      </c>
      <c r="M663" s="7" t="n">
        <v>35.5</v>
      </c>
      <c r="N663" s="7" t="n">
        <v>2459</v>
      </c>
    </row>
    <row r="664" customFormat="false" ht="15" hidden="false" customHeight="false" outlineLevel="0" collapsed="false">
      <c r="A664" s="7" t="s">
        <v>59</v>
      </c>
      <c r="B664" s="7" t="s">
        <v>145</v>
      </c>
      <c r="C664" s="7" t="s">
        <v>145</v>
      </c>
      <c r="D664" s="7" t="s">
        <v>146</v>
      </c>
      <c r="E664" s="7" t="s">
        <v>147</v>
      </c>
      <c r="F664" s="7" t="n">
        <v>2017</v>
      </c>
      <c r="G664" s="7" t="s">
        <v>150</v>
      </c>
      <c r="H664" s="7" t="s">
        <v>63</v>
      </c>
      <c r="I664" s="7" t="n">
        <v>40</v>
      </c>
      <c r="J664" s="7" t="s">
        <v>64</v>
      </c>
      <c r="K664" s="7" t="s">
        <v>65</v>
      </c>
      <c r="L664" s="7" t="s">
        <v>66</v>
      </c>
      <c r="M664" s="7" t="n">
        <v>57.8</v>
      </c>
      <c r="N664" s="7" t="n">
        <v>6143</v>
      </c>
    </row>
    <row r="665" customFormat="false" ht="15" hidden="false" customHeight="false" outlineLevel="0" collapsed="false">
      <c r="A665" s="7" t="s">
        <v>59</v>
      </c>
      <c r="B665" s="7" t="s">
        <v>145</v>
      </c>
      <c r="C665" s="7" t="s">
        <v>145</v>
      </c>
      <c r="D665" s="7" t="s">
        <v>146</v>
      </c>
      <c r="E665" s="7" t="s">
        <v>147</v>
      </c>
      <c r="F665" s="7" t="n">
        <v>2017</v>
      </c>
      <c r="G665" s="7" t="s">
        <v>150</v>
      </c>
      <c r="H665" s="7" t="s">
        <v>87</v>
      </c>
      <c r="I665" s="7" t="n">
        <v>40</v>
      </c>
      <c r="J665" s="7" t="s">
        <v>64</v>
      </c>
      <c r="K665" s="7" t="s">
        <v>65</v>
      </c>
      <c r="L665" s="7" t="s">
        <v>66</v>
      </c>
      <c r="M665" s="7" t="n">
        <v>22.4</v>
      </c>
      <c r="N665" s="7" t="n">
        <v>3684</v>
      </c>
    </row>
    <row r="666" customFormat="false" ht="15" hidden="false" customHeight="false" outlineLevel="0" collapsed="false">
      <c r="A666" s="7" t="s">
        <v>59</v>
      </c>
      <c r="B666" s="7" t="s">
        <v>145</v>
      </c>
      <c r="C666" s="7" t="s">
        <v>145</v>
      </c>
      <c r="D666" s="7" t="s">
        <v>146</v>
      </c>
      <c r="E666" s="7" t="s">
        <v>147</v>
      </c>
      <c r="F666" s="7" t="n">
        <v>2017</v>
      </c>
      <c r="G666" s="7" t="s">
        <v>136</v>
      </c>
      <c r="H666" s="7" t="s">
        <v>78</v>
      </c>
      <c r="I666" s="7" t="n">
        <v>40</v>
      </c>
      <c r="J666" s="7" t="s">
        <v>64</v>
      </c>
      <c r="K666" s="7" t="s">
        <v>79</v>
      </c>
      <c r="L666" s="7" t="s">
        <v>66</v>
      </c>
      <c r="M666" s="7" t="n">
        <v>48.3</v>
      </c>
      <c r="N666" s="7" t="n">
        <v>6143</v>
      </c>
    </row>
    <row r="667" customFormat="false" ht="15" hidden="false" customHeight="false" outlineLevel="0" collapsed="false">
      <c r="A667" s="7" t="s">
        <v>59</v>
      </c>
      <c r="B667" s="7" t="s">
        <v>145</v>
      </c>
      <c r="C667" s="7" t="s">
        <v>145</v>
      </c>
      <c r="D667" s="7" t="s">
        <v>146</v>
      </c>
      <c r="E667" s="7" t="s">
        <v>147</v>
      </c>
      <c r="F667" s="7" t="n">
        <v>2017</v>
      </c>
      <c r="G667" s="7" t="s">
        <v>136</v>
      </c>
      <c r="H667" s="7" t="s">
        <v>86</v>
      </c>
      <c r="I667" s="7" t="n">
        <v>40</v>
      </c>
      <c r="J667" s="7" t="s">
        <v>64</v>
      </c>
      <c r="K667" s="7" t="s">
        <v>65</v>
      </c>
      <c r="L667" s="7" t="s">
        <v>66</v>
      </c>
      <c r="M667" s="7" t="n">
        <v>32.2</v>
      </c>
      <c r="N667" s="7" t="n">
        <v>2459</v>
      </c>
    </row>
    <row r="668" customFormat="false" ht="15" hidden="false" customHeight="false" outlineLevel="0" collapsed="false">
      <c r="A668" s="7" t="s">
        <v>59</v>
      </c>
      <c r="B668" s="7" t="s">
        <v>145</v>
      </c>
      <c r="C668" s="7" t="s">
        <v>145</v>
      </c>
      <c r="D668" s="7" t="s">
        <v>146</v>
      </c>
      <c r="E668" s="7" t="s">
        <v>147</v>
      </c>
      <c r="F668" s="7" t="n">
        <v>2017</v>
      </c>
      <c r="G668" s="7" t="s">
        <v>136</v>
      </c>
      <c r="H668" s="7" t="s">
        <v>63</v>
      </c>
      <c r="I668" s="7" t="n">
        <v>40</v>
      </c>
      <c r="J668" s="7" t="s">
        <v>64</v>
      </c>
      <c r="K668" s="7" t="s">
        <v>65</v>
      </c>
      <c r="L668" s="7" t="s">
        <v>66</v>
      </c>
      <c r="M668" s="7" t="n">
        <v>50.1</v>
      </c>
      <c r="N668" s="7" t="n">
        <v>6143</v>
      </c>
    </row>
    <row r="669" customFormat="false" ht="15" hidden="false" customHeight="false" outlineLevel="0" collapsed="false">
      <c r="A669" s="7" t="s">
        <v>59</v>
      </c>
      <c r="B669" s="7" t="s">
        <v>145</v>
      </c>
      <c r="C669" s="7" t="s">
        <v>145</v>
      </c>
      <c r="D669" s="7" t="s">
        <v>146</v>
      </c>
      <c r="E669" s="7" t="s">
        <v>147</v>
      </c>
      <c r="F669" s="7" t="n">
        <v>2017</v>
      </c>
      <c r="G669" s="7" t="s">
        <v>136</v>
      </c>
      <c r="H669" s="7" t="s">
        <v>87</v>
      </c>
      <c r="I669" s="7" t="n">
        <v>40</v>
      </c>
      <c r="J669" s="7" t="s">
        <v>64</v>
      </c>
      <c r="K669" s="7" t="s">
        <v>65</v>
      </c>
      <c r="L669" s="7" t="s">
        <v>66</v>
      </c>
      <c r="M669" s="7" t="n">
        <v>17.8</v>
      </c>
      <c r="N669" s="7" t="n">
        <v>3684</v>
      </c>
    </row>
    <row r="670" customFormat="false" ht="15" hidden="false" customHeight="false" outlineLevel="0" collapsed="false">
      <c r="A670" s="7" t="s">
        <v>59</v>
      </c>
      <c r="B670" s="7" t="s">
        <v>145</v>
      </c>
      <c r="C670" s="7" t="s">
        <v>145</v>
      </c>
      <c r="D670" s="7" t="s">
        <v>146</v>
      </c>
      <c r="E670" s="7" t="s">
        <v>147</v>
      </c>
      <c r="F670" s="7" t="n">
        <v>2017</v>
      </c>
      <c r="G670" s="7" t="s">
        <v>137</v>
      </c>
      <c r="H670" s="7" t="s">
        <v>78</v>
      </c>
      <c r="I670" s="7" t="n">
        <v>40</v>
      </c>
      <c r="J670" s="7" t="s">
        <v>64</v>
      </c>
      <c r="K670" s="7" t="s">
        <v>79</v>
      </c>
      <c r="L670" s="7" t="s">
        <v>66</v>
      </c>
      <c r="M670" s="7" t="n">
        <v>51</v>
      </c>
      <c r="N670" s="7" t="n">
        <v>6143</v>
      </c>
    </row>
    <row r="671" customFormat="false" ht="15" hidden="false" customHeight="false" outlineLevel="0" collapsed="false">
      <c r="A671" s="7" t="s">
        <v>59</v>
      </c>
      <c r="B671" s="7" t="s">
        <v>145</v>
      </c>
      <c r="C671" s="7" t="s">
        <v>145</v>
      </c>
      <c r="D671" s="7" t="s">
        <v>146</v>
      </c>
      <c r="E671" s="7" t="s">
        <v>147</v>
      </c>
      <c r="F671" s="7" t="n">
        <v>2017</v>
      </c>
      <c r="G671" s="7" t="s">
        <v>137</v>
      </c>
      <c r="H671" s="7" t="s">
        <v>86</v>
      </c>
      <c r="I671" s="7" t="n">
        <v>40</v>
      </c>
      <c r="J671" s="7" t="s">
        <v>64</v>
      </c>
      <c r="K671" s="7" t="s">
        <v>65</v>
      </c>
      <c r="L671" s="7" t="s">
        <v>66</v>
      </c>
      <c r="M671" s="7" t="n">
        <v>29.1</v>
      </c>
      <c r="N671" s="7" t="n">
        <v>2459</v>
      </c>
    </row>
    <row r="672" customFormat="false" ht="15" hidden="false" customHeight="false" outlineLevel="0" collapsed="false">
      <c r="A672" s="7" t="s">
        <v>59</v>
      </c>
      <c r="B672" s="7" t="s">
        <v>145</v>
      </c>
      <c r="C672" s="7" t="s">
        <v>145</v>
      </c>
      <c r="D672" s="7" t="s">
        <v>146</v>
      </c>
      <c r="E672" s="7" t="s">
        <v>147</v>
      </c>
      <c r="F672" s="7" t="n">
        <v>2017</v>
      </c>
      <c r="G672" s="7" t="s">
        <v>137</v>
      </c>
      <c r="H672" s="7" t="s">
        <v>63</v>
      </c>
      <c r="I672" s="7" t="n">
        <v>40</v>
      </c>
      <c r="J672" s="7" t="s">
        <v>64</v>
      </c>
      <c r="K672" s="7" t="s">
        <v>65</v>
      </c>
      <c r="L672" s="7" t="s">
        <v>66</v>
      </c>
      <c r="M672" s="7" t="n">
        <v>52.9</v>
      </c>
      <c r="N672" s="7" t="n">
        <v>6143</v>
      </c>
    </row>
    <row r="673" customFormat="false" ht="15" hidden="false" customHeight="false" outlineLevel="0" collapsed="false">
      <c r="A673" s="7" t="s">
        <v>59</v>
      </c>
      <c r="B673" s="7" t="s">
        <v>145</v>
      </c>
      <c r="C673" s="7" t="s">
        <v>145</v>
      </c>
      <c r="D673" s="7" t="s">
        <v>146</v>
      </c>
      <c r="E673" s="7" t="s">
        <v>147</v>
      </c>
      <c r="F673" s="7" t="n">
        <v>2017</v>
      </c>
      <c r="G673" s="7" t="s">
        <v>137</v>
      </c>
      <c r="H673" s="7" t="s">
        <v>87</v>
      </c>
      <c r="I673" s="7" t="n">
        <v>40</v>
      </c>
      <c r="J673" s="7" t="s">
        <v>64</v>
      </c>
      <c r="K673" s="7" t="s">
        <v>65</v>
      </c>
      <c r="L673" s="7" t="s">
        <v>66</v>
      </c>
      <c r="M673" s="7" t="n">
        <v>23.7</v>
      </c>
      <c r="N673" s="7" t="n">
        <v>3684</v>
      </c>
    </row>
    <row r="674" customFormat="false" ht="15" hidden="false" customHeight="false" outlineLevel="0" collapsed="false">
      <c r="A674" s="7" t="s">
        <v>59</v>
      </c>
      <c r="B674" s="7" t="s">
        <v>145</v>
      </c>
      <c r="C674" s="7" t="s">
        <v>145</v>
      </c>
      <c r="D674" s="7" t="s">
        <v>146</v>
      </c>
      <c r="E674" s="7" t="s">
        <v>147</v>
      </c>
      <c r="F674" s="7" t="n">
        <v>2017</v>
      </c>
      <c r="G674" s="7" t="s">
        <v>68</v>
      </c>
      <c r="H674" s="7" t="s">
        <v>78</v>
      </c>
      <c r="I674" s="7" t="n">
        <v>40</v>
      </c>
      <c r="J674" s="7" t="s">
        <v>64</v>
      </c>
      <c r="K674" s="7" t="s">
        <v>79</v>
      </c>
      <c r="L674" s="7" t="s">
        <v>66</v>
      </c>
      <c r="M674" s="7" t="n">
        <v>48.5</v>
      </c>
      <c r="N674" s="7" t="n">
        <v>6143</v>
      </c>
    </row>
    <row r="675" customFormat="false" ht="15" hidden="false" customHeight="false" outlineLevel="0" collapsed="false">
      <c r="A675" s="7" t="s">
        <v>59</v>
      </c>
      <c r="B675" s="7" t="s">
        <v>145</v>
      </c>
      <c r="C675" s="7" t="s">
        <v>145</v>
      </c>
      <c r="D675" s="7" t="s">
        <v>146</v>
      </c>
      <c r="E675" s="7" t="s">
        <v>147</v>
      </c>
      <c r="F675" s="7" t="n">
        <v>2017</v>
      </c>
      <c r="G675" s="7" t="s">
        <v>68</v>
      </c>
      <c r="H675" s="7" t="s">
        <v>86</v>
      </c>
      <c r="I675" s="7" t="n">
        <v>40</v>
      </c>
      <c r="J675" s="7" t="s">
        <v>64</v>
      </c>
      <c r="K675" s="7" t="s">
        <v>65</v>
      </c>
      <c r="L675" s="7" t="s">
        <v>66</v>
      </c>
      <c r="M675" s="7" t="n">
        <v>28.7</v>
      </c>
      <c r="N675" s="7" t="n">
        <v>2459</v>
      </c>
    </row>
    <row r="676" customFormat="false" ht="15" hidden="false" customHeight="false" outlineLevel="0" collapsed="false">
      <c r="A676" s="7" t="s">
        <v>59</v>
      </c>
      <c r="B676" s="7" t="s">
        <v>145</v>
      </c>
      <c r="C676" s="7" t="s">
        <v>145</v>
      </c>
      <c r="D676" s="7" t="s">
        <v>146</v>
      </c>
      <c r="E676" s="7" t="s">
        <v>147</v>
      </c>
      <c r="F676" s="7" t="n">
        <v>2017</v>
      </c>
      <c r="G676" s="7" t="s">
        <v>68</v>
      </c>
      <c r="H676" s="7" t="s">
        <v>63</v>
      </c>
      <c r="I676" s="7" t="n">
        <v>40</v>
      </c>
      <c r="J676" s="7" t="s">
        <v>64</v>
      </c>
      <c r="K676" s="7" t="s">
        <v>65</v>
      </c>
      <c r="L676" s="7" t="s">
        <v>66</v>
      </c>
      <c r="M676" s="7" t="n">
        <v>54</v>
      </c>
      <c r="N676" s="7" t="n">
        <v>6143</v>
      </c>
    </row>
    <row r="677" customFormat="false" ht="15" hidden="false" customHeight="false" outlineLevel="0" collapsed="false">
      <c r="A677" s="7" t="s">
        <v>59</v>
      </c>
      <c r="B677" s="7" t="s">
        <v>145</v>
      </c>
      <c r="C677" s="7" t="s">
        <v>145</v>
      </c>
      <c r="D677" s="7" t="s">
        <v>146</v>
      </c>
      <c r="E677" s="7" t="s">
        <v>147</v>
      </c>
      <c r="F677" s="7" t="n">
        <v>2017</v>
      </c>
      <c r="G677" s="7" t="s">
        <v>68</v>
      </c>
      <c r="H677" s="7" t="s">
        <v>87</v>
      </c>
      <c r="I677" s="7" t="n">
        <v>40</v>
      </c>
      <c r="J677" s="7" t="s">
        <v>64</v>
      </c>
      <c r="K677" s="7" t="s">
        <v>65</v>
      </c>
      <c r="L677" s="7" t="s">
        <v>66</v>
      </c>
      <c r="M677" s="7" t="n">
        <v>25.3</v>
      </c>
      <c r="N677" s="7" t="n">
        <v>3684</v>
      </c>
    </row>
    <row r="678" customFormat="false" ht="15" hidden="false" customHeight="false" outlineLevel="0" collapsed="false">
      <c r="A678" s="7" t="s">
        <v>59</v>
      </c>
      <c r="B678" s="7" t="s">
        <v>145</v>
      </c>
      <c r="C678" s="7" t="s">
        <v>145</v>
      </c>
      <c r="D678" s="7" t="s">
        <v>146</v>
      </c>
      <c r="E678" s="7" t="s">
        <v>147</v>
      </c>
      <c r="F678" s="7" t="n">
        <v>2017</v>
      </c>
      <c r="G678" s="7" t="s">
        <v>106</v>
      </c>
      <c r="H678" s="7" t="s">
        <v>63</v>
      </c>
      <c r="J678" s="7" t="s">
        <v>64</v>
      </c>
      <c r="L678" s="7" t="s">
        <v>71</v>
      </c>
      <c r="M678" s="7" t="n">
        <v>61.7</v>
      </c>
      <c r="N678" s="7" t="n">
        <v>21911</v>
      </c>
    </row>
    <row r="679" customFormat="false" ht="15" hidden="false" customHeight="false" outlineLevel="0" collapsed="false">
      <c r="A679" s="7" t="s">
        <v>59</v>
      </c>
      <c r="B679" s="7" t="s">
        <v>145</v>
      </c>
      <c r="C679" s="7" t="s">
        <v>145</v>
      </c>
      <c r="D679" s="7" t="s">
        <v>146</v>
      </c>
      <c r="E679" s="7" t="s">
        <v>147</v>
      </c>
      <c r="F679" s="7" t="n">
        <v>2017</v>
      </c>
      <c r="G679" s="7" t="s">
        <v>138</v>
      </c>
      <c r="H679" s="7" t="s">
        <v>78</v>
      </c>
      <c r="I679" s="7" t="n">
        <v>40</v>
      </c>
      <c r="J679" s="7" t="s">
        <v>64</v>
      </c>
      <c r="K679" s="7" t="s">
        <v>79</v>
      </c>
      <c r="L679" s="7" t="s">
        <v>66</v>
      </c>
      <c r="M679" s="7" t="n">
        <v>60.4</v>
      </c>
      <c r="N679" s="7" t="n">
        <v>6143</v>
      </c>
    </row>
    <row r="680" customFormat="false" ht="15" hidden="false" customHeight="false" outlineLevel="0" collapsed="false">
      <c r="A680" s="7" t="s">
        <v>59</v>
      </c>
      <c r="B680" s="7" t="s">
        <v>145</v>
      </c>
      <c r="C680" s="7" t="s">
        <v>145</v>
      </c>
      <c r="D680" s="7" t="s">
        <v>146</v>
      </c>
      <c r="E680" s="7" t="s">
        <v>147</v>
      </c>
      <c r="F680" s="7" t="n">
        <v>2017</v>
      </c>
      <c r="G680" s="7" t="s">
        <v>138</v>
      </c>
      <c r="H680" s="7" t="s">
        <v>86</v>
      </c>
      <c r="I680" s="7" t="n">
        <v>40</v>
      </c>
      <c r="J680" s="7" t="s">
        <v>64</v>
      </c>
      <c r="K680" s="7" t="s">
        <v>65</v>
      </c>
      <c r="L680" s="7" t="s">
        <v>66</v>
      </c>
      <c r="M680" s="7" t="n">
        <v>36.3</v>
      </c>
      <c r="N680" s="7" t="n">
        <v>2459</v>
      </c>
    </row>
    <row r="681" customFormat="false" ht="15" hidden="false" customHeight="false" outlineLevel="0" collapsed="false">
      <c r="A681" s="7" t="s">
        <v>59</v>
      </c>
      <c r="B681" s="7" t="s">
        <v>145</v>
      </c>
      <c r="C681" s="7" t="s">
        <v>145</v>
      </c>
      <c r="D681" s="7" t="s">
        <v>146</v>
      </c>
      <c r="E681" s="7" t="s">
        <v>147</v>
      </c>
      <c r="F681" s="7" t="n">
        <v>2017</v>
      </c>
      <c r="G681" s="7" t="s">
        <v>138</v>
      </c>
      <c r="H681" s="7" t="s">
        <v>63</v>
      </c>
      <c r="I681" s="7" t="n">
        <v>40</v>
      </c>
      <c r="J681" s="7" t="s">
        <v>64</v>
      </c>
      <c r="K681" s="7" t="s">
        <v>65</v>
      </c>
      <c r="L681" s="7" t="s">
        <v>66</v>
      </c>
      <c r="M681" s="7" t="n">
        <v>61.5</v>
      </c>
      <c r="N681" s="7" t="n">
        <v>6143</v>
      </c>
    </row>
    <row r="682" customFormat="false" ht="15" hidden="false" customHeight="false" outlineLevel="0" collapsed="false">
      <c r="A682" s="7" t="s">
        <v>59</v>
      </c>
      <c r="B682" s="7" t="s">
        <v>145</v>
      </c>
      <c r="C682" s="7" t="s">
        <v>145</v>
      </c>
      <c r="D682" s="7" t="s">
        <v>146</v>
      </c>
      <c r="E682" s="7" t="s">
        <v>147</v>
      </c>
      <c r="F682" s="7" t="n">
        <v>2017</v>
      </c>
      <c r="G682" s="7" t="s">
        <v>138</v>
      </c>
      <c r="H682" s="7" t="s">
        <v>87</v>
      </c>
      <c r="I682" s="7" t="n">
        <v>40</v>
      </c>
      <c r="J682" s="7" t="s">
        <v>64</v>
      </c>
      <c r="K682" s="7" t="s">
        <v>65</v>
      </c>
      <c r="L682" s="7" t="s">
        <v>66</v>
      </c>
      <c r="M682" s="7" t="n">
        <v>25.1</v>
      </c>
      <c r="N682" s="7" t="n">
        <v>3684</v>
      </c>
    </row>
    <row r="683" customFormat="false" ht="15" hidden="false" customHeight="false" outlineLevel="0" collapsed="false">
      <c r="A683" s="7" t="s">
        <v>59</v>
      </c>
      <c r="B683" s="7" t="s">
        <v>145</v>
      </c>
      <c r="C683" s="7" t="s">
        <v>145</v>
      </c>
      <c r="D683" s="7" t="s">
        <v>146</v>
      </c>
      <c r="E683" s="7" t="s">
        <v>147</v>
      </c>
      <c r="F683" s="7" t="n">
        <v>2017</v>
      </c>
      <c r="G683" s="7" t="s">
        <v>139</v>
      </c>
      <c r="H683" s="7" t="s">
        <v>78</v>
      </c>
      <c r="I683" s="7" t="n">
        <v>40</v>
      </c>
      <c r="J683" s="7" t="s">
        <v>64</v>
      </c>
      <c r="K683" s="7" t="s">
        <v>79</v>
      </c>
      <c r="L683" s="7" t="s">
        <v>66</v>
      </c>
      <c r="M683" s="7" t="n">
        <v>52.9</v>
      </c>
      <c r="N683" s="7" t="n">
        <v>6143</v>
      </c>
    </row>
    <row r="684" customFormat="false" ht="15" hidden="false" customHeight="false" outlineLevel="0" collapsed="false">
      <c r="A684" s="7" t="s">
        <v>59</v>
      </c>
      <c r="B684" s="7" t="s">
        <v>145</v>
      </c>
      <c r="C684" s="7" t="s">
        <v>145</v>
      </c>
      <c r="D684" s="7" t="s">
        <v>146</v>
      </c>
      <c r="E684" s="7" t="s">
        <v>147</v>
      </c>
      <c r="F684" s="7" t="n">
        <v>2017</v>
      </c>
      <c r="G684" s="7" t="s">
        <v>139</v>
      </c>
      <c r="H684" s="7" t="s">
        <v>86</v>
      </c>
      <c r="I684" s="7" t="n">
        <v>40</v>
      </c>
      <c r="J684" s="7" t="s">
        <v>64</v>
      </c>
      <c r="K684" s="7" t="s">
        <v>65</v>
      </c>
      <c r="L684" s="7" t="s">
        <v>66</v>
      </c>
      <c r="M684" s="7" t="n">
        <v>33.7</v>
      </c>
      <c r="N684" s="7" t="n">
        <v>2459</v>
      </c>
    </row>
    <row r="685" customFormat="false" ht="15" hidden="false" customHeight="false" outlineLevel="0" collapsed="false">
      <c r="A685" s="7" t="s">
        <v>59</v>
      </c>
      <c r="B685" s="7" t="s">
        <v>145</v>
      </c>
      <c r="C685" s="7" t="s">
        <v>145</v>
      </c>
      <c r="D685" s="7" t="s">
        <v>146</v>
      </c>
      <c r="E685" s="7" t="s">
        <v>147</v>
      </c>
      <c r="F685" s="7" t="n">
        <v>2017</v>
      </c>
      <c r="G685" s="7" t="s">
        <v>139</v>
      </c>
      <c r="H685" s="7" t="s">
        <v>63</v>
      </c>
      <c r="I685" s="7" t="n">
        <v>40</v>
      </c>
      <c r="J685" s="7" t="s">
        <v>64</v>
      </c>
      <c r="K685" s="7" t="s">
        <v>65</v>
      </c>
      <c r="L685" s="7" t="s">
        <v>66</v>
      </c>
      <c r="M685" s="7" t="n">
        <v>54.2</v>
      </c>
      <c r="N685" s="7" t="n">
        <v>6143</v>
      </c>
    </row>
    <row r="686" customFormat="false" ht="15" hidden="false" customHeight="false" outlineLevel="0" collapsed="false">
      <c r="A686" s="7" t="s">
        <v>59</v>
      </c>
      <c r="B686" s="7" t="s">
        <v>145</v>
      </c>
      <c r="C686" s="7" t="s">
        <v>145</v>
      </c>
      <c r="D686" s="7" t="s">
        <v>146</v>
      </c>
      <c r="E686" s="7" t="s">
        <v>147</v>
      </c>
      <c r="F686" s="7" t="n">
        <v>2017</v>
      </c>
      <c r="G686" s="7" t="s">
        <v>139</v>
      </c>
      <c r="H686" s="7" t="s">
        <v>87</v>
      </c>
      <c r="I686" s="7" t="n">
        <v>40</v>
      </c>
      <c r="J686" s="7" t="s">
        <v>64</v>
      </c>
      <c r="K686" s="7" t="s">
        <v>65</v>
      </c>
      <c r="L686" s="7" t="s">
        <v>66</v>
      </c>
      <c r="M686" s="7" t="n">
        <v>20.5</v>
      </c>
      <c r="N686" s="7" t="n">
        <v>3684</v>
      </c>
    </row>
    <row r="687" customFormat="false" ht="15" hidden="false" customHeight="false" outlineLevel="0" collapsed="false">
      <c r="A687" s="7" t="s">
        <v>59</v>
      </c>
      <c r="B687" s="7" t="s">
        <v>145</v>
      </c>
      <c r="C687" s="7" t="s">
        <v>145</v>
      </c>
      <c r="D687" s="7" t="s">
        <v>146</v>
      </c>
      <c r="E687" s="7" t="s">
        <v>147</v>
      </c>
      <c r="F687" s="7" t="n">
        <v>2017</v>
      </c>
      <c r="G687" s="7" t="s">
        <v>140</v>
      </c>
      <c r="H687" s="7" t="s">
        <v>78</v>
      </c>
      <c r="I687" s="7" t="n">
        <v>40</v>
      </c>
      <c r="J687" s="7" t="s">
        <v>64</v>
      </c>
      <c r="K687" s="7" t="s">
        <v>79</v>
      </c>
      <c r="L687" s="7" t="s">
        <v>66</v>
      </c>
      <c r="M687" s="7" t="n">
        <v>45.5</v>
      </c>
      <c r="N687" s="7" t="n">
        <v>6143</v>
      </c>
    </row>
    <row r="688" customFormat="false" ht="15" hidden="false" customHeight="false" outlineLevel="0" collapsed="false">
      <c r="A688" s="7" t="s">
        <v>59</v>
      </c>
      <c r="B688" s="7" t="s">
        <v>145</v>
      </c>
      <c r="C688" s="7" t="s">
        <v>145</v>
      </c>
      <c r="D688" s="7" t="s">
        <v>146</v>
      </c>
      <c r="E688" s="7" t="s">
        <v>147</v>
      </c>
      <c r="F688" s="7" t="n">
        <v>2017</v>
      </c>
      <c r="G688" s="7" t="s">
        <v>140</v>
      </c>
      <c r="H688" s="7" t="s">
        <v>86</v>
      </c>
      <c r="I688" s="7" t="n">
        <v>40</v>
      </c>
      <c r="J688" s="7" t="s">
        <v>64</v>
      </c>
      <c r="K688" s="7" t="s">
        <v>65</v>
      </c>
      <c r="L688" s="7" t="s">
        <v>66</v>
      </c>
      <c r="M688" s="7" t="n">
        <v>30.7</v>
      </c>
      <c r="N688" s="7" t="n">
        <v>2459</v>
      </c>
    </row>
    <row r="689" customFormat="false" ht="15" hidden="false" customHeight="false" outlineLevel="0" collapsed="false">
      <c r="A689" s="7" t="s">
        <v>59</v>
      </c>
      <c r="B689" s="7" t="s">
        <v>145</v>
      </c>
      <c r="C689" s="7" t="s">
        <v>145</v>
      </c>
      <c r="D689" s="7" t="s">
        <v>146</v>
      </c>
      <c r="E689" s="7" t="s">
        <v>147</v>
      </c>
      <c r="F689" s="7" t="n">
        <v>2017</v>
      </c>
      <c r="G689" s="7" t="s">
        <v>140</v>
      </c>
      <c r="H689" s="7" t="s">
        <v>63</v>
      </c>
      <c r="I689" s="7" t="n">
        <v>40</v>
      </c>
      <c r="J689" s="7" t="s">
        <v>64</v>
      </c>
      <c r="K689" s="7" t="s">
        <v>65</v>
      </c>
      <c r="L689" s="7" t="s">
        <v>66</v>
      </c>
      <c r="M689" s="7" t="n">
        <v>47.3</v>
      </c>
      <c r="N689" s="7" t="n">
        <v>6143</v>
      </c>
    </row>
    <row r="690" customFormat="false" ht="15" hidden="false" customHeight="false" outlineLevel="0" collapsed="false">
      <c r="A690" s="7" t="s">
        <v>59</v>
      </c>
      <c r="B690" s="7" t="s">
        <v>145</v>
      </c>
      <c r="C690" s="7" t="s">
        <v>145</v>
      </c>
      <c r="D690" s="7" t="s">
        <v>146</v>
      </c>
      <c r="E690" s="7" t="s">
        <v>147</v>
      </c>
      <c r="F690" s="7" t="n">
        <v>2017</v>
      </c>
      <c r="G690" s="7" t="s">
        <v>140</v>
      </c>
      <c r="H690" s="7" t="s">
        <v>87</v>
      </c>
      <c r="I690" s="7" t="n">
        <v>40</v>
      </c>
      <c r="J690" s="7" t="s">
        <v>64</v>
      </c>
      <c r="K690" s="7" t="s">
        <v>65</v>
      </c>
      <c r="L690" s="7" t="s">
        <v>66</v>
      </c>
      <c r="M690" s="7" t="n">
        <v>16.7</v>
      </c>
      <c r="N690" s="7" t="n">
        <v>3684</v>
      </c>
    </row>
    <row r="691" customFormat="false" ht="15" hidden="false" customHeight="false" outlineLevel="0" collapsed="false">
      <c r="A691" s="7" t="s">
        <v>59</v>
      </c>
      <c r="B691" s="7" t="s">
        <v>145</v>
      </c>
      <c r="C691" s="7" t="s">
        <v>145</v>
      </c>
      <c r="D691" s="7" t="s">
        <v>146</v>
      </c>
      <c r="E691" s="7" t="s">
        <v>147</v>
      </c>
      <c r="F691" s="7" t="n">
        <v>2017</v>
      </c>
      <c r="G691" s="7" t="s">
        <v>151</v>
      </c>
      <c r="H691" s="7" t="s">
        <v>78</v>
      </c>
      <c r="I691" s="7" t="n">
        <v>40</v>
      </c>
      <c r="J691" s="7" t="s">
        <v>64</v>
      </c>
      <c r="K691" s="7" t="s">
        <v>79</v>
      </c>
      <c r="L691" s="7" t="s">
        <v>66</v>
      </c>
      <c r="M691" s="7" t="n">
        <v>54.3</v>
      </c>
      <c r="N691" s="7" t="n">
        <v>6143</v>
      </c>
    </row>
    <row r="692" customFormat="false" ht="15" hidden="false" customHeight="false" outlineLevel="0" collapsed="false">
      <c r="A692" s="7" t="s">
        <v>59</v>
      </c>
      <c r="B692" s="7" t="s">
        <v>145</v>
      </c>
      <c r="C692" s="7" t="s">
        <v>145</v>
      </c>
      <c r="D692" s="7" t="s">
        <v>146</v>
      </c>
      <c r="E692" s="7" t="s">
        <v>147</v>
      </c>
      <c r="F692" s="7" t="n">
        <v>2017</v>
      </c>
      <c r="G692" s="7" t="s">
        <v>151</v>
      </c>
      <c r="H692" s="7" t="s">
        <v>86</v>
      </c>
      <c r="I692" s="7" t="n">
        <v>40</v>
      </c>
      <c r="J692" s="7" t="s">
        <v>64</v>
      </c>
      <c r="K692" s="7" t="s">
        <v>65</v>
      </c>
      <c r="L692" s="7" t="s">
        <v>66</v>
      </c>
      <c r="M692" s="7" t="n">
        <v>32.8</v>
      </c>
      <c r="N692" s="7" t="n">
        <v>2459</v>
      </c>
    </row>
    <row r="693" customFormat="false" ht="15" hidden="false" customHeight="false" outlineLevel="0" collapsed="false">
      <c r="A693" s="7" t="s">
        <v>59</v>
      </c>
      <c r="B693" s="7" t="s">
        <v>145</v>
      </c>
      <c r="C693" s="7" t="s">
        <v>145</v>
      </c>
      <c r="D693" s="7" t="s">
        <v>146</v>
      </c>
      <c r="E693" s="7" t="s">
        <v>147</v>
      </c>
      <c r="F693" s="7" t="n">
        <v>2017</v>
      </c>
      <c r="G693" s="7" t="s">
        <v>151</v>
      </c>
      <c r="H693" s="7" t="s">
        <v>63</v>
      </c>
      <c r="I693" s="7" t="n">
        <v>40</v>
      </c>
      <c r="J693" s="7" t="s">
        <v>64</v>
      </c>
      <c r="K693" s="7" t="s">
        <v>65</v>
      </c>
      <c r="L693" s="7" t="s">
        <v>66</v>
      </c>
      <c r="M693" s="7" t="n">
        <v>54.5</v>
      </c>
      <c r="N693" s="7" t="n">
        <v>6143</v>
      </c>
    </row>
    <row r="694" customFormat="false" ht="15" hidden="false" customHeight="false" outlineLevel="0" collapsed="false">
      <c r="A694" s="7" t="s">
        <v>59</v>
      </c>
      <c r="B694" s="7" t="s">
        <v>145</v>
      </c>
      <c r="C694" s="7" t="s">
        <v>145</v>
      </c>
      <c r="D694" s="7" t="s">
        <v>146</v>
      </c>
      <c r="E694" s="7" t="s">
        <v>147</v>
      </c>
      <c r="F694" s="7" t="n">
        <v>2017</v>
      </c>
      <c r="G694" s="7" t="s">
        <v>151</v>
      </c>
      <c r="H694" s="7" t="s">
        <v>87</v>
      </c>
      <c r="I694" s="7" t="n">
        <v>40</v>
      </c>
      <c r="J694" s="7" t="s">
        <v>64</v>
      </c>
      <c r="K694" s="7" t="s">
        <v>65</v>
      </c>
      <c r="L694" s="7" t="s">
        <v>66</v>
      </c>
      <c r="M694" s="7" t="n">
        <v>21.7</v>
      </c>
      <c r="N694" s="7" t="n">
        <v>3684</v>
      </c>
    </row>
    <row r="695" customFormat="false" ht="15" hidden="false" customHeight="false" outlineLevel="0" collapsed="false">
      <c r="A695" s="7" t="s">
        <v>59</v>
      </c>
      <c r="B695" s="7" t="s">
        <v>145</v>
      </c>
      <c r="C695" s="7" t="s">
        <v>145</v>
      </c>
      <c r="D695" s="7" t="s">
        <v>146</v>
      </c>
      <c r="E695" s="7" t="s">
        <v>147</v>
      </c>
      <c r="F695" s="7" t="n">
        <v>2017</v>
      </c>
      <c r="G695" s="7" t="s">
        <v>83</v>
      </c>
      <c r="H695" s="7" t="s">
        <v>78</v>
      </c>
      <c r="I695" s="7" t="n">
        <v>40</v>
      </c>
      <c r="J695" s="7" t="s">
        <v>64</v>
      </c>
      <c r="K695" s="7" t="s">
        <v>79</v>
      </c>
      <c r="L695" s="7" t="s">
        <v>66</v>
      </c>
      <c r="M695" s="7" t="n">
        <v>72.7</v>
      </c>
      <c r="N695" s="7" t="n">
        <v>6143</v>
      </c>
    </row>
    <row r="696" customFormat="false" ht="15" hidden="false" customHeight="false" outlineLevel="0" collapsed="false">
      <c r="A696" s="7" t="s">
        <v>59</v>
      </c>
      <c r="B696" s="7" t="s">
        <v>145</v>
      </c>
      <c r="C696" s="7" t="s">
        <v>145</v>
      </c>
      <c r="D696" s="7" t="s">
        <v>146</v>
      </c>
      <c r="E696" s="7" t="s">
        <v>147</v>
      </c>
      <c r="F696" s="7" t="n">
        <v>2017</v>
      </c>
      <c r="G696" s="7" t="s">
        <v>83</v>
      </c>
      <c r="H696" s="7" t="s">
        <v>86</v>
      </c>
      <c r="I696" s="7" t="n">
        <v>40</v>
      </c>
      <c r="J696" s="7" t="s">
        <v>64</v>
      </c>
      <c r="K696" s="7" t="s">
        <v>65</v>
      </c>
      <c r="L696" s="7" t="s">
        <v>66</v>
      </c>
      <c r="M696" s="7" t="n">
        <v>38.4</v>
      </c>
      <c r="N696" s="7" t="n">
        <v>2459</v>
      </c>
    </row>
    <row r="697" customFormat="false" ht="15" hidden="false" customHeight="false" outlineLevel="0" collapsed="false">
      <c r="A697" s="7" t="s">
        <v>59</v>
      </c>
      <c r="B697" s="7" t="s">
        <v>145</v>
      </c>
      <c r="C697" s="7" t="s">
        <v>145</v>
      </c>
      <c r="D697" s="7" t="s">
        <v>146</v>
      </c>
      <c r="E697" s="7" t="s">
        <v>147</v>
      </c>
      <c r="F697" s="7" t="n">
        <v>2017</v>
      </c>
      <c r="G697" s="7" t="s">
        <v>83</v>
      </c>
      <c r="H697" s="7" t="s">
        <v>63</v>
      </c>
      <c r="I697" s="7" t="n">
        <v>40</v>
      </c>
      <c r="J697" s="7" t="s">
        <v>64</v>
      </c>
      <c r="K697" s="7" t="s">
        <v>65</v>
      </c>
      <c r="L697" s="7" t="s">
        <v>66</v>
      </c>
      <c r="M697" s="7" t="n">
        <v>73.6</v>
      </c>
      <c r="N697" s="7" t="n">
        <v>6143</v>
      </c>
    </row>
    <row r="698" customFormat="false" ht="15" hidden="false" customHeight="false" outlineLevel="0" collapsed="false">
      <c r="A698" s="7" t="s">
        <v>59</v>
      </c>
      <c r="B698" s="7" t="s">
        <v>145</v>
      </c>
      <c r="C698" s="7" t="s">
        <v>145</v>
      </c>
      <c r="D698" s="7" t="s">
        <v>146</v>
      </c>
      <c r="E698" s="7" t="s">
        <v>147</v>
      </c>
      <c r="F698" s="7" t="n">
        <v>2017</v>
      </c>
      <c r="G698" s="7" t="s">
        <v>83</v>
      </c>
      <c r="H698" s="7" t="s">
        <v>87</v>
      </c>
      <c r="I698" s="7" t="n">
        <v>40</v>
      </c>
      <c r="J698" s="7" t="s">
        <v>64</v>
      </c>
      <c r="K698" s="7" t="s">
        <v>65</v>
      </c>
      <c r="L698" s="7" t="s">
        <v>66</v>
      </c>
      <c r="M698" s="7" t="n">
        <v>35.2</v>
      </c>
      <c r="N698" s="7" t="n">
        <v>3684</v>
      </c>
    </row>
    <row r="699" customFormat="false" ht="15" hidden="false" customHeight="false" outlineLevel="0" collapsed="false">
      <c r="A699" s="7" t="s">
        <v>59</v>
      </c>
      <c r="B699" s="7" t="s">
        <v>145</v>
      </c>
      <c r="C699" s="7" t="s">
        <v>145</v>
      </c>
      <c r="D699" s="7" t="s">
        <v>146</v>
      </c>
      <c r="E699" s="7" t="s">
        <v>147</v>
      </c>
      <c r="F699" s="7" t="n">
        <v>2017</v>
      </c>
      <c r="G699" s="7" t="s">
        <v>141</v>
      </c>
      <c r="H699" s="7" t="s">
        <v>78</v>
      </c>
      <c r="I699" s="7" t="n">
        <v>40</v>
      </c>
      <c r="J699" s="7" t="s">
        <v>64</v>
      </c>
      <c r="K699" s="7" t="s">
        <v>79</v>
      </c>
      <c r="L699" s="7" t="s">
        <v>66</v>
      </c>
      <c r="M699" s="7" t="n">
        <v>65.4</v>
      </c>
      <c r="N699" s="7" t="n">
        <v>6143</v>
      </c>
    </row>
    <row r="700" customFormat="false" ht="15" hidden="false" customHeight="false" outlineLevel="0" collapsed="false">
      <c r="A700" s="7" t="s">
        <v>59</v>
      </c>
      <c r="B700" s="7" t="s">
        <v>145</v>
      </c>
      <c r="C700" s="7" t="s">
        <v>145</v>
      </c>
      <c r="D700" s="7" t="s">
        <v>146</v>
      </c>
      <c r="E700" s="7" t="s">
        <v>147</v>
      </c>
      <c r="F700" s="7" t="n">
        <v>2017</v>
      </c>
      <c r="G700" s="7" t="s">
        <v>141</v>
      </c>
      <c r="H700" s="7" t="s">
        <v>86</v>
      </c>
      <c r="I700" s="7" t="n">
        <v>40</v>
      </c>
      <c r="J700" s="7" t="s">
        <v>64</v>
      </c>
      <c r="K700" s="7" t="s">
        <v>65</v>
      </c>
      <c r="L700" s="7" t="s">
        <v>66</v>
      </c>
      <c r="M700" s="7" t="n">
        <v>35.7</v>
      </c>
      <c r="N700" s="7" t="n">
        <v>2459</v>
      </c>
    </row>
    <row r="701" customFormat="false" ht="15" hidden="false" customHeight="false" outlineLevel="0" collapsed="false">
      <c r="A701" s="7" t="s">
        <v>59</v>
      </c>
      <c r="B701" s="7" t="s">
        <v>145</v>
      </c>
      <c r="C701" s="7" t="s">
        <v>145</v>
      </c>
      <c r="D701" s="7" t="s">
        <v>146</v>
      </c>
      <c r="E701" s="7" t="s">
        <v>147</v>
      </c>
      <c r="F701" s="7" t="n">
        <v>2017</v>
      </c>
      <c r="G701" s="7" t="s">
        <v>141</v>
      </c>
      <c r="H701" s="7" t="s">
        <v>63</v>
      </c>
      <c r="I701" s="7" t="n">
        <v>40</v>
      </c>
      <c r="J701" s="7" t="s">
        <v>64</v>
      </c>
      <c r="K701" s="7" t="s">
        <v>65</v>
      </c>
      <c r="L701" s="7" t="s">
        <v>66</v>
      </c>
      <c r="M701" s="7" t="n">
        <v>66.7</v>
      </c>
      <c r="N701" s="7" t="n">
        <v>6143</v>
      </c>
    </row>
    <row r="702" customFormat="false" ht="15" hidden="false" customHeight="false" outlineLevel="0" collapsed="false">
      <c r="A702" s="7" t="s">
        <v>59</v>
      </c>
      <c r="B702" s="7" t="s">
        <v>145</v>
      </c>
      <c r="C702" s="7" t="s">
        <v>145</v>
      </c>
      <c r="D702" s="7" t="s">
        <v>146</v>
      </c>
      <c r="E702" s="7" t="s">
        <v>147</v>
      </c>
      <c r="F702" s="7" t="n">
        <v>2017</v>
      </c>
      <c r="G702" s="7" t="s">
        <v>141</v>
      </c>
      <c r="H702" s="7" t="s">
        <v>87</v>
      </c>
      <c r="I702" s="7" t="n">
        <v>40</v>
      </c>
      <c r="J702" s="7" t="s">
        <v>64</v>
      </c>
      <c r="K702" s="7" t="s">
        <v>65</v>
      </c>
      <c r="L702" s="7" t="s">
        <v>66</v>
      </c>
      <c r="M702" s="7" t="n">
        <v>31</v>
      </c>
      <c r="N702" s="7" t="n">
        <v>3684</v>
      </c>
    </row>
    <row r="703" customFormat="false" ht="15" hidden="false" customHeight="false" outlineLevel="0" collapsed="false">
      <c r="A703" s="7" t="s">
        <v>59</v>
      </c>
      <c r="B703" s="7" t="s">
        <v>145</v>
      </c>
      <c r="C703" s="7" t="s">
        <v>145</v>
      </c>
      <c r="D703" s="7" t="s">
        <v>146</v>
      </c>
      <c r="E703" s="7" t="s">
        <v>147</v>
      </c>
      <c r="F703" s="7" t="n">
        <v>2017</v>
      </c>
      <c r="G703" s="7" t="s">
        <v>69</v>
      </c>
      <c r="H703" s="7" t="s">
        <v>78</v>
      </c>
      <c r="I703" s="7" t="n">
        <v>40</v>
      </c>
      <c r="J703" s="7" t="s">
        <v>64</v>
      </c>
      <c r="K703" s="7" t="s">
        <v>79</v>
      </c>
      <c r="L703" s="7" t="s">
        <v>66</v>
      </c>
      <c r="M703" s="7" t="n">
        <v>45.6</v>
      </c>
      <c r="N703" s="7" t="n">
        <v>6143</v>
      </c>
    </row>
    <row r="704" customFormat="false" ht="15" hidden="false" customHeight="false" outlineLevel="0" collapsed="false">
      <c r="A704" s="7" t="s">
        <v>59</v>
      </c>
      <c r="B704" s="7" t="s">
        <v>145</v>
      </c>
      <c r="C704" s="7" t="s">
        <v>145</v>
      </c>
      <c r="D704" s="7" t="s">
        <v>146</v>
      </c>
      <c r="E704" s="7" t="s">
        <v>147</v>
      </c>
      <c r="F704" s="7" t="n">
        <v>2017</v>
      </c>
      <c r="G704" s="7" t="s">
        <v>69</v>
      </c>
      <c r="H704" s="7" t="s">
        <v>86</v>
      </c>
      <c r="I704" s="7" t="n">
        <v>40</v>
      </c>
      <c r="J704" s="7" t="s">
        <v>64</v>
      </c>
      <c r="K704" s="7" t="s">
        <v>65</v>
      </c>
      <c r="L704" s="7" t="s">
        <v>66</v>
      </c>
      <c r="M704" s="7" t="n">
        <v>32.2</v>
      </c>
      <c r="N704" s="7" t="n">
        <v>2459</v>
      </c>
    </row>
    <row r="705" customFormat="false" ht="15" hidden="false" customHeight="false" outlineLevel="0" collapsed="false">
      <c r="A705" s="7" t="s">
        <v>59</v>
      </c>
      <c r="B705" s="7" t="s">
        <v>145</v>
      </c>
      <c r="C705" s="7" t="s">
        <v>145</v>
      </c>
      <c r="D705" s="7" t="s">
        <v>146</v>
      </c>
      <c r="E705" s="7" t="s">
        <v>147</v>
      </c>
      <c r="F705" s="7" t="n">
        <v>2017</v>
      </c>
      <c r="G705" s="7" t="s">
        <v>69</v>
      </c>
      <c r="H705" s="7" t="s">
        <v>63</v>
      </c>
      <c r="I705" s="7" t="n">
        <v>40</v>
      </c>
      <c r="J705" s="7" t="s">
        <v>64</v>
      </c>
      <c r="K705" s="7" t="s">
        <v>65</v>
      </c>
      <c r="L705" s="7" t="s">
        <v>66</v>
      </c>
      <c r="M705" s="7" t="n">
        <v>47.2</v>
      </c>
      <c r="N705" s="7" t="n">
        <v>6143</v>
      </c>
    </row>
    <row r="706" customFormat="false" ht="15" hidden="false" customHeight="false" outlineLevel="0" collapsed="false">
      <c r="A706" s="7" t="s">
        <v>59</v>
      </c>
      <c r="B706" s="7" t="s">
        <v>145</v>
      </c>
      <c r="C706" s="7" t="s">
        <v>145</v>
      </c>
      <c r="D706" s="7" t="s">
        <v>146</v>
      </c>
      <c r="E706" s="7" t="s">
        <v>147</v>
      </c>
      <c r="F706" s="7" t="n">
        <v>2017</v>
      </c>
      <c r="G706" s="7" t="s">
        <v>69</v>
      </c>
      <c r="H706" s="7" t="s">
        <v>87</v>
      </c>
      <c r="I706" s="7" t="n">
        <v>40</v>
      </c>
      <c r="J706" s="7" t="s">
        <v>64</v>
      </c>
      <c r="K706" s="7" t="s">
        <v>65</v>
      </c>
      <c r="L706" s="7" t="s">
        <v>66</v>
      </c>
      <c r="M706" s="7" t="n">
        <v>15</v>
      </c>
      <c r="N706" s="7" t="n">
        <v>3684</v>
      </c>
    </row>
    <row r="707" customFormat="false" ht="15" hidden="false" customHeight="false" outlineLevel="0" collapsed="false">
      <c r="A707" s="7" t="s">
        <v>59</v>
      </c>
      <c r="B707" s="7" t="s">
        <v>145</v>
      </c>
      <c r="C707" s="7" t="s">
        <v>145</v>
      </c>
      <c r="D707" s="7" t="s">
        <v>146</v>
      </c>
      <c r="E707" s="7" t="s">
        <v>147</v>
      </c>
      <c r="F707" s="7" t="n">
        <v>2017</v>
      </c>
      <c r="G707" s="7" t="s">
        <v>72</v>
      </c>
      <c r="H707" s="7" t="s">
        <v>63</v>
      </c>
      <c r="J707" s="7" t="s">
        <v>64</v>
      </c>
      <c r="L707" s="7" t="s">
        <v>71</v>
      </c>
      <c r="M707" s="7" t="n">
        <v>52.9</v>
      </c>
      <c r="N707" s="7" t="n">
        <v>21911</v>
      </c>
    </row>
    <row r="708" customFormat="false" ht="15" hidden="false" customHeight="false" outlineLevel="0" collapsed="false">
      <c r="A708" s="7" t="s">
        <v>59</v>
      </c>
      <c r="B708" s="7" t="s">
        <v>155</v>
      </c>
      <c r="C708" s="7" t="s">
        <v>155</v>
      </c>
      <c r="D708" s="7" t="s">
        <v>156</v>
      </c>
      <c r="E708" s="7" t="s">
        <v>157</v>
      </c>
      <c r="F708" s="7" t="n">
        <v>2019</v>
      </c>
      <c r="G708" s="7" t="s">
        <v>62</v>
      </c>
      <c r="H708" s="7" t="s">
        <v>78</v>
      </c>
      <c r="J708" s="7" t="s">
        <v>64</v>
      </c>
      <c r="K708" s="7" t="s">
        <v>79</v>
      </c>
      <c r="L708" s="7" t="s">
        <v>91</v>
      </c>
      <c r="M708" s="7" t="n">
        <v>72.8</v>
      </c>
    </row>
    <row r="709" customFormat="false" ht="15" hidden="false" customHeight="false" outlineLevel="0" collapsed="false">
      <c r="A709" s="7" t="s">
        <v>59</v>
      </c>
      <c r="B709" s="7" t="s">
        <v>155</v>
      </c>
      <c r="C709" s="7" t="s">
        <v>155</v>
      </c>
      <c r="D709" s="7" t="s">
        <v>156</v>
      </c>
      <c r="E709" s="7" t="s">
        <v>157</v>
      </c>
      <c r="F709" s="7" t="n">
        <v>2019</v>
      </c>
      <c r="G709" s="7" t="s">
        <v>62</v>
      </c>
      <c r="H709" s="7" t="s">
        <v>86</v>
      </c>
      <c r="J709" s="7" t="s">
        <v>64</v>
      </c>
      <c r="K709" s="7" t="s">
        <v>133</v>
      </c>
      <c r="L709" s="7" t="s">
        <v>91</v>
      </c>
      <c r="M709" s="7" t="n">
        <v>45.8</v>
      </c>
      <c r="N709" s="7" t="n">
        <v>2877</v>
      </c>
    </row>
    <row r="710" customFormat="false" ht="15" hidden="false" customHeight="false" outlineLevel="0" collapsed="false">
      <c r="A710" s="7" t="s">
        <v>59</v>
      </c>
      <c r="B710" s="7" t="s">
        <v>155</v>
      </c>
      <c r="C710" s="7" t="s">
        <v>155</v>
      </c>
      <c r="D710" s="7" t="s">
        <v>156</v>
      </c>
      <c r="E710" s="7" t="s">
        <v>157</v>
      </c>
      <c r="F710" s="7" t="n">
        <v>2019</v>
      </c>
      <c r="G710" s="7" t="s">
        <v>62</v>
      </c>
      <c r="H710" s="7" t="s">
        <v>63</v>
      </c>
      <c r="J710" s="7" t="s">
        <v>64</v>
      </c>
      <c r="K710" s="7" t="s">
        <v>133</v>
      </c>
      <c r="L710" s="7" t="s">
        <v>91</v>
      </c>
      <c r="M710" s="7" t="n">
        <v>75.3</v>
      </c>
      <c r="N710" s="7" t="n">
        <v>6100</v>
      </c>
    </row>
    <row r="711" customFormat="false" ht="15" hidden="false" customHeight="false" outlineLevel="0" collapsed="false">
      <c r="A711" s="7" t="s">
        <v>59</v>
      </c>
      <c r="B711" s="7" t="s">
        <v>155</v>
      </c>
      <c r="C711" s="7" t="s">
        <v>155</v>
      </c>
      <c r="D711" s="7" t="s">
        <v>156</v>
      </c>
      <c r="E711" s="7" t="s">
        <v>157</v>
      </c>
      <c r="F711" s="7" t="n">
        <v>2019</v>
      </c>
      <c r="G711" s="7" t="s">
        <v>62</v>
      </c>
      <c r="H711" s="7" t="s">
        <v>87</v>
      </c>
      <c r="J711" s="7" t="s">
        <v>64</v>
      </c>
      <c r="K711" s="7" t="s">
        <v>133</v>
      </c>
      <c r="L711" s="7" t="s">
        <v>91</v>
      </c>
      <c r="M711" s="7" t="n">
        <v>29.4</v>
      </c>
      <c r="N711" s="7" t="n">
        <v>3223</v>
      </c>
    </row>
    <row r="712" customFormat="false" ht="15" hidden="false" customHeight="false" outlineLevel="0" collapsed="false">
      <c r="A712" s="7" t="s">
        <v>59</v>
      </c>
      <c r="B712" s="7" t="s">
        <v>155</v>
      </c>
      <c r="C712" s="7" t="s">
        <v>155</v>
      </c>
      <c r="D712" s="7" t="s">
        <v>156</v>
      </c>
      <c r="E712" s="7" t="s">
        <v>157</v>
      </c>
      <c r="F712" s="7" t="n">
        <v>2019</v>
      </c>
      <c r="G712" s="7" t="s">
        <v>81</v>
      </c>
      <c r="H712" s="7" t="s">
        <v>78</v>
      </c>
      <c r="J712" s="7" t="s">
        <v>64</v>
      </c>
      <c r="K712" s="7" t="s">
        <v>79</v>
      </c>
      <c r="L712" s="7" t="s">
        <v>91</v>
      </c>
      <c r="M712" s="7" t="n">
        <v>68.5</v>
      </c>
    </row>
    <row r="713" customFormat="false" ht="15" hidden="false" customHeight="false" outlineLevel="0" collapsed="false">
      <c r="A713" s="7" t="s">
        <v>59</v>
      </c>
      <c r="B713" s="7" t="s">
        <v>155</v>
      </c>
      <c r="C713" s="7" t="s">
        <v>155</v>
      </c>
      <c r="D713" s="7" t="s">
        <v>156</v>
      </c>
      <c r="E713" s="7" t="s">
        <v>157</v>
      </c>
      <c r="F713" s="7" t="n">
        <v>2019</v>
      </c>
      <c r="G713" s="7" t="s">
        <v>81</v>
      </c>
      <c r="H713" s="7" t="s">
        <v>86</v>
      </c>
      <c r="J713" s="7" t="s">
        <v>64</v>
      </c>
      <c r="K713" s="7" t="s">
        <v>133</v>
      </c>
      <c r="L713" s="7" t="s">
        <v>91</v>
      </c>
      <c r="M713" s="7" t="n">
        <v>45.3</v>
      </c>
      <c r="N713" s="7" t="n">
        <v>2877</v>
      </c>
    </row>
    <row r="714" customFormat="false" ht="15" hidden="false" customHeight="false" outlineLevel="0" collapsed="false">
      <c r="A714" s="7" t="s">
        <v>59</v>
      </c>
      <c r="B714" s="7" t="s">
        <v>155</v>
      </c>
      <c r="C714" s="7" t="s">
        <v>155</v>
      </c>
      <c r="D714" s="7" t="s">
        <v>156</v>
      </c>
      <c r="E714" s="7" t="s">
        <v>157</v>
      </c>
      <c r="F714" s="7" t="n">
        <v>2019</v>
      </c>
      <c r="G714" s="7" t="s">
        <v>81</v>
      </c>
      <c r="H714" s="7" t="s">
        <v>63</v>
      </c>
      <c r="J714" s="7" t="s">
        <v>64</v>
      </c>
      <c r="K714" s="7" t="s">
        <v>133</v>
      </c>
      <c r="L714" s="7" t="s">
        <v>91</v>
      </c>
      <c r="M714" s="7" t="n">
        <v>72.3</v>
      </c>
      <c r="N714" s="7" t="n">
        <v>6100</v>
      </c>
    </row>
    <row r="715" customFormat="false" ht="15" hidden="false" customHeight="false" outlineLevel="0" collapsed="false">
      <c r="A715" s="7" t="s">
        <v>59</v>
      </c>
      <c r="B715" s="7" t="s">
        <v>155</v>
      </c>
      <c r="C715" s="7" t="s">
        <v>155</v>
      </c>
      <c r="D715" s="7" t="s">
        <v>156</v>
      </c>
      <c r="E715" s="7" t="s">
        <v>157</v>
      </c>
      <c r="F715" s="7" t="n">
        <v>2019</v>
      </c>
      <c r="G715" s="7" t="s">
        <v>81</v>
      </c>
      <c r="H715" s="7" t="s">
        <v>87</v>
      </c>
      <c r="J715" s="7" t="s">
        <v>64</v>
      </c>
      <c r="K715" s="7" t="s">
        <v>133</v>
      </c>
      <c r="L715" s="7" t="s">
        <v>91</v>
      </c>
      <c r="M715" s="7" t="n">
        <v>27</v>
      </c>
      <c r="N715" s="7" t="n">
        <v>3223</v>
      </c>
    </row>
    <row r="716" customFormat="false" ht="15" hidden="false" customHeight="false" outlineLevel="0" collapsed="false">
      <c r="A716" s="7" t="s">
        <v>59</v>
      </c>
      <c r="B716" s="7" t="s">
        <v>155</v>
      </c>
      <c r="C716" s="7" t="s">
        <v>155</v>
      </c>
      <c r="D716" s="7" t="s">
        <v>156</v>
      </c>
      <c r="E716" s="7" t="s">
        <v>157</v>
      </c>
      <c r="F716" s="7" t="n">
        <v>2019</v>
      </c>
      <c r="G716" s="7" t="s">
        <v>134</v>
      </c>
      <c r="H716" s="7" t="s">
        <v>78</v>
      </c>
      <c r="J716" s="7" t="s">
        <v>64</v>
      </c>
      <c r="K716" s="7" t="s">
        <v>79</v>
      </c>
      <c r="L716" s="7" t="s">
        <v>91</v>
      </c>
      <c r="M716" s="7" t="n">
        <v>62.8</v>
      </c>
    </row>
    <row r="717" customFormat="false" ht="15" hidden="false" customHeight="false" outlineLevel="0" collapsed="false">
      <c r="A717" s="7" t="s">
        <v>59</v>
      </c>
      <c r="B717" s="7" t="s">
        <v>155</v>
      </c>
      <c r="C717" s="7" t="s">
        <v>155</v>
      </c>
      <c r="D717" s="7" t="s">
        <v>156</v>
      </c>
      <c r="E717" s="7" t="s">
        <v>157</v>
      </c>
      <c r="F717" s="7" t="n">
        <v>2019</v>
      </c>
      <c r="G717" s="7" t="s">
        <v>134</v>
      </c>
      <c r="H717" s="7" t="s">
        <v>86</v>
      </c>
      <c r="J717" s="7" t="s">
        <v>64</v>
      </c>
      <c r="K717" s="7" t="s">
        <v>133</v>
      </c>
      <c r="L717" s="7" t="s">
        <v>91</v>
      </c>
      <c r="M717" s="7" t="n">
        <v>43.6</v>
      </c>
      <c r="N717" s="7" t="n">
        <v>2877</v>
      </c>
    </row>
    <row r="718" customFormat="false" ht="15" hidden="false" customHeight="false" outlineLevel="0" collapsed="false">
      <c r="A718" s="7" t="s">
        <v>59</v>
      </c>
      <c r="B718" s="7" t="s">
        <v>155</v>
      </c>
      <c r="C718" s="7" t="s">
        <v>155</v>
      </c>
      <c r="D718" s="7" t="s">
        <v>156</v>
      </c>
      <c r="E718" s="7" t="s">
        <v>157</v>
      </c>
      <c r="F718" s="7" t="n">
        <v>2019</v>
      </c>
      <c r="G718" s="7" t="s">
        <v>134</v>
      </c>
      <c r="H718" s="7" t="s">
        <v>63</v>
      </c>
      <c r="J718" s="7" t="s">
        <v>64</v>
      </c>
      <c r="K718" s="7" t="s">
        <v>133</v>
      </c>
      <c r="L718" s="7" t="s">
        <v>91</v>
      </c>
      <c r="M718" s="7" t="n">
        <v>66.8</v>
      </c>
      <c r="N718" s="7" t="n">
        <v>6100</v>
      </c>
    </row>
    <row r="719" customFormat="false" ht="15" hidden="false" customHeight="false" outlineLevel="0" collapsed="false">
      <c r="A719" s="7" t="s">
        <v>59</v>
      </c>
      <c r="B719" s="7" t="s">
        <v>155</v>
      </c>
      <c r="C719" s="7" t="s">
        <v>155</v>
      </c>
      <c r="D719" s="7" t="s">
        <v>156</v>
      </c>
      <c r="E719" s="7" t="s">
        <v>157</v>
      </c>
      <c r="F719" s="7" t="n">
        <v>2019</v>
      </c>
      <c r="G719" s="7" t="s">
        <v>134</v>
      </c>
      <c r="H719" s="7" t="s">
        <v>87</v>
      </c>
      <c r="J719" s="7" t="s">
        <v>64</v>
      </c>
      <c r="K719" s="7" t="s">
        <v>133</v>
      </c>
      <c r="L719" s="7" t="s">
        <v>91</v>
      </c>
      <c r="M719" s="7" t="n">
        <v>23.1</v>
      </c>
      <c r="N719" s="7" t="n">
        <v>3223</v>
      </c>
    </row>
    <row r="720" customFormat="false" ht="15" hidden="false" customHeight="false" outlineLevel="0" collapsed="false">
      <c r="A720" s="7" t="s">
        <v>59</v>
      </c>
      <c r="B720" s="7" t="s">
        <v>155</v>
      </c>
      <c r="C720" s="7" t="s">
        <v>155</v>
      </c>
      <c r="D720" s="7" t="s">
        <v>156</v>
      </c>
      <c r="E720" s="7" t="s">
        <v>157</v>
      </c>
      <c r="F720" s="7" t="n">
        <v>2019</v>
      </c>
      <c r="G720" s="7" t="s">
        <v>67</v>
      </c>
      <c r="H720" s="7" t="s">
        <v>78</v>
      </c>
      <c r="J720" s="7" t="s">
        <v>64</v>
      </c>
      <c r="K720" s="7" t="s">
        <v>79</v>
      </c>
      <c r="L720" s="7" t="s">
        <v>91</v>
      </c>
      <c r="M720" s="7" t="n">
        <v>54</v>
      </c>
    </row>
    <row r="721" customFormat="false" ht="15" hidden="false" customHeight="false" outlineLevel="0" collapsed="false">
      <c r="A721" s="7" t="s">
        <v>59</v>
      </c>
      <c r="B721" s="7" t="s">
        <v>155</v>
      </c>
      <c r="C721" s="7" t="s">
        <v>155</v>
      </c>
      <c r="D721" s="7" t="s">
        <v>156</v>
      </c>
      <c r="E721" s="7" t="s">
        <v>157</v>
      </c>
      <c r="F721" s="7" t="n">
        <v>2019</v>
      </c>
      <c r="G721" s="7" t="s">
        <v>67</v>
      </c>
      <c r="H721" s="7" t="s">
        <v>86</v>
      </c>
      <c r="J721" s="7" t="s">
        <v>64</v>
      </c>
      <c r="K721" s="7" t="s">
        <v>133</v>
      </c>
      <c r="L721" s="7" t="s">
        <v>91</v>
      </c>
      <c r="M721" s="7" t="n">
        <v>41.2</v>
      </c>
      <c r="N721" s="7" t="n">
        <v>2877</v>
      </c>
    </row>
    <row r="722" customFormat="false" ht="15" hidden="false" customHeight="false" outlineLevel="0" collapsed="false">
      <c r="A722" s="7" t="s">
        <v>59</v>
      </c>
      <c r="B722" s="7" t="s">
        <v>155</v>
      </c>
      <c r="C722" s="7" t="s">
        <v>155</v>
      </c>
      <c r="D722" s="7" t="s">
        <v>156</v>
      </c>
      <c r="E722" s="7" t="s">
        <v>157</v>
      </c>
      <c r="F722" s="7" t="n">
        <v>2019</v>
      </c>
      <c r="G722" s="7" t="s">
        <v>67</v>
      </c>
      <c r="H722" s="7" t="s">
        <v>63</v>
      </c>
      <c r="J722" s="7" t="s">
        <v>64</v>
      </c>
      <c r="K722" s="7" t="s">
        <v>133</v>
      </c>
      <c r="L722" s="7" t="s">
        <v>91</v>
      </c>
      <c r="M722" s="7" t="n">
        <v>57.9</v>
      </c>
      <c r="N722" s="7" t="n">
        <v>6100</v>
      </c>
    </row>
    <row r="723" customFormat="false" ht="15" hidden="false" customHeight="false" outlineLevel="0" collapsed="false">
      <c r="A723" s="7" t="s">
        <v>59</v>
      </c>
      <c r="B723" s="7" t="s">
        <v>155</v>
      </c>
      <c r="C723" s="7" t="s">
        <v>155</v>
      </c>
      <c r="D723" s="7" t="s">
        <v>156</v>
      </c>
      <c r="E723" s="7" t="s">
        <v>157</v>
      </c>
      <c r="F723" s="7" t="n">
        <v>2019</v>
      </c>
      <c r="G723" s="7" t="s">
        <v>67</v>
      </c>
      <c r="H723" s="7" t="s">
        <v>87</v>
      </c>
      <c r="J723" s="7" t="s">
        <v>64</v>
      </c>
      <c r="K723" s="7" t="s">
        <v>133</v>
      </c>
      <c r="L723" s="7" t="s">
        <v>91</v>
      </c>
      <c r="M723" s="7" t="n">
        <v>16.6</v>
      </c>
      <c r="N723" s="7" t="n">
        <v>3223</v>
      </c>
    </row>
    <row r="724" customFormat="false" ht="15" hidden="false" customHeight="false" outlineLevel="0" collapsed="false">
      <c r="A724" s="7" t="s">
        <v>59</v>
      </c>
      <c r="B724" s="7" t="s">
        <v>155</v>
      </c>
      <c r="C724" s="7" t="s">
        <v>155</v>
      </c>
      <c r="D724" s="7" t="s">
        <v>156</v>
      </c>
      <c r="E724" s="7" t="s">
        <v>157</v>
      </c>
      <c r="F724" s="7" t="n">
        <v>2019</v>
      </c>
      <c r="G724" s="7" t="s">
        <v>82</v>
      </c>
      <c r="H724" s="7" t="s">
        <v>78</v>
      </c>
      <c r="J724" s="7" t="s">
        <v>64</v>
      </c>
      <c r="K724" s="7" t="s">
        <v>79</v>
      </c>
      <c r="L724" s="7" t="s">
        <v>91</v>
      </c>
      <c r="M724" s="7" t="n">
        <v>32.5</v>
      </c>
    </row>
    <row r="725" customFormat="false" ht="15" hidden="false" customHeight="false" outlineLevel="0" collapsed="false">
      <c r="A725" s="7" t="s">
        <v>59</v>
      </c>
      <c r="B725" s="7" t="s">
        <v>155</v>
      </c>
      <c r="C725" s="7" t="s">
        <v>155</v>
      </c>
      <c r="D725" s="7" t="s">
        <v>156</v>
      </c>
      <c r="E725" s="7" t="s">
        <v>157</v>
      </c>
      <c r="F725" s="7" t="n">
        <v>2019</v>
      </c>
      <c r="G725" s="7" t="s">
        <v>82</v>
      </c>
      <c r="H725" s="7" t="s">
        <v>86</v>
      </c>
      <c r="J725" s="7" t="s">
        <v>64</v>
      </c>
      <c r="K725" s="7" t="s">
        <v>133</v>
      </c>
      <c r="L725" s="7" t="s">
        <v>91</v>
      </c>
      <c r="M725" s="7" t="n">
        <v>36.6</v>
      </c>
      <c r="N725" s="7" t="n">
        <v>2877</v>
      </c>
    </row>
    <row r="726" customFormat="false" ht="15" hidden="false" customHeight="false" outlineLevel="0" collapsed="false">
      <c r="A726" s="7" t="s">
        <v>59</v>
      </c>
      <c r="B726" s="7" t="s">
        <v>155</v>
      </c>
      <c r="C726" s="7" t="s">
        <v>155</v>
      </c>
      <c r="D726" s="7" t="s">
        <v>156</v>
      </c>
      <c r="E726" s="7" t="s">
        <v>157</v>
      </c>
      <c r="F726" s="7" t="n">
        <v>2019</v>
      </c>
      <c r="G726" s="7" t="s">
        <v>82</v>
      </c>
      <c r="H726" s="7" t="s">
        <v>63</v>
      </c>
      <c r="J726" s="7" t="s">
        <v>64</v>
      </c>
      <c r="K726" s="7" t="s">
        <v>133</v>
      </c>
      <c r="L726" s="7" t="s">
        <v>91</v>
      </c>
      <c r="M726" s="7" t="n">
        <v>44</v>
      </c>
      <c r="N726" s="7" t="n">
        <v>6100</v>
      </c>
    </row>
    <row r="727" customFormat="false" ht="15" hidden="false" customHeight="false" outlineLevel="0" collapsed="false">
      <c r="A727" s="7" t="s">
        <v>59</v>
      </c>
      <c r="B727" s="7" t="s">
        <v>155</v>
      </c>
      <c r="C727" s="7" t="s">
        <v>155</v>
      </c>
      <c r="D727" s="7" t="s">
        <v>156</v>
      </c>
      <c r="E727" s="7" t="s">
        <v>157</v>
      </c>
      <c r="F727" s="7" t="n">
        <v>2019</v>
      </c>
      <c r="G727" s="7" t="s">
        <v>82</v>
      </c>
      <c r="H727" s="7" t="s">
        <v>87</v>
      </c>
      <c r="J727" s="7" t="s">
        <v>64</v>
      </c>
      <c r="K727" s="7" t="s">
        <v>133</v>
      </c>
      <c r="L727" s="7" t="s">
        <v>91</v>
      </c>
      <c r="M727" s="7" t="n">
        <v>5.5</v>
      </c>
      <c r="N727" s="7" t="n">
        <v>3223</v>
      </c>
    </row>
    <row r="728" customFormat="false" ht="15" hidden="false" customHeight="false" outlineLevel="0" collapsed="false">
      <c r="A728" s="7" t="s">
        <v>59</v>
      </c>
      <c r="B728" s="7" t="s">
        <v>155</v>
      </c>
      <c r="C728" s="7" t="s">
        <v>155</v>
      </c>
      <c r="D728" s="7" t="s">
        <v>156</v>
      </c>
      <c r="E728" s="7" t="s">
        <v>157</v>
      </c>
      <c r="F728" s="7" t="n">
        <v>2019</v>
      </c>
      <c r="G728" s="7" t="s">
        <v>109</v>
      </c>
      <c r="H728" s="7" t="s">
        <v>78</v>
      </c>
      <c r="J728" s="7" t="s">
        <v>64</v>
      </c>
      <c r="K728" s="7" t="s">
        <v>79</v>
      </c>
      <c r="L728" s="7" t="s">
        <v>91</v>
      </c>
      <c r="M728" s="7" t="n">
        <v>68.5</v>
      </c>
    </row>
    <row r="729" customFormat="false" ht="15" hidden="false" customHeight="false" outlineLevel="0" collapsed="false">
      <c r="A729" s="7" t="s">
        <v>59</v>
      </c>
      <c r="B729" s="7" t="s">
        <v>155</v>
      </c>
      <c r="C729" s="7" t="s">
        <v>155</v>
      </c>
      <c r="D729" s="7" t="s">
        <v>156</v>
      </c>
      <c r="E729" s="7" t="s">
        <v>157</v>
      </c>
      <c r="F729" s="7" t="n">
        <v>2019</v>
      </c>
      <c r="G729" s="7" t="s">
        <v>109</v>
      </c>
      <c r="H729" s="7" t="s">
        <v>86</v>
      </c>
      <c r="J729" s="7" t="s">
        <v>64</v>
      </c>
      <c r="K729" s="7" t="s">
        <v>133</v>
      </c>
      <c r="L729" s="7" t="s">
        <v>91</v>
      </c>
      <c r="M729" s="7" t="n">
        <v>45.3</v>
      </c>
      <c r="N729" s="7" t="n">
        <v>2877</v>
      </c>
    </row>
    <row r="730" customFormat="false" ht="15" hidden="false" customHeight="false" outlineLevel="0" collapsed="false">
      <c r="A730" s="7" t="s">
        <v>59</v>
      </c>
      <c r="B730" s="7" t="s">
        <v>155</v>
      </c>
      <c r="C730" s="7" t="s">
        <v>155</v>
      </c>
      <c r="D730" s="7" t="s">
        <v>156</v>
      </c>
      <c r="E730" s="7" t="s">
        <v>157</v>
      </c>
      <c r="F730" s="7" t="n">
        <v>2019</v>
      </c>
      <c r="G730" s="7" t="s">
        <v>109</v>
      </c>
      <c r="H730" s="7" t="s">
        <v>63</v>
      </c>
      <c r="J730" s="7" t="s">
        <v>64</v>
      </c>
      <c r="K730" s="7" t="s">
        <v>133</v>
      </c>
      <c r="L730" s="7" t="s">
        <v>91</v>
      </c>
      <c r="M730" s="7" t="n">
        <v>72.3</v>
      </c>
      <c r="N730" s="7" t="n">
        <v>6100</v>
      </c>
    </row>
    <row r="731" customFormat="false" ht="15" hidden="false" customHeight="false" outlineLevel="0" collapsed="false">
      <c r="A731" s="7" t="s">
        <v>59</v>
      </c>
      <c r="B731" s="7" t="s">
        <v>155</v>
      </c>
      <c r="C731" s="7" t="s">
        <v>155</v>
      </c>
      <c r="D731" s="7" t="s">
        <v>156</v>
      </c>
      <c r="E731" s="7" t="s">
        <v>157</v>
      </c>
      <c r="F731" s="7" t="n">
        <v>2019</v>
      </c>
      <c r="G731" s="7" t="s">
        <v>109</v>
      </c>
      <c r="H731" s="7" t="s">
        <v>87</v>
      </c>
      <c r="J731" s="7" t="s">
        <v>64</v>
      </c>
      <c r="K731" s="7" t="s">
        <v>133</v>
      </c>
      <c r="L731" s="7" t="s">
        <v>91</v>
      </c>
      <c r="M731" s="7" t="n">
        <v>27</v>
      </c>
      <c r="N731" s="7" t="n">
        <v>3223</v>
      </c>
    </row>
    <row r="732" customFormat="false" ht="15" hidden="false" customHeight="false" outlineLevel="0" collapsed="false">
      <c r="A732" s="7" t="s">
        <v>59</v>
      </c>
      <c r="B732" s="7" t="s">
        <v>155</v>
      </c>
      <c r="C732" s="7" t="s">
        <v>155</v>
      </c>
      <c r="D732" s="7" t="s">
        <v>156</v>
      </c>
      <c r="E732" s="7" t="s">
        <v>157</v>
      </c>
      <c r="F732" s="7" t="n">
        <v>2019</v>
      </c>
      <c r="G732" s="7" t="s">
        <v>149</v>
      </c>
      <c r="H732" s="7" t="s">
        <v>78</v>
      </c>
      <c r="J732" s="7" t="s">
        <v>64</v>
      </c>
      <c r="K732" s="7" t="s">
        <v>79</v>
      </c>
      <c r="L732" s="7" t="s">
        <v>91</v>
      </c>
      <c r="M732" s="7" t="n">
        <v>62.8</v>
      </c>
    </row>
    <row r="733" customFormat="false" ht="15" hidden="false" customHeight="false" outlineLevel="0" collapsed="false">
      <c r="A733" s="7" t="s">
        <v>59</v>
      </c>
      <c r="B733" s="7" t="s">
        <v>155</v>
      </c>
      <c r="C733" s="7" t="s">
        <v>155</v>
      </c>
      <c r="D733" s="7" t="s">
        <v>156</v>
      </c>
      <c r="E733" s="7" t="s">
        <v>157</v>
      </c>
      <c r="F733" s="7" t="n">
        <v>2019</v>
      </c>
      <c r="G733" s="7" t="s">
        <v>149</v>
      </c>
      <c r="H733" s="7" t="s">
        <v>86</v>
      </c>
      <c r="J733" s="7" t="s">
        <v>64</v>
      </c>
      <c r="K733" s="7" t="s">
        <v>133</v>
      </c>
      <c r="L733" s="7" t="s">
        <v>91</v>
      </c>
      <c r="M733" s="7" t="n">
        <v>43.6</v>
      </c>
      <c r="N733" s="7" t="n">
        <v>2877</v>
      </c>
    </row>
    <row r="734" customFormat="false" ht="15" hidden="false" customHeight="false" outlineLevel="0" collapsed="false">
      <c r="A734" s="7" t="s">
        <v>59</v>
      </c>
      <c r="B734" s="7" t="s">
        <v>155</v>
      </c>
      <c r="C734" s="7" t="s">
        <v>155</v>
      </c>
      <c r="D734" s="7" t="s">
        <v>156</v>
      </c>
      <c r="E734" s="7" t="s">
        <v>157</v>
      </c>
      <c r="F734" s="7" t="n">
        <v>2019</v>
      </c>
      <c r="G734" s="7" t="s">
        <v>149</v>
      </c>
      <c r="H734" s="7" t="s">
        <v>63</v>
      </c>
      <c r="J734" s="7" t="s">
        <v>64</v>
      </c>
      <c r="K734" s="7" t="s">
        <v>133</v>
      </c>
      <c r="L734" s="7" t="s">
        <v>91</v>
      </c>
      <c r="M734" s="7" t="n">
        <v>66.8</v>
      </c>
      <c r="N734" s="7" t="n">
        <v>6100</v>
      </c>
    </row>
    <row r="735" customFormat="false" ht="15" hidden="false" customHeight="false" outlineLevel="0" collapsed="false">
      <c r="A735" s="7" t="s">
        <v>59</v>
      </c>
      <c r="B735" s="7" t="s">
        <v>155</v>
      </c>
      <c r="C735" s="7" t="s">
        <v>155</v>
      </c>
      <c r="D735" s="7" t="s">
        <v>156</v>
      </c>
      <c r="E735" s="7" t="s">
        <v>157</v>
      </c>
      <c r="F735" s="7" t="n">
        <v>2019</v>
      </c>
      <c r="G735" s="7" t="s">
        <v>149</v>
      </c>
      <c r="H735" s="7" t="s">
        <v>87</v>
      </c>
      <c r="J735" s="7" t="s">
        <v>64</v>
      </c>
      <c r="K735" s="7" t="s">
        <v>133</v>
      </c>
      <c r="L735" s="7" t="s">
        <v>91</v>
      </c>
      <c r="M735" s="7" t="n">
        <v>23.1</v>
      </c>
      <c r="N735" s="7" t="n">
        <v>3223</v>
      </c>
    </row>
    <row r="736" customFormat="false" ht="15" hidden="false" customHeight="false" outlineLevel="0" collapsed="false">
      <c r="A736" s="7" t="s">
        <v>59</v>
      </c>
      <c r="B736" s="7" t="s">
        <v>155</v>
      </c>
      <c r="C736" s="7" t="s">
        <v>155</v>
      </c>
      <c r="D736" s="7" t="s">
        <v>156</v>
      </c>
      <c r="E736" s="7" t="s">
        <v>157</v>
      </c>
      <c r="F736" s="7" t="n">
        <v>2019</v>
      </c>
      <c r="G736" s="7" t="s">
        <v>110</v>
      </c>
      <c r="H736" s="7" t="s">
        <v>78</v>
      </c>
      <c r="J736" s="7" t="s">
        <v>64</v>
      </c>
      <c r="K736" s="7" t="s">
        <v>79</v>
      </c>
      <c r="L736" s="7" t="s">
        <v>91</v>
      </c>
      <c r="M736" s="7" t="n">
        <v>54</v>
      </c>
    </row>
    <row r="737" customFormat="false" ht="15" hidden="false" customHeight="false" outlineLevel="0" collapsed="false">
      <c r="A737" s="7" t="s">
        <v>59</v>
      </c>
      <c r="B737" s="7" t="s">
        <v>155</v>
      </c>
      <c r="C737" s="7" t="s">
        <v>155</v>
      </c>
      <c r="D737" s="7" t="s">
        <v>156</v>
      </c>
      <c r="E737" s="7" t="s">
        <v>157</v>
      </c>
      <c r="F737" s="7" t="n">
        <v>2019</v>
      </c>
      <c r="G737" s="7" t="s">
        <v>110</v>
      </c>
      <c r="H737" s="7" t="s">
        <v>86</v>
      </c>
      <c r="J737" s="7" t="s">
        <v>64</v>
      </c>
      <c r="K737" s="7" t="s">
        <v>133</v>
      </c>
      <c r="L737" s="7" t="s">
        <v>91</v>
      </c>
      <c r="M737" s="7" t="n">
        <v>41.2</v>
      </c>
      <c r="N737" s="7" t="n">
        <v>2877</v>
      </c>
    </row>
    <row r="738" customFormat="false" ht="15" hidden="false" customHeight="false" outlineLevel="0" collapsed="false">
      <c r="A738" s="7" t="s">
        <v>59</v>
      </c>
      <c r="B738" s="7" t="s">
        <v>155</v>
      </c>
      <c r="C738" s="7" t="s">
        <v>155</v>
      </c>
      <c r="D738" s="7" t="s">
        <v>156</v>
      </c>
      <c r="E738" s="7" t="s">
        <v>157</v>
      </c>
      <c r="F738" s="7" t="n">
        <v>2019</v>
      </c>
      <c r="G738" s="7" t="s">
        <v>110</v>
      </c>
      <c r="H738" s="7" t="s">
        <v>63</v>
      </c>
      <c r="J738" s="7" t="s">
        <v>64</v>
      </c>
      <c r="K738" s="7" t="s">
        <v>133</v>
      </c>
      <c r="L738" s="7" t="s">
        <v>91</v>
      </c>
      <c r="M738" s="7" t="n">
        <v>57.9</v>
      </c>
      <c r="N738" s="7" t="n">
        <v>6100</v>
      </c>
    </row>
    <row r="739" customFormat="false" ht="15" hidden="false" customHeight="false" outlineLevel="0" collapsed="false">
      <c r="A739" s="7" t="s">
        <v>59</v>
      </c>
      <c r="B739" s="7" t="s">
        <v>155</v>
      </c>
      <c r="C739" s="7" t="s">
        <v>155</v>
      </c>
      <c r="D739" s="7" t="s">
        <v>156</v>
      </c>
      <c r="E739" s="7" t="s">
        <v>157</v>
      </c>
      <c r="F739" s="7" t="n">
        <v>2019</v>
      </c>
      <c r="G739" s="7" t="s">
        <v>110</v>
      </c>
      <c r="H739" s="7" t="s">
        <v>87</v>
      </c>
      <c r="J739" s="7" t="s">
        <v>64</v>
      </c>
      <c r="K739" s="7" t="s">
        <v>133</v>
      </c>
      <c r="L739" s="7" t="s">
        <v>91</v>
      </c>
      <c r="M739" s="7" t="n">
        <v>16.6</v>
      </c>
      <c r="N739" s="7" t="n">
        <v>3223</v>
      </c>
    </row>
    <row r="740" customFormat="false" ht="15" hidden="false" customHeight="false" outlineLevel="0" collapsed="false">
      <c r="A740" s="7" t="s">
        <v>59</v>
      </c>
      <c r="B740" s="7" t="s">
        <v>155</v>
      </c>
      <c r="C740" s="7" t="s">
        <v>155</v>
      </c>
      <c r="D740" s="7" t="s">
        <v>156</v>
      </c>
      <c r="E740" s="7" t="s">
        <v>157</v>
      </c>
      <c r="F740" s="7" t="n">
        <v>2019</v>
      </c>
      <c r="G740" s="7" t="s">
        <v>123</v>
      </c>
      <c r="H740" s="7" t="s">
        <v>86</v>
      </c>
      <c r="J740" s="7" t="s">
        <v>64</v>
      </c>
      <c r="K740" s="7" t="s">
        <v>133</v>
      </c>
      <c r="L740" s="7" t="s">
        <v>91</v>
      </c>
      <c r="M740" s="7" t="n">
        <v>8.4</v>
      </c>
      <c r="N740" s="7" t="n">
        <v>2877</v>
      </c>
    </row>
    <row r="741" customFormat="false" ht="15" hidden="false" customHeight="false" outlineLevel="0" collapsed="false">
      <c r="A741" s="7" t="s">
        <v>59</v>
      </c>
      <c r="B741" s="7" t="s">
        <v>155</v>
      </c>
      <c r="C741" s="7" t="s">
        <v>155</v>
      </c>
      <c r="D741" s="7" t="s">
        <v>156</v>
      </c>
      <c r="E741" s="7" t="s">
        <v>157</v>
      </c>
      <c r="F741" s="7" t="n">
        <v>2019</v>
      </c>
      <c r="G741" s="7" t="s">
        <v>123</v>
      </c>
      <c r="H741" s="7" t="s">
        <v>63</v>
      </c>
      <c r="J741" s="7" t="s">
        <v>64</v>
      </c>
      <c r="K741" s="7" t="s">
        <v>133</v>
      </c>
      <c r="L741" s="7" t="s">
        <v>91</v>
      </c>
      <c r="M741" s="7" t="n">
        <v>19</v>
      </c>
      <c r="N741" s="7" t="n">
        <v>6100</v>
      </c>
    </row>
    <row r="742" customFormat="false" ht="15" hidden="false" customHeight="false" outlineLevel="0" collapsed="false">
      <c r="A742" s="7" t="s">
        <v>59</v>
      </c>
      <c r="B742" s="7" t="s">
        <v>155</v>
      </c>
      <c r="C742" s="7" t="s">
        <v>155</v>
      </c>
      <c r="D742" s="7" t="s">
        <v>156</v>
      </c>
      <c r="E742" s="7" t="s">
        <v>157</v>
      </c>
      <c r="F742" s="7" t="n">
        <v>2019</v>
      </c>
      <c r="G742" s="7" t="s">
        <v>123</v>
      </c>
      <c r="H742" s="7" t="s">
        <v>87</v>
      </c>
      <c r="J742" s="7" t="s">
        <v>64</v>
      </c>
      <c r="K742" s="7" t="s">
        <v>133</v>
      </c>
      <c r="L742" s="7" t="s">
        <v>91</v>
      </c>
      <c r="M742" s="7" t="n">
        <v>10.6</v>
      </c>
      <c r="N742" s="7" t="n">
        <v>3223</v>
      </c>
    </row>
    <row r="743" customFormat="false" ht="15" hidden="false" customHeight="false" outlineLevel="0" collapsed="false">
      <c r="A743" s="7" t="s">
        <v>59</v>
      </c>
      <c r="B743" s="7" t="s">
        <v>155</v>
      </c>
      <c r="C743" s="7" t="s">
        <v>155</v>
      </c>
      <c r="D743" s="7" t="s">
        <v>156</v>
      </c>
      <c r="E743" s="7" t="s">
        <v>157</v>
      </c>
      <c r="F743" s="7" t="n">
        <v>2019</v>
      </c>
      <c r="G743" s="7" t="s">
        <v>135</v>
      </c>
      <c r="H743" s="7" t="s">
        <v>78</v>
      </c>
      <c r="J743" s="7" t="s">
        <v>64</v>
      </c>
      <c r="K743" s="7" t="s">
        <v>79</v>
      </c>
      <c r="L743" s="7" t="s">
        <v>91</v>
      </c>
      <c r="M743" s="7" t="n">
        <v>68.5</v>
      </c>
    </row>
    <row r="744" customFormat="false" ht="15" hidden="false" customHeight="false" outlineLevel="0" collapsed="false">
      <c r="A744" s="7" t="s">
        <v>59</v>
      </c>
      <c r="B744" s="7" t="s">
        <v>155</v>
      </c>
      <c r="C744" s="7" t="s">
        <v>155</v>
      </c>
      <c r="D744" s="7" t="s">
        <v>156</v>
      </c>
      <c r="E744" s="7" t="s">
        <v>157</v>
      </c>
      <c r="F744" s="7" t="n">
        <v>2019</v>
      </c>
      <c r="G744" s="7" t="s">
        <v>135</v>
      </c>
      <c r="H744" s="7" t="s">
        <v>86</v>
      </c>
      <c r="J744" s="7" t="s">
        <v>64</v>
      </c>
      <c r="K744" s="7" t="s">
        <v>133</v>
      </c>
      <c r="L744" s="7" t="s">
        <v>91</v>
      </c>
      <c r="M744" s="7" t="n">
        <v>45.3</v>
      </c>
      <c r="N744" s="7" t="n">
        <v>2877</v>
      </c>
    </row>
    <row r="745" customFormat="false" ht="15" hidden="false" customHeight="false" outlineLevel="0" collapsed="false">
      <c r="A745" s="7" t="s">
        <v>59</v>
      </c>
      <c r="B745" s="7" t="s">
        <v>155</v>
      </c>
      <c r="C745" s="7" t="s">
        <v>155</v>
      </c>
      <c r="D745" s="7" t="s">
        <v>156</v>
      </c>
      <c r="E745" s="7" t="s">
        <v>157</v>
      </c>
      <c r="F745" s="7" t="n">
        <v>2019</v>
      </c>
      <c r="G745" s="7" t="s">
        <v>135</v>
      </c>
      <c r="H745" s="7" t="s">
        <v>63</v>
      </c>
      <c r="J745" s="7" t="s">
        <v>64</v>
      </c>
      <c r="K745" s="7" t="s">
        <v>133</v>
      </c>
      <c r="L745" s="7" t="s">
        <v>91</v>
      </c>
      <c r="M745" s="7" t="n">
        <v>72.3</v>
      </c>
      <c r="N745" s="7" t="n">
        <v>6100</v>
      </c>
    </row>
    <row r="746" customFormat="false" ht="15" hidden="false" customHeight="false" outlineLevel="0" collapsed="false">
      <c r="A746" s="7" t="s">
        <v>59</v>
      </c>
      <c r="B746" s="7" t="s">
        <v>155</v>
      </c>
      <c r="C746" s="7" t="s">
        <v>155</v>
      </c>
      <c r="D746" s="7" t="s">
        <v>156</v>
      </c>
      <c r="E746" s="7" t="s">
        <v>157</v>
      </c>
      <c r="F746" s="7" t="n">
        <v>2019</v>
      </c>
      <c r="G746" s="7" t="s">
        <v>135</v>
      </c>
      <c r="H746" s="7" t="s">
        <v>87</v>
      </c>
      <c r="J746" s="7" t="s">
        <v>64</v>
      </c>
      <c r="K746" s="7" t="s">
        <v>133</v>
      </c>
      <c r="L746" s="7" t="s">
        <v>91</v>
      </c>
      <c r="M746" s="7" t="n">
        <v>27</v>
      </c>
      <c r="N746" s="7" t="n">
        <v>3223</v>
      </c>
    </row>
    <row r="747" customFormat="false" ht="15" hidden="false" customHeight="false" outlineLevel="0" collapsed="false">
      <c r="A747" s="7" t="s">
        <v>59</v>
      </c>
      <c r="B747" s="7" t="s">
        <v>155</v>
      </c>
      <c r="C747" s="7" t="s">
        <v>155</v>
      </c>
      <c r="D747" s="7" t="s">
        <v>156</v>
      </c>
      <c r="E747" s="7" t="s">
        <v>157</v>
      </c>
      <c r="F747" s="7" t="n">
        <v>2019</v>
      </c>
      <c r="G747" s="7" t="s">
        <v>150</v>
      </c>
      <c r="H747" s="7" t="s">
        <v>78</v>
      </c>
      <c r="J747" s="7" t="s">
        <v>64</v>
      </c>
      <c r="K747" s="7" t="s">
        <v>79</v>
      </c>
      <c r="L747" s="7" t="s">
        <v>91</v>
      </c>
      <c r="M747" s="7" t="n">
        <v>62.8</v>
      </c>
    </row>
    <row r="748" customFormat="false" ht="15" hidden="false" customHeight="false" outlineLevel="0" collapsed="false">
      <c r="A748" s="7" t="s">
        <v>59</v>
      </c>
      <c r="B748" s="7" t="s">
        <v>155</v>
      </c>
      <c r="C748" s="7" t="s">
        <v>155</v>
      </c>
      <c r="D748" s="7" t="s">
        <v>156</v>
      </c>
      <c r="E748" s="7" t="s">
        <v>157</v>
      </c>
      <c r="F748" s="7" t="n">
        <v>2019</v>
      </c>
      <c r="G748" s="7" t="s">
        <v>150</v>
      </c>
      <c r="H748" s="7" t="s">
        <v>86</v>
      </c>
      <c r="J748" s="7" t="s">
        <v>64</v>
      </c>
      <c r="K748" s="7" t="s">
        <v>133</v>
      </c>
      <c r="L748" s="7" t="s">
        <v>91</v>
      </c>
      <c r="M748" s="7" t="n">
        <v>43.6</v>
      </c>
      <c r="N748" s="7" t="n">
        <v>2877</v>
      </c>
    </row>
    <row r="749" customFormat="false" ht="15" hidden="false" customHeight="false" outlineLevel="0" collapsed="false">
      <c r="A749" s="7" t="s">
        <v>59</v>
      </c>
      <c r="B749" s="7" t="s">
        <v>155</v>
      </c>
      <c r="C749" s="7" t="s">
        <v>155</v>
      </c>
      <c r="D749" s="7" t="s">
        <v>156</v>
      </c>
      <c r="E749" s="7" t="s">
        <v>157</v>
      </c>
      <c r="F749" s="7" t="n">
        <v>2019</v>
      </c>
      <c r="G749" s="7" t="s">
        <v>150</v>
      </c>
      <c r="H749" s="7" t="s">
        <v>63</v>
      </c>
      <c r="J749" s="7" t="s">
        <v>64</v>
      </c>
      <c r="K749" s="7" t="s">
        <v>133</v>
      </c>
      <c r="L749" s="7" t="s">
        <v>91</v>
      </c>
      <c r="M749" s="7" t="n">
        <v>66.8</v>
      </c>
      <c r="N749" s="7" t="n">
        <v>6100</v>
      </c>
    </row>
    <row r="750" customFormat="false" ht="15" hidden="false" customHeight="false" outlineLevel="0" collapsed="false">
      <c r="A750" s="7" t="s">
        <v>59</v>
      </c>
      <c r="B750" s="7" t="s">
        <v>155</v>
      </c>
      <c r="C750" s="7" t="s">
        <v>155</v>
      </c>
      <c r="D750" s="7" t="s">
        <v>156</v>
      </c>
      <c r="E750" s="7" t="s">
        <v>157</v>
      </c>
      <c r="F750" s="7" t="n">
        <v>2019</v>
      </c>
      <c r="G750" s="7" t="s">
        <v>150</v>
      </c>
      <c r="H750" s="7" t="s">
        <v>87</v>
      </c>
      <c r="J750" s="7" t="s">
        <v>64</v>
      </c>
      <c r="K750" s="7" t="s">
        <v>133</v>
      </c>
      <c r="L750" s="7" t="s">
        <v>91</v>
      </c>
      <c r="M750" s="7" t="n">
        <v>23.1</v>
      </c>
      <c r="N750" s="7" t="n">
        <v>3223</v>
      </c>
    </row>
    <row r="751" customFormat="false" ht="15" hidden="false" customHeight="false" outlineLevel="0" collapsed="false">
      <c r="A751" s="7" t="s">
        <v>59</v>
      </c>
      <c r="B751" s="7" t="s">
        <v>155</v>
      </c>
      <c r="C751" s="7" t="s">
        <v>155</v>
      </c>
      <c r="D751" s="7" t="s">
        <v>156</v>
      </c>
      <c r="E751" s="7" t="s">
        <v>157</v>
      </c>
      <c r="F751" s="7" t="n">
        <v>2019</v>
      </c>
      <c r="G751" s="7" t="s">
        <v>136</v>
      </c>
      <c r="H751" s="7" t="s">
        <v>78</v>
      </c>
      <c r="J751" s="7" t="s">
        <v>64</v>
      </c>
      <c r="K751" s="7" t="s">
        <v>79</v>
      </c>
      <c r="L751" s="7" t="s">
        <v>91</v>
      </c>
      <c r="M751" s="7" t="n">
        <v>54</v>
      </c>
    </row>
    <row r="752" customFormat="false" ht="15" hidden="false" customHeight="false" outlineLevel="0" collapsed="false">
      <c r="A752" s="7" t="s">
        <v>59</v>
      </c>
      <c r="B752" s="7" t="s">
        <v>155</v>
      </c>
      <c r="C752" s="7" t="s">
        <v>155</v>
      </c>
      <c r="D752" s="7" t="s">
        <v>156</v>
      </c>
      <c r="E752" s="7" t="s">
        <v>157</v>
      </c>
      <c r="F752" s="7" t="n">
        <v>2019</v>
      </c>
      <c r="G752" s="7" t="s">
        <v>136</v>
      </c>
      <c r="H752" s="7" t="s">
        <v>86</v>
      </c>
      <c r="J752" s="7" t="s">
        <v>64</v>
      </c>
      <c r="K752" s="7" t="s">
        <v>133</v>
      </c>
      <c r="L752" s="7" t="s">
        <v>91</v>
      </c>
      <c r="M752" s="7" t="n">
        <v>41.2</v>
      </c>
      <c r="N752" s="7" t="n">
        <v>2877</v>
      </c>
    </row>
    <row r="753" customFormat="false" ht="15" hidden="false" customHeight="false" outlineLevel="0" collapsed="false">
      <c r="A753" s="7" t="s">
        <v>59</v>
      </c>
      <c r="B753" s="7" t="s">
        <v>155</v>
      </c>
      <c r="C753" s="7" t="s">
        <v>155</v>
      </c>
      <c r="D753" s="7" t="s">
        <v>156</v>
      </c>
      <c r="E753" s="7" t="s">
        <v>157</v>
      </c>
      <c r="F753" s="7" t="n">
        <v>2019</v>
      </c>
      <c r="G753" s="7" t="s">
        <v>136</v>
      </c>
      <c r="H753" s="7" t="s">
        <v>63</v>
      </c>
      <c r="J753" s="7" t="s">
        <v>64</v>
      </c>
      <c r="K753" s="7" t="s">
        <v>133</v>
      </c>
      <c r="L753" s="7" t="s">
        <v>91</v>
      </c>
      <c r="M753" s="7" t="n">
        <v>57.9</v>
      </c>
      <c r="N753" s="7" t="n">
        <v>6100</v>
      </c>
    </row>
    <row r="754" customFormat="false" ht="15" hidden="false" customHeight="false" outlineLevel="0" collapsed="false">
      <c r="A754" s="7" t="s">
        <v>59</v>
      </c>
      <c r="B754" s="7" t="s">
        <v>155</v>
      </c>
      <c r="C754" s="7" t="s">
        <v>155</v>
      </c>
      <c r="D754" s="7" t="s">
        <v>156</v>
      </c>
      <c r="E754" s="7" t="s">
        <v>157</v>
      </c>
      <c r="F754" s="7" t="n">
        <v>2019</v>
      </c>
      <c r="G754" s="7" t="s">
        <v>136</v>
      </c>
      <c r="H754" s="7" t="s">
        <v>87</v>
      </c>
      <c r="J754" s="7" t="s">
        <v>64</v>
      </c>
      <c r="K754" s="7" t="s">
        <v>133</v>
      </c>
      <c r="L754" s="7" t="s">
        <v>91</v>
      </c>
      <c r="M754" s="7" t="n">
        <v>16.6</v>
      </c>
      <c r="N754" s="7" t="n">
        <v>3223</v>
      </c>
    </row>
    <row r="755" customFormat="false" ht="15" hidden="false" customHeight="false" outlineLevel="0" collapsed="false">
      <c r="A755" s="7" t="s">
        <v>59</v>
      </c>
      <c r="B755" s="7" t="s">
        <v>155</v>
      </c>
      <c r="C755" s="7" t="s">
        <v>155</v>
      </c>
      <c r="D755" s="7" t="s">
        <v>156</v>
      </c>
      <c r="E755" s="7" t="s">
        <v>157</v>
      </c>
      <c r="F755" s="7" t="n">
        <v>2019</v>
      </c>
      <c r="G755" s="7" t="s">
        <v>137</v>
      </c>
      <c r="H755" s="7" t="s">
        <v>78</v>
      </c>
      <c r="J755" s="7" t="s">
        <v>64</v>
      </c>
      <c r="K755" s="7" t="s">
        <v>79</v>
      </c>
      <c r="L755" s="7" t="s">
        <v>91</v>
      </c>
      <c r="M755" s="7" t="n">
        <v>61.5</v>
      </c>
    </row>
    <row r="756" customFormat="false" ht="15" hidden="false" customHeight="false" outlineLevel="0" collapsed="false">
      <c r="A756" s="7" t="s">
        <v>59</v>
      </c>
      <c r="B756" s="7" t="s">
        <v>155</v>
      </c>
      <c r="C756" s="7" t="s">
        <v>155</v>
      </c>
      <c r="D756" s="7" t="s">
        <v>156</v>
      </c>
      <c r="E756" s="7" t="s">
        <v>157</v>
      </c>
      <c r="F756" s="7" t="n">
        <v>2019</v>
      </c>
      <c r="G756" s="7" t="s">
        <v>137</v>
      </c>
      <c r="H756" s="7" t="s">
        <v>86</v>
      </c>
      <c r="J756" s="7" t="s">
        <v>64</v>
      </c>
      <c r="K756" s="7" t="s">
        <v>133</v>
      </c>
      <c r="L756" s="7" t="s">
        <v>91</v>
      </c>
      <c r="M756" s="7" t="n">
        <v>39.3</v>
      </c>
      <c r="N756" s="7" t="n">
        <v>2877</v>
      </c>
    </row>
    <row r="757" customFormat="false" ht="15" hidden="false" customHeight="false" outlineLevel="0" collapsed="false">
      <c r="A757" s="7" t="s">
        <v>59</v>
      </c>
      <c r="B757" s="7" t="s">
        <v>155</v>
      </c>
      <c r="C757" s="7" t="s">
        <v>155</v>
      </c>
      <c r="D757" s="7" t="s">
        <v>156</v>
      </c>
      <c r="E757" s="7" t="s">
        <v>157</v>
      </c>
      <c r="F757" s="7" t="n">
        <v>2019</v>
      </c>
      <c r="G757" s="7" t="s">
        <v>137</v>
      </c>
      <c r="H757" s="7" t="s">
        <v>63</v>
      </c>
      <c r="J757" s="7" t="s">
        <v>64</v>
      </c>
      <c r="K757" s="7" t="s">
        <v>133</v>
      </c>
      <c r="L757" s="7" t="s">
        <v>91</v>
      </c>
      <c r="M757" s="7" t="n">
        <v>66.2</v>
      </c>
      <c r="N757" s="7" t="n">
        <v>6100</v>
      </c>
    </row>
    <row r="758" customFormat="false" ht="15" hidden="false" customHeight="false" outlineLevel="0" collapsed="false">
      <c r="A758" s="7" t="s">
        <v>59</v>
      </c>
      <c r="B758" s="7" t="s">
        <v>155</v>
      </c>
      <c r="C758" s="7" t="s">
        <v>155</v>
      </c>
      <c r="D758" s="7" t="s">
        <v>156</v>
      </c>
      <c r="E758" s="7" t="s">
        <v>157</v>
      </c>
      <c r="F758" s="7" t="n">
        <v>2019</v>
      </c>
      <c r="G758" s="7" t="s">
        <v>137</v>
      </c>
      <c r="H758" s="7" t="s">
        <v>87</v>
      </c>
      <c r="J758" s="7" t="s">
        <v>64</v>
      </c>
      <c r="K758" s="7" t="s">
        <v>133</v>
      </c>
      <c r="L758" s="7" t="s">
        <v>91</v>
      </c>
      <c r="M758" s="7" t="n">
        <v>26.8</v>
      </c>
      <c r="N758" s="7" t="n">
        <v>3223</v>
      </c>
    </row>
    <row r="759" customFormat="false" ht="15" hidden="false" customHeight="false" outlineLevel="0" collapsed="false">
      <c r="A759" s="7" t="s">
        <v>59</v>
      </c>
      <c r="B759" s="7" t="s">
        <v>155</v>
      </c>
      <c r="C759" s="7" t="s">
        <v>155</v>
      </c>
      <c r="D759" s="7" t="s">
        <v>156</v>
      </c>
      <c r="E759" s="7" t="s">
        <v>157</v>
      </c>
      <c r="F759" s="7" t="n">
        <v>2019</v>
      </c>
      <c r="G759" s="7" t="s">
        <v>68</v>
      </c>
      <c r="H759" s="7" t="s">
        <v>78</v>
      </c>
      <c r="J759" s="7" t="s">
        <v>64</v>
      </c>
      <c r="K759" s="7" t="s">
        <v>79</v>
      </c>
      <c r="L759" s="7" t="s">
        <v>91</v>
      </c>
      <c r="M759" s="7" t="n">
        <v>59.9</v>
      </c>
    </row>
    <row r="760" customFormat="false" ht="15" hidden="false" customHeight="false" outlineLevel="0" collapsed="false">
      <c r="A760" s="7" t="s">
        <v>59</v>
      </c>
      <c r="B760" s="7" t="s">
        <v>155</v>
      </c>
      <c r="C760" s="7" t="s">
        <v>155</v>
      </c>
      <c r="D760" s="7" t="s">
        <v>156</v>
      </c>
      <c r="E760" s="7" t="s">
        <v>157</v>
      </c>
      <c r="F760" s="7" t="n">
        <v>2019</v>
      </c>
      <c r="G760" s="7" t="s">
        <v>68</v>
      </c>
      <c r="H760" s="7" t="s">
        <v>86</v>
      </c>
      <c r="J760" s="7" t="s">
        <v>64</v>
      </c>
      <c r="K760" s="7" t="s">
        <v>133</v>
      </c>
      <c r="L760" s="7" t="s">
        <v>91</v>
      </c>
      <c r="M760" s="7" t="n">
        <v>37.8</v>
      </c>
      <c r="N760" s="7" t="n">
        <v>2877</v>
      </c>
    </row>
    <row r="761" customFormat="false" ht="15" hidden="false" customHeight="false" outlineLevel="0" collapsed="false">
      <c r="A761" s="7" t="s">
        <v>59</v>
      </c>
      <c r="B761" s="7" t="s">
        <v>155</v>
      </c>
      <c r="C761" s="7" t="s">
        <v>155</v>
      </c>
      <c r="D761" s="7" t="s">
        <v>156</v>
      </c>
      <c r="E761" s="7" t="s">
        <v>157</v>
      </c>
      <c r="F761" s="7" t="n">
        <v>2019</v>
      </c>
      <c r="G761" s="7" t="s">
        <v>68</v>
      </c>
      <c r="H761" s="7" t="s">
        <v>63</v>
      </c>
      <c r="J761" s="7" t="s">
        <v>64</v>
      </c>
      <c r="K761" s="7" t="s">
        <v>133</v>
      </c>
      <c r="L761" s="7" t="s">
        <v>91</v>
      </c>
      <c r="M761" s="7" t="n">
        <v>73.2</v>
      </c>
      <c r="N761" s="7" t="n">
        <v>6100</v>
      </c>
    </row>
    <row r="762" customFormat="false" ht="15" hidden="false" customHeight="false" outlineLevel="0" collapsed="false">
      <c r="A762" s="7" t="s">
        <v>59</v>
      </c>
      <c r="B762" s="7" t="s">
        <v>155</v>
      </c>
      <c r="C762" s="7" t="s">
        <v>155</v>
      </c>
      <c r="D762" s="7" t="s">
        <v>156</v>
      </c>
      <c r="E762" s="7" t="s">
        <v>157</v>
      </c>
      <c r="F762" s="7" t="n">
        <v>2019</v>
      </c>
      <c r="G762" s="7" t="s">
        <v>68</v>
      </c>
      <c r="H762" s="7" t="s">
        <v>87</v>
      </c>
      <c r="J762" s="7" t="s">
        <v>64</v>
      </c>
      <c r="K762" s="7" t="s">
        <v>133</v>
      </c>
      <c r="L762" s="7" t="s">
        <v>91</v>
      </c>
      <c r="M762" s="7" t="n">
        <v>35.5</v>
      </c>
      <c r="N762" s="7" t="n">
        <v>3223</v>
      </c>
    </row>
    <row r="763" customFormat="false" ht="15" hidden="false" customHeight="false" outlineLevel="0" collapsed="false">
      <c r="A763" s="7" t="s">
        <v>59</v>
      </c>
      <c r="B763" s="7" t="s">
        <v>155</v>
      </c>
      <c r="C763" s="7" t="s">
        <v>155</v>
      </c>
      <c r="D763" s="7" t="s">
        <v>156</v>
      </c>
      <c r="E763" s="7" t="s">
        <v>157</v>
      </c>
      <c r="F763" s="7" t="n">
        <v>2019</v>
      </c>
      <c r="G763" s="7" t="s">
        <v>158</v>
      </c>
      <c r="H763" s="7" t="s">
        <v>78</v>
      </c>
      <c r="J763" s="7" t="s">
        <v>64</v>
      </c>
      <c r="K763" s="7" t="s">
        <v>79</v>
      </c>
      <c r="L763" s="7" t="s">
        <v>91</v>
      </c>
      <c r="M763" s="7" t="n">
        <v>55.2</v>
      </c>
    </row>
    <row r="764" customFormat="false" ht="15" hidden="false" customHeight="false" outlineLevel="0" collapsed="false">
      <c r="A764" s="7" t="s">
        <v>59</v>
      </c>
      <c r="B764" s="7" t="s">
        <v>155</v>
      </c>
      <c r="C764" s="7" t="s">
        <v>155</v>
      </c>
      <c r="D764" s="7" t="s">
        <v>156</v>
      </c>
      <c r="E764" s="7" t="s">
        <v>157</v>
      </c>
      <c r="F764" s="7" t="n">
        <v>2019</v>
      </c>
      <c r="G764" s="7" t="s">
        <v>158</v>
      </c>
      <c r="H764" s="7" t="s">
        <v>86</v>
      </c>
      <c r="J764" s="7" t="s">
        <v>64</v>
      </c>
      <c r="K764" s="7" t="s">
        <v>133</v>
      </c>
      <c r="L764" s="7" t="s">
        <v>91</v>
      </c>
      <c r="M764" s="7" t="n">
        <v>32.3</v>
      </c>
      <c r="N764" s="7" t="n">
        <v>2877</v>
      </c>
    </row>
    <row r="765" customFormat="false" ht="15" hidden="false" customHeight="false" outlineLevel="0" collapsed="false">
      <c r="A765" s="7" t="s">
        <v>59</v>
      </c>
      <c r="B765" s="7" t="s">
        <v>155</v>
      </c>
      <c r="C765" s="7" t="s">
        <v>155</v>
      </c>
      <c r="D765" s="7" t="s">
        <v>156</v>
      </c>
      <c r="E765" s="7" t="s">
        <v>157</v>
      </c>
      <c r="F765" s="7" t="n">
        <v>2019</v>
      </c>
      <c r="G765" s="7" t="s">
        <v>158</v>
      </c>
      <c r="H765" s="7" t="s">
        <v>63</v>
      </c>
      <c r="J765" s="7" t="s">
        <v>64</v>
      </c>
      <c r="K765" s="7" t="s">
        <v>133</v>
      </c>
      <c r="L765" s="7" t="s">
        <v>91</v>
      </c>
      <c r="M765" s="7" t="n">
        <v>68.4</v>
      </c>
      <c r="N765" s="7" t="n">
        <v>6100</v>
      </c>
    </row>
    <row r="766" customFormat="false" ht="15" hidden="false" customHeight="false" outlineLevel="0" collapsed="false">
      <c r="A766" s="7" t="s">
        <v>59</v>
      </c>
      <c r="B766" s="7" t="s">
        <v>155</v>
      </c>
      <c r="C766" s="7" t="s">
        <v>155</v>
      </c>
      <c r="D766" s="7" t="s">
        <v>156</v>
      </c>
      <c r="E766" s="7" t="s">
        <v>157</v>
      </c>
      <c r="F766" s="7" t="n">
        <v>2019</v>
      </c>
      <c r="G766" s="7" t="s">
        <v>158</v>
      </c>
      <c r="H766" s="7" t="s">
        <v>87</v>
      </c>
      <c r="J766" s="7" t="s">
        <v>64</v>
      </c>
      <c r="K766" s="7" t="s">
        <v>133</v>
      </c>
      <c r="L766" s="7" t="s">
        <v>91</v>
      </c>
      <c r="M766" s="7" t="n">
        <v>36.1</v>
      </c>
      <c r="N766" s="7" t="n">
        <v>3223</v>
      </c>
    </row>
    <row r="767" customFormat="false" ht="15" hidden="false" customHeight="false" outlineLevel="0" collapsed="false">
      <c r="A767" s="7" t="s">
        <v>59</v>
      </c>
      <c r="B767" s="7" t="s">
        <v>155</v>
      </c>
      <c r="C767" s="7" t="s">
        <v>155</v>
      </c>
      <c r="D767" s="7" t="s">
        <v>156</v>
      </c>
      <c r="E767" s="7" t="s">
        <v>157</v>
      </c>
      <c r="F767" s="7" t="n">
        <v>2019</v>
      </c>
      <c r="G767" s="7" t="s">
        <v>138</v>
      </c>
      <c r="H767" s="7" t="s">
        <v>78</v>
      </c>
      <c r="J767" s="7" t="s">
        <v>64</v>
      </c>
      <c r="K767" s="7" t="s">
        <v>79</v>
      </c>
      <c r="L767" s="7" t="s">
        <v>91</v>
      </c>
      <c r="M767" s="7" t="n">
        <v>66.3</v>
      </c>
    </row>
    <row r="768" customFormat="false" ht="15" hidden="false" customHeight="false" outlineLevel="0" collapsed="false">
      <c r="A768" s="7" t="s">
        <v>59</v>
      </c>
      <c r="B768" s="7" t="s">
        <v>155</v>
      </c>
      <c r="C768" s="7" t="s">
        <v>155</v>
      </c>
      <c r="D768" s="7" t="s">
        <v>156</v>
      </c>
      <c r="E768" s="7" t="s">
        <v>157</v>
      </c>
      <c r="F768" s="7" t="n">
        <v>2019</v>
      </c>
      <c r="G768" s="7" t="s">
        <v>138</v>
      </c>
      <c r="H768" s="7" t="s">
        <v>86</v>
      </c>
      <c r="J768" s="7" t="s">
        <v>64</v>
      </c>
      <c r="K768" s="7" t="s">
        <v>133</v>
      </c>
      <c r="L768" s="7" t="s">
        <v>91</v>
      </c>
      <c r="M768" s="7" t="n">
        <v>45.3</v>
      </c>
      <c r="N768" s="7" t="n">
        <v>2877</v>
      </c>
    </row>
    <row r="769" customFormat="false" ht="15" hidden="false" customHeight="false" outlineLevel="0" collapsed="false">
      <c r="A769" s="7" t="s">
        <v>59</v>
      </c>
      <c r="B769" s="7" t="s">
        <v>155</v>
      </c>
      <c r="C769" s="7" t="s">
        <v>155</v>
      </c>
      <c r="D769" s="7" t="s">
        <v>156</v>
      </c>
      <c r="E769" s="7" t="s">
        <v>157</v>
      </c>
      <c r="F769" s="7" t="n">
        <v>2019</v>
      </c>
      <c r="G769" s="7" t="s">
        <v>138</v>
      </c>
      <c r="H769" s="7" t="s">
        <v>63</v>
      </c>
      <c r="J769" s="7" t="s">
        <v>64</v>
      </c>
      <c r="K769" s="7" t="s">
        <v>133</v>
      </c>
      <c r="L769" s="7" t="s">
        <v>91</v>
      </c>
      <c r="M769" s="7" t="n">
        <v>70.1</v>
      </c>
      <c r="N769" s="7" t="n">
        <v>6100</v>
      </c>
    </row>
    <row r="770" customFormat="false" ht="15" hidden="false" customHeight="false" outlineLevel="0" collapsed="false">
      <c r="A770" s="7" t="s">
        <v>59</v>
      </c>
      <c r="B770" s="7" t="s">
        <v>155</v>
      </c>
      <c r="C770" s="7" t="s">
        <v>155</v>
      </c>
      <c r="D770" s="7" t="s">
        <v>156</v>
      </c>
      <c r="E770" s="7" t="s">
        <v>157</v>
      </c>
      <c r="F770" s="7" t="n">
        <v>2019</v>
      </c>
      <c r="G770" s="7" t="s">
        <v>138</v>
      </c>
      <c r="H770" s="7" t="s">
        <v>87</v>
      </c>
      <c r="J770" s="7" t="s">
        <v>64</v>
      </c>
      <c r="K770" s="7" t="s">
        <v>133</v>
      </c>
      <c r="L770" s="7" t="s">
        <v>91</v>
      </c>
      <c r="M770" s="7" t="n">
        <v>24.8</v>
      </c>
      <c r="N770" s="7" t="n">
        <v>3223</v>
      </c>
    </row>
    <row r="771" customFormat="false" ht="15" hidden="false" customHeight="false" outlineLevel="0" collapsed="false">
      <c r="A771" s="7" t="s">
        <v>59</v>
      </c>
      <c r="B771" s="7" t="s">
        <v>155</v>
      </c>
      <c r="C771" s="7" t="s">
        <v>155</v>
      </c>
      <c r="D771" s="7" t="s">
        <v>156</v>
      </c>
      <c r="E771" s="7" t="s">
        <v>157</v>
      </c>
      <c r="F771" s="7" t="n">
        <v>2019</v>
      </c>
      <c r="G771" s="7" t="s">
        <v>139</v>
      </c>
      <c r="H771" s="7" t="s">
        <v>78</v>
      </c>
      <c r="J771" s="7" t="s">
        <v>64</v>
      </c>
      <c r="K771" s="7" t="s">
        <v>79</v>
      </c>
      <c r="L771" s="7" t="s">
        <v>91</v>
      </c>
      <c r="M771" s="7" t="n">
        <v>59.9</v>
      </c>
    </row>
    <row r="772" customFormat="false" ht="15" hidden="false" customHeight="false" outlineLevel="0" collapsed="false">
      <c r="A772" s="7" t="s">
        <v>59</v>
      </c>
      <c r="B772" s="7" t="s">
        <v>155</v>
      </c>
      <c r="C772" s="7" t="s">
        <v>155</v>
      </c>
      <c r="D772" s="7" t="s">
        <v>156</v>
      </c>
      <c r="E772" s="7" t="s">
        <v>157</v>
      </c>
      <c r="F772" s="7" t="n">
        <v>2019</v>
      </c>
      <c r="G772" s="7" t="s">
        <v>139</v>
      </c>
      <c r="H772" s="7" t="s">
        <v>86</v>
      </c>
      <c r="J772" s="7" t="s">
        <v>64</v>
      </c>
      <c r="K772" s="7" t="s">
        <v>133</v>
      </c>
      <c r="L772" s="7" t="s">
        <v>91</v>
      </c>
      <c r="M772" s="7" t="n">
        <v>43.5</v>
      </c>
      <c r="N772" s="7" t="n">
        <v>2877</v>
      </c>
    </row>
    <row r="773" customFormat="false" ht="15" hidden="false" customHeight="false" outlineLevel="0" collapsed="false">
      <c r="A773" s="7" t="s">
        <v>59</v>
      </c>
      <c r="B773" s="7" t="s">
        <v>155</v>
      </c>
      <c r="C773" s="7" t="s">
        <v>155</v>
      </c>
      <c r="D773" s="7" t="s">
        <v>156</v>
      </c>
      <c r="E773" s="7" t="s">
        <v>157</v>
      </c>
      <c r="F773" s="7" t="n">
        <v>2019</v>
      </c>
      <c r="G773" s="7" t="s">
        <v>139</v>
      </c>
      <c r="H773" s="7" t="s">
        <v>63</v>
      </c>
      <c r="J773" s="7" t="s">
        <v>64</v>
      </c>
      <c r="K773" s="7" t="s">
        <v>133</v>
      </c>
      <c r="L773" s="7" t="s">
        <v>91</v>
      </c>
      <c r="M773" s="7" t="n">
        <v>63.7</v>
      </c>
      <c r="N773" s="7" t="n">
        <v>6100</v>
      </c>
    </row>
    <row r="774" customFormat="false" ht="15" hidden="false" customHeight="false" outlineLevel="0" collapsed="false">
      <c r="A774" s="7" t="s">
        <v>59</v>
      </c>
      <c r="B774" s="7" t="s">
        <v>155</v>
      </c>
      <c r="C774" s="7" t="s">
        <v>155</v>
      </c>
      <c r="D774" s="7" t="s">
        <v>156</v>
      </c>
      <c r="E774" s="7" t="s">
        <v>157</v>
      </c>
      <c r="F774" s="7" t="n">
        <v>2019</v>
      </c>
      <c r="G774" s="7" t="s">
        <v>139</v>
      </c>
      <c r="H774" s="7" t="s">
        <v>87</v>
      </c>
      <c r="J774" s="7" t="s">
        <v>64</v>
      </c>
      <c r="K774" s="7" t="s">
        <v>133</v>
      </c>
      <c r="L774" s="7" t="s">
        <v>91</v>
      </c>
      <c r="M774" s="7" t="n">
        <v>20.2</v>
      </c>
      <c r="N774" s="7" t="n">
        <v>3223</v>
      </c>
    </row>
    <row r="775" customFormat="false" ht="15" hidden="false" customHeight="false" outlineLevel="0" collapsed="false">
      <c r="A775" s="7" t="s">
        <v>59</v>
      </c>
      <c r="B775" s="7" t="s">
        <v>155</v>
      </c>
      <c r="C775" s="7" t="s">
        <v>155</v>
      </c>
      <c r="D775" s="7" t="s">
        <v>156</v>
      </c>
      <c r="E775" s="7" t="s">
        <v>157</v>
      </c>
      <c r="F775" s="7" t="n">
        <v>2019</v>
      </c>
      <c r="G775" s="7" t="s">
        <v>140</v>
      </c>
      <c r="H775" s="7" t="s">
        <v>78</v>
      </c>
      <c r="J775" s="7" t="s">
        <v>64</v>
      </c>
      <c r="K775" s="7" t="s">
        <v>79</v>
      </c>
      <c r="L775" s="7" t="s">
        <v>91</v>
      </c>
      <c r="M775" s="7" t="n">
        <v>50.4</v>
      </c>
    </row>
    <row r="776" customFormat="false" ht="15" hidden="false" customHeight="false" outlineLevel="0" collapsed="false">
      <c r="A776" s="7" t="s">
        <v>59</v>
      </c>
      <c r="B776" s="7" t="s">
        <v>155</v>
      </c>
      <c r="C776" s="7" t="s">
        <v>155</v>
      </c>
      <c r="D776" s="7" t="s">
        <v>156</v>
      </c>
      <c r="E776" s="7" t="s">
        <v>157</v>
      </c>
      <c r="F776" s="7" t="n">
        <v>2019</v>
      </c>
      <c r="G776" s="7" t="s">
        <v>140</v>
      </c>
      <c r="H776" s="7" t="s">
        <v>86</v>
      </c>
      <c r="J776" s="7" t="s">
        <v>64</v>
      </c>
      <c r="K776" s="7" t="s">
        <v>133</v>
      </c>
      <c r="L776" s="7" t="s">
        <v>91</v>
      </c>
      <c r="M776" s="7" t="n">
        <v>41.3</v>
      </c>
      <c r="N776" s="7" t="n">
        <v>2877</v>
      </c>
    </row>
    <row r="777" customFormat="false" ht="15" hidden="false" customHeight="false" outlineLevel="0" collapsed="false">
      <c r="A777" s="7" t="s">
        <v>59</v>
      </c>
      <c r="B777" s="7" t="s">
        <v>155</v>
      </c>
      <c r="C777" s="7" t="s">
        <v>155</v>
      </c>
      <c r="D777" s="7" t="s">
        <v>156</v>
      </c>
      <c r="E777" s="7" t="s">
        <v>157</v>
      </c>
      <c r="F777" s="7" t="n">
        <v>2019</v>
      </c>
      <c r="G777" s="7" t="s">
        <v>140</v>
      </c>
      <c r="H777" s="7" t="s">
        <v>63</v>
      </c>
      <c r="J777" s="7" t="s">
        <v>64</v>
      </c>
      <c r="K777" s="7" t="s">
        <v>133</v>
      </c>
      <c r="L777" s="7" t="s">
        <v>91</v>
      </c>
      <c r="M777" s="7" t="n">
        <v>54.1</v>
      </c>
      <c r="N777" s="7" t="n">
        <v>6100</v>
      </c>
    </row>
    <row r="778" customFormat="false" ht="15" hidden="false" customHeight="false" outlineLevel="0" collapsed="false">
      <c r="A778" s="7" t="s">
        <v>59</v>
      </c>
      <c r="B778" s="7" t="s">
        <v>155</v>
      </c>
      <c r="C778" s="7" t="s">
        <v>155</v>
      </c>
      <c r="D778" s="7" t="s">
        <v>156</v>
      </c>
      <c r="E778" s="7" t="s">
        <v>157</v>
      </c>
      <c r="F778" s="7" t="n">
        <v>2019</v>
      </c>
      <c r="G778" s="7" t="s">
        <v>140</v>
      </c>
      <c r="H778" s="7" t="s">
        <v>87</v>
      </c>
      <c r="J778" s="7" t="s">
        <v>64</v>
      </c>
      <c r="K778" s="7" t="s">
        <v>133</v>
      </c>
      <c r="L778" s="7" t="s">
        <v>91</v>
      </c>
      <c r="M778" s="7" t="n">
        <v>12.8</v>
      </c>
      <c r="N778" s="7" t="n">
        <v>3223</v>
      </c>
    </row>
    <row r="779" customFormat="false" ht="15" hidden="false" customHeight="false" outlineLevel="0" collapsed="false">
      <c r="A779" s="7" t="s">
        <v>59</v>
      </c>
      <c r="B779" s="7" t="s">
        <v>155</v>
      </c>
      <c r="C779" s="7" t="s">
        <v>155</v>
      </c>
      <c r="D779" s="7" t="s">
        <v>156</v>
      </c>
      <c r="E779" s="7" t="s">
        <v>157</v>
      </c>
      <c r="F779" s="7" t="n">
        <v>2019</v>
      </c>
      <c r="G779" s="7" t="s">
        <v>151</v>
      </c>
      <c r="H779" s="7" t="s">
        <v>78</v>
      </c>
      <c r="J779" s="7" t="s">
        <v>64</v>
      </c>
      <c r="K779" s="7" t="s">
        <v>79</v>
      </c>
      <c r="L779" s="7" t="s">
        <v>91</v>
      </c>
      <c r="M779" s="7" t="n">
        <v>68.3</v>
      </c>
    </row>
    <row r="780" customFormat="false" ht="15" hidden="false" customHeight="false" outlineLevel="0" collapsed="false">
      <c r="A780" s="7" t="s">
        <v>59</v>
      </c>
      <c r="B780" s="7" t="s">
        <v>155</v>
      </c>
      <c r="C780" s="7" t="s">
        <v>155</v>
      </c>
      <c r="D780" s="7" t="s">
        <v>156</v>
      </c>
      <c r="E780" s="7" t="s">
        <v>157</v>
      </c>
      <c r="F780" s="7" t="n">
        <v>2019</v>
      </c>
      <c r="G780" s="7" t="s">
        <v>151</v>
      </c>
      <c r="H780" s="7" t="s">
        <v>86</v>
      </c>
      <c r="J780" s="7" t="s">
        <v>64</v>
      </c>
      <c r="K780" s="7" t="s">
        <v>133</v>
      </c>
      <c r="L780" s="7" t="s">
        <v>91</v>
      </c>
      <c r="M780" s="7" t="n">
        <v>43.5</v>
      </c>
      <c r="N780" s="7" t="n">
        <v>2877</v>
      </c>
    </row>
    <row r="781" customFormat="false" ht="15" hidden="false" customHeight="false" outlineLevel="0" collapsed="false">
      <c r="A781" s="7" t="s">
        <v>59</v>
      </c>
      <c r="B781" s="7" t="s">
        <v>155</v>
      </c>
      <c r="C781" s="7" t="s">
        <v>155</v>
      </c>
      <c r="D781" s="7" t="s">
        <v>156</v>
      </c>
      <c r="E781" s="7" t="s">
        <v>157</v>
      </c>
      <c r="F781" s="7" t="n">
        <v>2019</v>
      </c>
      <c r="G781" s="7" t="s">
        <v>151</v>
      </c>
      <c r="H781" s="7" t="s">
        <v>63</v>
      </c>
      <c r="J781" s="7" t="s">
        <v>64</v>
      </c>
      <c r="K781" s="7" t="s">
        <v>133</v>
      </c>
      <c r="L781" s="7" t="s">
        <v>91</v>
      </c>
      <c r="M781" s="7" t="n">
        <v>70.4</v>
      </c>
      <c r="N781" s="7" t="n">
        <v>6100</v>
      </c>
    </row>
    <row r="782" customFormat="false" ht="15" hidden="false" customHeight="false" outlineLevel="0" collapsed="false">
      <c r="A782" s="7" t="s">
        <v>59</v>
      </c>
      <c r="B782" s="7" t="s">
        <v>155</v>
      </c>
      <c r="C782" s="7" t="s">
        <v>155</v>
      </c>
      <c r="D782" s="7" t="s">
        <v>156</v>
      </c>
      <c r="E782" s="7" t="s">
        <v>157</v>
      </c>
      <c r="F782" s="7" t="n">
        <v>2019</v>
      </c>
      <c r="G782" s="7" t="s">
        <v>151</v>
      </c>
      <c r="H782" s="7" t="s">
        <v>87</v>
      </c>
      <c r="J782" s="7" t="s">
        <v>64</v>
      </c>
      <c r="K782" s="7" t="s">
        <v>133</v>
      </c>
      <c r="L782" s="7" t="s">
        <v>91</v>
      </c>
      <c r="M782" s="7" t="n">
        <v>26.8</v>
      </c>
      <c r="N782" s="7" t="n">
        <v>3223</v>
      </c>
    </row>
    <row r="783" customFormat="false" ht="15" hidden="false" customHeight="false" outlineLevel="0" collapsed="false">
      <c r="A783" s="7" t="s">
        <v>59</v>
      </c>
      <c r="B783" s="7" t="s">
        <v>155</v>
      </c>
      <c r="C783" s="7" t="s">
        <v>155</v>
      </c>
      <c r="D783" s="7" t="s">
        <v>156</v>
      </c>
      <c r="E783" s="7" t="s">
        <v>157</v>
      </c>
      <c r="F783" s="7" t="n">
        <v>2019</v>
      </c>
      <c r="G783" s="7" t="s">
        <v>83</v>
      </c>
      <c r="H783" s="7" t="s">
        <v>78</v>
      </c>
      <c r="J783" s="7" t="s">
        <v>64</v>
      </c>
      <c r="K783" s="7" t="s">
        <v>79</v>
      </c>
      <c r="L783" s="7" t="s">
        <v>91</v>
      </c>
      <c r="M783" s="7" t="n">
        <v>77.5</v>
      </c>
    </row>
    <row r="784" customFormat="false" ht="15" hidden="false" customHeight="false" outlineLevel="0" collapsed="false">
      <c r="A784" s="7" t="s">
        <v>59</v>
      </c>
      <c r="B784" s="7" t="s">
        <v>155</v>
      </c>
      <c r="C784" s="7" t="s">
        <v>155</v>
      </c>
      <c r="D784" s="7" t="s">
        <v>156</v>
      </c>
      <c r="E784" s="7" t="s">
        <v>157</v>
      </c>
      <c r="F784" s="7" t="n">
        <v>2019</v>
      </c>
      <c r="G784" s="7" t="s">
        <v>83</v>
      </c>
      <c r="H784" s="7" t="s">
        <v>86</v>
      </c>
      <c r="J784" s="7" t="s">
        <v>64</v>
      </c>
      <c r="K784" s="7" t="s">
        <v>133</v>
      </c>
      <c r="L784" s="7" t="s">
        <v>91</v>
      </c>
      <c r="M784" s="7" t="n">
        <v>45.4</v>
      </c>
      <c r="N784" s="7" t="n">
        <v>2877</v>
      </c>
    </row>
    <row r="785" customFormat="false" ht="15" hidden="false" customHeight="false" outlineLevel="0" collapsed="false">
      <c r="A785" s="7" t="s">
        <v>59</v>
      </c>
      <c r="B785" s="7" t="s">
        <v>155</v>
      </c>
      <c r="C785" s="7" t="s">
        <v>155</v>
      </c>
      <c r="D785" s="7" t="s">
        <v>156</v>
      </c>
      <c r="E785" s="7" t="s">
        <v>157</v>
      </c>
      <c r="F785" s="7" t="n">
        <v>2019</v>
      </c>
      <c r="G785" s="7" t="s">
        <v>83</v>
      </c>
      <c r="H785" s="7" t="s">
        <v>63</v>
      </c>
      <c r="J785" s="7" t="s">
        <v>64</v>
      </c>
      <c r="K785" s="7" t="s">
        <v>133</v>
      </c>
      <c r="L785" s="7" t="s">
        <v>91</v>
      </c>
      <c r="M785" s="7" t="n">
        <v>83.3</v>
      </c>
      <c r="N785" s="7" t="n">
        <v>6100</v>
      </c>
    </row>
    <row r="786" customFormat="false" ht="15" hidden="false" customHeight="false" outlineLevel="0" collapsed="false">
      <c r="A786" s="7" t="s">
        <v>59</v>
      </c>
      <c r="B786" s="7" t="s">
        <v>155</v>
      </c>
      <c r="C786" s="7" t="s">
        <v>155</v>
      </c>
      <c r="D786" s="7" t="s">
        <v>156</v>
      </c>
      <c r="E786" s="7" t="s">
        <v>157</v>
      </c>
      <c r="F786" s="7" t="n">
        <v>2019</v>
      </c>
      <c r="G786" s="7" t="s">
        <v>83</v>
      </c>
      <c r="H786" s="7" t="s">
        <v>87</v>
      </c>
      <c r="J786" s="7" t="s">
        <v>64</v>
      </c>
      <c r="K786" s="7" t="s">
        <v>133</v>
      </c>
      <c r="L786" s="7" t="s">
        <v>91</v>
      </c>
      <c r="M786" s="7" t="n">
        <v>37.9</v>
      </c>
      <c r="N786" s="7" t="n">
        <v>3223</v>
      </c>
    </row>
    <row r="787" customFormat="false" ht="15" hidden="false" customHeight="false" outlineLevel="0" collapsed="false">
      <c r="A787" s="7" t="s">
        <v>59</v>
      </c>
      <c r="B787" s="7" t="s">
        <v>155</v>
      </c>
      <c r="C787" s="7" t="s">
        <v>155</v>
      </c>
      <c r="D787" s="7" t="s">
        <v>156</v>
      </c>
      <c r="E787" s="7" t="s">
        <v>157</v>
      </c>
      <c r="F787" s="7" t="n">
        <v>2019</v>
      </c>
      <c r="G787" s="7" t="s">
        <v>141</v>
      </c>
      <c r="H787" s="7" t="s">
        <v>78</v>
      </c>
      <c r="J787" s="7" t="s">
        <v>64</v>
      </c>
      <c r="K787" s="7" t="s">
        <v>79</v>
      </c>
      <c r="L787" s="7" t="s">
        <v>91</v>
      </c>
      <c r="M787" s="7" t="n">
        <v>65</v>
      </c>
    </row>
    <row r="788" customFormat="false" ht="15" hidden="false" customHeight="false" outlineLevel="0" collapsed="false">
      <c r="A788" s="7" t="s">
        <v>59</v>
      </c>
      <c r="B788" s="7" t="s">
        <v>155</v>
      </c>
      <c r="C788" s="7" t="s">
        <v>155</v>
      </c>
      <c r="D788" s="7" t="s">
        <v>156</v>
      </c>
      <c r="E788" s="7" t="s">
        <v>157</v>
      </c>
      <c r="F788" s="7" t="n">
        <v>2019</v>
      </c>
      <c r="G788" s="7" t="s">
        <v>141</v>
      </c>
      <c r="H788" s="7" t="s">
        <v>86</v>
      </c>
      <c r="J788" s="7" t="s">
        <v>64</v>
      </c>
      <c r="K788" s="7" t="s">
        <v>133</v>
      </c>
      <c r="L788" s="7" t="s">
        <v>91</v>
      </c>
      <c r="M788" s="7" t="n">
        <v>43.6</v>
      </c>
      <c r="N788" s="7" t="n">
        <v>2877</v>
      </c>
    </row>
    <row r="789" customFormat="false" ht="15" hidden="false" customHeight="false" outlineLevel="0" collapsed="false">
      <c r="A789" s="7" t="s">
        <v>59</v>
      </c>
      <c r="B789" s="7" t="s">
        <v>155</v>
      </c>
      <c r="C789" s="7" t="s">
        <v>155</v>
      </c>
      <c r="D789" s="7" t="s">
        <v>156</v>
      </c>
      <c r="E789" s="7" t="s">
        <v>157</v>
      </c>
      <c r="F789" s="7" t="n">
        <v>2019</v>
      </c>
      <c r="G789" s="7" t="s">
        <v>141</v>
      </c>
      <c r="H789" s="7" t="s">
        <v>63</v>
      </c>
      <c r="J789" s="7" t="s">
        <v>64</v>
      </c>
      <c r="K789" s="7" t="s">
        <v>133</v>
      </c>
      <c r="L789" s="7" t="s">
        <v>91</v>
      </c>
      <c r="M789" s="7" t="n">
        <v>70.2</v>
      </c>
      <c r="N789" s="7" t="n">
        <v>6100</v>
      </c>
    </row>
    <row r="790" customFormat="false" ht="15" hidden="false" customHeight="false" outlineLevel="0" collapsed="false">
      <c r="A790" s="7" t="s">
        <v>59</v>
      </c>
      <c r="B790" s="7" t="s">
        <v>155</v>
      </c>
      <c r="C790" s="7" t="s">
        <v>155</v>
      </c>
      <c r="D790" s="7" t="s">
        <v>156</v>
      </c>
      <c r="E790" s="7" t="s">
        <v>157</v>
      </c>
      <c r="F790" s="7" t="n">
        <v>2019</v>
      </c>
      <c r="G790" s="7" t="s">
        <v>141</v>
      </c>
      <c r="H790" s="7" t="s">
        <v>87</v>
      </c>
      <c r="J790" s="7" t="s">
        <v>64</v>
      </c>
      <c r="K790" s="7" t="s">
        <v>133</v>
      </c>
      <c r="L790" s="7" t="s">
        <v>91</v>
      </c>
      <c r="M790" s="7" t="n">
        <v>26.6</v>
      </c>
      <c r="N790" s="7" t="n">
        <v>3223</v>
      </c>
    </row>
    <row r="791" customFormat="false" ht="15" hidden="false" customHeight="false" outlineLevel="0" collapsed="false">
      <c r="A791" s="7" t="s">
        <v>59</v>
      </c>
      <c r="B791" s="7" t="s">
        <v>155</v>
      </c>
      <c r="C791" s="7" t="s">
        <v>155</v>
      </c>
      <c r="D791" s="7" t="s">
        <v>156</v>
      </c>
      <c r="E791" s="7" t="s">
        <v>157</v>
      </c>
      <c r="F791" s="7" t="n">
        <v>2019</v>
      </c>
      <c r="G791" s="7" t="s">
        <v>69</v>
      </c>
      <c r="H791" s="7" t="s">
        <v>78</v>
      </c>
      <c r="J791" s="7" t="s">
        <v>64</v>
      </c>
      <c r="K791" s="7" t="s">
        <v>79</v>
      </c>
      <c r="L791" s="7" t="s">
        <v>91</v>
      </c>
      <c r="M791" s="7" t="n">
        <v>51.1</v>
      </c>
    </row>
    <row r="792" customFormat="false" ht="15" hidden="false" customHeight="false" outlineLevel="0" collapsed="false">
      <c r="A792" s="7" t="s">
        <v>59</v>
      </c>
      <c r="B792" s="7" t="s">
        <v>155</v>
      </c>
      <c r="C792" s="7" t="s">
        <v>155</v>
      </c>
      <c r="D792" s="7" t="s">
        <v>156</v>
      </c>
      <c r="E792" s="7" t="s">
        <v>157</v>
      </c>
      <c r="F792" s="7" t="n">
        <v>2019</v>
      </c>
      <c r="G792" s="7" t="s">
        <v>69</v>
      </c>
      <c r="H792" s="7" t="s">
        <v>86</v>
      </c>
      <c r="J792" s="7" t="s">
        <v>64</v>
      </c>
      <c r="K792" s="7" t="s">
        <v>133</v>
      </c>
      <c r="L792" s="7" t="s">
        <v>91</v>
      </c>
      <c r="M792" s="7" t="n">
        <v>41.5</v>
      </c>
      <c r="N792" s="7" t="n">
        <v>2877</v>
      </c>
    </row>
    <row r="793" customFormat="false" ht="15" hidden="false" customHeight="false" outlineLevel="0" collapsed="false">
      <c r="A793" s="7" t="s">
        <v>59</v>
      </c>
      <c r="B793" s="7" t="s">
        <v>155</v>
      </c>
      <c r="C793" s="7" t="s">
        <v>155</v>
      </c>
      <c r="D793" s="7" t="s">
        <v>156</v>
      </c>
      <c r="E793" s="7" t="s">
        <v>157</v>
      </c>
      <c r="F793" s="7" t="n">
        <v>2019</v>
      </c>
      <c r="G793" s="7" t="s">
        <v>69</v>
      </c>
      <c r="H793" s="7" t="s">
        <v>63</v>
      </c>
      <c r="J793" s="7" t="s">
        <v>64</v>
      </c>
      <c r="K793" s="7" t="s">
        <v>133</v>
      </c>
      <c r="L793" s="7" t="s">
        <v>91</v>
      </c>
      <c r="M793" s="7" t="n">
        <v>55.1</v>
      </c>
      <c r="N793" s="7" t="n">
        <v>6100</v>
      </c>
    </row>
    <row r="794" customFormat="false" ht="15" hidden="false" customHeight="false" outlineLevel="0" collapsed="false">
      <c r="A794" s="7" t="s">
        <v>59</v>
      </c>
      <c r="B794" s="7" t="s">
        <v>155</v>
      </c>
      <c r="C794" s="7" t="s">
        <v>155</v>
      </c>
      <c r="D794" s="7" t="s">
        <v>156</v>
      </c>
      <c r="E794" s="7" t="s">
        <v>157</v>
      </c>
      <c r="F794" s="7" t="n">
        <v>2019</v>
      </c>
      <c r="G794" s="7" t="s">
        <v>69</v>
      </c>
      <c r="H794" s="7" t="s">
        <v>87</v>
      </c>
      <c r="J794" s="7" t="s">
        <v>64</v>
      </c>
      <c r="K794" s="7" t="s">
        <v>133</v>
      </c>
      <c r="L794" s="7" t="s">
        <v>91</v>
      </c>
      <c r="M794" s="7" t="n">
        <v>13.6</v>
      </c>
      <c r="N794" s="7" t="n">
        <v>3223</v>
      </c>
    </row>
    <row r="795" customFormat="false" ht="15" hidden="false" customHeight="false" outlineLevel="0" collapsed="false">
      <c r="A795" s="7" t="s">
        <v>59</v>
      </c>
      <c r="B795" s="7" t="s">
        <v>155</v>
      </c>
      <c r="C795" s="7" t="s">
        <v>155</v>
      </c>
      <c r="D795" s="7" t="s">
        <v>156</v>
      </c>
      <c r="E795" s="7" t="s">
        <v>157</v>
      </c>
      <c r="F795" s="7" t="n">
        <v>2019</v>
      </c>
      <c r="G795" s="7" t="s">
        <v>159</v>
      </c>
      <c r="H795" s="7" t="s">
        <v>78</v>
      </c>
      <c r="J795" s="7" t="s">
        <v>64</v>
      </c>
      <c r="K795" s="7" t="s">
        <v>79</v>
      </c>
      <c r="L795" s="7" t="s">
        <v>91</v>
      </c>
      <c r="M795" s="7" t="n">
        <v>46.3</v>
      </c>
    </row>
    <row r="796" customFormat="false" ht="15" hidden="false" customHeight="false" outlineLevel="0" collapsed="false">
      <c r="A796" s="7" t="s">
        <v>59</v>
      </c>
      <c r="B796" s="7" t="s">
        <v>155</v>
      </c>
      <c r="C796" s="7" t="s">
        <v>155</v>
      </c>
      <c r="D796" s="7" t="s">
        <v>156</v>
      </c>
      <c r="E796" s="7" t="s">
        <v>157</v>
      </c>
      <c r="F796" s="7" t="n">
        <v>2019</v>
      </c>
      <c r="G796" s="7" t="s">
        <v>159</v>
      </c>
      <c r="H796" s="7" t="s">
        <v>86</v>
      </c>
      <c r="J796" s="7" t="s">
        <v>64</v>
      </c>
      <c r="K796" s="7" t="s">
        <v>133</v>
      </c>
      <c r="L796" s="7" t="s">
        <v>91</v>
      </c>
      <c r="M796" s="7" t="n">
        <v>39.1</v>
      </c>
      <c r="N796" s="7" t="n">
        <v>2877</v>
      </c>
    </row>
    <row r="797" customFormat="false" ht="15" hidden="false" customHeight="false" outlineLevel="0" collapsed="false">
      <c r="A797" s="7" t="s">
        <v>59</v>
      </c>
      <c r="B797" s="7" t="s">
        <v>155</v>
      </c>
      <c r="C797" s="7" t="s">
        <v>155</v>
      </c>
      <c r="D797" s="7" t="s">
        <v>156</v>
      </c>
      <c r="E797" s="7" t="s">
        <v>157</v>
      </c>
      <c r="F797" s="7" t="n">
        <v>2019</v>
      </c>
      <c r="G797" s="7" t="s">
        <v>159</v>
      </c>
      <c r="H797" s="7" t="s">
        <v>63</v>
      </c>
      <c r="J797" s="7" t="s">
        <v>64</v>
      </c>
      <c r="K797" s="7" t="s">
        <v>133</v>
      </c>
      <c r="L797" s="7" t="s">
        <v>91</v>
      </c>
      <c r="M797" s="7" t="n">
        <v>46.9</v>
      </c>
      <c r="N797" s="7" t="n">
        <v>6100</v>
      </c>
    </row>
    <row r="798" customFormat="false" ht="15" hidden="false" customHeight="false" outlineLevel="0" collapsed="false">
      <c r="A798" s="7" t="s">
        <v>59</v>
      </c>
      <c r="B798" s="7" t="s">
        <v>155</v>
      </c>
      <c r="C798" s="7" t="s">
        <v>155</v>
      </c>
      <c r="D798" s="7" t="s">
        <v>156</v>
      </c>
      <c r="E798" s="7" t="s">
        <v>157</v>
      </c>
      <c r="F798" s="7" t="n">
        <v>2019</v>
      </c>
      <c r="G798" s="7" t="s">
        <v>159</v>
      </c>
      <c r="H798" s="7" t="s">
        <v>87</v>
      </c>
      <c r="J798" s="7" t="s">
        <v>64</v>
      </c>
      <c r="K798" s="7" t="s">
        <v>133</v>
      </c>
      <c r="L798" s="7" t="s">
        <v>91</v>
      </c>
      <c r="M798" s="7" t="n">
        <v>7.9</v>
      </c>
      <c r="N798" s="7" t="n">
        <v>3223</v>
      </c>
    </row>
    <row r="799" customFormat="false" ht="15" hidden="false" customHeight="false" outlineLevel="0" collapsed="false">
      <c r="A799" s="7" t="s">
        <v>59</v>
      </c>
      <c r="B799" s="7" t="s">
        <v>155</v>
      </c>
      <c r="C799" s="7" t="s">
        <v>155</v>
      </c>
      <c r="D799" s="7" t="s">
        <v>156</v>
      </c>
      <c r="E799" s="7" t="s">
        <v>157</v>
      </c>
      <c r="F799" s="7" t="n">
        <v>2019</v>
      </c>
      <c r="G799" s="7" t="s">
        <v>111</v>
      </c>
      <c r="H799" s="7" t="s">
        <v>78</v>
      </c>
      <c r="J799" s="7" t="s">
        <v>64</v>
      </c>
      <c r="K799" s="7" t="s">
        <v>79</v>
      </c>
      <c r="L799" s="7" t="s">
        <v>91</v>
      </c>
      <c r="M799" s="7" t="n">
        <v>61</v>
      </c>
    </row>
    <row r="800" customFormat="false" ht="15" hidden="false" customHeight="false" outlineLevel="0" collapsed="false">
      <c r="A800" s="7" t="s">
        <v>59</v>
      </c>
      <c r="B800" s="7" t="s">
        <v>155</v>
      </c>
      <c r="C800" s="7" t="s">
        <v>155</v>
      </c>
      <c r="D800" s="7" t="s">
        <v>156</v>
      </c>
      <c r="E800" s="7" t="s">
        <v>157</v>
      </c>
      <c r="F800" s="7" t="n">
        <v>2019</v>
      </c>
      <c r="G800" s="7" t="s">
        <v>111</v>
      </c>
      <c r="H800" s="7" t="s">
        <v>86</v>
      </c>
      <c r="J800" s="7" t="s">
        <v>64</v>
      </c>
      <c r="K800" s="7" t="s">
        <v>133</v>
      </c>
      <c r="L800" s="7" t="s">
        <v>91</v>
      </c>
      <c r="M800" s="7" t="n">
        <v>36.9</v>
      </c>
      <c r="N800" s="7" t="n">
        <v>2877</v>
      </c>
    </row>
    <row r="801" customFormat="false" ht="15" hidden="false" customHeight="false" outlineLevel="0" collapsed="false">
      <c r="A801" s="7" t="s">
        <v>59</v>
      </c>
      <c r="B801" s="7" t="s">
        <v>155</v>
      </c>
      <c r="C801" s="7" t="s">
        <v>155</v>
      </c>
      <c r="D801" s="7" t="s">
        <v>156</v>
      </c>
      <c r="E801" s="7" t="s">
        <v>157</v>
      </c>
      <c r="F801" s="7" t="n">
        <v>2019</v>
      </c>
      <c r="G801" s="7" t="s">
        <v>111</v>
      </c>
      <c r="H801" s="7" t="s">
        <v>63</v>
      </c>
      <c r="J801" s="7" t="s">
        <v>64</v>
      </c>
      <c r="K801" s="7" t="s">
        <v>133</v>
      </c>
      <c r="L801" s="7" t="s">
        <v>91</v>
      </c>
      <c r="M801" s="7" t="n">
        <v>72.9</v>
      </c>
      <c r="N801" s="7" t="n">
        <v>6100</v>
      </c>
    </row>
    <row r="802" customFormat="false" ht="15" hidden="false" customHeight="false" outlineLevel="0" collapsed="false">
      <c r="A802" s="7" t="s">
        <v>59</v>
      </c>
      <c r="B802" s="7" t="s">
        <v>155</v>
      </c>
      <c r="C802" s="7" t="s">
        <v>155</v>
      </c>
      <c r="D802" s="7" t="s">
        <v>156</v>
      </c>
      <c r="E802" s="7" t="s">
        <v>157</v>
      </c>
      <c r="F802" s="7" t="n">
        <v>2019</v>
      </c>
      <c r="G802" s="7" t="s">
        <v>111</v>
      </c>
      <c r="H802" s="7" t="s">
        <v>87</v>
      </c>
      <c r="J802" s="7" t="s">
        <v>64</v>
      </c>
      <c r="K802" s="7" t="s">
        <v>133</v>
      </c>
      <c r="L802" s="7" t="s">
        <v>91</v>
      </c>
      <c r="M802" s="7" t="n">
        <v>36</v>
      </c>
      <c r="N802" s="7" t="n">
        <v>3223</v>
      </c>
    </row>
    <row r="803" customFormat="false" ht="15" hidden="false" customHeight="false" outlineLevel="0" collapsed="false">
      <c r="A803" s="7" t="s">
        <v>59</v>
      </c>
      <c r="B803" s="7" t="s">
        <v>155</v>
      </c>
      <c r="C803" s="7" t="s">
        <v>155</v>
      </c>
      <c r="D803" s="7" t="s">
        <v>156</v>
      </c>
      <c r="E803" s="7" t="s">
        <v>157</v>
      </c>
      <c r="F803" s="7" t="n">
        <v>2020</v>
      </c>
      <c r="G803" s="7" t="s">
        <v>62</v>
      </c>
      <c r="H803" s="7" t="s">
        <v>78</v>
      </c>
      <c r="I803" s="7" t="n">
        <v>56</v>
      </c>
      <c r="J803" s="7" t="s">
        <v>64</v>
      </c>
      <c r="K803" s="7" t="s">
        <v>79</v>
      </c>
      <c r="L803" s="7" t="s">
        <v>66</v>
      </c>
      <c r="M803" s="7" t="n">
        <v>73.2</v>
      </c>
    </row>
    <row r="804" customFormat="false" ht="15" hidden="false" customHeight="false" outlineLevel="0" collapsed="false">
      <c r="A804" s="7" t="s">
        <v>59</v>
      </c>
      <c r="B804" s="7" t="s">
        <v>155</v>
      </c>
      <c r="C804" s="7" t="s">
        <v>155</v>
      </c>
      <c r="D804" s="7" t="s">
        <v>156</v>
      </c>
      <c r="E804" s="7" t="s">
        <v>157</v>
      </c>
      <c r="F804" s="7" t="n">
        <v>2020</v>
      </c>
      <c r="G804" s="7" t="s">
        <v>62</v>
      </c>
      <c r="H804" s="7" t="s">
        <v>86</v>
      </c>
      <c r="I804" s="7" t="n">
        <v>56</v>
      </c>
      <c r="J804" s="7" t="s">
        <v>64</v>
      </c>
      <c r="K804" s="7" t="s">
        <v>65</v>
      </c>
      <c r="L804" s="7" t="s">
        <v>66</v>
      </c>
      <c r="M804" s="7" t="n">
        <v>55.1</v>
      </c>
      <c r="N804" s="7" t="n">
        <v>3163</v>
      </c>
    </row>
    <row r="805" customFormat="false" ht="15" hidden="false" customHeight="false" outlineLevel="0" collapsed="false">
      <c r="A805" s="7" t="s">
        <v>59</v>
      </c>
      <c r="B805" s="7" t="s">
        <v>155</v>
      </c>
      <c r="C805" s="7" t="s">
        <v>155</v>
      </c>
      <c r="D805" s="7" t="s">
        <v>156</v>
      </c>
      <c r="E805" s="7" t="s">
        <v>157</v>
      </c>
      <c r="F805" s="7" t="n">
        <v>2020</v>
      </c>
      <c r="G805" s="7" t="s">
        <v>62</v>
      </c>
      <c r="H805" s="7" t="s">
        <v>63</v>
      </c>
      <c r="I805" s="7" t="n">
        <v>56</v>
      </c>
      <c r="J805" s="7" t="s">
        <v>64</v>
      </c>
      <c r="K805" s="7" t="s">
        <v>65</v>
      </c>
      <c r="L805" s="7" t="s">
        <v>66</v>
      </c>
      <c r="M805" s="7" t="n">
        <v>74.1</v>
      </c>
      <c r="N805" s="7" t="n">
        <v>5652</v>
      </c>
    </row>
    <row r="806" customFormat="false" ht="15" hidden="false" customHeight="false" outlineLevel="0" collapsed="false">
      <c r="A806" s="7" t="s">
        <v>59</v>
      </c>
      <c r="B806" s="7" t="s">
        <v>155</v>
      </c>
      <c r="C806" s="7" t="s">
        <v>155</v>
      </c>
      <c r="D806" s="7" t="s">
        <v>156</v>
      </c>
      <c r="E806" s="7" t="s">
        <v>157</v>
      </c>
      <c r="F806" s="7" t="n">
        <v>2020</v>
      </c>
      <c r="G806" s="7" t="s">
        <v>62</v>
      </c>
      <c r="H806" s="7" t="s">
        <v>87</v>
      </c>
      <c r="I806" s="7" t="n">
        <v>56</v>
      </c>
      <c r="J806" s="7" t="s">
        <v>64</v>
      </c>
      <c r="K806" s="7" t="s">
        <v>65</v>
      </c>
      <c r="L806" s="7" t="s">
        <v>66</v>
      </c>
      <c r="M806" s="7" t="n">
        <v>18.9</v>
      </c>
      <c r="N806" s="7" t="n">
        <v>2489</v>
      </c>
    </row>
    <row r="807" customFormat="false" ht="15" hidden="false" customHeight="false" outlineLevel="0" collapsed="false">
      <c r="A807" s="7" t="s">
        <v>59</v>
      </c>
      <c r="B807" s="7" t="s">
        <v>155</v>
      </c>
      <c r="C807" s="7" t="s">
        <v>155</v>
      </c>
      <c r="D807" s="7" t="s">
        <v>156</v>
      </c>
      <c r="E807" s="7" t="s">
        <v>157</v>
      </c>
      <c r="F807" s="7" t="n">
        <v>2020</v>
      </c>
      <c r="G807" s="7" t="s">
        <v>81</v>
      </c>
      <c r="H807" s="7" t="s">
        <v>78</v>
      </c>
      <c r="I807" s="7" t="n">
        <v>56</v>
      </c>
      <c r="J807" s="7" t="s">
        <v>64</v>
      </c>
      <c r="K807" s="7" t="s">
        <v>79</v>
      </c>
      <c r="L807" s="7" t="s">
        <v>66</v>
      </c>
      <c r="M807" s="7" t="n">
        <v>68</v>
      </c>
    </row>
    <row r="808" customFormat="false" ht="15" hidden="false" customHeight="false" outlineLevel="0" collapsed="false">
      <c r="A808" s="7" t="s">
        <v>59</v>
      </c>
      <c r="B808" s="7" t="s">
        <v>155</v>
      </c>
      <c r="C808" s="7" t="s">
        <v>155</v>
      </c>
      <c r="D808" s="7" t="s">
        <v>156</v>
      </c>
      <c r="E808" s="7" t="s">
        <v>157</v>
      </c>
      <c r="F808" s="7" t="n">
        <v>2020</v>
      </c>
      <c r="G808" s="7" t="s">
        <v>81</v>
      </c>
      <c r="H808" s="7" t="s">
        <v>86</v>
      </c>
      <c r="I808" s="7" t="n">
        <v>56</v>
      </c>
      <c r="J808" s="7" t="s">
        <v>64</v>
      </c>
      <c r="K808" s="7" t="s">
        <v>65</v>
      </c>
      <c r="L808" s="7" t="s">
        <v>66</v>
      </c>
      <c r="M808" s="7" t="n">
        <v>53.4</v>
      </c>
      <c r="N808" s="7" t="n">
        <v>3163</v>
      </c>
    </row>
    <row r="809" customFormat="false" ht="15" hidden="false" customHeight="false" outlineLevel="0" collapsed="false">
      <c r="A809" s="7" t="s">
        <v>59</v>
      </c>
      <c r="B809" s="7" t="s">
        <v>155</v>
      </c>
      <c r="C809" s="7" t="s">
        <v>155</v>
      </c>
      <c r="D809" s="7" t="s">
        <v>156</v>
      </c>
      <c r="E809" s="7" t="s">
        <v>157</v>
      </c>
      <c r="F809" s="7" t="n">
        <v>2020</v>
      </c>
      <c r="G809" s="7" t="s">
        <v>81</v>
      </c>
      <c r="H809" s="7" t="s">
        <v>63</v>
      </c>
      <c r="I809" s="7" t="n">
        <v>56</v>
      </c>
      <c r="J809" s="7" t="s">
        <v>64</v>
      </c>
      <c r="K809" s="7" t="s">
        <v>65</v>
      </c>
      <c r="L809" s="7" t="s">
        <v>66</v>
      </c>
      <c r="M809" s="7" t="n">
        <v>70.3</v>
      </c>
      <c r="N809" s="7" t="n">
        <v>5652</v>
      </c>
    </row>
    <row r="810" customFormat="false" ht="15" hidden="false" customHeight="false" outlineLevel="0" collapsed="false">
      <c r="A810" s="7" t="s">
        <v>59</v>
      </c>
      <c r="B810" s="7" t="s">
        <v>155</v>
      </c>
      <c r="C810" s="7" t="s">
        <v>155</v>
      </c>
      <c r="D810" s="7" t="s">
        <v>156</v>
      </c>
      <c r="E810" s="7" t="s">
        <v>157</v>
      </c>
      <c r="F810" s="7" t="n">
        <v>2020</v>
      </c>
      <c r="G810" s="7" t="s">
        <v>81</v>
      </c>
      <c r="H810" s="7" t="s">
        <v>87</v>
      </c>
      <c r="I810" s="7" t="n">
        <v>56</v>
      </c>
      <c r="J810" s="7" t="s">
        <v>64</v>
      </c>
      <c r="K810" s="7" t="s">
        <v>65</v>
      </c>
      <c r="L810" s="7" t="s">
        <v>66</v>
      </c>
      <c r="M810" s="7" t="n">
        <v>16.9</v>
      </c>
      <c r="N810" s="7" t="n">
        <v>2489</v>
      </c>
    </row>
    <row r="811" customFormat="false" ht="15" hidden="false" customHeight="false" outlineLevel="0" collapsed="false">
      <c r="A811" s="7" t="s">
        <v>59</v>
      </c>
      <c r="B811" s="7" t="s">
        <v>155</v>
      </c>
      <c r="C811" s="7" t="s">
        <v>155</v>
      </c>
      <c r="D811" s="7" t="s">
        <v>156</v>
      </c>
      <c r="E811" s="7" t="s">
        <v>157</v>
      </c>
      <c r="F811" s="7" t="n">
        <v>2020</v>
      </c>
      <c r="G811" s="7" t="s">
        <v>134</v>
      </c>
      <c r="H811" s="7" t="s">
        <v>86</v>
      </c>
      <c r="I811" s="7" t="n">
        <v>56</v>
      </c>
      <c r="J811" s="7" t="s">
        <v>64</v>
      </c>
      <c r="K811" s="7" t="s">
        <v>65</v>
      </c>
      <c r="L811" s="7" t="s">
        <v>66</v>
      </c>
      <c r="M811" s="7" t="n">
        <v>50.6</v>
      </c>
      <c r="N811" s="7" t="n">
        <v>3163</v>
      </c>
    </row>
    <row r="812" customFormat="false" ht="15" hidden="false" customHeight="false" outlineLevel="0" collapsed="false">
      <c r="A812" s="7" t="s">
        <v>59</v>
      </c>
      <c r="B812" s="7" t="s">
        <v>155</v>
      </c>
      <c r="C812" s="7" t="s">
        <v>155</v>
      </c>
      <c r="D812" s="7" t="s">
        <v>156</v>
      </c>
      <c r="E812" s="7" t="s">
        <v>157</v>
      </c>
      <c r="F812" s="7" t="n">
        <v>2020</v>
      </c>
      <c r="G812" s="7" t="s">
        <v>134</v>
      </c>
      <c r="H812" s="7" t="s">
        <v>63</v>
      </c>
      <c r="I812" s="7" t="n">
        <v>56</v>
      </c>
      <c r="J812" s="7" t="s">
        <v>64</v>
      </c>
      <c r="K812" s="7" t="s">
        <v>65</v>
      </c>
      <c r="L812" s="7" t="s">
        <v>66</v>
      </c>
      <c r="M812" s="7" t="n">
        <v>64.6</v>
      </c>
      <c r="N812" s="7" t="n">
        <v>5652</v>
      </c>
    </row>
    <row r="813" customFormat="false" ht="15" hidden="false" customHeight="false" outlineLevel="0" collapsed="false">
      <c r="A813" s="7" t="s">
        <v>59</v>
      </c>
      <c r="B813" s="7" t="s">
        <v>155</v>
      </c>
      <c r="C813" s="7" t="s">
        <v>155</v>
      </c>
      <c r="D813" s="7" t="s">
        <v>156</v>
      </c>
      <c r="E813" s="7" t="s">
        <v>157</v>
      </c>
      <c r="F813" s="7" t="n">
        <v>2020</v>
      </c>
      <c r="G813" s="7" t="s">
        <v>134</v>
      </c>
      <c r="H813" s="7" t="s">
        <v>87</v>
      </c>
      <c r="I813" s="7" t="n">
        <v>56</v>
      </c>
      <c r="J813" s="7" t="s">
        <v>64</v>
      </c>
      <c r="K813" s="7" t="s">
        <v>65</v>
      </c>
      <c r="L813" s="7" t="s">
        <v>66</v>
      </c>
      <c r="M813" s="7" t="n">
        <v>14</v>
      </c>
      <c r="N813" s="7" t="n">
        <v>2489</v>
      </c>
    </row>
    <row r="814" customFormat="false" ht="15" hidden="false" customHeight="false" outlineLevel="0" collapsed="false">
      <c r="A814" s="7" t="s">
        <v>59</v>
      </c>
      <c r="B814" s="7" t="s">
        <v>155</v>
      </c>
      <c r="C814" s="7" t="s">
        <v>155</v>
      </c>
      <c r="D814" s="7" t="s">
        <v>156</v>
      </c>
      <c r="E814" s="7" t="s">
        <v>157</v>
      </c>
      <c r="F814" s="7" t="n">
        <v>2020</v>
      </c>
      <c r="G814" s="7" t="s">
        <v>134</v>
      </c>
      <c r="H814" s="7" t="s">
        <v>78</v>
      </c>
      <c r="I814" s="7" t="n">
        <v>56</v>
      </c>
      <c r="J814" s="7" t="s">
        <v>64</v>
      </c>
      <c r="K814" s="7" t="s">
        <v>79</v>
      </c>
      <c r="L814" s="7" t="s">
        <v>66</v>
      </c>
      <c r="M814" s="7" t="n">
        <v>61.7</v>
      </c>
    </row>
    <row r="815" customFormat="false" ht="15" hidden="false" customHeight="false" outlineLevel="0" collapsed="false">
      <c r="A815" s="7" t="s">
        <v>59</v>
      </c>
      <c r="B815" s="7" t="s">
        <v>155</v>
      </c>
      <c r="C815" s="7" t="s">
        <v>155</v>
      </c>
      <c r="D815" s="7" t="s">
        <v>156</v>
      </c>
      <c r="E815" s="7" t="s">
        <v>157</v>
      </c>
      <c r="F815" s="7" t="n">
        <v>2020</v>
      </c>
      <c r="G815" s="7" t="s">
        <v>67</v>
      </c>
      <c r="H815" s="7" t="s">
        <v>78</v>
      </c>
      <c r="I815" s="7" t="n">
        <v>56</v>
      </c>
      <c r="J815" s="7" t="s">
        <v>64</v>
      </c>
      <c r="K815" s="7" t="s">
        <v>79</v>
      </c>
      <c r="L815" s="7" t="s">
        <v>66</v>
      </c>
      <c r="M815" s="7" t="n">
        <v>54.3</v>
      </c>
    </row>
    <row r="816" customFormat="false" ht="15" hidden="false" customHeight="false" outlineLevel="0" collapsed="false">
      <c r="A816" s="7" t="s">
        <v>59</v>
      </c>
      <c r="B816" s="7" t="s">
        <v>155</v>
      </c>
      <c r="C816" s="7" t="s">
        <v>155</v>
      </c>
      <c r="D816" s="7" t="s">
        <v>156</v>
      </c>
      <c r="E816" s="7" t="s">
        <v>157</v>
      </c>
      <c r="F816" s="7" t="n">
        <v>2020</v>
      </c>
      <c r="G816" s="7" t="s">
        <v>67</v>
      </c>
      <c r="H816" s="7" t="s">
        <v>86</v>
      </c>
      <c r="I816" s="7" t="n">
        <v>56</v>
      </c>
      <c r="J816" s="7" t="s">
        <v>64</v>
      </c>
      <c r="K816" s="7" t="s">
        <v>65</v>
      </c>
      <c r="L816" s="7" t="s">
        <v>66</v>
      </c>
      <c r="M816" s="7" t="n">
        <v>47.4</v>
      </c>
      <c r="N816" s="7" t="n">
        <v>3163</v>
      </c>
    </row>
    <row r="817" customFormat="false" ht="15" hidden="false" customHeight="false" outlineLevel="0" collapsed="false">
      <c r="A817" s="7" t="s">
        <v>59</v>
      </c>
      <c r="B817" s="7" t="s">
        <v>155</v>
      </c>
      <c r="C817" s="7" t="s">
        <v>155</v>
      </c>
      <c r="D817" s="7" t="s">
        <v>156</v>
      </c>
      <c r="E817" s="7" t="s">
        <v>157</v>
      </c>
      <c r="F817" s="7" t="n">
        <v>2020</v>
      </c>
      <c r="G817" s="7" t="s">
        <v>67</v>
      </c>
      <c r="H817" s="7" t="s">
        <v>63</v>
      </c>
      <c r="I817" s="7" t="n">
        <v>56</v>
      </c>
      <c r="J817" s="7" t="s">
        <v>64</v>
      </c>
      <c r="K817" s="7" t="s">
        <v>65</v>
      </c>
      <c r="L817" s="7" t="s">
        <v>66</v>
      </c>
      <c r="M817" s="7" t="n">
        <v>56.6</v>
      </c>
      <c r="N817" s="7" t="n">
        <v>5652</v>
      </c>
    </row>
    <row r="818" customFormat="false" ht="15" hidden="false" customHeight="false" outlineLevel="0" collapsed="false">
      <c r="A818" s="7" t="s">
        <v>59</v>
      </c>
      <c r="B818" s="7" t="s">
        <v>155</v>
      </c>
      <c r="C818" s="7" t="s">
        <v>155</v>
      </c>
      <c r="D818" s="7" t="s">
        <v>156</v>
      </c>
      <c r="E818" s="7" t="s">
        <v>157</v>
      </c>
      <c r="F818" s="7" t="n">
        <v>2020</v>
      </c>
      <c r="G818" s="7" t="s">
        <v>67</v>
      </c>
      <c r="H818" s="7" t="s">
        <v>87</v>
      </c>
      <c r="I818" s="7" t="n">
        <v>56</v>
      </c>
      <c r="J818" s="7" t="s">
        <v>64</v>
      </c>
      <c r="K818" s="7" t="s">
        <v>65</v>
      </c>
      <c r="L818" s="7" t="s">
        <v>66</v>
      </c>
      <c r="M818" s="7" t="n">
        <v>9.2</v>
      </c>
      <c r="N818" s="7" t="n">
        <v>2489</v>
      </c>
    </row>
    <row r="819" customFormat="false" ht="15" hidden="false" customHeight="false" outlineLevel="0" collapsed="false">
      <c r="A819" s="7" t="s">
        <v>59</v>
      </c>
      <c r="B819" s="7" t="s">
        <v>155</v>
      </c>
      <c r="C819" s="7" t="s">
        <v>155</v>
      </c>
      <c r="D819" s="7" t="s">
        <v>156</v>
      </c>
      <c r="E819" s="7" t="s">
        <v>157</v>
      </c>
      <c r="F819" s="7" t="n">
        <v>2020</v>
      </c>
      <c r="G819" s="7" t="s">
        <v>82</v>
      </c>
      <c r="H819" s="7" t="s">
        <v>78</v>
      </c>
      <c r="I819" s="7" t="n">
        <v>56</v>
      </c>
      <c r="J819" s="7" t="s">
        <v>64</v>
      </c>
      <c r="K819" s="7" t="s">
        <v>79</v>
      </c>
      <c r="L819" s="7" t="s">
        <v>66</v>
      </c>
      <c r="M819" s="7" t="n">
        <v>36.2</v>
      </c>
    </row>
    <row r="820" customFormat="false" ht="15" hidden="false" customHeight="false" outlineLevel="0" collapsed="false">
      <c r="A820" s="7" t="s">
        <v>59</v>
      </c>
      <c r="B820" s="7" t="s">
        <v>155</v>
      </c>
      <c r="C820" s="7" t="s">
        <v>155</v>
      </c>
      <c r="D820" s="7" t="s">
        <v>156</v>
      </c>
      <c r="E820" s="7" t="s">
        <v>157</v>
      </c>
      <c r="F820" s="7" t="n">
        <v>2020</v>
      </c>
      <c r="G820" s="7" t="s">
        <v>82</v>
      </c>
      <c r="H820" s="7" t="s">
        <v>86</v>
      </c>
      <c r="I820" s="7" t="n">
        <v>56</v>
      </c>
      <c r="J820" s="7" t="s">
        <v>64</v>
      </c>
      <c r="K820" s="7" t="s">
        <v>65</v>
      </c>
      <c r="L820" s="7" t="s">
        <v>66</v>
      </c>
      <c r="M820" s="7" t="n">
        <v>40.5</v>
      </c>
      <c r="N820" s="7" t="n">
        <v>3163</v>
      </c>
    </row>
    <row r="821" customFormat="false" ht="15" hidden="false" customHeight="false" outlineLevel="0" collapsed="false">
      <c r="A821" s="7" t="s">
        <v>59</v>
      </c>
      <c r="B821" s="7" t="s">
        <v>155</v>
      </c>
      <c r="C821" s="7" t="s">
        <v>155</v>
      </c>
      <c r="D821" s="7" t="s">
        <v>156</v>
      </c>
      <c r="E821" s="7" t="s">
        <v>157</v>
      </c>
      <c r="F821" s="7" t="n">
        <v>2020</v>
      </c>
      <c r="G821" s="7" t="s">
        <v>82</v>
      </c>
      <c r="H821" s="7" t="s">
        <v>63</v>
      </c>
      <c r="I821" s="7" t="n">
        <v>56</v>
      </c>
      <c r="J821" s="7" t="s">
        <v>64</v>
      </c>
      <c r="K821" s="7" t="s">
        <v>65</v>
      </c>
      <c r="L821" s="7" t="s">
        <v>66</v>
      </c>
      <c r="M821" s="7" t="n">
        <v>44.2</v>
      </c>
      <c r="N821" s="7" t="n">
        <v>5652</v>
      </c>
    </row>
    <row r="822" customFormat="false" ht="15" hidden="false" customHeight="false" outlineLevel="0" collapsed="false">
      <c r="A822" s="7" t="s">
        <v>59</v>
      </c>
      <c r="B822" s="7" t="s">
        <v>155</v>
      </c>
      <c r="C822" s="7" t="s">
        <v>155</v>
      </c>
      <c r="D822" s="7" t="s">
        <v>156</v>
      </c>
      <c r="E822" s="7" t="s">
        <v>157</v>
      </c>
      <c r="F822" s="7" t="n">
        <v>2020</v>
      </c>
      <c r="G822" s="7" t="s">
        <v>82</v>
      </c>
      <c r="H822" s="7" t="s">
        <v>87</v>
      </c>
      <c r="I822" s="7" t="n">
        <v>56</v>
      </c>
      <c r="J822" s="7" t="s">
        <v>64</v>
      </c>
      <c r="K822" s="7" t="s">
        <v>65</v>
      </c>
      <c r="L822" s="7" t="s">
        <v>66</v>
      </c>
      <c r="M822" s="7" t="n">
        <v>2.6</v>
      </c>
      <c r="N822" s="7" t="n">
        <v>2489</v>
      </c>
    </row>
    <row r="823" customFormat="false" ht="15" hidden="false" customHeight="false" outlineLevel="0" collapsed="false">
      <c r="A823" s="7" t="s">
        <v>59</v>
      </c>
      <c r="B823" s="7" t="s">
        <v>155</v>
      </c>
      <c r="C823" s="7" t="s">
        <v>155</v>
      </c>
      <c r="D823" s="7" t="s">
        <v>156</v>
      </c>
      <c r="E823" s="7" t="s">
        <v>157</v>
      </c>
      <c r="F823" s="7" t="n">
        <v>2020</v>
      </c>
      <c r="G823" s="7" t="s">
        <v>109</v>
      </c>
      <c r="H823" s="7" t="s">
        <v>78</v>
      </c>
      <c r="I823" s="7" t="n">
        <v>56</v>
      </c>
      <c r="J823" s="7" t="s">
        <v>64</v>
      </c>
      <c r="K823" s="7" t="s">
        <v>79</v>
      </c>
      <c r="L823" s="7" t="s">
        <v>66</v>
      </c>
      <c r="M823" s="7" t="n">
        <v>68</v>
      </c>
    </row>
    <row r="824" customFormat="false" ht="15" hidden="false" customHeight="false" outlineLevel="0" collapsed="false">
      <c r="A824" s="7" t="s">
        <v>59</v>
      </c>
      <c r="B824" s="7" t="s">
        <v>155</v>
      </c>
      <c r="C824" s="7" t="s">
        <v>155</v>
      </c>
      <c r="D824" s="7" t="s">
        <v>156</v>
      </c>
      <c r="E824" s="7" t="s">
        <v>157</v>
      </c>
      <c r="F824" s="7" t="n">
        <v>2020</v>
      </c>
      <c r="G824" s="7" t="s">
        <v>109</v>
      </c>
      <c r="H824" s="7" t="s">
        <v>86</v>
      </c>
      <c r="I824" s="7" t="n">
        <v>56</v>
      </c>
      <c r="J824" s="7" t="s">
        <v>64</v>
      </c>
      <c r="K824" s="7" t="s">
        <v>65</v>
      </c>
      <c r="L824" s="7" t="s">
        <v>66</v>
      </c>
      <c r="M824" s="7" t="n">
        <v>53.4</v>
      </c>
      <c r="N824" s="7" t="n">
        <v>3163</v>
      </c>
    </row>
    <row r="825" customFormat="false" ht="15" hidden="false" customHeight="false" outlineLevel="0" collapsed="false">
      <c r="A825" s="7" t="s">
        <v>59</v>
      </c>
      <c r="B825" s="7" t="s">
        <v>155</v>
      </c>
      <c r="C825" s="7" t="s">
        <v>155</v>
      </c>
      <c r="D825" s="7" t="s">
        <v>156</v>
      </c>
      <c r="E825" s="7" t="s">
        <v>157</v>
      </c>
      <c r="F825" s="7" t="n">
        <v>2020</v>
      </c>
      <c r="G825" s="7" t="s">
        <v>109</v>
      </c>
      <c r="H825" s="7" t="s">
        <v>63</v>
      </c>
      <c r="I825" s="7" t="n">
        <v>56</v>
      </c>
      <c r="J825" s="7" t="s">
        <v>64</v>
      </c>
      <c r="K825" s="7" t="s">
        <v>65</v>
      </c>
      <c r="L825" s="7" t="s">
        <v>66</v>
      </c>
      <c r="M825" s="7" t="n">
        <v>70.3</v>
      </c>
      <c r="N825" s="7" t="n">
        <v>5652</v>
      </c>
    </row>
    <row r="826" customFormat="false" ht="15" hidden="false" customHeight="false" outlineLevel="0" collapsed="false">
      <c r="A826" s="7" t="s">
        <v>59</v>
      </c>
      <c r="B826" s="7" t="s">
        <v>155</v>
      </c>
      <c r="C826" s="7" t="s">
        <v>155</v>
      </c>
      <c r="D826" s="7" t="s">
        <v>156</v>
      </c>
      <c r="E826" s="7" t="s">
        <v>157</v>
      </c>
      <c r="F826" s="7" t="n">
        <v>2020</v>
      </c>
      <c r="G826" s="7" t="s">
        <v>109</v>
      </c>
      <c r="H826" s="7" t="s">
        <v>87</v>
      </c>
      <c r="I826" s="7" t="n">
        <v>56</v>
      </c>
      <c r="J826" s="7" t="s">
        <v>64</v>
      </c>
      <c r="K826" s="7" t="s">
        <v>65</v>
      </c>
      <c r="L826" s="7" t="s">
        <v>66</v>
      </c>
      <c r="M826" s="7" t="n">
        <v>16.9</v>
      </c>
      <c r="N826" s="7" t="n">
        <v>2489</v>
      </c>
    </row>
    <row r="827" customFormat="false" ht="15" hidden="false" customHeight="false" outlineLevel="0" collapsed="false">
      <c r="A827" s="7" t="s">
        <v>59</v>
      </c>
      <c r="B827" s="7" t="s">
        <v>155</v>
      </c>
      <c r="C827" s="7" t="s">
        <v>155</v>
      </c>
      <c r="D827" s="7" t="s">
        <v>156</v>
      </c>
      <c r="E827" s="7" t="s">
        <v>157</v>
      </c>
      <c r="F827" s="7" t="n">
        <v>2020</v>
      </c>
      <c r="G827" s="7" t="s">
        <v>149</v>
      </c>
      <c r="H827" s="7" t="s">
        <v>78</v>
      </c>
      <c r="I827" s="7" t="n">
        <v>56</v>
      </c>
      <c r="J827" s="7" t="s">
        <v>64</v>
      </c>
      <c r="K827" s="7" t="s">
        <v>79</v>
      </c>
      <c r="L827" s="7" t="s">
        <v>66</v>
      </c>
      <c r="M827" s="7" t="n">
        <v>61.7</v>
      </c>
    </row>
    <row r="828" customFormat="false" ht="15" hidden="false" customHeight="false" outlineLevel="0" collapsed="false">
      <c r="A828" s="7" t="s">
        <v>59</v>
      </c>
      <c r="B828" s="7" t="s">
        <v>155</v>
      </c>
      <c r="C828" s="7" t="s">
        <v>155</v>
      </c>
      <c r="D828" s="7" t="s">
        <v>156</v>
      </c>
      <c r="E828" s="7" t="s">
        <v>157</v>
      </c>
      <c r="F828" s="7" t="n">
        <v>2020</v>
      </c>
      <c r="G828" s="7" t="s">
        <v>149</v>
      </c>
      <c r="H828" s="7" t="s">
        <v>86</v>
      </c>
      <c r="I828" s="7" t="n">
        <v>56</v>
      </c>
      <c r="J828" s="7" t="s">
        <v>64</v>
      </c>
      <c r="K828" s="7" t="s">
        <v>65</v>
      </c>
      <c r="L828" s="7" t="s">
        <v>66</v>
      </c>
      <c r="M828" s="7" t="n">
        <v>50.6</v>
      </c>
      <c r="N828" s="7" t="n">
        <v>3163</v>
      </c>
    </row>
    <row r="829" customFormat="false" ht="15" hidden="false" customHeight="false" outlineLevel="0" collapsed="false">
      <c r="A829" s="7" t="s">
        <v>59</v>
      </c>
      <c r="B829" s="7" t="s">
        <v>155</v>
      </c>
      <c r="C829" s="7" t="s">
        <v>155</v>
      </c>
      <c r="D829" s="7" t="s">
        <v>156</v>
      </c>
      <c r="E829" s="7" t="s">
        <v>157</v>
      </c>
      <c r="F829" s="7" t="n">
        <v>2020</v>
      </c>
      <c r="G829" s="7" t="s">
        <v>149</v>
      </c>
      <c r="H829" s="7" t="s">
        <v>63</v>
      </c>
      <c r="I829" s="7" t="n">
        <v>56</v>
      </c>
      <c r="J829" s="7" t="s">
        <v>64</v>
      </c>
      <c r="K829" s="7" t="s">
        <v>65</v>
      </c>
      <c r="L829" s="7" t="s">
        <v>66</v>
      </c>
      <c r="M829" s="7" t="n">
        <v>64.6</v>
      </c>
      <c r="N829" s="7" t="n">
        <v>5652</v>
      </c>
    </row>
    <row r="830" customFormat="false" ht="15" hidden="false" customHeight="false" outlineLevel="0" collapsed="false">
      <c r="A830" s="7" t="s">
        <v>59</v>
      </c>
      <c r="B830" s="7" t="s">
        <v>155</v>
      </c>
      <c r="C830" s="7" t="s">
        <v>155</v>
      </c>
      <c r="D830" s="7" t="s">
        <v>156</v>
      </c>
      <c r="E830" s="7" t="s">
        <v>157</v>
      </c>
      <c r="F830" s="7" t="n">
        <v>2020</v>
      </c>
      <c r="G830" s="7" t="s">
        <v>149</v>
      </c>
      <c r="H830" s="7" t="s">
        <v>87</v>
      </c>
      <c r="I830" s="7" t="n">
        <v>56</v>
      </c>
      <c r="J830" s="7" t="s">
        <v>64</v>
      </c>
      <c r="K830" s="7" t="s">
        <v>65</v>
      </c>
      <c r="L830" s="7" t="s">
        <v>66</v>
      </c>
      <c r="M830" s="7" t="n">
        <v>14</v>
      </c>
      <c r="N830" s="7" t="n">
        <v>2489</v>
      </c>
    </row>
    <row r="831" customFormat="false" ht="15" hidden="false" customHeight="false" outlineLevel="0" collapsed="false">
      <c r="A831" s="7" t="s">
        <v>59</v>
      </c>
      <c r="B831" s="7" t="s">
        <v>155</v>
      </c>
      <c r="C831" s="7" t="s">
        <v>155</v>
      </c>
      <c r="D831" s="7" t="s">
        <v>156</v>
      </c>
      <c r="E831" s="7" t="s">
        <v>157</v>
      </c>
      <c r="F831" s="7" t="n">
        <v>2020</v>
      </c>
      <c r="G831" s="7" t="s">
        <v>110</v>
      </c>
      <c r="H831" s="7" t="s">
        <v>78</v>
      </c>
      <c r="I831" s="7" t="n">
        <v>56</v>
      </c>
      <c r="J831" s="7" t="s">
        <v>64</v>
      </c>
      <c r="K831" s="7" t="s">
        <v>79</v>
      </c>
      <c r="L831" s="7" t="s">
        <v>66</v>
      </c>
      <c r="M831" s="7" t="n">
        <v>54.3</v>
      </c>
    </row>
    <row r="832" customFormat="false" ht="15" hidden="false" customHeight="false" outlineLevel="0" collapsed="false">
      <c r="A832" s="7" t="s">
        <v>59</v>
      </c>
      <c r="B832" s="7" t="s">
        <v>155</v>
      </c>
      <c r="C832" s="7" t="s">
        <v>155</v>
      </c>
      <c r="D832" s="7" t="s">
        <v>156</v>
      </c>
      <c r="E832" s="7" t="s">
        <v>157</v>
      </c>
      <c r="F832" s="7" t="n">
        <v>2020</v>
      </c>
      <c r="G832" s="7" t="s">
        <v>110</v>
      </c>
      <c r="H832" s="7" t="s">
        <v>86</v>
      </c>
      <c r="I832" s="7" t="n">
        <v>56</v>
      </c>
      <c r="J832" s="7" t="s">
        <v>64</v>
      </c>
      <c r="K832" s="7" t="s">
        <v>65</v>
      </c>
      <c r="L832" s="7" t="s">
        <v>66</v>
      </c>
      <c r="M832" s="7" t="n">
        <v>47.4</v>
      </c>
      <c r="N832" s="7" t="n">
        <v>3163</v>
      </c>
    </row>
    <row r="833" customFormat="false" ht="15" hidden="false" customHeight="false" outlineLevel="0" collapsed="false">
      <c r="A833" s="7" t="s">
        <v>59</v>
      </c>
      <c r="B833" s="7" t="s">
        <v>155</v>
      </c>
      <c r="C833" s="7" t="s">
        <v>155</v>
      </c>
      <c r="D833" s="7" t="s">
        <v>156</v>
      </c>
      <c r="E833" s="7" t="s">
        <v>157</v>
      </c>
      <c r="F833" s="7" t="n">
        <v>2020</v>
      </c>
      <c r="G833" s="7" t="s">
        <v>110</v>
      </c>
      <c r="H833" s="7" t="s">
        <v>63</v>
      </c>
      <c r="I833" s="7" t="n">
        <v>56</v>
      </c>
      <c r="J833" s="7" t="s">
        <v>64</v>
      </c>
      <c r="K833" s="7" t="s">
        <v>65</v>
      </c>
      <c r="L833" s="7" t="s">
        <v>66</v>
      </c>
      <c r="M833" s="7" t="n">
        <v>56.6</v>
      </c>
      <c r="N833" s="7" t="n">
        <v>5652</v>
      </c>
    </row>
    <row r="834" customFormat="false" ht="15" hidden="false" customHeight="false" outlineLevel="0" collapsed="false">
      <c r="A834" s="7" t="s">
        <v>59</v>
      </c>
      <c r="B834" s="7" t="s">
        <v>155</v>
      </c>
      <c r="C834" s="7" t="s">
        <v>155</v>
      </c>
      <c r="D834" s="7" t="s">
        <v>156</v>
      </c>
      <c r="E834" s="7" t="s">
        <v>157</v>
      </c>
      <c r="F834" s="7" t="n">
        <v>2020</v>
      </c>
      <c r="G834" s="7" t="s">
        <v>110</v>
      </c>
      <c r="H834" s="7" t="s">
        <v>87</v>
      </c>
      <c r="I834" s="7" t="n">
        <v>56</v>
      </c>
      <c r="J834" s="7" t="s">
        <v>64</v>
      </c>
      <c r="K834" s="7" t="s">
        <v>65</v>
      </c>
      <c r="L834" s="7" t="s">
        <v>66</v>
      </c>
      <c r="M834" s="7" t="n">
        <v>9.2</v>
      </c>
      <c r="N834" s="7" t="n">
        <v>2489</v>
      </c>
    </row>
    <row r="835" customFormat="false" ht="15" hidden="false" customHeight="false" outlineLevel="0" collapsed="false">
      <c r="A835" s="7" t="s">
        <v>59</v>
      </c>
      <c r="B835" s="7" t="s">
        <v>155</v>
      </c>
      <c r="C835" s="7" t="s">
        <v>155</v>
      </c>
      <c r="D835" s="7" t="s">
        <v>156</v>
      </c>
      <c r="E835" s="7" t="s">
        <v>157</v>
      </c>
      <c r="F835" s="7" t="n">
        <v>2020</v>
      </c>
      <c r="G835" s="7" t="s">
        <v>123</v>
      </c>
      <c r="H835" s="7" t="s">
        <v>86</v>
      </c>
      <c r="I835" s="7" t="n">
        <v>56</v>
      </c>
      <c r="J835" s="7" t="s">
        <v>64</v>
      </c>
      <c r="K835" s="7" t="s">
        <v>65</v>
      </c>
      <c r="L835" s="7" t="s">
        <v>66</v>
      </c>
      <c r="M835" s="7" t="n">
        <v>10.5</v>
      </c>
      <c r="N835" s="7" t="n">
        <v>3163</v>
      </c>
    </row>
    <row r="836" customFormat="false" ht="15" hidden="false" customHeight="false" outlineLevel="0" collapsed="false">
      <c r="A836" s="7" t="s">
        <v>59</v>
      </c>
      <c r="B836" s="7" t="s">
        <v>155</v>
      </c>
      <c r="C836" s="7" t="s">
        <v>155</v>
      </c>
      <c r="D836" s="7" t="s">
        <v>156</v>
      </c>
      <c r="E836" s="7" t="s">
        <v>157</v>
      </c>
      <c r="F836" s="7" t="n">
        <v>2020</v>
      </c>
      <c r="G836" s="7" t="s">
        <v>123</v>
      </c>
      <c r="H836" s="7" t="s">
        <v>63</v>
      </c>
      <c r="I836" s="7" t="n">
        <v>56</v>
      </c>
      <c r="J836" s="7" t="s">
        <v>64</v>
      </c>
      <c r="K836" s="7" t="s">
        <v>65</v>
      </c>
      <c r="L836" s="7" t="s">
        <v>66</v>
      </c>
      <c r="M836" s="7" t="n">
        <v>17.4</v>
      </c>
      <c r="N836" s="7" t="n">
        <v>5652</v>
      </c>
    </row>
    <row r="837" customFormat="false" ht="15" hidden="false" customHeight="false" outlineLevel="0" collapsed="false">
      <c r="A837" s="7" t="s">
        <v>59</v>
      </c>
      <c r="B837" s="7" t="s">
        <v>155</v>
      </c>
      <c r="C837" s="7" t="s">
        <v>155</v>
      </c>
      <c r="D837" s="7" t="s">
        <v>156</v>
      </c>
      <c r="E837" s="7" t="s">
        <v>157</v>
      </c>
      <c r="F837" s="7" t="n">
        <v>2020</v>
      </c>
      <c r="G837" s="7" t="s">
        <v>123</v>
      </c>
      <c r="H837" s="7" t="s">
        <v>87</v>
      </c>
      <c r="I837" s="7" t="n">
        <v>56</v>
      </c>
      <c r="J837" s="7" t="s">
        <v>64</v>
      </c>
      <c r="K837" s="7" t="s">
        <v>65</v>
      </c>
      <c r="L837" s="7" t="s">
        <v>66</v>
      </c>
      <c r="M837" s="7" t="n">
        <v>6.9</v>
      </c>
      <c r="N837" s="7" t="n">
        <v>2489</v>
      </c>
    </row>
    <row r="838" customFormat="false" ht="15" hidden="false" customHeight="false" outlineLevel="0" collapsed="false">
      <c r="A838" s="7" t="s">
        <v>59</v>
      </c>
      <c r="B838" s="7" t="s">
        <v>155</v>
      </c>
      <c r="C838" s="7" t="s">
        <v>155</v>
      </c>
      <c r="D838" s="7" t="s">
        <v>156</v>
      </c>
      <c r="E838" s="7" t="s">
        <v>157</v>
      </c>
      <c r="F838" s="7" t="n">
        <v>2020</v>
      </c>
      <c r="G838" s="7" t="s">
        <v>135</v>
      </c>
      <c r="H838" s="7" t="s">
        <v>78</v>
      </c>
      <c r="I838" s="7" t="n">
        <v>56</v>
      </c>
      <c r="J838" s="7" t="s">
        <v>64</v>
      </c>
      <c r="K838" s="7" t="s">
        <v>79</v>
      </c>
      <c r="L838" s="7" t="s">
        <v>66</v>
      </c>
      <c r="M838" s="7" t="n">
        <v>68</v>
      </c>
    </row>
    <row r="839" customFormat="false" ht="15" hidden="false" customHeight="false" outlineLevel="0" collapsed="false">
      <c r="A839" s="7" t="s">
        <v>59</v>
      </c>
      <c r="B839" s="7" t="s">
        <v>155</v>
      </c>
      <c r="C839" s="7" t="s">
        <v>155</v>
      </c>
      <c r="D839" s="7" t="s">
        <v>156</v>
      </c>
      <c r="E839" s="7" t="s">
        <v>157</v>
      </c>
      <c r="F839" s="7" t="n">
        <v>2020</v>
      </c>
      <c r="G839" s="7" t="s">
        <v>135</v>
      </c>
      <c r="H839" s="7" t="s">
        <v>86</v>
      </c>
      <c r="I839" s="7" t="n">
        <v>56</v>
      </c>
      <c r="J839" s="7" t="s">
        <v>64</v>
      </c>
      <c r="K839" s="7" t="s">
        <v>65</v>
      </c>
      <c r="L839" s="7" t="s">
        <v>66</v>
      </c>
      <c r="M839" s="7" t="n">
        <v>53.4</v>
      </c>
      <c r="N839" s="7" t="n">
        <v>3163</v>
      </c>
    </row>
    <row r="840" customFormat="false" ht="15" hidden="false" customHeight="false" outlineLevel="0" collapsed="false">
      <c r="A840" s="7" t="s">
        <v>59</v>
      </c>
      <c r="B840" s="7" t="s">
        <v>155</v>
      </c>
      <c r="C840" s="7" t="s">
        <v>155</v>
      </c>
      <c r="D840" s="7" t="s">
        <v>156</v>
      </c>
      <c r="E840" s="7" t="s">
        <v>157</v>
      </c>
      <c r="F840" s="7" t="n">
        <v>2020</v>
      </c>
      <c r="G840" s="7" t="s">
        <v>135</v>
      </c>
      <c r="H840" s="7" t="s">
        <v>63</v>
      </c>
      <c r="I840" s="7" t="n">
        <v>56</v>
      </c>
      <c r="J840" s="7" t="s">
        <v>64</v>
      </c>
      <c r="K840" s="7" t="s">
        <v>65</v>
      </c>
      <c r="L840" s="7" t="s">
        <v>66</v>
      </c>
      <c r="M840" s="7" t="n">
        <v>70.3</v>
      </c>
      <c r="N840" s="7" t="n">
        <v>5652</v>
      </c>
    </row>
    <row r="841" customFormat="false" ht="15" hidden="false" customHeight="false" outlineLevel="0" collapsed="false">
      <c r="A841" s="7" t="s">
        <v>59</v>
      </c>
      <c r="B841" s="7" t="s">
        <v>155</v>
      </c>
      <c r="C841" s="7" t="s">
        <v>155</v>
      </c>
      <c r="D841" s="7" t="s">
        <v>156</v>
      </c>
      <c r="E841" s="7" t="s">
        <v>157</v>
      </c>
      <c r="F841" s="7" t="n">
        <v>2020</v>
      </c>
      <c r="G841" s="7" t="s">
        <v>135</v>
      </c>
      <c r="H841" s="7" t="s">
        <v>87</v>
      </c>
      <c r="I841" s="7" t="n">
        <v>56</v>
      </c>
      <c r="J841" s="7" t="s">
        <v>64</v>
      </c>
      <c r="K841" s="7" t="s">
        <v>65</v>
      </c>
      <c r="L841" s="7" t="s">
        <v>66</v>
      </c>
      <c r="M841" s="7" t="n">
        <v>16.9</v>
      </c>
      <c r="N841" s="7" t="n">
        <v>2489</v>
      </c>
    </row>
    <row r="842" customFormat="false" ht="15" hidden="false" customHeight="false" outlineLevel="0" collapsed="false">
      <c r="A842" s="7" t="s">
        <v>59</v>
      </c>
      <c r="B842" s="7" t="s">
        <v>155</v>
      </c>
      <c r="C842" s="7" t="s">
        <v>155</v>
      </c>
      <c r="D842" s="7" t="s">
        <v>156</v>
      </c>
      <c r="E842" s="7" t="s">
        <v>157</v>
      </c>
      <c r="F842" s="7" t="n">
        <v>2020</v>
      </c>
      <c r="G842" s="7" t="s">
        <v>150</v>
      </c>
      <c r="H842" s="7" t="s">
        <v>86</v>
      </c>
      <c r="I842" s="7" t="n">
        <v>56</v>
      </c>
      <c r="J842" s="7" t="s">
        <v>64</v>
      </c>
      <c r="K842" s="7" t="s">
        <v>65</v>
      </c>
      <c r="L842" s="7" t="s">
        <v>66</v>
      </c>
      <c r="M842" s="7" t="n">
        <v>50.6</v>
      </c>
      <c r="N842" s="7" t="n">
        <v>3163</v>
      </c>
    </row>
    <row r="843" customFormat="false" ht="15" hidden="false" customHeight="false" outlineLevel="0" collapsed="false">
      <c r="A843" s="7" t="s">
        <v>59</v>
      </c>
      <c r="B843" s="7" t="s">
        <v>155</v>
      </c>
      <c r="C843" s="7" t="s">
        <v>155</v>
      </c>
      <c r="D843" s="7" t="s">
        <v>156</v>
      </c>
      <c r="E843" s="7" t="s">
        <v>157</v>
      </c>
      <c r="F843" s="7" t="n">
        <v>2020</v>
      </c>
      <c r="G843" s="7" t="s">
        <v>150</v>
      </c>
      <c r="H843" s="7" t="s">
        <v>63</v>
      </c>
      <c r="I843" s="7" t="n">
        <v>56</v>
      </c>
      <c r="J843" s="7" t="s">
        <v>64</v>
      </c>
      <c r="K843" s="7" t="s">
        <v>65</v>
      </c>
      <c r="L843" s="7" t="s">
        <v>66</v>
      </c>
      <c r="M843" s="7" t="n">
        <v>64.6</v>
      </c>
      <c r="N843" s="7" t="n">
        <v>5652</v>
      </c>
    </row>
    <row r="844" customFormat="false" ht="15" hidden="false" customHeight="false" outlineLevel="0" collapsed="false">
      <c r="A844" s="7" t="s">
        <v>59</v>
      </c>
      <c r="B844" s="7" t="s">
        <v>155</v>
      </c>
      <c r="C844" s="7" t="s">
        <v>155</v>
      </c>
      <c r="D844" s="7" t="s">
        <v>156</v>
      </c>
      <c r="E844" s="7" t="s">
        <v>157</v>
      </c>
      <c r="F844" s="7" t="n">
        <v>2020</v>
      </c>
      <c r="G844" s="7" t="s">
        <v>150</v>
      </c>
      <c r="H844" s="7" t="s">
        <v>87</v>
      </c>
      <c r="I844" s="7" t="n">
        <v>56</v>
      </c>
      <c r="J844" s="7" t="s">
        <v>64</v>
      </c>
      <c r="K844" s="7" t="s">
        <v>65</v>
      </c>
      <c r="L844" s="7" t="s">
        <v>66</v>
      </c>
      <c r="M844" s="7" t="n">
        <v>14</v>
      </c>
      <c r="N844" s="7" t="n">
        <v>2489</v>
      </c>
    </row>
    <row r="845" customFormat="false" ht="15" hidden="false" customHeight="false" outlineLevel="0" collapsed="false">
      <c r="A845" s="7" t="s">
        <v>59</v>
      </c>
      <c r="B845" s="7" t="s">
        <v>155</v>
      </c>
      <c r="C845" s="7" t="s">
        <v>155</v>
      </c>
      <c r="D845" s="7" t="s">
        <v>156</v>
      </c>
      <c r="E845" s="7" t="s">
        <v>157</v>
      </c>
      <c r="F845" s="7" t="n">
        <v>2020</v>
      </c>
      <c r="G845" s="7" t="s">
        <v>150</v>
      </c>
      <c r="H845" s="7" t="s">
        <v>78</v>
      </c>
      <c r="I845" s="7" t="n">
        <v>56</v>
      </c>
      <c r="J845" s="7" t="s">
        <v>64</v>
      </c>
      <c r="K845" s="7" t="s">
        <v>79</v>
      </c>
      <c r="L845" s="7" t="s">
        <v>66</v>
      </c>
      <c r="M845" s="7" t="n">
        <v>61.7</v>
      </c>
    </row>
    <row r="846" customFormat="false" ht="15" hidden="false" customHeight="false" outlineLevel="0" collapsed="false">
      <c r="A846" s="7" t="s">
        <v>59</v>
      </c>
      <c r="B846" s="7" t="s">
        <v>155</v>
      </c>
      <c r="C846" s="7" t="s">
        <v>155</v>
      </c>
      <c r="D846" s="7" t="s">
        <v>156</v>
      </c>
      <c r="E846" s="7" t="s">
        <v>157</v>
      </c>
      <c r="F846" s="7" t="n">
        <v>2020</v>
      </c>
      <c r="G846" s="7" t="s">
        <v>136</v>
      </c>
      <c r="H846" s="7" t="s">
        <v>78</v>
      </c>
      <c r="I846" s="7" t="n">
        <v>56</v>
      </c>
      <c r="J846" s="7" t="s">
        <v>64</v>
      </c>
      <c r="K846" s="7" t="s">
        <v>79</v>
      </c>
      <c r="L846" s="7" t="s">
        <v>66</v>
      </c>
      <c r="M846" s="7" t="n">
        <v>54.3</v>
      </c>
    </row>
    <row r="847" customFormat="false" ht="15" hidden="false" customHeight="false" outlineLevel="0" collapsed="false">
      <c r="A847" s="7" t="s">
        <v>59</v>
      </c>
      <c r="B847" s="7" t="s">
        <v>155</v>
      </c>
      <c r="C847" s="7" t="s">
        <v>155</v>
      </c>
      <c r="D847" s="7" t="s">
        <v>156</v>
      </c>
      <c r="E847" s="7" t="s">
        <v>157</v>
      </c>
      <c r="F847" s="7" t="n">
        <v>2020</v>
      </c>
      <c r="G847" s="7" t="s">
        <v>136</v>
      </c>
      <c r="H847" s="7" t="s">
        <v>86</v>
      </c>
      <c r="I847" s="7" t="n">
        <v>56</v>
      </c>
      <c r="J847" s="7" t="s">
        <v>64</v>
      </c>
      <c r="K847" s="7" t="s">
        <v>65</v>
      </c>
      <c r="L847" s="7" t="s">
        <v>66</v>
      </c>
      <c r="M847" s="7" t="n">
        <v>47.4</v>
      </c>
      <c r="N847" s="7" t="n">
        <v>3163</v>
      </c>
    </row>
    <row r="848" customFormat="false" ht="15" hidden="false" customHeight="false" outlineLevel="0" collapsed="false">
      <c r="A848" s="7" t="s">
        <v>59</v>
      </c>
      <c r="B848" s="7" t="s">
        <v>155</v>
      </c>
      <c r="C848" s="7" t="s">
        <v>155</v>
      </c>
      <c r="D848" s="7" t="s">
        <v>156</v>
      </c>
      <c r="E848" s="7" t="s">
        <v>157</v>
      </c>
      <c r="F848" s="7" t="n">
        <v>2020</v>
      </c>
      <c r="G848" s="7" t="s">
        <v>136</v>
      </c>
      <c r="H848" s="7" t="s">
        <v>63</v>
      </c>
      <c r="I848" s="7" t="n">
        <v>56</v>
      </c>
      <c r="J848" s="7" t="s">
        <v>64</v>
      </c>
      <c r="K848" s="7" t="s">
        <v>65</v>
      </c>
      <c r="L848" s="7" t="s">
        <v>66</v>
      </c>
      <c r="M848" s="7" t="n">
        <v>56.6</v>
      </c>
      <c r="N848" s="7" t="n">
        <v>5652</v>
      </c>
    </row>
    <row r="849" customFormat="false" ht="15" hidden="false" customHeight="false" outlineLevel="0" collapsed="false">
      <c r="A849" s="7" t="s">
        <v>59</v>
      </c>
      <c r="B849" s="7" t="s">
        <v>155</v>
      </c>
      <c r="C849" s="7" t="s">
        <v>155</v>
      </c>
      <c r="D849" s="7" t="s">
        <v>156</v>
      </c>
      <c r="E849" s="7" t="s">
        <v>157</v>
      </c>
      <c r="F849" s="7" t="n">
        <v>2020</v>
      </c>
      <c r="G849" s="7" t="s">
        <v>136</v>
      </c>
      <c r="H849" s="7" t="s">
        <v>87</v>
      </c>
      <c r="I849" s="7" t="n">
        <v>56</v>
      </c>
      <c r="J849" s="7" t="s">
        <v>64</v>
      </c>
      <c r="K849" s="7" t="s">
        <v>65</v>
      </c>
      <c r="L849" s="7" t="s">
        <v>66</v>
      </c>
      <c r="M849" s="7" t="n">
        <v>9.2</v>
      </c>
      <c r="N849" s="7" t="n">
        <v>2489</v>
      </c>
    </row>
    <row r="850" customFormat="false" ht="15" hidden="false" customHeight="false" outlineLevel="0" collapsed="false">
      <c r="A850" s="7" t="s">
        <v>59</v>
      </c>
      <c r="B850" s="7" t="s">
        <v>155</v>
      </c>
      <c r="C850" s="7" t="s">
        <v>155</v>
      </c>
      <c r="D850" s="7" t="s">
        <v>156</v>
      </c>
      <c r="E850" s="7" t="s">
        <v>157</v>
      </c>
      <c r="F850" s="7" t="n">
        <v>2020</v>
      </c>
      <c r="G850" s="7" t="s">
        <v>137</v>
      </c>
      <c r="H850" s="7" t="s">
        <v>78</v>
      </c>
      <c r="I850" s="7" t="n">
        <v>56</v>
      </c>
      <c r="J850" s="7" t="s">
        <v>64</v>
      </c>
      <c r="K850" s="7" t="s">
        <v>79</v>
      </c>
      <c r="L850" s="7" t="s">
        <v>66</v>
      </c>
      <c r="M850" s="7" t="n">
        <v>60.6</v>
      </c>
    </row>
    <row r="851" customFormat="false" ht="15" hidden="false" customHeight="false" outlineLevel="0" collapsed="false">
      <c r="A851" s="7" t="s">
        <v>59</v>
      </c>
      <c r="B851" s="7" t="s">
        <v>155</v>
      </c>
      <c r="C851" s="7" t="s">
        <v>155</v>
      </c>
      <c r="D851" s="7" t="s">
        <v>156</v>
      </c>
      <c r="E851" s="7" t="s">
        <v>157</v>
      </c>
      <c r="F851" s="7" t="n">
        <v>2020</v>
      </c>
      <c r="G851" s="7" t="s">
        <v>137</v>
      </c>
      <c r="H851" s="7" t="s">
        <v>86</v>
      </c>
      <c r="I851" s="7" t="n">
        <v>56</v>
      </c>
      <c r="J851" s="7" t="s">
        <v>64</v>
      </c>
      <c r="K851" s="7" t="s">
        <v>65</v>
      </c>
      <c r="L851" s="7" t="s">
        <v>66</v>
      </c>
      <c r="M851" s="7" t="n">
        <v>44.7</v>
      </c>
      <c r="N851" s="7" t="n">
        <v>3163</v>
      </c>
    </row>
    <row r="852" customFormat="false" ht="15" hidden="false" customHeight="false" outlineLevel="0" collapsed="false">
      <c r="A852" s="7" t="s">
        <v>59</v>
      </c>
      <c r="B852" s="7" t="s">
        <v>155</v>
      </c>
      <c r="C852" s="7" t="s">
        <v>155</v>
      </c>
      <c r="D852" s="7" t="s">
        <v>156</v>
      </c>
      <c r="E852" s="7" t="s">
        <v>157</v>
      </c>
      <c r="F852" s="7" t="n">
        <v>2020</v>
      </c>
      <c r="G852" s="7" t="s">
        <v>137</v>
      </c>
      <c r="H852" s="7" t="s">
        <v>63</v>
      </c>
      <c r="I852" s="7" t="n">
        <v>56</v>
      </c>
      <c r="J852" s="7" t="s">
        <v>64</v>
      </c>
      <c r="K852" s="7" t="s">
        <v>65</v>
      </c>
      <c r="L852" s="7" t="s">
        <v>66</v>
      </c>
      <c r="M852" s="7" t="n">
        <v>62.2</v>
      </c>
      <c r="N852" s="7" t="n">
        <v>5652</v>
      </c>
    </row>
    <row r="853" customFormat="false" ht="15" hidden="false" customHeight="false" outlineLevel="0" collapsed="false">
      <c r="A853" s="7" t="s">
        <v>59</v>
      </c>
      <c r="B853" s="7" t="s">
        <v>155</v>
      </c>
      <c r="C853" s="7" t="s">
        <v>155</v>
      </c>
      <c r="D853" s="7" t="s">
        <v>156</v>
      </c>
      <c r="E853" s="7" t="s">
        <v>157</v>
      </c>
      <c r="F853" s="7" t="n">
        <v>2020</v>
      </c>
      <c r="G853" s="7" t="s">
        <v>137</v>
      </c>
      <c r="H853" s="7" t="s">
        <v>87</v>
      </c>
      <c r="I853" s="7" t="n">
        <v>56</v>
      </c>
      <c r="J853" s="7" t="s">
        <v>64</v>
      </c>
      <c r="K853" s="7" t="s">
        <v>65</v>
      </c>
      <c r="L853" s="7" t="s">
        <v>66</v>
      </c>
      <c r="M853" s="7" t="n">
        <v>17.5</v>
      </c>
      <c r="N853" s="7" t="n">
        <v>2489</v>
      </c>
    </row>
    <row r="854" customFormat="false" ht="15" hidden="false" customHeight="false" outlineLevel="0" collapsed="false">
      <c r="A854" s="7" t="s">
        <v>59</v>
      </c>
      <c r="B854" s="7" t="s">
        <v>155</v>
      </c>
      <c r="C854" s="7" t="s">
        <v>155</v>
      </c>
      <c r="D854" s="7" t="s">
        <v>156</v>
      </c>
      <c r="E854" s="7" t="s">
        <v>157</v>
      </c>
      <c r="F854" s="7" t="n">
        <v>2020</v>
      </c>
      <c r="G854" s="7" t="s">
        <v>68</v>
      </c>
      <c r="H854" s="7" t="s">
        <v>78</v>
      </c>
      <c r="I854" s="7" t="n">
        <v>56</v>
      </c>
      <c r="J854" s="7" t="s">
        <v>64</v>
      </c>
      <c r="K854" s="7" t="s">
        <v>79</v>
      </c>
      <c r="L854" s="7" t="s">
        <v>66</v>
      </c>
      <c r="M854" s="7" t="n">
        <v>54</v>
      </c>
    </row>
    <row r="855" customFormat="false" ht="15" hidden="false" customHeight="false" outlineLevel="0" collapsed="false">
      <c r="A855" s="7" t="s">
        <v>59</v>
      </c>
      <c r="B855" s="7" t="s">
        <v>155</v>
      </c>
      <c r="C855" s="7" t="s">
        <v>155</v>
      </c>
      <c r="D855" s="7" t="s">
        <v>156</v>
      </c>
      <c r="E855" s="7" t="s">
        <v>157</v>
      </c>
      <c r="F855" s="7" t="n">
        <v>2020</v>
      </c>
      <c r="G855" s="7" t="s">
        <v>68</v>
      </c>
      <c r="H855" s="7" t="s">
        <v>86</v>
      </c>
      <c r="I855" s="7" t="n">
        <v>56</v>
      </c>
      <c r="J855" s="7" t="s">
        <v>64</v>
      </c>
      <c r="K855" s="7" t="s">
        <v>65</v>
      </c>
      <c r="L855" s="7" t="s">
        <v>66</v>
      </c>
      <c r="M855" s="7" t="n">
        <v>41.6</v>
      </c>
      <c r="N855" s="7" t="n">
        <v>3163</v>
      </c>
    </row>
    <row r="856" customFormat="false" ht="15" hidden="false" customHeight="false" outlineLevel="0" collapsed="false">
      <c r="A856" s="7" t="s">
        <v>59</v>
      </c>
      <c r="B856" s="7" t="s">
        <v>155</v>
      </c>
      <c r="C856" s="7" t="s">
        <v>155</v>
      </c>
      <c r="D856" s="7" t="s">
        <v>156</v>
      </c>
      <c r="E856" s="7" t="s">
        <v>157</v>
      </c>
      <c r="F856" s="7" t="n">
        <v>2020</v>
      </c>
      <c r="G856" s="7" t="s">
        <v>68</v>
      </c>
      <c r="H856" s="7" t="s">
        <v>63</v>
      </c>
      <c r="I856" s="7" t="n">
        <v>56</v>
      </c>
      <c r="J856" s="7" t="s">
        <v>64</v>
      </c>
      <c r="K856" s="7" t="s">
        <v>65</v>
      </c>
      <c r="L856" s="7" t="s">
        <v>66</v>
      </c>
      <c r="M856" s="7" t="n">
        <v>60.3</v>
      </c>
      <c r="N856" s="7" t="n">
        <v>5652</v>
      </c>
    </row>
    <row r="857" customFormat="false" ht="15" hidden="false" customHeight="false" outlineLevel="0" collapsed="false">
      <c r="A857" s="7" t="s">
        <v>59</v>
      </c>
      <c r="B857" s="7" t="s">
        <v>155</v>
      </c>
      <c r="C857" s="7" t="s">
        <v>155</v>
      </c>
      <c r="D857" s="7" t="s">
        <v>156</v>
      </c>
      <c r="E857" s="7" t="s">
        <v>157</v>
      </c>
      <c r="F857" s="7" t="n">
        <v>2020</v>
      </c>
      <c r="G857" s="7" t="s">
        <v>68</v>
      </c>
      <c r="H857" s="7" t="s">
        <v>87</v>
      </c>
      <c r="I857" s="7" t="n">
        <v>56</v>
      </c>
      <c r="J857" s="7" t="s">
        <v>64</v>
      </c>
      <c r="K857" s="7" t="s">
        <v>65</v>
      </c>
      <c r="L857" s="7" t="s">
        <v>66</v>
      </c>
      <c r="M857" s="7" t="n">
        <v>18.8</v>
      </c>
      <c r="N857" s="7" t="n">
        <v>2489</v>
      </c>
    </row>
    <row r="858" customFormat="false" ht="15" hidden="false" customHeight="false" outlineLevel="0" collapsed="false">
      <c r="A858" s="7" t="s">
        <v>59</v>
      </c>
      <c r="B858" s="7" t="s">
        <v>155</v>
      </c>
      <c r="C858" s="7" t="s">
        <v>155</v>
      </c>
      <c r="D858" s="7" t="s">
        <v>156</v>
      </c>
      <c r="E858" s="7" t="s">
        <v>157</v>
      </c>
      <c r="F858" s="7" t="n">
        <v>2020</v>
      </c>
      <c r="G858" s="7" t="s">
        <v>160</v>
      </c>
      <c r="H858" s="7" t="s">
        <v>78</v>
      </c>
      <c r="J858" s="7" t="s">
        <v>64</v>
      </c>
      <c r="K858" s="7" t="s">
        <v>79</v>
      </c>
      <c r="L858" s="7" t="s">
        <v>91</v>
      </c>
      <c r="M858" s="7" t="n">
        <v>4.1</v>
      </c>
    </row>
    <row r="859" customFormat="false" ht="15" hidden="false" customHeight="false" outlineLevel="0" collapsed="false">
      <c r="A859" s="7" t="s">
        <v>59</v>
      </c>
      <c r="B859" s="7" t="s">
        <v>155</v>
      </c>
      <c r="C859" s="7" t="s">
        <v>155</v>
      </c>
      <c r="D859" s="7" t="s">
        <v>156</v>
      </c>
      <c r="E859" s="7" t="s">
        <v>157</v>
      </c>
      <c r="F859" s="7" t="n">
        <v>2020</v>
      </c>
      <c r="G859" s="7" t="s">
        <v>160</v>
      </c>
      <c r="H859" s="7" t="s">
        <v>86</v>
      </c>
      <c r="J859" s="7" t="s">
        <v>64</v>
      </c>
      <c r="K859" s="7" t="s">
        <v>133</v>
      </c>
      <c r="L859" s="7" t="s">
        <v>91</v>
      </c>
      <c r="M859" s="7" t="n">
        <v>18.6</v>
      </c>
      <c r="N859" s="7" t="n">
        <v>2877</v>
      </c>
    </row>
    <row r="860" customFormat="false" ht="15" hidden="false" customHeight="false" outlineLevel="0" collapsed="false">
      <c r="A860" s="7" t="s">
        <v>59</v>
      </c>
      <c r="B860" s="7" t="s">
        <v>155</v>
      </c>
      <c r="C860" s="7" t="s">
        <v>155</v>
      </c>
      <c r="D860" s="7" t="s">
        <v>156</v>
      </c>
      <c r="E860" s="7" t="s">
        <v>157</v>
      </c>
      <c r="F860" s="7" t="n">
        <v>2020</v>
      </c>
      <c r="G860" s="7" t="s">
        <v>160</v>
      </c>
      <c r="H860" s="7" t="s">
        <v>63</v>
      </c>
      <c r="J860" s="7" t="s">
        <v>64</v>
      </c>
      <c r="K860" s="7" t="s">
        <v>133</v>
      </c>
      <c r="L860" s="7" t="s">
        <v>91</v>
      </c>
      <c r="M860" s="7" t="n">
        <v>37.5</v>
      </c>
      <c r="N860" s="7" t="n">
        <v>6100</v>
      </c>
    </row>
    <row r="861" customFormat="false" ht="15" hidden="false" customHeight="false" outlineLevel="0" collapsed="false">
      <c r="A861" s="7" t="s">
        <v>59</v>
      </c>
      <c r="B861" s="7" t="s">
        <v>155</v>
      </c>
      <c r="C861" s="7" t="s">
        <v>155</v>
      </c>
      <c r="D861" s="7" t="s">
        <v>156</v>
      </c>
      <c r="E861" s="7" t="s">
        <v>157</v>
      </c>
      <c r="F861" s="7" t="n">
        <v>2020</v>
      </c>
      <c r="G861" s="7" t="s">
        <v>160</v>
      </c>
      <c r="H861" s="7" t="s">
        <v>87</v>
      </c>
      <c r="J861" s="7" t="s">
        <v>64</v>
      </c>
      <c r="K861" s="7" t="s">
        <v>133</v>
      </c>
      <c r="L861" s="7" t="s">
        <v>91</v>
      </c>
      <c r="M861" s="7" t="n">
        <v>18.9</v>
      </c>
      <c r="N861" s="7" t="n">
        <v>3223</v>
      </c>
    </row>
    <row r="862" customFormat="false" ht="15" hidden="false" customHeight="false" outlineLevel="0" collapsed="false">
      <c r="A862" s="7" t="s">
        <v>59</v>
      </c>
      <c r="B862" s="7" t="s">
        <v>155</v>
      </c>
      <c r="C862" s="7" t="s">
        <v>155</v>
      </c>
      <c r="D862" s="7" t="s">
        <v>156</v>
      </c>
      <c r="E862" s="7" t="s">
        <v>157</v>
      </c>
      <c r="F862" s="7" t="n">
        <v>2020</v>
      </c>
      <c r="G862" s="7" t="s">
        <v>158</v>
      </c>
      <c r="H862" s="7" t="s">
        <v>78</v>
      </c>
      <c r="I862" s="7" t="n">
        <v>56</v>
      </c>
      <c r="J862" s="7" t="s">
        <v>64</v>
      </c>
      <c r="K862" s="7" t="s">
        <v>79</v>
      </c>
      <c r="L862" s="7" t="s">
        <v>66</v>
      </c>
      <c r="M862" s="7" t="n">
        <v>49.3</v>
      </c>
    </row>
    <row r="863" customFormat="false" ht="15" hidden="false" customHeight="false" outlineLevel="0" collapsed="false">
      <c r="A863" s="7" t="s">
        <v>59</v>
      </c>
      <c r="B863" s="7" t="s">
        <v>155</v>
      </c>
      <c r="C863" s="7" t="s">
        <v>155</v>
      </c>
      <c r="D863" s="7" t="s">
        <v>156</v>
      </c>
      <c r="E863" s="7" t="s">
        <v>157</v>
      </c>
      <c r="F863" s="7" t="n">
        <v>2020</v>
      </c>
      <c r="G863" s="7" t="s">
        <v>158</v>
      </c>
      <c r="H863" s="7" t="s">
        <v>86</v>
      </c>
      <c r="I863" s="7" t="n">
        <v>56</v>
      </c>
      <c r="J863" s="7" t="s">
        <v>64</v>
      </c>
      <c r="K863" s="7" t="s">
        <v>65</v>
      </c>
      <c r="L863" s="7" t="s">
        <v>66</v>
      </c>
      <c r="M863" s="7" t="n">
        <v>37.5</v>
      </c>
      <c r="N863" s="7" t="n">
        <v>3163</v>
      </c>
    </row>
    <row r="864" customFormat="false" ht="15" hidden="false" customHeight="false" outlineLevel="0" collapsed="false">
      <c r="A864" s="7" t="s">
        <v>59</v>
      </c>
      <c r="B864" s="7" t="s">
        <v>155</v>
      </c>
      <c r="C864" s="7" t="s">
        <v>155</v>
      </c>
      <c r="D864" s="7" t="s">
        <v>156</v>
      </c>
      <c r="E864" s="7" t="s">
        <v>157</v>
      </c>
      <c r="F864" s="7" t="n">
        <v>2020</v>
      </c>
      <c r="G864" s="7" t="s">
        <v>158</v>
      </c>
      <c r="H864" s="7" t="s">
        <v>63</v>
      </c>
      <c r="I864" s="7" t="n">
        <v>56</v>
      </c>
      <c r="J864" s="7" t="s">
        <v>64</v>
      </c>
      <c r="K864" s="7" t="s">
        <v>65</v>
      </c>
      <c r="L864" s="7" t="s">
        <v>66</v>
      </c>
      <c r="M864" s="7" t="n">
        <v>54.9</v>
      </c>
      <c r="N864" s="7" t="n">
        <v>5652</v>
      </c>
    </row>
    <row r="865" customFormat="false" ht="15" hidden="false" customHeight="false" outlineLevel="0" collapsed="false">
      <c r="A865" s="7" t="s">
        <v>59</v>
      </c>
      <c r="B865" s="7" t="s">
        <v>155</v>
      </c>
      <c r="C865" s="7" t="s">
        <v>155</v>
      </c>
      <c r="D865" s="7" t="s">
        <v>156</v>
      </c>
      <c r="E865" s="7" t="s">
        <v>157</v>
      </c>
      <c r="F865" s="7" t="n">
        <v>2020</v>
      </c>
      <c r="G865" s="7" t="s">
        <v>158</v>
      </c>
      <c r="H865" s="7" t="s">
        <v>87</v>
      </c>
      <c r="I865" s="7" t="n">
        <v>56</v>
      </c>
      <c r="J865" s="7" t="s">
        <v>64</v>
      </c>
      <c r="K865" s="7" t="s">
        <v>65</v>
      </c>
      <c r="L865" s="7" t="s">
        <v>66</v>
      </c>
      <c r="M865" s="7" t="n">
        <v>17.4</v>
      </c>
      <c r="N865" s="7" t="n">
        <v>2489</v>
      </c>
    </row>
    <row r="866" customFormat="false" ht="15" hidden="false" customHeight="false" outlineLevel="0" collapsed="false">
      <c r="A866" s="7" t="s">
        <v>59</v>
      </c>
      <c r="B866" s="7" t="s">
        <v>155</v>
      </c>
      <c r="C866" s="7" t="s">
        <v>155</v>
      </c>
      <c r="D866" s="7" t="s">
        <v>156</v>
      </c>
      <c r="E866" s="7" t="s">
        <v>157</v>
      </c>
      <c r="F866" s="7" t="n">
        <v>2020</v>
      </c>
      <c r="G866" s="7" t="s">
        <v>106</v>
      </c>
      <c r="H866" s="7" t="s">
        <v>63</v>
      </c>
      <c r="J866" s="7" t="s">
        <v>64</v>
      </c>
      <c r="L866" s="7" t="s">
        <v>71</v>
      </c>
      <c r="M866" s="7" t="n">
        <v>70.2</v>
      </c>
      <c r="N866" s="7" t="n">
        <v>9813</v>
      </c>
    </row>
    <row r="867" customFormat="false" ht="15" hidden="false" customHeight="false" outlineLevel="0" collapsed="false">
      <c r="A867" s="7" t="s">
        <v>59</v>
      </c>
      <c r="B867" s="7" t="s">
        <v>155</v>
      </c>
      <c r="C867" s="7" t="s">
        <v>155</v>
      </c>
      <c r="D867" s="7" t="s">
        <v>156</v>
      </c>
      <c r="E867" s="7" t="s">
        <v>157</v>
      </c>
      <c r="F867" s="7" t="n">
        <v>2020</v>
      </c>
      <c r="G867" s="7" t="s">
        <v>138</v>
      </c>
      <c r="H867" s="7" t="s">
        <v>78</v>
      </c>
      <c r="I867" s="7" t="n">
        <v>56</v>
      </c>
      <c r="J867" s="7" t="s">
        <v>64</v>
      </c>
      <c r="K867" s="7" t="s">
        <v>79</v>
      </c>
      <c r="L867" s="7" t="s">
        <v>66</v>
      </c>
      <c r="M867" s="7" t="n">
        <v>67.2</v>
      </c>
    </row>
    <row r="868" customFormat="false" ht="15" hidden="false" customHeight="false" outlineLevel="0" collapsed="false">
      <c r="A868" s="7" t="s">
        <v>59</v>
      </c>
      <c r="B868" s="7" t="s">
        <v>155</v>
      </c>
      <c r="C868" s="7" t="s">
        <v>155</v>
      </c>
      <c r="D868" s="7" t="s">
        <v>156</v>
      </c>
      <c r="E868" s="7" t="s">
        <v>157</v>
      </c>
      <c r="F868" s="7" t="n">
        <v>2020</v>
      </c>
      <c r="G868" s="7" t="s">
        <v>138</v>
      </c>
      <c r="H868" s="7" t="s">
        <v>86</v>
      </c>
      <c r="I868" s="7" t="n">
        <v>56</v>
      </c>
      <c r="J868" s="7" t="s">
        <v>64</v>
      </c>
      <c r="K868" s="7" t="s">
        <v>65</v>
      </c>
      <c r="L868" s="7" t="s">
        <v>66</v>
      </c>
      <c r="M868" s="7" t="n">
        <v>53.5</v>
      </c>
      <c r="N868" s="7" t="n">
        <v>3163</v>
      </c>
    </row>
    <row r="869" customFormat="false" ht="15" hidden="false" customHeight="false" outlineLevel="0" collapsed="false">
      <c r="A869" s="7" t="s">
        <v>59</v>
      </c>
      <c r="B869" s="7" t="s">
        <v>155</v>
      </c>
      <c r="C869" s="7" t="s">
        <v>155</v>
      </c>
      <c r="D869" s="7" t="s">
        <v>156</v>
      </c>
      <c r="E869" s="7" t="s">
        <v>157</v>
      </c>
      <c r="F869" s="7" t="n">
        <v>2020</v>
      </c>
      <c r="G869" s="7" t="s">
        <v>138</v>
      </c>
      <c r="H869" s="7" t="s">
        <v>63</v>
      </c>
      <c r="I869" s="7" t="n">
        <v>56</v>
      </c>
      <c r="J869" s="7" t="s">
        <v>64</v>
      </c>
      <c r="K869" s="7" t="s">
        <v>65</v>
      </c>
      <c r="L869" s="7" t="s">
        <v>66</v>
      </c>
      <c r="M869" s="7" t="n">
        <v>69.1</v>
      </c>
      <c r="N869" s="7" t="n">
        <v>5652</v>
      </c>
    </row>
    <row r="870" customFormat="false" ht="15" hidden="false" customHeight="false" outlineLevel="0" collapsed="false">
      <c r="A870" s="7" t="s">
        <v>59</v>
      </c>
      <c r="B870" s="7" t="s">
        <v>155</v>
      </c>
      <c r="C870" s="7" t="s">
        <v>155</v>
      </c>
      <c r="D870" s="7" t="s">
        <v>156</v>
      </c>
      <c r="E870" s="7" t="s">
        <v>157</v>
      </c>
      <c r="F870" s="7" t="n">
        <v>2020</v>
      </c>
      <c r="G870" s="7" t="s">
        <v>138</v>
      </c>
      <c r="H870" s="7" t="s">
        <v>87</v>
      </c>
      <c r="I870" s="7" t="n">
        <v>56</v>
      </c>
      <c r="J870" s="7" t="s">
        <v>64</v>
      </c>
      <c r="K870" s="7" t="s">
        <v>65</v>
      </c>
      <c r="L870" s="7" t="s">
        <v>66</v>
      </c>
      <c r="M870" s="7" t="n">
        <v>15.6</v>
      </c>
      <c r="N870" s="7" t="n">
        <v>2489</v>
      </c>
    </row>
    <row r="871" customFormat="false" ht="15" hidden="false" customHeight="false" outlineLevel="0" collapsed="false">
      <c r="A871" s="7" t="s">
        <v>59</v>
      </c>
      <c r="B871" s="7" t="s">
        <v>155</v>
      </c>
      <c r="C871" s="7" t="s">
        <v>155</v>
      </c>
      <c r="D871" s="7" t="s">
        <v>156</v>
      </c>
      <c r="E871" s="7" t="s">
        <v>157</v>
      </c>
      <c r="F871" s="7" t="n">
        <v>2020</v>
      </c>
      <c r="G871" s="7" t="s">
        <v>139</v>
      </c>
      <c r="H871" s="7" t="s">
        <v>87</v>
      </c>
      <c r="I871" s="7" t="n">
        <v>56</v>
      </c>
      <c r="J871" s="7" t="s">
        <v>64</v>
      </c>
      <c r="K871" s="7" t="s">
        <v>65</v>
      </c>
      <c r="L871" s="7" t="s">
        <v>66</v>
      </c>
      <c r="M871" s="7" t="n">
        <v>12</v>
      </c>
      <c r="N871" s="7" t="n">
        <v>2489</v>
      </c>
    </row>
    <row r="872" customFormat="false" ht="15" hidden="false" customHeight="false" outlineLevel="0" collapsed="false">
      <c r="A872" s="7" t="s">
        <v>59</v>
      </c>
      <c r="B872" s="7" t="s">
        <v>155</v>
      </c>
      <c r="C872" s="7" t="s">
        <v>155</v>
      </c>
      <c r="D872" s="7" t="s">
        <v>156</v>
      </c>
      <c r="E872" s="7" t="s">
        <v>157</v>
      </c>
      <c r="F872" s="7" t="n">
        <v>2020</v>
      </c>
      <c r="G872" s="7" t="s">
        <v>139</v>
      </c>
      <c r="H872" s="7" t="s">
        <v>78</v>
      </c>
      <c r="I872" s="7" t="n">
        <v>56</v>
      </c>
      <c r="J872" s="7" t="s">
        <v>64</v>
      </c>
      <c r="K872" s="7" t="s">
        <v>79</v>
      </c>
      <c r="L872" s="7" t="s">
        <v>66</v>
      </c>
      <c r="M872" s="7" t="n">
        <v>59.9</v>
      </c>
    </row>
    <row r="873" customFormat="false" ht="15" hidden="false" customHeight="false" outlineLevel="0" collapsed="false">
      <c r="A873" s="7" t="s">
        <v>59</v>
      </c>
      <c r="B873" s="7" t="s">
        <v>155</v>
      </c>
      <c r="C873" s="7" t="s">
        <v>155</v>
      </c>
      <c r="D873" s="7" t="s">
        <v>156</v>
      </c>
      <c r="E873" s="7" t="s">
        <v>157</v>
      </c>
      <c r="F873" s="7" t="n">
        <v>2020</v>
      </c>
      <c r="G873" s="7" t="s">
        <v>139</v>
      </c>
      <c r="H873" s="7" t="s">
        <v>86</v>
      </c>
      <c r="I873" s="7" t="n">
        <v>56</v>
      </c>
      <c r="J873" s="7" t="s">
        <v>64</v>
      </c>
      <c r="K873" s="7" t="s">
        <v>65</v>
      </c>
      <c r="L873" s="7" t="s">
        <v>66</v>
      </c>
      <c r="M873" s="7" t="n">
        <v>50.6</v>
      </c>
      <c r="N873" s="7" t="n">
        <v>3163</v>
      </c>
    </row>
    <row r="874" customFormat="false" ht="15" hidden="false" customHeight="false" outlineLevel="0" collapsed="false">
      <c r="A874" s="7" t="s">
        <v>59</v>
      </c>
      <c r="B874" s="7" t="s">
        <v>155</v>
      </c>
      <c r="C874" s="7" t="s">
        <v>155</v>
      </c>
      <c r="D874" s="7" t="s">
        <v>156</v>
      </c>
      <c r="E874" s="7" t="s">
        <v>157</v>
      </c>
      <c r="F874" s="7" t="n">
        <v>2020</v>
      </c>
      <c r="G874" s="7" t="s">
        <v>139</v>
      </c>
      <c r="H874" s="7" t="s">
        <v>63</v>
      </c>
      <c r="I874" s="7" t="n">
        <v>56</v>
      </c>
      <c r="J874" s="7" t="s">
        <v>64</v>
      </c>
      <c r="K874" s="7" t="s">
        <v>65</v>
      </c>
      <c r="L874" s="7" t="s">
        <v>66</v>
      </c>
      <c r="M874" s="7" t="n">
        <v>62.6</v>
      </c>
      <c r="N874" s="7" t="n">
        <v>5652</v>
      </c>
    </row>
    <row r="875" customFormat="false" ht="15" hidden="false" customHeight="false" outlineLevel="0" collapsed="false">
      <c r="A875" s="7" t="s">
        <v>59</v>
      </c>
      <c r="B875" s="7" t="s">
        <v>155</v>
      </c>
      <c r="C875" s="7" t="s">
        <v>155</v>
      </c>
      <c r="D875" s="7" t="s">
        <v>156</v>
      </c>
      <c r="E875" s="7" t="s">
        <v>157</v>
      </c>
      <c r="F875" s="7" t="n">
        <v>2020</v>
      </c>
      <c r="G875" s="7" t="s">
        <v>140</v>
      </c>
      <c r="H875" s="7" t="s">
        <v>78</v>
      </c>
      <c r="I875" s="7" t="n">
        <v>56</v>
      </c>
      <c r="J875" s="7" t="s">
        <v>64</v>
      </c>
      <c r="K875" s="7" t="s">
        <v>79</v>
      </c>
      <c r="L875" s="7" t="s">
        <v>66</v>
      </c>
      <c r="M875" s="7" t="n">
        <v>52.8</v>
      </c>
    </row>
    <row r="876" customFormat="false" ht="15" hidden="false" customHeight="false" outlineLevel="0" collapsed="false">
      <c r="A876" s="7" t="s">
        <v>59</v>
      </c>
      <c r="B876" s="7" t="s">
        <v>155</v>
      </c>
      <c r="C876" s="7" t="s">
        <v>155</v>
      </c>
      <c r="D876" s="7" t="s">
        <v>156</v>
      </c>
      <c r="E876" s="7" t="s">
        <v>157</v>
      </c>
      <c r="F876" s="7" t="n">
        <v>2020</v>
      </c>
      <c r="G876" s="7" t="s">
        <v>140</v>
      </c>
      <c r="H876" s="7" t="s">
        <v>86</v>
      </c>
      <c r="I876" s="7" t="n">
        <v>56</v>
      </c>
      <c r="J876" s="7" t="s">
        <v>64</v>
      </c>
      <c r="K876" s="7" t="s">
        <v>65</v>
      </c>
      <c r="L876" s="7" t="s">
        <v>66</v>
      </c>
      <c r="M876" s="7" t="n">
        <v>47.4</v>
      </c>
      <c r="N876" s="7" t="n">
        <v>3163</v>
      </c>
    </row>
    <row r="877" customFormat="false" ht="15" hidden="false" customHeight="false" outlineLevel="0" collapsed="false">
      <c r="A877" s="7" t="s">
        <v>59</v>
      </c>
      <c r="B877" s="7" t="s">
        <v>155</v>
      </c>
      <c r="C877" s="7" t="s">
        <v>155</v>
      </c>
      <c r="D877" s="7" t="s">
        <v>156</v>
      </c>
      <c r="E877" s="7" t="s">
        <v>157</v>
      </c>
      <c r="F877" s="7" t="n">
        <v>2020</v>
      </c>
      <c r="G877" s="7" t="s">
        <v>140</v>
      </c>
      <c r="H877" s="7" t="s">
        <v>63</v>
      </c>
      <c r="I877" s="7" t="n">
        <v>56</v>
      </c>
      <c r="J877" s="7" t="s">
        <v>64</v>
      </c>
      <c r="K877" s="7" t="s">
        <v>65</v>
      </c>
      <c r="L877" s="7" t="s">
        <v>66</v>
      </c>
      <c r="M877" s="7" t="n">
        <v>54.7</v>
      </c>
      <c r="N877" s="7" t="n">
        <v>5652</v>
      </c>
    </row>
    <row r="878" customFormat="false" ht="15" hidden="false" customHeight="false" outlineLevel="0" collapsed="false">
      <c r="A878" s="7" t="s">
        <v>59</v>
      </c>
      <c r="B878" s="7" t="s">
        <v>155</v>
      </c>
      <c r="C878" s="7" t="s">
        <v>155</v>
      </c>
      <c r="D878" s="7" t="s">
        <v>156</v>
      </c>
      <c r="E878" s="7" t="s">
        <v>157</v>
      </c>
      <c r="F878" s="7" t="n">
        <v>2020</v>
      </c>
      <c r="G878" s="7" t="s">
        <v>140</v>
      </c>
      <c r="H878" s="7" t="s">
        <v>87</v>
      </c>
      <c r="I878" s="7" t="n">
        <v>56</v>
      </c>
      <c r="J878" s="7" t="s">
        <v>64</v>
      </c>
      <c r="K878" s="7" t="s">
        <v>65</v>
      </c>
      <c r="L878" s="7" t="s">
        <v>66</v>
      </c>
      <c r="M878" s="7" t="n">
        <v>7.3</v>
      </c>
      <c r="N878" s="7" t="n">
        <v>2489</v>
      </c>
    </row>
    <row r="879" customFormat="false" ht="15" hidden="false" customHeight="false" outlineLevel="0" collapsed="false">
      <c r="A879" s="7" t="s">
        <v>59</v>
      </c>
      <c r="B879" s="7" t="s">
        <v>155</v>
      </c>
      <c r="C879" s="7" t="s">
        <v>155</v>
      </c>
      <c r="D879" s="7" t="s">
        <v>156</v>
      </c>
      <c r="E879" s="7" t="s">
        <v>157</v>
      </c>
      <c r="F879" s="7" t="n">
        <v>2020</v>
      </c>
      <c r="G879" s="7" t="s">
        <v>151</v>
      </c>
      <c r="H879" s="7" t="s">
        <v>78</v>
      </c>
      <c r="I879" s="7" t="n">
        <v>56</v>
      </c>
      <c r="J879" s="7" t="s">
        <v>64</v>
      </c>
      <c r="K879" s="7" t="s">
        <v>79</v>
      </c>
      <c r="L879" s="7" t="s">
        <v>66</v>
      </c>
      <c r="M879" s="7" t="n">
        <v>69.3</v>
      </c>
    </row>
    <row r="880" customFormat="false" ht="15" hidden="false" customHeight="false" outlineLevel="0" collapsed="false">
      <c r="A880" s="7" t="s">
        <v>59</v>
      </c>
      <c r="B880" s="7" t="s">
        <v>155</v>
      </c>
      <c r="C880" s="7" t="s">
        <v>155</v>
      </c>
      <c r="D880" s="7" t="s">
        <v>156</v>
      </c>
      <c r="E880" s="7" t="s">
        <v>157</v>
      </c>
      <c r="F880" s="7" t="n">
        <v>2020</v>
      </c>
      <c r="G880" s="7" t="s">
        <v>151</v>
      </c>
      <c r="H880" s="7" t="s">
        <v>86</v>
      </c>
      <c r="I880" s="7" t="n">
        <v>56</v>
      </c>
      <c r="J880" s="7" t="s">
        <v>64</v>
      </c>
      <c r="K880" s="7" t="s">
        <v>65</v>
      </c>
      <c r="L880" s="7" t="s">
        <v>66</v>
      </c>
      <c r="M880" s="7" t="n">
        <v>52.3</v>
      </c>
      <c r="N880" s="7" t="n">
        <v>3163</v>
      </c>
    </row>
    <row r="881" customFormat="false" ht="15" hidden="false" customHeight="false" outlineLevel="0" collapsed="false">
      <c r="A881" s="7" t="s">
        <v>59</v>
      </c>
      <c r="B881" s="7" t="s">
        <v>155</v>
      </c>
      <c r="C881" s="7" t="s">
        <v>155</v>
      </c>
      <c r="D881" s="7" t="s">
        <v>156</v>
      </c>
      <c r="E881" s="7" t="s">
        <v>157</v>
      </c>
      <c r="F881" s="7" t="n">
        <v>2020</v>
      </c>
      <c r="G881" s="7" t="s">
        <v>151</v>
      </c>
      <c r="H881" s="7" t="s">
        <v>63</v>
      </c>
      <c r="I881" s="7" t="n">
        <v>56</v>
      </c>
      <c r="J881" s="7" t="s">
        <v>64</v>
      </c>
      <c r="K881" s="7" t="s">
        <v>65</v>
      </c>
      <c r="L881" s="7" t="s">
        <v>66</v>
      </c>
      <c r="M881" s="7" t="n">
        <v>70.2</v>
      </c>
      <c r="N881" s="7" t="n">
        <v>5652</v>
      </c>
    </row>
    <row r="882" customFormat="false" ht="15" hidden="false" customHeight="false" outlineLevel="0" collapsed="false">
      <c r="A882" s="7" t="s">
        <v>59</v>
      </c>
      <c r="B882" s="7" t="s">
        <v>155</v>
      </c>
      <c r="C882" s="7" t="s">
        <v>155</v>
      </c>
      <c r="D882" s="7" t="s">
        <v>156</v>
      </c>
      <c r="E882" s="7" t="s">
        <v>157</v>
      </c>
      <c r="F882" s="7" t="n">
        <v>2020</v>
      </c>
      <c r="G882" s="7" t="s">
        <v>151</v>
      </c>
      <c r="H882" s="7" t="s">
        <v>87</v>
      </c>
      <c r="I882" s="7" t="n">
        <v>56</v>
      </c>
      <c r="J882" s="7" t="s">
        <v>64</v>
      </c>
      <c r="K882" s="7" t="s">
        <v>65</v>
      </c>
      <c r="L882" s="7" t="s">
        <v>66</v>
      </c>
      <c r="M882" s="7" t="n">
        <v>17.9</v>
      </c>
      <c r="N882" s="7" t="n">
        <v>2489</v>
      </c>
    </row>
    <row r="883" customFormat="false" ht="15" hidden="false" customHeight="false" outlineLevel="0" collapsed="false">
      <c r="A883" s="7" t="s">
        <v>59</v>
      </c>
      <c r="B883" s="7" t="s">
        <v>155</v>
      </c>
      <c r="C883" s="7" t="s">
        <v>155</v>
      </c>
      <c r="D883" s="7" t="s">
        <v>156</v>
      </c>
      <c r="E883" s="7" t="s">
        <v>157</v>
      </c>
      <c r="F883" s="7" t="n">
        <v>2020</v>
      </c>
      <c r="G883" s="7" t="s">
        <v>83</v>
      </c>
      <c r="H883" s="7" t="s">
        <v>78</v>
      </c>
      <c r="I883" s="7" t="n">
        <v>56</v>
      </c>
      <c r="J883" s="7" t="s">
        <v>64</v>
      </c>
      <c r="K883" s="7" t="s">
        <v>79</v>
      </c>
      <c r="L883" s="7" t="s">
        <v>66</v>
      </c>
      <c r="M883" s="7" t="n">
        <v>75</v>
      </c>
    </row>
    <row r="884" customFormat="false" ht="15" hidden="false" customHeight="false" outlineLevel="0" collapsed="false">
      <c r="A884" s="7" t="s">
        <v>59</v>
      </c>
      <c r="B884" s="7" t="s">
        <v>155</v>
      </c>
      <c r="C884" s="7" t="s">
        <v>155</v>
      </c>
      <c r="D884" s="7" t="s">
        <v>156</v>
      </c>
      <c r="E884" s="7" t="s">
        <v>157</v>
      </c>
      <c r="F884" s="7" t="n">
        <v>2020</v>
      </c>
      <c r="G884" s="7" t="s">
        <v>83</v>
      </c>
      <c r="H884" s="7" t="s">
        <v>86</v>
      </c>
      <c r="I884" s="7" t="n">
        <v>56</v>
      </c>
      <c r="J884" s="7" t="s">
        <v>64</v>
      </c>
      <c r="K884" s="7" t="s">
        <v>65</v>
      </c>
      <c r="L884" s="7" t="s">
        <v>66</v>
      </c>
      <c r="M884" s="7" t="n">
        <v>53.6</v>
      </c>
      <c r="N884" s="7" t="n">
        <v>3163</v>
      </c>
    </row>
    <row r="885" customFormat="false" ht="15" hidden="false" customHeight="false" outlineLevel="0" collapsed="false">
      <c r="A885" s="7" t="s">
        <v>59</v>
      </c>
      <c r="B885" s="7" t="s">
        <v>155</v>
      </c>
      <c r="C885" s="7" t="s">
        <v>155</v>
      </c>
      <c r="D885" s="7" t="s">
        <v>156</v>
      </c>
      <c r="E885" s="7" t="s">
        <v>157</v>
      </c>
      <c r="F885" s="7" t="n">
        <v>2020</v>
      </c>
      <c r="G885" s="7" t="s">
        <v>83</v>
      </c>
      <c r="H885" s="7" t="s">
        <v>63</v>
      </c>
      <c r="I885" s="7" t="n">
        <v>56</v>
      </c>
      <c r="J885" s="7" t="s">
        <v>64</v>
      </c>
      <c r="K885" s="7" t="s">
        <v>65</v>
      </c>
      <c r="L885" s="7" t="s">
        <v>66</v>
      </c>
      <c r="M885" s="7" t="n">
        <v>78</v>
      </c>
      <c r="N885" s="7" t="n">
        <v>5652</v>
      </c>
    </row>
    <row r="886" customFormat="false" ht="15" hidden="false" customHeight="false" outlineLevel="0" collapsed="false">
      <c r="A886" s="7" t="s">
        <v>59</v>
      </c>
      <c r="B886" s="7" t="s">
        <v>155</v>
      </c>
      <c r="C886" s="7" t="s">
        <v>155</v>
      </c>
      <c r="D886" s="7" t="s">
        <v>156</v>
      </c>
      <c r="E886" s="7" t="s">
        <v>157</v>
      </c>
      <c r="F886" s="7" t="n">
        <v>2020</v>
      </c>
      <c r="G886" s="7" t="s">
        <v>83</v>
      </c>
      <c r="H886" s="7" t="s">
        <v>87</v>
      </c>
      <c r="I886" s="7" t="n">
        <v>56</v>
      </c>
      <c r="J886" s="7" t="s">
        <v>64</v>
      </c>
      <c r="K886" s="7" t="s">
        <v>65</v>
      </c>
      <c r="L886" s="7" t="s">
        <v>66</v>
      </c>
      <c r="M886" s="7" t="n">
        <v>24.4</v>
      </c>
      <c r="N886" s="7" t="n">
        <v>2489</v>
      </c>
    </row>
    <row r="887" customFormat="false" ht="15" hidden="false" customHeight="false" outlineLevel="0" collapsed="false">
      <c r="A887" s="7" t="s">
        <v>59</v>
      </c>
      <c r="B887" s="7" t="s">
        <v>155</v>
      </c>
      <c r="C887" s="7" t="s">
        <v>155</v>
      </c>
      <c r="D887" s="7" t="s">
        <v>156</v>
      </c>
      <c r="E887" s="7" t="s">
        <v>157</v>
      </c>
      <c r="F887" s="7" t="n">
        <v>2020</v>
      </c>
      <c r="G887" s="7" t="s">
        <v>141</v>
      </c>
      <c r="H887" s="7" t="s">
        <v>78</v>
      </c>
      <c r="I887" s="7" t="n">
        <v>56</v>
      </c>
      <c r="J887" s="7" t="s">
        <v>64</v>
      </c>
      <c r="K887" s="7" t="s">
        <v>79</v>
      </c>
      <c r="L887" s="7" t="s">
        <v>66</v>
      </c>
      <c r="M887" s="7" t="n">
        <v>64.4</v>
      </c>
    </row>
    <row r="888" customFormat="false" ht="15" hidden="false" customHeight="false" outlineLevel="0" collapsed="false">
      <c r="A888" s="7" t="s">
        <v>59</v>
      </c>
      <c r="B888" s="7" t="s">
        <v>155</v>
      </c>
      <c r="C888" s="7" t="s">
        <v>155</v>
      </c>
      <c r="D888" s="7" t="s">
        <v>156</v>
      </c>
      <c r="E888" s="7" t="s">
        <v>157</v>
      </c>
      <c r="F888" s="7" t="n">
        <v>2020</v>
      </c>
      <c r="G888" s="7" t="s">
        <v>141</v>
      </c>
      <c r="H888" s="7" t="s">
        <v>86</v>
      </c>
      <c r="I888" s="7" t="n">
        <v>56</v>
      </c>
      <c r="J888" s="7" t="s">
        <v>64</v>
      </c>
      <c r="K888" s="7" t="s">
        <v>65</v>
      </c>
      <c r="L888" s="7" t="s">
        <v>66</v>
      </c>
      <c r="M888" s="7" t="n">
        <v>50.7</v>
      </c>
      <c r="N888" s="7" t="n">
        <v>3163</v>
      </c>
    </row>
    <row r="889" customFormat="false" ht="15" hidden="false" customHeight="false" outlineLevel="0" collapsed="false">
      <c r="A889" s="7" t="s">
        <v>59</v>
      </c>
      <c r="B889" s="7" t="s">
        <v>155</v>
      </c>
      <c r="C889" s="7" t="s">
        <v>155</v>
      </c>
      <c r="D889" s="7" t="s">
        <v>156</v>
      </c>
      <c r="E889" s="7" t="s">
        <v>157</v>
      </c>
      <c r="F889" s="7" t="n">
        <v>2020</v>
      </c>
      <c r="G889" s="7" t="s">
        <v>141</v>
      </c>
      <c r="H889" s="7" t="s">
        <v>63</v>
      </c>
      <c r="I889" s="7" t="n">
        <v>56</v>
      </c>
      <c r="J889" s="7" t="s">
        <v>64</v>
      </c>
      <c r="K889" s="7" t="s">
        <v>65</v>
      </c>
      <c r="L889" s="7" t="s">
        <v>66</v>
      </c>
      <c r="M889" s="7" t="n">
        <v>68.4</v>
      </c>
      <c r="N889" s="7" t="n">
        <v>5652</v>
      </c>
    </row>
    <row r="890" customFormat="false" ht="15" hidden="false" customHeight="false" outlineLevel="0" collapsed="false">
      <c r="A890" s="7" t="s">
        <v>59</v>
      </c>
      <c r="B890" s="7" t="s">
        <v>155</v>
      </c>
      <c r="C890" s="7" t="s">
        <v>155</v>
      </c>
      <c r="D890" s="7" t="s">
        <v>156</v>
      </c>
      <c r="E890" s="7" t="s">
        <v>157</v>
      </c>
      <c r="F890" s="7" t="n">
        <v>2020</v>
      </c>
      <c r="G890" s="7" t="s">
        <v>141</v>
      </c>
      <c r="H890" s="7" t="s">
        <v>87</v>
      </c>
      <c r="I890" s="7" t="n">
        <v>56</v>
      </c>
      <c r="J890" s="7" t="s">
        <v>64</v>
      </c>
      <c r="K890" s="7" t="s">
        <v>65</v>
      </c>
      <c r="L890" s="7" t="s">
        <v>66</v>
      </c>
      <c r="M890" s="7" t="n">
        <v>17.7</v>
      </c>
      <c r="N890" s="7" t="n">
        <v>2489</v>
      </c>
    </row>
    <row r="891" customFormat="false" ht="15" hidden="false" customHeight="false" outlineLevel="0" collapsed="false">
      <c r="A891" s="7" t="s">
        <v>59</v>
      </c>
      <c r="B891" s="7" t="s">
        <v>155</v>
      </c>
      <c r="C891" s="7" t="s">
        <v>155</v>
      </c>
      <c r="D891" s="7" t="s">
        <v>156</v>
      </c>
      <c r="E891" s="7" t="s">
        <v>157</v>
      </c>
      <c r="F891" s="7" t="n">
        <v>2020</v>
      </c>
      <c r="G891" s="7" t="s">
        <v>69</v>
      </c>
      <c r="H891" s="7" t="s">
        <v>78</v>
      </c>
      <c r="I891" s="7" t="n">
        <v>56</v>
      </c>
      <c r="J891" s="7" t="s">
        <v>64</v>
      </c>
      <c r="K891" s="7" t="s">
        <v>79</v>
      </c>
      <c r="L891" s="7" t="s">
        <v>66</v>
      </c>
      <c r="M891" s="7" t="n">
        <v>53.8</v>
      </c>
    </row>
    <row r="892" customFormat="false" ht="15" hidden="false" customHeight="false" outlineLevel="0" collapsed="false">
      <c r="A892" s="7" t="s">
        <v>59</v>
      </c>
      <c r="B892" s="7" t="s">
        <v>155</v>
      </c>
      <c r="C892" s="7" t="s">
        <v>155</v>
      </c>
      <c r="D892" s="7" t="s">
        <v>156</v>
      </c>
      <c r="E892" s="7" t="s">
        <v>157</v>
      </c>
      <c r="F892" s="7" t="n">
        <v>2020</v>
      </c>
      <c r="G892" s="7" t="s">
        <v>69</v>
      </c>
      <c r="H892" s="7" t="s">
        <v>86</v>
      </c>
      <c r="I892" s="7" t="n">
        <v>56</v>
      </c>
      <c r="J892" s="7" t="s">
        <v>64</v>
      </c>
      <c r="K892" s="7" t="s">
        <v>65</v>
      </c>
      <c r="L892" s="7" t="s">
        <v>66</v>
      </c>
      <c r="M892" s="7" t="n">
        <v>47.7</v>
      </c>
      <c r="N892" s="7" t="n">
        <v>3163</v>
      </c>
    </row>
    <row r="893" customFormat="false" ht="15" hidden="false" customHeight="false" outlineLevel="0" collapsed="false">
      <c r="A893" s="7" t="s">
        <v>59</v>
      </c>
      <c r="B893" s="7" t="s">
        <v>155</v>
      </c>
      <c r="C893" s="7" t="s">
        <v>155</v>
      </c>
      <c r="D893" s="7" t="s">
        <v>156</v>
      </c>
      <c r="E893" s="7" t="s">
        <v>157</v>
      </c>
      <c r="F893" s="7" t="n">
        <v>2020</v>
      </c>
      <c r="G893" s="7" t="s">
        <v>69</v>
      </c>
      <c r="H893" s="7" t="s">
        <v>63</v>
      </c>
      <c r="I893" s="7" t="n">
        <v>56</v>
      </c>
      <c r="J893" s="7" t="s">
        <v>64</v>
      </c>
      <c r="K893" s="7" t="s">
        <v>65</v>
      </c>
      <c r="L893" s="7" t="s">
        <v>66</v>
      </c>
      <c r="M893" s="7" t="n">
        <v>56.2</v>
      </c>
      <c r="N893" s="7" t="n">
        <v>5652</v>
      </c>
    </row>
    <row r="894" customFormat="false" ht="15" hidden="false" customHeight="false" outlineLevel="0" collapsed="false">
      <c r="A894" s="7" t="s">
        <v>59</v>
      </c>
      <c r="B894" s="7" t="s">
        <v>155</v>
      </c>
      <c r="C894" s="7" t="s">
        <v>155</v>
      </c>
      <c r="D894" s="7" t="s">
        <v>156</v>
      </c>
      <c r="E894" s="7" t="s">
        <v>157</v>
      </c>
      <c r="F894" s="7" t="n">
        <v>2020</v>
      </c>
      <c r="G894" s="7" t="s">
        <v>69</v>
      </c>
      <c r="H894" s="7" t="s">
        <v>87</v>
      </c>
      <c r="I894" s="7" t="n">
        <v>56</v>
      </c>
      <c r="J894" s="7" t="s">
        <v>64</v>
      </c>
      <c r="K894" s="7" t="s">
        <v>65</v>
      </c>
      <c r="L894" s="7" t="s">
        <v>66</v>
      </c>
      <c r="M894" s="7" t="n">
        <v>8.5</v>
      </c>
      <c r="N894" s="7" t="n">
        <v>2489</v>
      </c>
    </row>
    <row r="895" customFormat="false" ht="15" hidden="false" customHeight="false" outlineLevel="0" collapsed="false">
      <c r="A895" s="7" t="s">
        <v>59</v>
      </c>
      <c r="B895" s="7" t="s">
        <v>155</v>
      </c>
      <c r="C895" s="7" t="s">
        <v>155</v>
      </c>
      <c r="D895" s="7" t="s">
        <v>156</v>
      </c>
      <c r="E895" s="7" t="s">
        <v>157</v>
      </c>
      <c r="F895" s="7" t="n">
        <v>2020</v>
      </c>
      <c r="G895" s="7" t="s">
        <v>159</v>
      </c>
      <c r="H895" s="7" t="s">
        <v>78</v>
      </c>
      <c r="I895" s="7" t="n">
        <v>56</v>
      </c>
      <c r="J895" s="7" t="s">
        <v>64</v>
      </c>
      <c r="K895" s="7" t="s">
        <v>79</v>
      </c>
      <c r="L895" s="7" t="s">
        <v>66</v>
      </c>
      <c r="M895" s="7" t="n">
        <v>50.9</v>
      </c>
    </row>
    <row r="896" customFormat="false" ht="15" hidden="false" customHeight="false" outlineLevel="0" collapsed="false">
      <c r="A896" s="7" t="s">
        <v>59</v>
      </c>
      <c r="B896" s="7" t="s">
        <v>155</v>
      </c>
      <c r="C896" s="7" t="s">
        <v>155</v>
      </c>
      <c r="D896" s="7" t="s">
        <v>156</v>
      </c>
      <c r="E896" s="7" t="s">
        <v>157</v>
      </c>
      <c r="F896" s="7" t="n">
        <v>2020</v>
      </c>
      <c r="G896" s="7" t="s">
        <v>159</v>
      </c>
      <c r="H896" s="7" t="s">
        <v>86</v>
      </c>
      <c r="I896" s="7" t="n">
        <v>56</v>
      </c>
      <c r="J896" s="7" t="s">
        <v>64</v>
      </c>
      <c r="K896" s="7" t="s">
        <v>65</v>
      </c>
      <c r="L896" s="7" t="s">
        <v>66</v>
      </c>
      <c r="M896" s="7" t="n">
        <v>44.5</v>
      </c>
      <c r="N896" s="7" t="n">
        <v>3163</v>
      </c>
    </row>
    <row r="897" customFormat="false" ht="15" hidden="false" customHeight="false" outlineLevel="0" collapsed="false">
      <c r="A897" s="7" t="s">
        <v>59</v>
      </c>
      <c r="B897" s="7" t="s">
        <v>155</v>
      </c>
      <c r="C897" s="7" t="s">
        <v>155</v>
      </c>
      <c r="D897" s="7" t="s">
        <v>156</v>
      </c>
      <c r="E897" s="7" t="s">
        <v>157</v>
      </c>
      <c r="F897" s="7" t="n">
        <v>2020</v>
      </c>
      <c r="G897" s="7" t="s">
        <v>159</v>
      </c>
      <c r="H897" s="7" t="s">
        <v>63</v>
      </c>
      <c r="I897" s="7" t="n">
        <v>56</v>
      </c>
      <c r="J897" s="7" t="s">
        <v>64</v>
      </c>
      <c r="K897" s="7" t="s">
        <v>65</v>
      </c>
      <c r="L897" s="7" t="s">
        <v>66</v>
      </c>
      <c r="M897" s="7" t="n">
        <v>48.8</v>
      </c>
      <c r="N897" s="7" t="n">
        <v>5652</v>
      </c>
    </row>
    <row r="898" customFormat="false" ht="15" hidden="false" customHeight="false" outlineLevel="0" collapsed="false">
      <c r="A898" s="7" t="s">
        <v>59</v>
      </c>
      <c r="B898" s="7" t="s">
        <v>155</v>
      </c>
      <c r="C898" s="7" t="s">
        <v>155</v>
      </c>
      <c r="D898" s="7" t="s">
        <v>156</v>
      </c>
      <c r="E898" s="7" t="s">
        <v>157</v>
      </c>
      <c r="F898" s="7" t="n">
        <v>2020</v>
      </c>
      <c r="G898" s="7" t="s">
        <v>159</v>
      </c>
      <c r="H898" s="7" t="s">
        <v>87</v>
      </c>
      <c r="I898" s="7" t="n">
        <v>56</v>
      </c>
      <c r="J898" s="7" t="s">
        <v>64</v>
      </c>
      <c r="K898" s="7" t="s">
        <v>65</v>
      </c>
      <c r="L898" s="7" t="s">
        <v>66</v>
      </c>
      <c r="M898" s="7" t="n">
        <v>4.3</v>
      </c>
      <c r="N898" s="7" t="n">
        <v>2489</v>
      </c>
    </row>
    <row r="899" customFormat="false" ht="15" hidden="false" customHeight="false" outlineLevel="0" collapsed="false">
      <c r="A899" s="7" t="s">
        <v>59</v>
      </c>
      <c r="B899" s="7" t="s">
        <v>155</v>
      </c>
      <c r="C899" s="7" t="s">
        <v>155</v>
      </c>
      <c r="D899" s="7" t="s">
        <v>156</v>
      </c>
      <c r="E899" s="7" t="s">
        <v>157</v>
      </c>
      <c r="F899" s="7" t="n">
        <v>2020</v>
      </c>
      <c r="G899" s="7" t="s">
        <v>72</v>
      </c>
      <c r="H899" s="7" t="s">
        <v>63</v>
      </c>
      <c r="J899" s="7" t="s">
        <v>64</v>
      </c>
      <c r="L899" s="7" t="s">
        <v>71</v>
      </c>
      <c r="M899" s="7" t="n">
        <v>60.8</v>
      </c>
      <c r="N899" s="7" t="n">
        <v>9813</v>
      </c>
    </row>
    <row r="900" customFormat="false" ht="15" hidden="false" customHeight="false" outlineLevel="0" collapsed="false">
      <c r="A900" s="7" t="s">
        <v>59</v>
      </c>
      <c r="B900" s="7" t="s">
        <v>155</v>
      </c>
      <c r="C900" s="7" t="s">
        <v>155</v>
      </c>
      <c r="D900" s="7" t="s">
        <v>156</v>
      </c>
      <c r="E900" s="7" t="s">
        <v>157</v>
      </c>
      <c r="F900" s="7" t="n">
        <v>2020</v>
      </c>
      <c r="G900" s="7" t="s">
        <v>161</v>
      </c>
      <c r="H900" s="7" t="s">
        <v>63</v>
      </c>
      <c r="J900" s="7" t="s">
        <v>64</v>
      </c>
      <c r="L900" s="7" t="s">
        <v>71</v>
      </c>
      <c r="M900" s="7" t="n">
        <v>8.2</v>
      </c>
      <c r="N900" s="7" t="n">
        <v>9813</v>
      </c>
    </row>
    <row r="901" customFormat="false" ht="15" hidden="false" customHeight="false" outlineLevel="0" collapsed="false">
      <c r="A901" s="7" t="s">
        <v>59</v>
      </c>
      <c r="B901" s="7" t="s">
        <v>155</v>
      </c>
      <c r="C901" s="7" t="s">
        <v>155</v>
      </c>
      <c r="D901" s="7" t="s">
        <v>156</v>
      </c>
      <c r="E901" s="7" t="s">
        <v>157</v>
      </c>
      <c r="F901" s="7" t="n">
        <v>2020</v>
      </c>
      <c r="G901" s="7" t="s">
        <v>162</v>
      </c>
      <c r="H901" s="7" t="s">
        <v>63</v>
      </c>
      <c r="J901" s="7" t="s">
        <v>64</v>
      </c>
      <c r="L901" s="7" t="s">
        <v>71</v>
      </c>
      <c r="M901" s="7" t="n">
        <v>0.6</v>
      </c>
      <c r="N901" s="7" t="n">
        <v>9813</v>
      </c>
    </row>
    <row r="902" customFormat="false" ht="15" hidden="false" customHeight="false" outlineLevel="0" collapsed="false">
      <c r="A902" s="7" t="s">
        <v>59</v>
      </c>
      <c r="B902" s="7" t="s">
        <v>155</v>
      </c>
      <c r="C902" s="7" t="s">
        <v>155</v>
      </c>
      <c r="D902" s="7" t="s">
        <v>156</v>
      </c>
      <c r="E902" s="7" t="s">
        <v>157</v>
      </c>
      <c r="F902" s="7" t="n">
        <v>2020</v>
      </c>
      <c r="G902" s="7" t="s">
        <v>163</v>
      </c>
      <c r="H902" s="7" t="s">
        <v>63</v>
      </c>
      <c r="J902" s="7" t="s">
        <v>64</v>
      </c>
      <c r="L902" s="7" t="s">
        <v>71</v>
      </c>
      <c r="M902" s="7" t="n">
        <v>0.4</v>
      </c>
      <c r="N902" s="7" t="n">
        <v>9813</v>
      </c>
    </row>
    <row r="903" customFormat="false" ht="15" hidden="false" customHeight="false" outlineLevel="0" collapsed="false">
      <c r="A903" s="7" t="s">
        <v>59</v>
      </c>
      <c r="B903" s="7" t="s">
        <v>155</v>
      </c>
      <c r="C903" s="7" t="s">
        <v>155</v>
      </c>
      <c r="D903" s="7" t="s">
        <v>156</v>
      </c>
      <c r="E903" s="7" t="s">
        <v>157</v>
      </c>
      <c r="F903" s="7" t="n">
        <v>2020</v>
      </c>
      <c r="G903" s="7" t="s">
        <v>164</v>
      </c>
      <c r="H903" s="7" t="s">
        <v>63</v>
      </c>
      <c r="J903" s="7" t="s">
        <v>64</v>
      </c>
      <c r="L903" s="7" t="s">
        <v>71</v>
      </c>
      <c r="M903" s="7" t="n">
        <v>0.1</v>
      </c>
      <c r="N903" s="7" t="n">
        <v>9813</v>
      </c>
    </row>
    <row r="904" customFormat="false" ht="15" hidden="false" customHeight="false" outlineLevel="0" collapsed="false">
      <c r="A904" s="7" t="s">
        <v>59</v>
      </c>
      <c r="B904" s="7" t="s">
        <v>155</v>
      </c>
      <c r="C904" s="7" t="s">
        <v>155</v>
      </c>
      <c r="D904" s="7" t="s">
        <v>156</v>
      </c>
      <c r="E904" s="7" t="s">
        <v>157</v>
      </c>
      <c r="F904" s="7" t="n">
        <v>2020</v>
      </c>
      <c r="G904" s="7" t="s">
        <v>111</v>
      </c>
      <c r="H904" s="7" t="s">
        <v>86</v>
      </c>
      <c r="I904" s="7" t="n">
        <v>56</v>
      </c>
      <c r="J904" s="7" t="s">
        <v>64</v>
      </c>
      <c r="K904" s="7" t="s">
        <v>65</v>
      </c>
      <c r="L904" s="7" t="s">
        <v>66</v>
      </c>
      <c r="M904" s="7" t="n">
        <v>40.8</v>
      </c>
      <c r="N904" s="7" t="n">
        <v>3163</v>
      </c>
    </row>
    <row r="905" customFormat="false" ht="15" hidden="false" customHeight="false" outlineLevel="0" collapsed="false">
      <c r="A905" s="7" t="s">
        <v>59</v>
      </c>
      <c r="B905" s="7" t="s">
        <v>155</v>
      </c>
      <c r="C905" s="7" t="s">
        <v>155</v>
      </c>
      <c r="D905" s="7" t="s">
        <v>156</v>
      </c>
      <c r="E905" s="7" t="s">
        <v>157</v>
      </c>
      <c r="F905" s="7" t="n">
        <v>2020</v>
      </c>
      <c r="G905" s="7" t="s">
        <v>111</v>
      </c>
      <c r="H905" s="7" t="s">
        <v>63</v>
      </c>
      <c r="I905" s="7" t="n">
        <v>56</v>
      </c>
      <c r="J905" s="7" t="s">
        <v>64</v>
      </c>
      <c r="K905" s="7" t="s">
        <v>65</v>
      </c>
      <c r="L905" s="7" t="s">
        <v>66</v>
      </c>
      <c r="M905" s="7" t="n">
        <v>58.9</v>
      </c>
      <c r="N905" s="7" t="n">
        <v>5652</v>
      </c>
    </row>
    <row r="906" customFormat="false" ht="15" hidden="false" customHeight="false" outlineLevel="0" collapsed="false">
      <c r="A906" s="7" t="s">
        <v>59</v>
      </c>
      <c r="B906" s="7" t="s">
        <v>155</v>
      </c>
      <c r="C906" s="7" t="s">
        <v>155</v>
      </c>
      <c r="D906" s="7" t="s">
        <v>156</v>
      </c>
      <c r="E906" s="7" t="s">
        <v>157</v>
      </c>
      <c r="F906" s="7" t="n">
        <v>2020</v>
      </c>
      <c r="G906" s="7" t="s">
        <v>111</v>
      </c>
      <c r="H906" s="7" t="s">
        <v>87</v>
      </c>
      <c r="I906" s="7" t="n">
        <v>56</v>
      </c>
      <c r="J906" s="7" t="s">
        <v>64</v>
      </c>
      <c r="K906" s="7" t="s">
        <v>65</v>
      </c>
      <c r="L906" s="7" t="s">
        <v>66</v>
      </c>
      <c r="M906" s="7" t="n">
        <v>18.1</v>
      </c>
      <c r="N906" s="7" t="n">
        <v>2489</v>
      </c>
    </row>
    <row r="907" customFormat="false" ht="15" hidden="false" customHeight="false" outlineLevel="0" collapsed="false">
      <c r="A907" s="7" t="s">
        <v>59</v>
      </c>
      <c r="B907" s="7" t="s">
        <v>155</v>
      </c>
      <c r="C907" s="7" t="s">
        <v>155</v>
      </c>
      <c r="D907" s="7" t="s">
        <v>156</v>
      </c>
      <c r="E907" s="7" t="s">
        <v>157</v>
      </c>
      <c r="F907" s="7" t="n">
        <v>2020</v>
      </c>
      <c r="G907" s="7" t="s">
        <v>111</v>
      </c>
      <c r="H907" s="7" t="s">
        <v>78</v>
      </c>
      <c r="I907" s="7" t="n">
        <v>56</v>
      </c>
      <c r="J907" s="7" t="s">
        <v>64</v>
      </c>
      <c r="K907" s="7" t="s">
        <v>79</v>
      </c>
      <c r="L907" s="7" t="s">
        <v>66</v>
      </c>
      <c r="M907" s="7" t="n">
        <v>53.9</v>
      </c>
    </row>
    <row r="908" customFormat="false" ht="15" hidden="false" customHeight="false" outlineLevel="0" collapsed="false">
      <c r="A908" s="7" t="s">
        <v>59</v>
      </c>
      <c r="B908" s="7" t="s">
        <v>165</v>
      </c>
      <c r="C908" s="7" t="s">
        <v>165</v>
      </c>
      <c r="D908" s="7" t="s">
        <v>166</v>
      </c>
      <c r="E908" s="7" t="s">
        <v>167</v>
      </c>
      <c r="F908" s="7" t="n">
        <v>2021</v>
      </c>
      <c r="G908" s="7" t="s">
        <v>62</v>
      </c>
      <c r="H908" s="7" t="s">
        <v>87</v>
      </c>
      <c r="I908" s="7" t="n">
        <v>34.4</v>
      </c>
      <c r="J908" s="7" t="s">
        <v>64</v>
      </c>
      <c r="K908" s="7" t="s">
        <v>133</v>
      </c>
      <c r="L908" s="7" t="s">
        <v>91</v>
      </c>
      <c r="M908" s="7" t="n">
        <v>26.4</v>
      </c>
      <c r="N908" s="7" t="n">
        <v>3072</v>
      </c>
    </row>
    <row r="909" customFormat="false" ht="15" hidden="false" customHeight="false" outlineLevel="0" collapsed="false">
      <c r="A909" s="7" t="s">
        <v>59</v>
      </c>
      <c r="B909" s="7" t="s">
        <v>165</v>
      </c>
      <c r="C909" s="7" t="s">
        <v>165</v>
      </c>
      <c r="D909" s="7" t="s">
        <v>166</v>
      </c>
      <c r="E909" s="7" t="s">
        <v>167</v>
      </c>
      <c r="F909" s="7" t="n">
        <v>2021</v>
      </c>
      <c r="G909" s="7" t="s">
        <v>62</v>
      </c>
      <c r="H909" s="7" t="s">
        <v>86</v>
      </c>
      <c r="I909" s="7" t="n">
        <v>34.4</v>
      </c>
      <c r="J909" s="7" t="s">
        <v>64</v>
      </c>
      <c r="K909" s="7" t="s">
        <v>133</v>
      </c>
      <c r="L909" s="7" t="s">
        <v>91</v>
      </c>
      <c r="M909" s="7" t="n">
        <v>33.4</v>
      </c>
      <c r="N909" s="7" t="n">
        <v>1608</v>
      </c>
    </row>
    <row r="910" customFormat="false" ht="15" hidden="false" customHeight="false" outlineLevel="0" collapsed="false">
      <c r="A910" s="7" t="s">
        <v>59</v>
      </c>
      <c r="B910" s="7" t="s">
        <v>165</v>
      </c>
      <c r="C910" s="7" t="s">
        <v>165</v>
      </c>
      <c r="D910" s="7" t="s">
        <v>166</v>
      </c>
      <c r="E910" s="7" t="s">
        <v>167</v>
      </c>
      <c r="F910" s="7" t="n">
        <v>2021</v>
      </c>
      <c r="G910" s="7" t="s">
        <v>62</v>
      </c>
      <c r="H910" s="7" t="s">
        <v>63</v>
      </c>
      <c r="I910" s="7" t="n">
        <v>34.4</v>
      </c>
      <c r="J910" s="7" t="s">
        <v>64</v>
      </c>
      <c r="K910" s="7" t="s">
        <v>133</v>
      </c>
      <c r="L910" s="7" t="s">
        <v>91</v>
      </c>
      <c r="M910" s="7" t="n">
        <v>59.8</v>
      </c>
      <c r="N910" s="7" t="n">
        <v>4680</v>
      </c>
    </row>
    <row r="911" customFormat="false" ht="15" hidden="false" customHeight="false" outlineLevel="0" collapsed="false">
      <c r="A911" s="7" t="s">
        <v>59</v>
      </c>
      <c r="B911" s="7" t="s">
        <v>165</v>
      </c>
      <c r="C911" s="7" t="s">
        <v>165</v>
      </c>
      <c r="D911" s="7" t="s">
        <v>166</v>
      </c>
      <c r="E911" s="7" t="s">
        <v>167</v>
      </c>
      <c r="F911" s="7" t="n">
        <v>2021</v>
      </c>
      <c r="G911" s="7" t="s">
        <v>62</v>
      </c>
      <c r="H911" s="7" t="s">
        <v>78</v>
      </c>
      <c r="I911" s="7" t="n">
        <v>34.4</v>
      </c>
      <c r="J911" s="7" t="s">
        <v>64</v>
      </c>
      <c r="K911" s="7" t="s">
        <v>79</v>
      </c>
      <c r="L911" s="7" t="s">
        <v>91</v>
      </c>
      <c r="M911" s="7" t="n">
        <v>58.2</v>
      </c>
      <c r="N911" s="7" t="n">
        <v>4680</v>
      </c>
    </row>
    <row r="912" customFormat="false" ht="15" hidden="false" customHeight="false" outlineLevel="0" collapsed="false">
      <c r="A912" s="7" t="s">
        <v>59</v>
      </c>
      <c r="B912" s="7" t="s">
        <v>165</v>
      </c>
      <c r="C912" s="7" t="s">
        <v>165</v>
      </c>
      <c r="D912" s="7" t="s">
        <v>166</v>
      </c>
      <c r="E912" s="7" t="s">
        <v>167</v>
      </c>
      <c r="F912" s="7" t="n">
        <v>2021</v>
      </c>
      <c r="G912" s="7" t="s">
        <v>81</v>
      </c>
      <c r="H912" s="7" t="s">
        <v>87</v>
      </c>
      <c r="I912" s="7" t="n">
        <v>34.4</v>
      </c>
      <c r="J912" s="7" t="s">
        <v>64</v>
      </c>
      <c r="K912" s="7" t="s">
        <v>133</v>
      </c>
      <c r="L912" s="7" t="s">
        <v>91</v>
      </c>
      <c r="M912" s="7" t="n">
        <v>24.6</v>
      </c>
      <c r="N912" s="7" t="n">
        <v>3072</v>
      </c>
    </row>
    <row r="913" customFormat="false" ht="15" hidden="false" customHeight="false" outlineLevel="0" collapsed="false">
      <c r="A913" s="7" t="s">
        <v>59</v>
      </c>
      <c r="B913" s="7" t="s">
        <v>165</v>
      </c>
      <c r="C913" s="7" t="s">
        <v>165</v>
      </c>
      <c r="D913" s="7" t="s">
        <v>166</v>
      </c>
      <c r="E913" s="7" t="s">
        <v>167</v>
      </c>
      <c r="F913" s="7" t="n">
        <v>2021</v>
      </c>
      <c r="G913" s="7" t="s">
        <v>81</v>
      </c>
      <c r="H913" s="7" t="s">
        <v>86</v>
      </c>
      <c r="I913" s="7" t="n">
        <v>34.4</v>
      </c>
      <c r="J913" s="7" t="s">
        <v>64</v>
      </c>
      <c r="K913" s="7" t="s">
        <v>133</v>
      </c>
      <c r="L913" s="7" t="s">
        <v>91</v>
      </c>
      <c r="M913" s="7" t="n">
        <v>32.3</v>
      </c>
      <c r="N913" s="7" t="n">
        <v>1608</v>
      </c>
    </row>
    <row r="914" customFormat="false" ht="15" hidden="false" customHeight="false" outlineLevel="0" collapsed="false">
      <c r="A914" s="7" t="s">
        <v>59</v>
      </c>
      <c r="B914" s="7" t="s">
        <v>165</v>
      </c>
      <c r="C914" s="7" t="s">
        <v>165</v>
      </c>
      <c r="D914" s="7" t="s">
        <v>166</v>
      </c>
      <c r="E914" s="7" t="s">
        <v>167</v>
      </c>
      <c r="F914" s="7" t="n">
        <v>2021</v>
      </c>
      <c r="G914" s="7" t="s">
        <v>81</v>
      </c>
      <c r="H914" s="7" t="s">
        <v>63</v>
      </c>
      <c r="I914" s="7" t="n">
        <v>34.4</v>
      </c>
      <c r="J914" s="7" t="s">
        <v>64</v>
      </c>
      <c r="K914" s="7" t="s">
        <v>133</v>
      </c>
      <c r="L914" s="7" t="s">
        <v>91</v>
      </c>
      <c r="M914" s="7" t="n">
        <v>56.9</v>
      </c>
      <c r="N914" s="7" t="n">
        <v>4680</v>
      </c>
    </row>
    <row r="915" customFormat="false" ht="15" hidden="false" customHeight="false" outlineLevel="0" collapsed="false">
      <c r="A915" s="7" t="s">
        <v>59</v>
      </c>
      <c r="B915" s="7" t="s">
        <v>165</v>
      </c>
      <c r="C915" s="7" t="s">
        <v>165</v>
      </c>
      <c r="D915" s="7" t="s">
        <v>166</v>
      </c>
      <c r="E915" s="7" t="s">
        <v>167</v>
      </c>
      <c r="F915" s="7" t="n">
        <v>2021</v>
      </c>
      <c r="G915" s="7" t="s">
        <v>81</v>
      </c>
      <c r="H915" s="7" t="s">
        <v>78</v>
      </c>
      <c r="I915" s="7" t="n">
        <v>34.4</v>
      </c>
      <c r="J915" s="7" t="s">
        <v>64</v>
      </c>
      <c r="K915" s="7" t="s">
        <v>79</v>
      </c>
      <c r="L915" s="7" t="s">
        <v>91</v>
      </c>
      <c r="M915" s="7" t="n">
        <v>55.5</v>
      </c>
      <c r="N915" s="7" t="n">
        <v>4680</v>
      </c>
    </row>
    <row r="916" customFormat="false" ht="15" hidden="false" customHeight="false" outlineLevel="0" collapsed="false">
      <c r="A916" s="7" t="s">
        <v>59</v>
      </c>
      <c r="B916" s="7" t="s">
        <v>165</v>
      </c>
      <c r="C916" s="7" t="s">
        <v>165</v>
      </c>
      <c r="D916" s="7" t="s">
        <v>166</v>
      </c>
      <c r="E916" s="7" t="s">
        <v>167</v>
      </c>
      <c r="F916" s="7" t="n">
        <v>2021</v>
      </c>
      <c r="G916" s="7" t="s">
        <v>134</v>
      </c>
      <c r="H916" s="7" t="s">
        <v>87</v>
      </c>
      <c r="I916" s="7" t="n">
        <v>34.4</v>
      </c>
      <c r="J916" s="7" t="s">
        <v>64</v>
      </c>
      <c r="K916" s="7" t="s">
        <v>133</v>
      </c>
      <c r="L916" s="7" t="s">
        <v>91</v>
      </c>
      <c r="M916" s="7" t="n">
        <v>23.2</v>
      </c>
      <c r="N916" s="7" t="n">
        <v>3072</v>
      </c>
    </row>
    <row r="917" customFormat="false" ht="15" hidden="false" customHeight="false" outlineLevel="0" collapsed="false">
      <c r="A917" s="7" t="s">
        <v>59</v>
      </c>
      <c r="B917" s="7" t="s">
        <v>165</v>
      </c>
      <c r="C917" s="7" t="s">
        <v>165</v>
      </c>
      <c r="D917" s="7" t="s">
        <v>166</v>
      </c>
      <c r="E917" s="7" t="s">
        <v>167</v>
      </c>
      <c r="F917" s="7" t="n">
        <v>2021</v>
      </c>
      <c r="G917" s="7" t="s">
        <v>134</v>
      </c>
      <c r="H917" s="7" t="s">
        <v>86</v>
      </c>
      <c r="I917" s="7" t="n">
        <v>34.4</v>
      </c>
      <c r="J917" s="7" t="s">
        <v>64</v>
      </c>
      <c r="K917" s="7" t="s">
        <v>133</v>
      </c>
      <c r="L917" s="7" t="s">
        <v>91</v>
      </c>
      <c r="M917" s="7" t="n">
        <v>30.1</v>
      </c>
      <c r="N917" s="7" t="n">
        <v>1608</v>
      </c>
    </row>
    <row r="918" customFormat="false" ht="15" hidden="false" customHeight="false" outlineLevel="0" collapsed="false">
      <c r="A918" s="7" t="s">
        <v>59</v>
      </c>
      <c r="B918" s="7" t="s">
        <v>165</v>
      </c>
      <c r="C918" s="7" t="s">
        <v>165</v>
      </c>
      <c r="D918" s="7" t="s">
        <v>166</v>
      </c>
      <c r="E918" s="7" t="s">
        <v>167</v>
      </c>
      <c r="F918" s="7" t="n">
        <v>2021</v>
      </c>
      <c r="G918" s="7" t="s">
        <v>134</v>
      </c>
      <c r="H918" s="7" t="s">
        <v>63</v>
      </c>
      <c r="I918" s="7" t="n">
        <v>34.4</v>
      </c>
      <c r="J918" s="7" t="s">
        <v>64</v>
      </c>
      <c r="K918" s="7" t="s">
        <v>133</v>
      </c>
      <c r="L918" s="7" t="s">
        <v>91</v>
      </c>
      <c r="M918" s="7" t="n">
        <v>53.4</v>
      </c>
      <c r="N918" s="7" t="n">
        <v>4680</v>
      </c>
    </row>
    <row r="919" customFormat="false" ht="15" hidden="false" customHeight="false" outlineLevel="0" collapsed="false">
      <c r="A919" s="7" t="s">
        <v>59</v>
      </c>
      <c r="B919" s="7" t="s">
        <v>165</v>
      </c>
      <c r="C919" s="7" t="s">
        <v>165</v>
      </c>
      <c r="D919" s="7" t="s">
        <v>166</v>
      </c>
      <c r="E919" s="7" t="s">
        <v>167</v>
      </c>
      <c r="F919" s="7" t="n">
        <v>2021</v>
      </c>
      <c r="G919" s="7" t="s">
        <v>134</v>
      </c>
      <c r="H919" s="7" t="s">
        <v>78</v>
      </c>
      <c r="I919" s="7" t="n">
        <v>34.4</v>
      </c>
      <c r="J919" s="7" t="s">
        <v>64</v>
      </c>
      <c r="K919" s="7" t="s">
        <v>79</v>
      </c>
      <c r="L919" s="7" t="s">
        <v>91</v>
      </c>
      <c r="M919" s="7" t="n">
        <v>51.5</v>
      </c>
      <c r="N919" s="7" t="n">
        <v>4680</v>
      </c>
    </row>
    <row r="920" customFormat="false" ht="15" hidden="false" customHeight="false" outlineLevel="0" collapsed="false">
      <c r="A920" s="7" t="s">
        <v>59</v>
      </c>
      <c r="B920" s="7" t="s">
        <v>165</v>
      </c>
      <c r="C920" s="7" t="s">
        <v>165</v>
      </c>
      <c r="D920" s="7" t="s">
        <v>166</v>
      </c>
      <c r="E920" s="7" t="s">
        <v>167</v>
      </c>
      <c r="F920" s="7" t="n">
        <v>2021</v>
      </c>
      <c r="G920" s="7" t="s">
        <v>67</v>
      </c>
      <c r="H920" s="7" t="s">
        <v>87</v>
      </c>
      <c r="I920" s="7" t="n">
        <v>34.4</v>
      </c>
      <c r="J920" s="7" t="s">
        <v>64</v>
      </c>
      <c r="K920" s="7" t="s">
        <v>133</v>
      </c>
      <c r="L920" s="7" t="s">
        <v>91</v>
      </c>
      <c r="M920" s="7" t="n">
        <v>18.1</v>
      </c>
      <c r="N920" s="7" t="n">
        <v>3072</v>
      </c>
    </row>
    <row r="921" customFormat="false" ht="15" hidden="false" customHeight="false" outlineLevel="0" collapsed="false">
      <c r="A921" s="7" t="s">
        <v>59</v>
      </c>
      <c r="B921" s="7" t="s">
        <v>165</v>
      </c>
      <c r="C921" s="7" t="s">
        <v>165</v>
      </c>
      <c r="D921" s="7" t="s">
        <v>166</v>
      </c>
      <c r="E921" s="7" t="s">
        <v>167</v>
      </c>
      <c r="F921" s="7" t="n">
        <v>2021</v>
      </c>
      <c r="G921" s="7" t="s">
        <v>67</v>
      </c>
      <c r="H921" s="7" t="s">
        <v>86</v>
      </c>
      <c r="I921" s="7" t="n">
        <v>34.4</v>
      </c>
      <c r="J921" s="7" t="s">
        <v>64</v>
      </c>
      <c r="K921" s="7" t="s">
        <v>133</v>
      </c>
      <c r="L921" s="7" t="s">
        <v>91</v>
      </c>
      <c r="M921" s="7" t="n">
        <v>27.6</v>
      </c>
      <c r="N921" s="7" t="n">
        <v>1608</v>
      </c>
    </row>
    <row r="922" customFormat="false" ht="15" hidden="false" customHeight="false" outlineLevel="0" collapsed="false">
      <c r="A922" s="7" t="s">
        <v>59</v>
      </c>
      <c r="B922" s="7" t="s">
        <v>165</v>
      </c>
      <c r="C922" s="7" t="s">
        <v>165</v>
      </c>
      <c r="D922" s="7" t="s">
        <v>166</v>
      </c>
      <c r="E922" s="7" t="s">
        <v>167</v>
      </c>
      <c r="F922" s="7" t="n">
        <v>2021</v>
      </c>
      <c r="G922" s="7" t="s">
        <v>67</v>
      </c>
      <c r="H922" s="7" t="s">
        <v>63</v>
      </c>
      <c r="I922" s="7" t="n">
        <v>34.4</v>
      </c>
      <c r="J922" s="7" t="s">
        <v>64</v>
      </c>
      <c r="K922" s="7" t="s">
        <v>133</v>
      </c>
      <c r="L922" s="7" t="s">
        <v>91</v>
      </c>
      <c r="M922" s="7" t="n">
        <v>45.7</v>
      </c>
      <c r="N922" s="7" t="n">
        <v>4680</v>
      </c>
    </row>
    <row r="923" customFormat="false" ht="15" hidden="false" customHeight="false" outlineLevel="0" collapsed="false">
      <c r="A923" s="7" t="s">
        <v>59</v>
      </c>
      <c r="B923" s="7" t="s">
        <v>165</v>
      </c>
      <c r="C923" s="7" t="s">
        <v>165</v>
      </c>
      <c r="D923" s="7" t="s">
        <v>166</v>
      </c>
      <c r="E923" s="7" t="s">
        <v>167</v>
      </c>
      <c r="F923" s="7" t="n">
        <v>2021</v>
      </c>
      <c r="G923" s="7" t="s">
        <v>67</v>
      </c>
      <c r="H923" s="7" t="s">
        <v>78</v>
      </c>
      <c r="I923" s="7" t="n">
        <v>34.4</v>
      </c>
      <c r="J923" s="7" t="s">
        <v>64</v>
      </c>
      <c r="K923" s="7" t="s">
        <v>79</v>
      </c>
      <c r="L923" s="7" t="s">
        <v>91</v>
      </c>
      <c r="M923" s="7" t="n">
        <v>42.9</v>
      </c>
      <c r="N923" s="7" t="n">
        <v>4680</v>
      </c>
    </row>
    <row r="924" customFormat="false" ht="15" hidden="false" customHeight="false" outlineLevel="0" collapsed="false">
      <c r="A924" s="7" t="s">
        <v>59</v>
      </c>
      <c r="B924" s="7" t="s">
        <v>165</v>
      </c>
      <c r="C924" s="7" t="s">
        <v>165</v>
      </c>
      <c r="D924" s="7" t="s">
        <v>166</v>
      </c>
      <c r="E924" s="7" t="s">
        <v>167</v>
      </c>
      <c r="F924" s="7" t="n">
        <v>2021</v>
      </c>
      <c r="G924" s="7" t="s">
        <v>82</v>
      </c>
      <c r="H924" s="7" t="s">
        <v>87</v>
      </c>
      <c r="I924" s="7" t="n">
        <v>34.4</v>
      </c>
      <c r="J924" s="7" t="s">
        <v>64</v>
      </c>
      <c r="K924" s="7" t="s">
        <v>133</v>
      </c>
      <c r="L924" s="7" t="s">
        <v>91</v>
      </c>
      <c r="M924" s="7" t="n">
        <v>6</v>
      </c>
      <c r="N924" s="7" t="n">
        <v>3072</v>
      </c>
    </row>
    <row r="925" customFormat="false" ht="15" hidden="false" customHeight="false" outlineLevel="0" collapsed="false">
      <c r="A925" s="7" t="s">
        <v>59</v>
      </c>
      <c r="B925" s="7" t="s">
        <v>165</v>
      </c>
      <c r="C925" s="7" t="s">
        <v>165</v>
      </c>
      <c r="D925" s="7" t="s">
        <v>166</v>
      </c>
      <c r="E925" s="7" t="s">
        <v>167</v>
      </c>
      <c r="F925" s="7" t="n">
        <v>2021</v>
      </c>
      <c r="G925" s="7" t="s">
        <v>82</v>
      </c>
      <c r="H925" s="7" t="s">
        <v>86</v>
      </c>
      <c r="I925" s="7" t="n">
        <v>34.4</v>
      </c>
      <c r="J925" s="7" t="s">
        <v>64</v>
      </c>
      <c r="K925" s="7" t="s">
        <v>133</v>
      </c>
      <c r="L925" s="7" t="s">
        <v>91</v>
      </c>
      <c r="M925" s="7" t="n">
        <v>23.9</v>
      </c>
      <c r="N925" s="7" t="n">
        <v>1608</v>
      </c>
    </row>
    <row r="926" customFormat="false" ht="15" hidden="false" customHeight="false" outlineLevel="0" collapsed="false">
      <c r="A926" s="7" t="s">
        <v>59</v>
      </c>
      <c r="B926" s="7" t="s">
        <v>165</v>
      </c>
      <c r="C926" s="7" t="s">
        <v>165</v>
      </c>
      <c r="D926" s="7" t="s">
        <v>166</v>
      </c>
      <c r="E926" s="7" t="s">
        <v>167</v>
      </c>
      <c r="F926" s="7" t="n">
        <v>2021</v>
      </c>
      <c r="G926" s="7" t="s">
        <v>82</v>
      </c>
      <c r="H926" s="7" t="s">
        <v>63</v>
      </c>
      <c r="I926" s="7" t="n">
        <v>34.4</v>
      </c>
      <c r="J926" s="7" t="s">
        <v>64</v>
      </c>
      <c r="K926" s="7" t="s">
        <v>133</v>
      </c>
      <c r="L926" s="7" t="s">
        <v>91</v>
      </c>
      <c r="M926" s="7" t="n">
        <v>29.9</v>
      </c>
      <c r="N926" s="7" t="n">
        <v>4680</v>
      </c>
    </row>
    <row r="927" customFormat="false" ht="15" hidden="false" customHeight="false" outlineLevel="0" collapsed="false">
      <c r="A927" s="7" t="s">
        <v>59</v>
      </c>
      <c r="B927" s="7" t="s">
        <v>165</v>
      </c>
      <c r="C927" s="7" t="s">
        <v>165</v>
      </c>
      <c r="D927" s="7" t="s">
        <v>166</v>
      </c>
      <c r="E927" s="7" t="s">
        <v>167</v>
      </c>
      <c r="F927" s="7" t="n">
        <v>2021</v>
      </c>
      <c r="G927" s="7" t="s">
        <v>82</v>
      </c>
      <c r="H927" s="7" t="s">
        <v>78</v>
      </c>
      <c r="I927" s="7" t="n">
        <v>34.4</v>
      </c>
      <c r="J927" s="7" t="s">
        <v>64</v>
      </c>
      <c r="K927" s="7" t="s">
        <v>79</v>
      </c>
      <c r="L927" s="7" t="s">
        <v>91</v>
      </c>
      <c r="M927" s="7" t="n">
        <v>25.5</v>
      </c>
      <c r="N927" s="7" t="n">
        <v>4680</v>
      </c>
    </row>
    <row r="928" customFormat="false" ht="15" hidden="false" customHeight="false" outlineLevel="0" collapsed="false">
      <c r="A928" s="7" t="s">
        <v>59</v>
      </c>
      <c r="B928" s="7" t="s">
        <v>165</v>
      </c>
      <c r="C928" s="7" t="s">
        <v>165</v>
      </c>
      <c r="D928" s="7" t="s">
        <v>166</v>
      </c>
      <c r="E928" s="7" t="s">
        <v>167</v>
      </c>
      <c r="F928" s="7" t="n">
        <v>2021</v>
      </c>
      <c r="G928" s="7" t="s">
        <v>148</v>
      </c>
      <c r="H928" s="7" t="s">
        <v>87</v>
      </c>
      <c r="I928" s="7" t="n">
        <v>34.4</v>
      </c>
      <c r="J928" s="7" t="s">
        <v>64</v>
      </c>
      <c r="K928" s="7" t="s">
        <v>79</v>
      </c>
      <c r="L928" s="7" t="s">
        <v>91</v>
      </c>
      <c r="M928" s="7" t="n">
        <v>2.4</v>
      </c>
      <c r="N928" s="7" t="n">
        <v>3072</v>
      </c>
    </row>
    <row r="929" customFormat="false" ht="15" hidden="false" customHeight="false" outlineLevel="0" collapsed="false">
      <c r="A929" s="7" t="s">
        <v>59</v>
      </c>
      <c r="B929" s="7" t="s">
        <v>165</v>
      </c>
      <c r="C929" s="7" t="s">
        <v>165</v>
      </c>
      <c r="D929" s="7" t="s">
        <v>166</v>
      </c>
      <c r="E929" s="7" t="s">
        <v>167</v>
      </c>
      <c r="F929" s="7" t="n">
        <v>2021</v>
      </c>
      <c r="G929" s="7" t="s">
        <v>148</v>
      </c>
      <c r="H929" s="7" t="s">
        <v>86</v>
      </c>
      <c r="I929" s="7" t="n">
        <v>34.4</v>
      </c>
      <c r="J929" s="7" t="s">
        <v>64</v>
      </c>
      <c r="K929" s="7" t="s">
        <v>79</v>
      </c>
      <c r="L929" s="7" t="s">
        <v>91</v>
      </c>
      <c r="M929" s="7" t="n">
        <v>8.8</v>
      </c>
      <c r="N929" s="7" t="n">
        <v>1608</v>
      </c>
    </row>
    <row r="930" customFormat="false" ht="15" hidden="false" customHeight="false" outlineLevel="0" collapsed="false">
      <c r="A930" s="7" t="s">
        <v>59</v>
      </c>
      <c r="B930" s="7" t="s">
        <v>165</v>
      </c>
      <c r="C930" s="7" t="s">
        <v>165</v>
      </c>
      <c r="D930" s="7" t="s">
        <v>166</v>
      </c>
      <c r="E930" s="7" t="s">
        <v>167</v>
      </c>
      <c r="F930" s="7" t="n">
        <v>2021</v>
      </c>
      <c r="G930" s="7" t="s">
        <v>148</v>
      </c>
      <c r="H930" s="7" t="s">
        <v>63</v>
      </c>
      <c r="I930" s="7" t="n">
        <v>34.4</v>
      </c>
      <c r="J930" s="7" t="s">
        <v>64</v>
      </c>
      <c r="K930" s="7" t="s">
        <v>79</v>
      </c>
      <c r="L930" s="7" t="s">
        <v>91</v>
      </c>
      <c r="M930" s="7" t="n">
        <v>11.2</v>
      </c>
      <c r="N930" s="7" t="n">
        <v>4680</v>
      </c>
    </row>
    <row r="931" customFormat="false" ht="15" hidden="false" customHeight="false" outlineLevel="0" collapsed="false">
      <c r="A931" s="7" t="s">
        <v>59</v>
      </c>
      <c r="B931" s="7" t="s">
        <v>165</v>
      </c>
      <c r="C931" s="7" t="s">
        <v>165</v>
      </c>
      <c r="D931" s="7" t="s">
        <v>166</v>
      </c>
      <c r="E931" s="7" t="s">
        <v>167</v>
      </c>
      <c r="F931" s="7" t="n">
        <v>2021</v>
      </c>
      <c r="G931" s="7" t="s">
        <v>148</v>
      </c>
      <c r="H931" s="7" t="s">
        <v>78</v>
      </c>
      <c r="I931" s="7" t="n">
        <v>34.4</v>
      </c>
      <c r="J931" s="7" t="s">
        <v>64</v>
      </c>
      <c r="K931" s="7" t="s">
        <v>79</v>
      </c>
      <c r="L931" s="7" t="s">
        <v>91</v>
      </c>
      <c r="M931" s="7" t="n">
        <v>9</v>
      </c>
      <c r="N931" s="7" t="n">
        <v>4680</v>
      </c>
    </row>
    <row r="932" customFormat="false" ht="15" hidden="false" customHeight="false" outlineLevel="0" collapsed="false">
      <c r="A932" s="7" t="s">
        <v>59</v>
      </c>
      <c r="B932" s="7" t="s">
        <v>165</v>
      </c>
      <c r="C932" s="7" t="s">
        <v>165</v>
      </c>
      <c r="D932" s="7" t="s">
        <v>166</v>
      </c>
      <c r="E932" s="7" t="s">
        <v>167</v>
      </c>
      <c r="F932" s="7" t="n">
        <v>2021</v>
      </c>
      <c r="G932" s="7" t="s">
        <v>168</v>
      </c>
      <c r="H932" s="7" t="s">
        <v>87</v>
      </c>
      <c r="I932" s="7" t="n">
        <v>34.4</v>
      </c>
      <c r="J932" s="7" t="s">
        <v>64</v>
      </c>
      <c r="K932" s="7" t="s">
        <v>133</v>
      </c>
      <c r="L932" s="7" t="s">
        <v>91</v>
      </c>
      <c r="M932" s="7" t="n">
        <v>9.7</v>
      </c>
      <c r="N932" s="7" t="n">
        <v>3072</v>
      </c>
    </row>
    <row r="933" customFormat="false" ht="15" hidden="false" customHeight="false" outlineLevel="0" collapsed="false">
      <c r="A933" s="7" t="s">
        <v>59</v>
      </c>
      <c r="B933" s="7" t="s">
        <v>165</v>
      </c>
      <c r="C933" s="7" t="s">
        <v>165</v>
      </c>
      <c r="D933" s="7" t="s">
        <v>166</v>
      </c>
      <c r="E933" s="7" t="s">
        <v>167</v>
      </c>
      <c r="F933" s="7" t="n">
        <v>2021</v>
      </c>
      <c r="G933" s="7" t="s">
        <v>168</v>
      </c>
      <c r="H933" s="7" t="s">
        <v>86</v>
      </c>
      <c r="I933" s="7" t="n">
        <v>34.4</v>
      </c>
      <c r="J933" s="7" t="s">
        <v>64</v>
      </c>
      <c r="K933" s="7" t="s">
        <v>133</v>
      </c>
      <c r="L933" s="7" t="s">
        <v>91</v>
      </c>
      <c r="M933" s="7" t="n">
        <v>23.1</v>
      </c>
      <c r="N933" s="7" t="n">
        <v>1608</v>
      </c>
    </row>
    <row r="934" customFormat="false" ht="15" hidden="false" customHeight="false" outlineLevel="0" collapsed="false">
      <c r="A934" s="7" t="s">
        <v>59</v>
      </c>
      <c r="B934" s="7" t="s">
        <v>165</v>
      </c>
      <c r="C934" s="7" t="s">
        <v>165</v>
      </c>
      <c r="D934" s="7" t="s">
        <v>166</v>
      </c>
      <c r="E934" s="7" t="s">
        <v>167</v>
      </c>
      <c r="F934" s="7" t="n">
        <v>2021</v>
      </c>
      <c r="G934" s="7" t="s">
        <v>168</v>
      </c>
      <c r="H934" s="7" t="s">
        <v>63</v>
      </c>
      <c r="I934" s="7" t="n">
        <v>34.4</v>
      </c>
      <c r="J934" s="7" t="s">
        <v>64</v>
      </c>
      <c r="K934" s="7" t="s">
        <v>133</v>
      </c>
      <c r="L934" s="7" t="s">
        <v>91</v>
      </c>
      <c r="M934" s="7" t="n">
        <v>32.8</v>
      </c>
      <c r="N934" s="7" t="n">
        <v>4680</v>
      </c>
    </row>
    <row r="935" customFormat="false" ht="15" hidden="false" customHeight="false" outlineLevel="0" collapsed="false">
      <c r="A935" s="7" t="s">
        <v>59</v>
      </c>
      <c r="B935" s="7" t="s">
        <v>165</v>
      </c>
      <c r="C935" s="7" t="s">
        <v>165</v>
      </c>
      <c r="D935" s="7" t="s">
        <v>166</v>
      </c>
      <c r="E935" s="7" t="s">
        <v>167</v>
      </c>
      <c r="F935" s="7" t="n">
        <v>2021</v>
      </c>
      <c r="G935" s="7" t="s">
        <v>109</v>
      </c>
      <c r="H935" s="7" t="s">
        <v>87</v>
      </c>
      <c r="I935" s="7" t="n">
        <v>34.4</v>
      </c>
      <c r="J935" s="7" t="s">
        <v>64</v>
      </c>
      <c r="K935" s="7" t="s">
        <v>133</v>
      </c>
      <c r="L935" s="7" t="s">
        <v>91</v>
      </c>
      <c r="M935" s="7" t="n">
        <v>24.6</v>
      </c>
      <c r="N935" s="7" t="n">
        <v>3072</v>
      </c>
    </row>
    <row r="936" customFormat="false" ht="15" hidden="false" customHeight="false" outlineLevel="0" collapsed="false">
      <c r="A936" s="7" t="s">
        <v>59</v>
      </c>
      <c r="B936" s="7" t="s">
        <v>165</v>
      </c>
      <c r="C936" s="7" t="s">
        <v>165</v>
      </c>
      <c r="D936" s="7" t="s">
        <v>166</v>
      </c>
      <c r="E936" s="7" t="s">
        <v>167</v>
      </c>
      <c r="F936" s="7" t="n">
        <v>2021</v>
      </c>
      <c r="G936" s="7" t="s">
        <v>109</v>
      </c>
      <c r="H936" s="7" t="s">
        <v>86</v>
      </c>
      <c r="I936" s="7" t="n">
        <v>34.4</v>
      </c>
      <c r="J936" s="7" t="s">
        <v>64</v>
      </c>
      <c r="K936" s="7" t="s">
        <v>133</v>
      </c>
      <c r="L936" s="7" t="s">
        <v>91</v>
      </c>
      <c r="M936" s="7" t="n">
        <v>32.3</v>
      </c>
      <c r="N936" s="7" t="n">
        <v>1608</v>
      </c>
    </row>
    <row r="937" customFormat="false" ht="15" hidden="false" customHeight="false" outlineLevel="0" collapsed="false">
      <c r="A937" s="7" t="s">
        <v>59</v>
      </c>
      <c r="B937" s="7" t="s">
        <v>165</v>
      </c>
      <c r="C937" s="7" t="s">
        <v>165</v>
      </c>
      <c r="D937" s="7" t="s">
        <v>166</v>
      </c>
      <c r="E937" s="7" t="s">
        <v>167</v>
      </c>
      <c r="F937" s="7" t="n">
        <v>2021</v>
      </c>
      <c r="G937" s="7" t="s">
        <v>109</v>
      </c>
      <c r="H937" s="7" t="s">
        <v>63</v>
      </c>
      <c r="I937" s="7" t="n">
        <v>34.4</v>
      </c>
      <c r="J937" s="7" t="s">
        <v>64</v>
      </c>
      <c r="K937" s="7" t="s">
        <v>133</v>
      </c>
      <c r="L937" s="7" t="s">
        <v>91</v>
      </c>
      <c r="M937" s="7" t="n">
        <v>56.9</v>
      </c>
      <c r="N937" s="7" t="n">
        <v>4680</v>
      </c>
    </row>
    <row r="938" customFormat="false" ht="15" hidden="false" customHeight="false" outlineLevel="0" collapsed="false">
      <c r="A938" s="7" t="s">
        <v>59</v>
      </c>
      <c r="B938" s="7" t="s">
        <v>165</v>
      </c>
      <c r="C938" s="7" t="s">
        <v>165</v>
      </c>
      <c r="D938" s="7" t="s">
        <v>166</v>
      </c>
      <c r="E938" s="7" t="s">
        <v>167</v>
      </c>
      <c r="F938" s="7" t="n">
        <v>2021</v>
      </c>
      <c r="G938" s="7" t="s">
        <v>109</v>
      </c>
      <c r="H938" s="7" t="s">
        <v>78</v>
      </c>
      <c r="I938" s="7" t="n">
        <v>34.4</v>
      </c>
      <c r="J938" s="7" t="s">
        <v>64</v>
      </c>
      <c r="K938" s="7" t="s">
        <v>79</v>
      </c>
      <c r="L938" s="7" t="s">
        <v>91</v>
      </c>
      <c r="M938" s="7" t="n">
        <v>55.5</v>
      </c>
      <c r="N938" s="7" t="n">
        <v>4680</v>
      </c>
    </row>
    <row r="939" customFormat="false" ht="15" hidden="false" customHeight="false" outlineLevel="0" collapsed="false">
      <c r="A939" s="7" t="s">
        <v>59</v>
      </c>
      <c r="B939" s="7" t="s">
        <v>165</v>
      </c>
      <c r="C939" s="7" t="s">
        <v>165</v>
      </c>
      <c r="D939" s="7" t="s">
        <v>166</v>
      </c>
      <c r="E939" s="7" t="s">
        <v>167</v>
      </c>
      <c r="F939" s="7" t="n">
        <v>2021</v>
      </c>
      <c r="G939" s="7" t="s">
        <v>149</v>
      </c>
      <c r="H939" s="7" t="s">
        <v>87</v>
      </c>
      <c r="I939" s="7" t="n">
        <v>34.4</v>
      </c>
      <c r="J939" s="7" t="s">
        <v>64</v>
      </c>
      <c r="K939" s="7" t="s">
        <v>133</v>
      </c>
      <c r="L939" s="7" t="s">
        <v>91</v>
      </c>
      <c r="M939" s="7" t="n">
        <v>23.2</v>
      </c>
      <c r="N939" s="7" t="n">
        <v>3072</v>
      </c>
    </row>
    <row r="940" customFormat="false" ht="15" hidden="false" customHeight="false" outlineLevel="0" collapsed="false">
      <c r="A940" s="7" t="s">
        <v>59</v>
      </c>
      <c r="B940" s="7" t="s">
        <v>165</v>
      </c>
      <c r="C940" s="7" t="s">
        <v>165</v>
      </c>
      <c r="D940" s="7" t="s">
        <v>166</v>
      </c>
      <c r="E940" s="7" t="s">
        <v>167</v>
      </c>
      <c r="F940" s="7" t="n">
        <v>2021</v>
      </c>
      <c r="G940" s="7" t="s">
        <v>149</v>
      </c>
      <c r="H940" s="7" t="s">
        <v>86</v>
      </c>
      <c r="I940" s="7" t="n">
        <v>34.4</v>
      </c>
      <c r="J940" s="7" t="s">
        <v>64</v>
      </c>
      <c r="K940" s="7" t="s">
        <v>133</v>
      </c>
      <c r="L940" s="7" t="s">
        <v>91</v>
      </c>
      <c r="M940" s="7" t="n">
        <v>30.1</v>
      </c>
      <c r="N940" s="7" t="n">
        <v>1608</v>
      </c>
    </row>
    <row r="941" customFormat="false" ht="15" hidden="false" customHeight="false" outlineLevel="0" collapsed="false">
      <c r="A941" s="7" t="s">
        <v>59</v>
      </c>
      <c r="B941" s="7" t="s">
        <v>165</v>
      </c>
      <c r="C941" s="7" t="s">
        <v>165</v>
      </c>
      <c r="D941" s="7" t="s">
        <v>166</v>
      </c>
      <c r="E941" s="7" t="s">
        <v>167</v>
      </c>
      <c r="F941" s="7" t="n">
        <v>2021</v>
      </c>
      <c r="G941" s="7" t="s">
        <v>149</v>
      </c>
      <c r="H941" s="7" t="s">
        <v>63</v>
      </c>
      <c r="I941" s="7" t="n">
        <v>34.4</v>
      </c>
      <c r="J941" s="7" t="s">
        <v>64</v>
      </c>
      <c r="K941" s="7" t="s">
        <v>133</v>
      </c>
      <c r="L941" s="7" t="s">
        <v>91</v>
      </c>
      <c r="M941" s="7" t="n">
        <v>53.4</v>
      </c>
      <c r="N941" s="7" t="n">
        <v>4680</v>
      </c>
    </row>
    <row r="942" customFormat="false" ht="15" hidden="false" customHeight="false" outlineLevel="0" collapsed="false">
      <c r="A942" s="7" t="s">
        <v>59</v>
      </c>
      <c r="B942" s="7" t="s">
        <v>165</v>
      </c>
      <c r="C942" s="7" t="s">
        <v>165</v>
      </c>
      <c r="D942" s="7" t="s">
        <v>166</v>
      </c>
      <c r="E942" s="7" t="s">
        <v>167</v>
      </c>
      <c r="F942" s="7" t="n">
        <v>2021</v>
      </c>
      <c r="G942" s="7" t="s">
        <v>149</v>
      </c>
      <c r="H942" s="7" t="s">
        <v>78</v>
      </c>
      <c r="I942" s="7" t="n">
        <v>34.4</v>
      </c>
      <c r="J942" s="7" t="s">
        <v>64</v>
      </c>
      <c r="K942" s="7" t="s">
        <v>79</v>
      </c>
      <c r="L942" s="7" t="s">
        <v>91</v>
      </c>
      <c r="M942" s="7" t="n">
        <v>51.5</v>
      </c>
      <c r="N942" s="7" t="n">
        <v>4680</v>
      </c>
    </row>
    <row r="943" customFormat="false" ht="15" hidden="false" customHeight="false" outlineLevel="0" collapsed="false">
      <c r="A943" s="7" t="s">
        <v>59</v>
      </c>
      <c r="B943" s="7" t="s">
        <v>165</v>
      </c>
      <c r="C943" s="7" t="s">
        <v>165</v>
      </c>
      <c r="D943" s="7" t="s">
        <v>166</v>
      </c>
      <c r="E943" s="7" t="s">
        <v>167</v>
      </c>
      <c r="F943" s="7" t="n">
        <v>2021</v>
      </c>
      <c r="G943" s="7" t="s">
        <v>110</v>
      </c>
      <c r="H943" s="7" t="s">
        <v>87</v>
      </c>
      <c r="I943" s="7" t="n">
        <v>34.4</v>
      </c>
      <c r="J943" s="7" t="s">
        <v>64</v>
      </c>
      <c r="K943" s="7" t="s">
        <v>133</v>
      </c>
      <c r="L943" s="7" t="s">
        <v>91</v>
      </c>
      <c r="M943" s="7" t="n">
        <v>18.1</v>
      </c>
      <c r="N943" s="7" t="n">
        <v>3072</v>
      </c>
    </row>
    <row r="944" customFormat="false" ht="15" hidden="false" customHeight="false" outlineLevel="0" collapsed="false">
      <c r="A944" s="7" t="s">
        <v>59</v>
      </c>
      <c r="B944" s="7" t="s">
        <v>165</v>
      </c>
      <c r="C944" s="7" t="s">
        <v>165</v>
      </c>
      <c r="D944" s="7" t="s">
        <v>166</v>
      </c>
      <c r="E944" s="7" t="s">
        <v>167</v>
      </c>
      <c r="F944" s="7" t="n">
        <v>2021</v>
      </c>
      <c r="G944" s="7" t="s">
        <v>110</v>
      </c>
      <c r="H944" s="7" t="s">
        <v>86</v>
      </c>
      <c r="I944" s="7" t="n">
        <v>34.4</v>
      </c>
      <c r="J944" s="7" t="s">
        <v>64</v>
      </c>
      <c r="K944" s="7" t="s">
        <v>133</v>
      </c>
      <c r="L944" s="7" t="s">
        <v>91</v>
      </c>
      <c r="M944" s="7" t="n">
        <v>27.6</v>
      </c>
      <c r="N944" s="7" t="n">
        <v>1608</v>
      </c>
    </row>
    <row r="945" customFormat="false" ht="15" hidden="false" customHeight="false" outlineLevel="0" collapsed="false">
      <c r="A945" s="7" t="s">
        <v>59</v>
      </c>
      <c r="B945" s="7" t="s">
        <v>165</v>
      </c>
      <c r="C945" s="7" t="s">
        <v>165</v>
      </c>
      <c r="D945" s="7" t="s">
        <v>166</v>
      </c>
      <c r="E945" s="7" t="s">
        <v>167</v>
      </c>
      <c r="F945" s="7" t="n">
        <v>2021</v>
      </c>
      <c r="G945" s="7" t="s">
        <v>110</v>
      </c>
      <c r="H945" s="7" t="s">
        <v>63</v>
      </c>
      <c r="I945" s="7" t="n">
        <v>34.4</v>
      </c>
      <c r="J945" s="7" t="s">
        <v>64</v>
      </c>
      <c r="K945" s="7" t="s">
        <v>133</v>
      </c>
      <c r="L945" s="7" t="s">
        <v>91</v>
      </c>
      <c r="M945" s="7" t="n">
        <v>45.7</v>
      </c>
      <c r="N945" s="7" t="n">
        <v>4680</v>
      </c>
    </row>
    <row r="946" customFormat="false" ht="15" hidden="false" customHeight="false" outlineLevel="0" collapsed="false">
      <c r="A946" s="7" t="s">
        <v>59</v>
      </c>
      <c r="B946" s="7" t="s">
        <v>165</v>
      </c>
      <c r="C946" s="7" t="s">
        <v>165</v>
      </c>
      <c r="D946" s="7" t="s">
        <v>166</v>
      </c>
      <c r="E946" s="7" t="s">
        <v>167</v>
      </c>
      <c r="F946" s="7" t="n">
        <v>2021</v>
      </c>
      <c r="G946" s="7" t="s">
        <v>110</v>
      </c>
      <c r="H946" s="7" t="s">
        <v>78</v>
      </c>
      <c r="I946" s="7" t="n">
        <v>34.4</v>
      </c>
      <c r="J946" s="7" t="s">
        <v>64</v>
      </c>
      <c r="K946" s="7" t="s">
        <v>79</v>
      </c>
      <c r="L946" s="7" t="s">
        <v>91</v>
      </c>
      <c r="M946" s="7" t="n">
        <v>42.9</v>
      </c>
      <c r="N946" s="7" t="n">
        <v>4680</v>
      </c>
    </row>
    <row r="947" customFormat="false" ht="15" hidden="false" customHeight="false" outlineLevel="0" collapsed="false">
      <c r="A947" s="7" t="s">
        <v>59</v>
      </c>
      <c r="B947" s="7" t="s">
        <v>165</v>
      </c>
      <c r="C947" s="7" t="s">
        <v>165</v>
      </c>
      <c r="D947" s="7" t="s">
        <v>166</v>
      </c>
      <c r="E947" s="7" t="s">
        <v>167</v>
      </c>
      <c r="F947" s="7" t="n">
        <v>2021</v>
      </c>
      <c r="G947" s="7" t="s">
        <v>123</v>
      </c>
      <c r="H947" s="7" t="s">
        <v>87</v>
      </c>
      <c r="I947" s="7" t="n">
        <v>34.4</v>
      </c>
      <c r="J947" s="7" t="s">
        <v>64</v>
      </c>
      <c r="K947" s="7" t="s">
        <v>133</v>
      </c>
      <c r="L947" s="7" t="s">
        <v>91</v>
      </c>
      <c r="M947" s="7" t="n">
        <v>15.8</v>
      </c>
      <c r="N947" s="7" t="n">
        <v>3072</v>
      </c>
    </row>
    <row r="948" customFormat="false" ht="15" hidden="false" customHeight="false" outlineLevel="0" collapsed="false">
      <c r="A948" s="7" t="s">
        <v>59</v>
      </c>
      <c r="B948" s="7" t="s">
        <v>165</v>
      </c>
      <c r="C948" s="7" t="s">
        <v>165</v>
      </c>
      <c r="D948" s="7" t="s">
        <v>166</v>
      </c>
      <c r="E948" s="7" t="s">
        <v>167</v>
      </c>
      <c r="F948" s="7" t="n">
        <v>2021</v>
      </c>
      <c r="G948" s="7" t="s">
        <v>123</v>
      </c>
      <c r="H948" s="7" t="s">
        <v>86</v>
      </c>
      <c r="I948" s="7" t="n">
        <v>34.4</v>
      </c>
      <c r="J948" s="7" t="s">
        <v>64</v>
      </c>
      <c r="K948" s="7" t="s">
        <v>133</v>
      </c>
      <c r="L948" s="7" t="s">
        <v>91</v>
      </c>
      <c r="M948" s="7" t="n">
        <v>4.8</v>
      </c>
      <c r="N948" s="7" t="n">
        <v>1608</v>
      </c>
    </row>
    <row r="949" customFormat="false" ht="15" hidden="false" customHeight="false" outlineLevel="0" collapsed="false">
      <c r="A949" s="7" t="s">
        <v>59</v>
      </c>
      <c r="B949" s="7" t="s">
        <v>165</v>
      </c>
      <c r="C949" s="7" t="s">
        <v>165</v>
      </c>
      <c r="D949" s="7" t="s">
        <v>166</v>
      </c>
      <c r="E949" s="7" t="s">
        <v>167</v>
      </c>
      <c r="F949" s="7" t="n">
        <v>2021</v>
      </c>
      <c r="G949" s="7" t="s">
        <v>123</v>
      </c>
      <c r="H949" s="7" t="s">
        <v>63</v>
      </c>
      <c r="I949" s="7" t="n">
        <v>34.4</v>
      </c>
      <c r="J949" s="7" t="s">
        <v>64</v>
      </c>
      <c r="K949" s="7" t="s">
        <v>133</v>
      </c>
      <c r="L949" s="7" t="s">
        <v>91</v>
      </c>
      <c r="M949" s="7" t="n">
        <v>20.6</v>
      </c>
      <c r="N949" s="7" t="n">
        <v>4680</v>
      </c>
    </row>
    <row r="950" customFormat="false" ht="15" hidden="false" customHeight="false" outlineLevel="0" collapsed="false">
      <c r="A950" s="7" t="s">
        <v>59</v>
      </c>
      <c r="B950" s="7" t="s">
        <v>165</v>
      </c>
      <c r="C950" s="7" t="s">
        <v>165</v>
      </c>
      <c r="D950" s="7" t="s">
        <v>166</v>
      </c>
      <c r="E950" s="7" t="s">
        <v>167</v>
      </c>
      <c r="F950" s="7" t="n">
        <v>2021</v>
      </c>
      <c r="G950" s="7" t="s">
        <v>135</v>
      </c>
      <c r="H950" s="7" t="s">
        <v>87</v>
      </c>
      <c r="I950" s="7" t="n">
        <v>34.4</v>
      </c>
      <c r="J950" s="7" t="s">
        <v>64</v>
      </c>
      <c r="K950" s="7" t="s">
        <v>133</v>
      </c>
      <c r="L950" s="7" t="s">
        <v>91</v>
      </c>
      <c r="M950" s="7" t="n">
        <v>24.6</v>
      </c>
      <c r="N950" s="7" t="n">
        <v>3072</v>
      </c>
    </row>
    <row r="951" customFormat="false" ht="15" hidden="false" customHeight="false" outlineLevel="0" collapsed="false">
      <c r="A951" s="7" t="s">
        <v>59</v>
      </c>
      <c r="B951" s="7" t="s">
        <v>165</v>
      </c>
      <c r="C951" s="7" t="s">
        <v>165</v>
      </c>
      <c r="D951" s="7" t="s">
        <v>166</v>
      </c>
      <c r="E951" s="7" t="s">
        <v>167</v>
      </c>
      <c r="F951" s="7" t="n">
        <v>2021</v>
      </c>
      <c r="G951" s="7" t="s">
        <v>135</v>
      </c>
      <c r="H951" s="7" t="s">
        <v>86</v>
      </c>
      <c r="I951" s="7" t="n">
        <v>34.4</v>
      </c>
      <c r="J951" s="7" t="s">
        <v>64</v>
      </c>
      <c r="K951" s="7" t="s">
        <v>133</v>
      </c>
      <c r="L951" s="7" t="s">
        <v>91</v>
      </c>
      <c r="M951" s="7" t="n">
        <v>32.3</v>
      </c>
      <c r="N951" s="7" t="n">
        <v>1608</v>
      </c>
    </row>
    <row r="952" customFormat="false" ht="15" hidden="false" customHeight="false" outlineLevel="0" collapsed="false">
      <c r="A952" s="7" t="s">
        <v>59</v>
      </c>
      <c r="B952" s="7" t="s">
        <v>165</v>
      </c>
      <c r="C952" s="7" t="s">
        <v>165</v>
      </c>
      <c r="D952" s="7" t="s">
        <v>166</v>
      </c>
      <c r="E952" s="7" t="s">
        <v>167</v>
      </c>
      <c r="F952" s="7" t="n">
        <v>2021</v>
      </c>
      <c r="G952" s="7" t="s">
        <v>135</v>
      </c>
      <c r="H952" s="7" t="s">
        <v>63</v>
      </c>
      <c r="I952" s="7" t="n">
        <v>34.4</v>
      </c>
      <c r="J952" s="7" t="s">
        <v>64</v>
      </c>
      <c r="K952" s="7" t="s">
        <v>133</v>
      </c>
      <c r="L952" s="7" t="s">
        <v>91</v>
      </c>
      <c r="M952" s="7" t="n">
        <v>56.9</v>
      </c>
      <c r="N952" s="7" t="n">
        <v>4680</v>
      </c>
    </row>
    <row r="953" customFormat="false" ht="15" hidden="false" customHeight="false" outlineLevel="0" collapsed="false">
      <c r="A953" s="7" t="s">
        <v>59</v>
      </c>
      <c r="B953" s="7" t="s">
        <v>165</v>
      </c>
      <c r="C953" s="7" t="s">
        <v>165</v>
      </c>
      <c r="D953" s="7" t="s">
        <v>166</v>
      </c>
      <c r="E953" s="7" t="s">
        <v>167</v>
      </c>
      <c r="F953" s="7" t="n">
        <v>2021</v>
      </c>
      <c r="G953" s="7" t="s">
        <v>135</v>
      </c>
      <c r="H953" s="7" t="s">
        <v>78</v>
      </c>
      <c r="I953" s="7" t="n">
        <v>34.4</v>
      </c>
      <c r="J953" s="7" t="s">
        <v>64</v>
      </c>
      <c r="K953" s="7" t="s">
        <v>79</v>
      </c>
      <c r="L953" s="7" t="s">
        <v>91</v>
      </c>
      <c r="M953" s="7" t="n">
        <v>55.5</v>
      </c>
      <c r="N953" s="7" t="n">
        <v>4680</v>
      </c>
    </row>
    <row r="954" customFormat="false" ht="15" hidden="false" customHeight="false" outlineLevel="0" collapsed="false">
      <c r="A954" s="7" t="s">
        <v>59</v>
      </c>
      <c r="B954" s="7" t="s">
        <v>165</v>
      </c>
      <c r="C954" s="7" t="s">
        <v>165</v>
      </c>
      <c r="D954" s="7" t="s">
        <v>166</v>
      </c>
      <c r="E954" s="7" t="s">
        <v>167</v>
      </c>
      <c r="F954" s="7" t="n">
        <v>2021</v>
      </c>
      <c r="G954" s="7" t="s">
        <v>150</v>
      </c>
      <c r="H954" s="7" t="s">
        <v>87</v>
      </c>
      <c r="I954" s="7" t="n">
        <v>34.4</v>
      </c>
      <c r="J954" s="7" t="s">
        <v>64</v>
      </c>
      <c r="K954" s="7" t="s">
        <v>133</v>
      </c>
      <c r="L954" s="7" t="s">
        <v>91</v>
      </c>
      <c r="M954" s="7" t="n">
        <v>23.2</v>
      </c>
      <c r="N954" s="7" t="n">
        <v>3072</v>
      </c>
    </row>
    <row r="955" customFormat="false" ht="15" hidden="false" customHeight="false" outlineLevel="0" collapsed="false">
      <c r="A955" s="7" t="s">
        <v>59</v>
      </c>
      <c r="B955" s="7" t="s">
        <v>165</v>
      </c>
      <c r="C955" s="7" t="s">
        <v>165</v>
      </c>
      <c r="D955" s="7" t="s">
        <v>166</v>
      </c>
      <c r="E955" s="7" t="s">
        <v>167</v>
      </c>
      <c r="F955" s="7" t="n">
        <v>2021</v>
      </c>
      <c r="G955" s="7" t="s">
        <v>150</v>
      </c>
      <c r="H955" s="7" t="s">
        <v>86</v>
      </c>
      <c r="I955" s="7" t="n">
        <v>34.4</v>
      </c>
      <c r="J955" s="7" t="s">
        <v>64</v>
      </c>
      <c r="K955" s="7" t="s">
        <v>133</v>
      </c>
      <c r="L955" s="7" t="s">
        <v>91</v>
      </c>
      <c r="M955" s="7" t="n">
        <v>30.1</v>
      </c>
      <c r="N955" s="7" t="n">
        <v>1608</v>
      </c>
    </row>
    <row r="956" customFormat="false" ht="15" hidden="false" customHeight="false" outlineLevel="0" collapsed="false">
      <c r="A956" s="7" t="s">
        <v>59</v>
      </c>
      <c r="B956" s="7" t="s">
        <v>165</v>
      </c>
      <c r="C956" s="7" t="s">
        <v>165</v>
      </c>
      <c r="D956" s="7" t="s">
        <v>166</v>
      </c>
      <c r="E956" s="7" t="s">
        <v>167</v>
      </c>
      <c r="F956" s="7" t="n">
        <v>2021</v>
      </c>
      <c r="G956" s="7" t="s">
        <v>150</v>
      </c>
      <c r="H956" s="7" t="s">
        <v>63</v>
      </c>
      <c r="I956" s="7" t="n">
        <v>34.4</v>
      </c>
      <c r="J956" s="7" t="s">
        <v>64</v>
      </c>
      <c r="K956" s="7" t="s">
        <v>133</v>
      </c>
      <c r="L956" s="7" t="s">
        <v>91</v>
      </c>
      <c r="M956" s="7" t="n">
        <v>53.4</v>
      </c>
      <c r="N956" s="7" t="n">
        <v>4680</v>
      </c>
    </row>
    <row r="957" customFormat="false" ht="15" hidden="false" customHeight="false" outlineLevel="0" collapsed="false">
      <c r="A957" s="7" t="s">
        <v>59</v>
      </c>
      <c r="B957" s="7" t="s">
        <v>165</v>
      </c>
      <c r="C957" s="7" t="s">
        <v>165</v>
      </c>
      <c r="D957" s="7" t="s">
        <v>166</v>
      </c>
      <c r="E957" s="7" t="s">
        <v>167</v>
      </c>
      <c r="F957" s="7" t="n">
        <v>2021</v>
      </c>
      <c r="G957" s="7" t="s">
        <v>150</v>
      </c>
      <c r="H957" s="7" t="s">
        <v>78</v>
      </c>
      <c r="I957" s="7" t="n">
        <v>34.4</v>
      </c>
      <c r="J957" s="7" t="s">
        <v>64</v>
      </c>
      <c r="K957" s="7" t="s">
        <v>79</v>
      </c>
      <c r="L957" s="7" t="s">
        <v>91</v>
      </c>
      <c r="M957" s="7" t="n">
        <v>51.5</v>
      </c>
      <c r="N957" s="7" t="n">
        <v>4680</v>
      </c>
    </row>
    <row r="958" customFormat="false" ht="15" hidden="false" customHeight="false" outlineLevel="0" collapsed="false">
      <c r="A958" s="7" t="s">
        <v>59</v>
      </c>
      <c r="B958" s="7" t="s">
        <v>165</v>
      </c>
      <c r="C958" s="7" t="s">
        <v>165</v>
      </c>
      <c r="D958" s="7" t="s">
        <v>166</v>
      </c>
      <c r="E958" s="7" t="s">
        <v>167</v>
      </c>
      <c r="F958" s="7" t="n">
        <v>2021</v>
      </c>
      <c r="G958" s="7" t="s">
        <v>136</v>
      </c>
      <c r="H958" s="7" t="s">
        <v>87</v>
      </c>
      <c r="I958" s="7" t="n">
        <v>34.4</v>
      </c>
      <c r="J958" s="7" t="s">
        <v>64</v>
      </c>
      <c r="K958" s="7" t="s">
        <v>133</v>
      </c>
      <c r="L958" s="7" t="s">
        <v>91</v>
      </c>
      <c r="M958" s="7" t="n">
        <v>18.1</v>
      </c>
      <c r="N958" s="7" t="n">
        <v>3072</v>
      </c>
    </row>
    <row r="959" customFormat="false" ht="15" hidden="false" customHeight="false" outlineLevel="0" collapsed="false">
      <c r="A959" s="7" t="s">
        <v>59</v>
      </c>
      <c r="B959" s="7" t="s">
        <v>165</v>
      </c>
      <c r="C959" s="7" t="s">
        <v>165</v>
      </c>
      <c r="D959" s="7" t="s">
        <v>166</v>
      </c>
      <c r="E959" s="7" t="s">
        <v>167</v>
      </c>
      <c r="F959" s="7" t="n">
        <v>2021</v>
      </c>
      <c r="G959" s="7" t="s">
        <v>136</v>
      </c>
      <c r="H959" s="7" t="s">
        <v>86</v>
      </c>
      <c r="I959" s="7" t="n">
        <v>34.4</v>
      </c>
      <c r="J959" s="7" t="s">
        <v>64</v>
      </c>
      <c r="K959" s="7" t="s">
        <v>133</v>
      </c>
      <c r="L959" s="7" t="s">
        <v>91</v>
      </c>
      <c r="M959" s="7" t="n">
        <v>27.6</v>
      </c>
      <c r="N959" s="7" t="n">
        <v>1608</v>
      </c>
    </row>
    <row r="960" customFormat="false" ht="15" hidden="false" customHeight="false" outlineLevel="0" collapsed="false">
      <c r="A960" s="7" t="s">
        <v>59</v>
      </c>
      <c r="B960" s="7" t="s">
        <v>165</v>
      </c>
      <c r="C960" s="7" t="s">
        <v>165</v>
      </c>
      <c r="D960" s="7" t="s">
        <v>166</v>
      </c>
      <c r="E960" s="7" t="s">
        <v>167</v>
      </c>
      <c r="F960" s="7" t="n">
        <v>2021</v>
      </c>
      <c r="G960" s="7" t="s">
        <v>136</v>
      </c>
      <c r="H960" s="7" t="s">
        <v>63</v>
      </c>
      <c r="I960" s="7" t="n">
        <v>34.4</v>
      </c>
      <c r="J960" s="7" t="s">
        <v>64</v>
      </c>
      <c r="K960" s="7" t="s">
        <v>133</v>
      </c>
      <c r="L960" s="7" t="s">
        <v>91</v>
      </c>
      <c r="M960" s="7" t="n">
        <v>45.7</v>
      </c>
      <c r="N960" s="7" t="n">
        <v>4680</v>
      </c>
    </row>
    <row r="961" customFormat="false" ht="15" hidden="false" customHeight="false" outlineLevel="0" collapsed="false">
      <c r="A961" s="7" t="s">
        <v>59</v>
      </c>
      <c r="B961" s="7" t="s">
        <v>165</v>
      </c>
      <c r="C961" s="7" t="s">
        <v>165</v>
      </c>
      <c r="D961" s="7" t="s">
        <v>166</v>
      </c>
      <c r="E961" s="7" t="s">
        <v>167</v>
      </c>
      <c r="F961" s="7" t="n">
        <v>2021</v>
      </c>
      <c r="G961" s="7" t="s">
        <v>136</v>
      </c>
      <c r="H961" s="7" t="s">
        <v>78</v>
      </c>
      <c r="I961" s="7" t="n">
        <v>34.4</v>
      </c>
      <c r="J961" s="7" t="s">
        <v>64</v>
      </c>
      <c r="K961" s="7" t="s">
        <v>79</v>
      </c>
      <c r="L961" s="7" t="s">
        <v>91</v>
      </c>
      <c r="M961" s="7" t="n">
        <v>42.9</v>
      </c>
      <c r="N961" s="7" t="n">
        <v>4680</v>
      </c>
    </row>
    <row r="962" customFormat="false" ht="15" hidden="false" customHeight="false" outlineLevel="0" collapsed="false">
      <c r="A962" s="7" t="s">
        <v>59</v>
      </c>
      <c r="B962" s="7" t="s">
        <v>165</v>
      </c>
      <c r="C962" s="7" t="s">
        <v>165</v>
      </c>
      <c r="D962" s="7" t="s">
        <v>166</v>
      </c>
      <c r="E962" s="7" t="s">
        <v>167</v>
      </c>
      <c r="F962" s="7" t="n">
        <v>2021</v>
      </c>
      <c r="G962" s="7" t="s">
        <v>137</v>
      </c>
      <c r="H962" s="7" t="s">
        <v>87</v>
      </c>
      <c r="I962" s="7" t="n">
        <v>34.4</v>
      </c>
      <c r="J962" s="7" t="s">
        <v>64</v>
      </c>
      <c r="K962" s="7" t="s">
        <v>133</v>
      </c>
      <c r="L962" s="7" t="s">
        <v>91</v>
      </c>
      <c r="M962" s="7" t="n">
        <v>23.9</v>
      </c>
      <c r="N962" s="7" t="n">
        <v>3072</v>
      </c>
    </row>
    <row r="963" customFormat="false" ht="15" hidden="false" customHeight="false" outlineLevel="0" collapsed="false">
      <c r="A963" s="7" t="s">
        <v>59</v>
      </c>
      <c r="B963" s="7" t="s">
        <v>165</v>
      </c>
      <c r="C963" s="7" t="s">
        <v>165</v>
      </c>
      <c r="D963" s="7" t="s">
        <v>166</v>
      </c>
      <c r="E963" s="7" t="s">
        <v>167</v>
      </c>
      <c r="F963" s="7" t="n">
        <v>2021</v>
      </c>
      <c r="G963" s="7" t="s">
        <v>137</v>
      </c>
      <c r="H963" s="7" t="s">
        <v>86</v>
      </c>
      <c r="I963" s="7" t="n">
        <v>34.4</v>
      </c>
      <c r="J963" s="7" t="s">
        <v>64</v>
      </c>
      <c r="K963" s="7" t="s">
        <v>133</v>
      </c>
      <c r="L963" s="7" t="s">
        <v>91</v>
      </c>
      <c r="M963" s="7" t="n">
        <v>27.1</v>
      </c>
      <c r="N963" s="7" t="n">
        <v>1608</v>
      </c>
    </row>
    <row r="964" customFormat="false" ht="15" hidden="false" customHeight="false" outlineLevel="0" collapsed="false">
      <c r="A964" s="7" t="s">
        <v>59</v>
      </c>
      <c r="B964" s="7" t="s">
        <v>165</v>
      </c>
      <c r="C964" s="7" t="s">
        <v>165</v>
      </c>
      <c r="D964" s="7" t="s">
        <v>166</v>
      </c>
      <c r="E964" s="7" t="s">
        <v>167</v>
      </c>
      <c r="F964" s="7" t="n">
        <v>2021</v>
      </c>
      <c r="G964" s="7" t="s">
        <v>137</v>
      </c>
      <c r="H964" s="7" t="s">
        <v>63</v>
      </c>
      <c r="I964" s="7" t="n">
        <v>34.4</v>
      </c>
      <c r="J964" s="7" t="s">
        <v>64</v>
      </c>
      <c r="K964" s="7" t="s">
        <v>133</v>
      </c>
      <c r="L964" s="7" t="s">
        <v>91</v>
      </c>
      <c r="M964" s="7" t="n">
        <v>51</v>
      </c>
      <c r="N964" s="7" t="n">
        <v>4680</v>
      </c>
    </row>
    <row r="965" customFormat="false" ht="15" hidden="false" customHeight="false" outlineLevel="0" collapsed="false">
      <c r="A965" s="7" t="s">
        <v>59</v>
      </c>
      <c r="B965" s="7" t="s">
        <v>165</v>
      </c>
      <c r="C965" s="7" t="s">
        <v>165</v>
      </c>
      <c r="D965" s="7" t="s">
        <v>166</v>
      </c>
      <c r="E965" s="7" t="s">
        <v>167</v>
      </c>
      <c r="F965" s="7" t="n">
        <v>2021</v>
      </c>
      <c r="G965" s="7" t="s">
        <v>137</v>
      </c>
      <c r="H965" s="7" t="s">
        <v>78</v>
      </c>
      <c r="I965" s="7" t="n">
        <v>34.4</v>
      </c>
      <c r="J965" s="7" t="s">
        <v>64</v>
      </c>
      <c r="K965" s="7" t="s">
        <v>79</v>
      </c>
      <c r="L965" s="7" t="s">
        <v>91</v>
      </c>
      <c r="M965" s="7" t="n">
        <v>49.3</v>
      </c>
      <c r="N965" s="7" t="n">
        <v>4680</v>
      </c>
    </row>
    <row r="966" customFormat="false" ht="15" hidden="false" customHeight="false" outlineLevel="0" collapsed="false">
      <c r="A966" s="7" t="s">
        <v>59</v>
      </c>
      <c r="B966" s="7" t="s">
        <v>165</v>
      </c>
      <c r="C966" s="7" t="s">
        <v>165</v>
      </c>
      <c r="D966" s="7" t="s">
        <v>166</v>
      </c>
      <c r="E966" s="7" t="s">
        <v>167</v>
      </c>
      <c r="F966" s="7" t="n">
        <v>2021</v>
      </c>
      <c r="G966" s="7" t="s">
        <v>169</v>
      </c>
      <c r="H966" s="7" t="s">
        <v>87</v>
      </c>
      <c r="I966" s="7" t="n">
        <v>34.4</v>
      </c>
      <c r="J966" s="7" t="s">
        <v>64</v>
      </c>
      <c r="K966" s="7" t="s">
        <v>133</v>
      </c>
      <c r="L966" s="7" t="s">
        <v>91</v>
      </c>
      <c r="M966" s="7" t="n">
        <v>17.4</v>
      </c>
      <c r="N966" s="7" t="n">
        <v>3072</v>
      </c>
    </row>
    <row r="967" customFormat="false" ht="15" hidden="false" customHeight="false" outlineLevel="0" collapsed="false">
      <c r="A967" s="7" t="s">
        <v>59</v>
      </c>
      <c r="B967" s="7" t="s">
        <v>165</v>
      </c>
      <c r="C967" s="7" t="s">
        <v>165</v>
      </c>
      <c r="D967" s="7" t="s">
        <v>166</v>
      </c>
      <c r="E967" s="7" t="s">
        <v>167</v>
      </c>
      <c r="F967" s="7" t="n">
        <v>2021</v>
      </c>
      <c r="G967" s="7" t="s">
        <v>169</v>
      </c>
      <c r="H967" s="7" t="s">
        <v>86</v>
      </c>
      <c r="I967" s="7" t="n">
        <v>34.4</v>
      </c>
      <c r="J967" s="7" t="s">
        <v>64</v>
      </c>
      <c r="K967" s="7" t="s">
        <v>133</v>
      </c>
      <c r="L967" s="7" t="s">
        <v>91</v>
      </c>
      <c r="M967" s="7" t="n">
        <v>19.9</v>
      </c>
      <c r="N967" s="7" t="n">
        <v>1608</v>
      </c>
    </row>
    <row r="968" customFormat="false" ht="15" hidden="false" customHeight="false" outlineLevel="0" collapsed="false">
      <c r="A968" s="7" t="s">
        <v>59</v>
      </c>
      <c r="B968" s="7" t="s">
        <v>165</v>
      </c>
      <c r="C968" s="7" t="s">
        <v>165</v>
      </c>
      <c r="D968" s="7" t="s">
        <v>166</v>
      </c>
      <c r="E968" s="7" t="s">
        <v>167</v>
      </c>
      <c r="F968" s="7" t="n">
        <v>2021</v>
      </c>
      <c r="G968" s="7" t="s">
        <v>169</v>
      </c>
      <c r="H968" s="7" t="s">
        <v>63</v>
      </c>
      <c r="I968" s="7" t="n">
        <v>34.4</v>
      </c>
      <c r="J968" s="7" t="s">
        <v>64</v>
      </c>
      <c r="K968" s="7" t="s">
        <v>133</v>
      </c>
      <c r="L968" s="7" t="s">
        <v>91</v>
      </c>
      <c r="M968" s="7" t="n">
        <v>37.3</v>
      </c>
      <c r="N968" s="7" t="n">
        <v>4680</v>
      </c>
    </row>
    <row r="969" customFormat="false" ht="15" hidden="false" customHeight="false" outlineLevel="0" collapsed="false">
      <c r="A969" s="7" t="s">
        <v>59</v>
      </c>
      <c r="B969" s="7" t="s">
        <v>165</v>
      </c>
      <c r="C969" s="7" t="s">
        <v>165</v>
      </c>
      <c r="D969" s="7" t="s">
        <v>166</v>
      </c>
      <c r="E969" s="7" t="s">
        <v>167</v>
      </c>
      <c r="F969" s="7" t="n">
        <v>2021</v>
      </c>
      <c r="G969" s="7" t="s">
        <v>169</v>
      </c>
      <c r="H969" s="7" t="s">
        <v>78</v>
      </c>
      <c r="I969" s="7" t="n">
        <v>34.4</v>
      </c>
      <c r="J969" s="7" t="s">
        <v>64</v>
      </c>
      <c r="K969" s="7" t="s">
        <v>79</v>
      </c>
      <c r="L969" s="7" t="s">
        <v>91</v>
      </c>
      <c r="M969" s="7" t="n">
        <v>34.3</v>
      </c>
      <c r="N969" s="7" t="n">
        <v>4680</v>
      </c>
    </row>
    <row r="970" customFormat="false" ht="15" hidden="false" customHeight="false" outlineLevel="0" collapsed="false">
      <c r="A970" s="7" t="s">
        <v>59</v>
      </c>
      <c r="B970" s="7" t="s">
        <v>165</v>
      </c>
      <c r="C970" s="7" t="s">
        <v>165</v>
      </c>
      <c r="D970" s="7" t="s">
        <v>166</v>
      </c>
      <c r="E970" s="7" t="s">
        <v>167</v>
      </c>
      <c r="F970" s="7" t="n">
        <v>2021</v>
      </c>
      <c r="G970" s="7" t="s">
        <v>68</v>
      </c>
      <c r="H970" s="7" t="s">
        <v>87</v>
      </c>
      <c r="I970" s="7" t="n">
        <v>34.4</v>
      </c>
      <c r="J970" s="7" t="s">
        <v>64</v>
      </c>
      <c r="K970" s="7" t="s">
        <v>133</v>
      </c>
      <c r="L970" s="7" t="s">
        <v>91</v>
      </c>
      <c r="M970" s="7" t="n">
        <v>22.3</v>
      </c>
      <c r="N970" s="7" t="n">
        <v>3072</v>
      </c>
    </row>
    <row r="971" customFormat="false" ht="15" hidden="false" customHeight="false" outlineLevel="0" collapsed="false">
      <c r="A971" s="7" t="s">
        <v>59</v>
      </c>
      <c r="B971" s="7" t="s">
        <v>165</v>
      </c>
      <c r="C971" s="7" t="s">
        <v>165</v>
      </c>
      <c r="D971" s="7" t="s">
        <v>166</v>
      </c>
      <c r="E971" s="7" t="s">
        <v>167</v>
      </c>
      <c r="F971" s="7" t="n">
        <v>2021</v>
      </c>
      <c r="G971" s="7" t="s">
        <v>68</v>
      </c>
      <c r="H971" s="7" t="s">
        <v>86</v>
      </c>
      <c r="I971" s="7" t="n">
        <v>34.4</v>
      </c>
      <c r="J971" s="7" t="s">
        <v>64</v>
      </c>
      <c r="K971" s="7" t="s">
        <v>133</v>
      </c>
      <c r="L971" s="7" t="s">
        <v>91</v>
      </c>
      <c r="M971" s="7" t="n">
        <v>25.7</v>
      </c>
      <c r="N971" s="7" t="n">
        <v>1608</v>
      </c>
    </row>
    <row r="972" customFormat="false" ht="15" hidden="false" customHeight="false" outlineLevel="0" collapsed="false">
      <c r="A972" s="7" t="s">
        <v>59</v>
      </c>
      <c r="B972" s="7" t="s">
        <v>165</v>
      </c>
      <c r="C972" s="7" t="s">
        <v>165</v>
      </c>
      <c r="D972" s="7" t="s">
        <v>166</v>
      </c>
      <c r="E972" s="7" t="s">
        <v>167</v>
      </c>
      <c r="F972" s="7" t="n">
        <v>2021</v>
      </c>
      <c r="G972" s="7" t="s">
        <v>68</v>
      </c>
      <c r="H972" s="7" t="s">
        <v>63</v>
      </c>
      <c r="I972" s="7" t="n">
        <v>34.4</v>
      </c>
      <c r="J972" s="7" t="s">
        <v>64</v>
      </c>
      <c r="K972" s="7" t="s">
        <v>133</v>
      </c>
      <c r="L972" s="7" t="s">
        <v>91</v>
      </c>
      <c r="M972" s="7" t="n">
        <v>47.9</v>
      </c>
      <c r="N972" s="7" t="n">
        <v>4680</v>
      </c>
    </row>
    <row r="973" customFormat="false" ht="15" hidden="false" customHeight="false" outlineLevel="0" collapsed="false">
      <c r="A973" s="7" t="s">
        <v>59</v>
      </c>
      <c r="B973" s="7" t="s">
        <v>165</v>
      </c>
      <c r="C973" s="7" t="s">
        <v>165</v>
      </c>
      <c r="D973" s="7" t="s">
        <v>166</v>
      </c>
      <c r="E973" s="7" t="s">
        <v>167</v>
      </c>
      <c r="F973" s="7" t="n">
        <v>2021</v>
      </c>
      <c r="G973" s="7" t="s">
        <v>68</v>
      </c>
      <c r="H973" s="7" t="s">
        <v>78</v>
      </c>
      <c r="I973" s="7" t="n">
        <v>34.4</v>
      </c>
      <c r="J973" s="7" t="s">
        <v>64</v>
      </c>
      <c r="K973" s="7" t="s">
        <v>79</v>
      </c>
      <c r="L973" s="7" t="s">
        <v>91</v>
      </c>
      <c r="M973" s="7" t="n">
        <v>41.4</v>
      </c>
      <c r="N973" s="7" t="n">
        <v>4680</v>
      </c>
    </row>
    <row r="974" customFormat="false" ht="15" hidden="false" customHeight="false" outlineLevel="0" collapsed="false">
      <c r="A974" s="7" t="s">
        <v>59</v>
      </c>
      <c r="B974" s="7" t="s">
        <v>165</v>
      </c>
      <c r="C974" s="7" t="s">
        <v>165</v>
      </c>
      <c r="D974" s="7" t="s">
        <v>166</v>
      </c>
      <c r="E974" s="7" t="s">
        <v>167</v>
      </c>
      <c r="F974" s="7" t="n">
        <v>2021</v>
      </c>
      <c r="G974" s="7" t="s">
        <v>158</v>
      </c>
      <c r="H974" s="7" t="s">
        <v>87</v>
      </c>
      <c r="I974" s="7" t="n">
        <v>34.4</v>
      </c>
      <c r="J974" s="7" t="s">
        <v>64</v>
      </c>
      <c r="K974" s="7" t="s">
        <v>133</v>
      </c>
      <c r="L974" s="7" t="s">
        <v>91</v>
      </c>
      <c r="M974" s="7" t="n">
        <v>20.4</v>
      </c>
      <c r="N974" s="7" t="n">
        <v>3072</v>
      </c>
    </row>
    <row r="975" customFormat="false" ht="15" hidden="false" customHeight="false" outlineLevel="0" collapsed="false">
      <c r="A975" s="7" t="s">
        <v>59</v>
      </c>
      <c r="B975" s="7" t="s">
        <v>165</v>
      </c>
      <c r="C975" s="7" t="s">
        <v>165</v>
      </c>
      <c r="D975" s="7" t="s">
        <v>166</v>
      </c>
      <c r="E975" s="7" t="s">
        <v>167</v>
      </c>
      <c r="F975" s="7" t="n">
        <v>2021</v>
      </c>
      <c r="G975" s="7" t="s">
        <v>158</v>
      </c>
      <c r="H975" s="7" t="s">
        <v>86</v>
      </c>
      <c r="I975" s="7" t="n">
        <v>34.4</v>
      </c>
      <c r="J975" s="7" t="s">
        <v>64</v>
      </c>
      <c r="K975" s="7" t="s">
        <v>133</v>
      </c>
      <c r="L975" s="7" t="s">
        <v>91</v>
      </c>
      <c r="M975" s="7" t="n">
        <v>24.5</v>
      </c>
      <c r="N975" s="7" t="n">
        <v>1608</v>
      </c>
    </row>
    <row r="976" customFormat="false" ht="15" hidden="false" customHeight="false" outlineLevel="0" collapsed="false">
      <c r="A976" s="7" t="s">
        <v>59</v>
      </c>
      <c r="B976" s="7" t="s">
        <v>165</v>
      </c>
      <c r="C976" s="7" t="s">
        <v>165</v>
      </c>
      <c r="D976" s="7" t="s">
        <v>166</v>
      </c>
      <c r="E976" s="7" t="s">
        <v>167</v>
      </c>
      <c r="F976" s="7" t="n">
        <v>2021</v>
      </c>
      <c r="G976" s="7" t="s">
        <v>158</v>
      </c>
      <c r="H976" s="7" t="s">
        <v>63</v>
      </c>
      <c r="I976" s="7" t="n">
        <v>34.4</v>
      </c>
      <c r="J976" s="7" t="s">
        <v>64</v>
      </c>
      <c r="K976" s="7" t="s">
        <v>133</v>
      </c>
      <c r="L976" s="7" t="s">
        <v>91</v>
      </c>
      <c r="M976" s="7" t="n">
        <v>44.9</v>
      </c>
      <c r="N976" s="7" t="n">
        <v>4680</v>
      </c>
    </row>
    <row r="977" customFormat="false" ht="15" hidden="false" customHeight="false" outlineLevel="0" collapsed="false">
      <c r="A977" s="7" t="s">
        <v>59</v>
      </c>
      <c r="B977" s="7" t="s">
        <v>165</v>
      </c>
      <c r="C977" s="7" t="s">
        <v>165</v>
      </c>
      <c r="D977" s="7" t="s">
        <v>166</v>
      </c>
      <c r="E977" s="7" t="s">
        <v>167</v>
      </c>
      <c r="F977" s="7" t="n">
        <v>2021</v>
      </c>
      <c r="G977" s="7" t="s">
        <v>158</v>
      </c>
      <c r="H977" s="7" t="s">
        <v>78</v>
      </c>
      <c r="I977" s="7" t="n">
        <v>34.4</v>
      </c>
      <c r="J977" s="7" t="s">
        <v>64</v>
      </c>
      <c r="K977" s="7" t="s">
        <v>79</v>
      </c>
      <c r="L977" s="7" t="s">
        <v>91</v>
      </c>
      <c r="M977" s="7" t="n">
        <v>38.2</v>
      </c>
      <c r="N977" s="7" t="n">
        <v>4680</v>
      </c>
    </row>
    <row r="978" customFormat="false" ht="15" hidden="false" customHeight="false" outlineLevel="0" collapsed="false">
      <c r="A978" s="7" t="s">
        <v>59</v>
      </c>
      <c r="B978" s="7" t="s">
        <v>165</v>
      </c>
      <c r="C978" s="7" t="s">
        <v>165</v>
      </c>
      <c r="D978" s="7" t="s">
        <v>166</v>
      </c>
      <c r="E978" s="7" t="s">
        <v>167</v>
      </c>
      <c r="F978" s="7" t="n">
        <v>2021</v>
      </c>
      <c r="G978" s="7" t="s">
        <v>138</v>
      </c>
      <c r="H978" s="7" t="s">
        <v>87</v>
      </c>
      <c r="I978" s="7" t="n">
        <v>34.4</v>
      </c>
      <c r="J978" s="7" t="s">
        <v>64</v>
      </c>
      <c r="K978" s="7" t="s">
        <v>133</v>
      </c>
      <c r="L978" s="7" t="s">
        <v>91</v>
      </c>
      <c r="M978" s="7" t="n">
        <v>24</v>
      </c>
      <c r="N978" s="7" t="n">
        <v>3072</v>
      </c>
    </row>
    <row r="979" customFormat="false" ht="15" hidden="false" customHeight="false" outlineLevel="0" collapsed="false">
      <c r="A979" s="7" t="s">
        <v>59</v>
      </c>
      <c r="B979" s="7" t="s">
        <v>165</v>
      </c>
      <c r="C979" s="7" t="s">
        <v>165</v>
      </c>
      <c r="D979" s="7" t="s">
        <v>166</v>
      </c>
      <c r="E979" s="7" t="s">
        <v>167</v>
      </c>
      <c r="F979" s="7" t="n">
        <v>2021</v>
      </c>
      <c r="G979" s="7" t="s">
        <v>138</v>
      </c>
      <c r="H979" s="7" t="s">
        <v>86</v>
      </c>
      <c r="I979" s="7" t="n">
        <v>34.4</v>
      </c>
      <c r="J979" s="7" t="s">
        <v>64</v>
      </c>
      <c r="K979" s="7" t="s">
        <v>133</v>
      </c>
      <c r="L979" s="7" t="s">
        <v>91</v>
      </c>
      <c r="M979" s="7" t="n">
        <v>32.7</v>
      </c>
      <c r="N979" s="7" t="n">
        <v>1608</v>
      </c>
    </row>
    <row r="980" customFormat="false" ht="15" hidden="false" customHeight="false" outlineLevel="0" collapsed="false">
      <c r="A980" s="7" t="s">
        <v>59</v>
      </c>
      <c r="B980" s="7" t="s">
        <v>165</v>
      </c>
      <c r="C980" s="7" t="s">
        <v>165</v>
      </c>
      <c r="D980" s="7" t="s">
        <v>166</v>
      </c>
      <c r="E980" s="7" t="s">
        <v>167</v>
      </c>
      <c r="F980" s="7" t="n">
        <v>2021</v>
      </c>
      <c r="G980" s="7" t="s">
        <v>138</v>
      </c>
      <c r="H980" s="7" t="s">
        <v>63</v>
      </c>
      <c r="I980" s="7" t="n">
        <v>34.4</v>
      </c>
      <c r="J980" s="7" t="s">
        <v>64</v>
      </c>
      <c r="K980" s="7" t="s">
        <v>133</v>
      </c>
      <c r="L980" s="7" t="s">
        <v>91</v>
      </c>
      <c r="M980" s="7" t="n">
        <v>56.7</v>
      </c>
      <c r="N980" s="7" t="n">
        <v>4680</v>
      </c>
    </row>
    <row r="981" customFormat="false" ht="15" hidden="false" customHeight="false" outlineLevel="0" collapsed="false">
      <c r="A981" s="7" t="s">
        <v>59</v>
      </c>
      <c r="B981" s="7" t="s">
        <v>165</v>
      </c>
      <c r="C981" s="7" t="s">
        <v>165</v>
      </c>
      <c r="D981" s="7" t="s">
        <v>166</v>
      </c>
      <c r="E981" s="7" t="s">
        <v>167</v>
      </c>
      <c r="F981" s="7" t="n">
        <v>2021</v>
      </c>
      <c r="G981" s="7" t="s">
        <v>138</v>
      </c>
      <c r="H981" s="7" t="s">
        <v>78</v>
      </c>
      <c r="I981" s="7" t="n">
        <v>34.4</v>
      </c>
      <c r="J981" s="7" t="s">
        <v>64</v>
      </c>
      <c r="K981" s="7" t="s">
        <v>79</v>
      </c>
      <c r="L981" s="7" t="s">
        <v>91</v>
      </c>
      <c r="M981" s="7" t="n">
        <v>55.1</v>
      </c>
      <c r="N981" s="7" t="n">
        <v>4680</v>
      </c>
    </row>
    <row r="982" customFormat="false" ht="15" hidden="false" customHeight="false" outlineLevel="0" collapsed="false">
      <c r="A982" s="7" t="s">
        <v>59</v>
      </c>
      <c r="B982" s="7" t="s">
        <v>165</v>
      </c>
      <c r="C982" s="7" t="s">
        <v>165</v>
      </c>
      <c r="D982" s="7" t="s">
        <v>166</v>
      </c>
      <c r="E982" s="7" t="s">
        <v>167</v>
      </c>
      <c r="F982" s="7" t="n">
        <v>2021</v>
      </c>
      <c r="G982" s="7" t="s">
        <v>139</v>
      </c>
      <c r="H982" s="7" t="s">
        <v>87</v>
      </c>
      <c r="I982" s="7" t="n">
        <v>34.4</v>
      </c>
      <c r="J982" s="7" t="s">
        <v>64</v>
      </c>
      <c r="K982" s="7" t="s">
        <v>133</v>
      </c>
      <c r="L982" s="7" t="s">
        <v>91</v>
      </c>
      <c r="M982" s="7" t="n">
        <v>22.5</v>
      </c>
      <c r="N982" s="7" t="n">
        <v>3072</v>
      </c>
    </row>
    <row r="983" customFormat="false" ht="15" hidden="false" customHeight="false" outlineLevel="0" collapsed="false">
      <c r="A983" s="7" t="s">
        <v>59</v>
      </c>
      <c r="B983" s="7" t="s">
        <v>165</v>
      </c>
      <c r="C983" s="7" t="s">
        <v>165</v>
      </c>
      <c r="D983" s="7" t="s">
        <v>166</v>
      </c>
      <c r="E983" s="7" t="s">
        <v>167</v>
      </c>
      <c r="F983" s="7" t="n">
        <v>2021</v>
      </c>
      <c r="G983" s="7" t="s">
        <v>139</v>
      </c>
      <c r="H983" s="7" t="s">
        <v>86</v>
      </c>
      <c r="I983" s="7" t="n">
        <v>34.4</v>
      </c>
      <c r="J983" s="7" t="s">
        <v>64</v>
      </c>
      <c r="K983" s="7" t="s">
        <v>133</v>
      </c>
      <c r="L983" s="7" t="s">
        <v>91</v>
      </c>
      <c r="M983" s="7" t="n">
        <v>30.4</v>
      </c>
      <c r="N983" s="7" t="n">
        <v>1608</v>
      </c>
    </row>
    <row r="984" customFormat="false" ht="15" hidden="false" customHeight="false" outlineLevel="0" collapsed="false">
      <c r="A984" s="7" t="s">
        <v>59</v>
      </c>
      <c r="B984" s="7" t="s">
        <v>165</v>
      </c>
      <c r="C984" s="7" t="s">
        <v>165</v>
      </c>
      <c r="D984" s="7" t="s">
        <v>166</v>
      </c>
      <c r="E984" s="7" t="s">
        <v>167</v>
      </c>
      <c r="F984" s="7" t="n">
        <v>2021</v>
      </c>
      <c r="G984" s="7" t="s">
        <v>139</v>
      </c>
      <c r="H984" s="7" t="s">
        <v>63</v>
      </c>
      <c r="I984" s="7" t="n">
        <v>34.4</v>
      </c>
      <c r="J984" s="7" t="s">
        <v>64</v>
      </c>
      <c r="K984" s="7" t="s">
        <v>133</v>
      </c>
      <c r="L984" s="7" t="s">
        <v>91</v>
      </c>
      <c r="M984" s="7" t="n">
        <v>52.9</v>
      </c>
      <c r="N984" s="7" t="n">
        <v>4680</v>
      </c>
    </row>
    <row r="985" customFormat="false" ht="15" hidden="false" customHeight="false" outlineLevel="0" collapsed="false">
      <c r="A985" s="7" t="s">
        <v>59</v>
      </c>
      <c r="B985" s="7" t="s">
        <v>165</v>
      </c>
      <c r="C985" s="7" t="s">
        <v>165</v>
      </c>
      <c r="D985" s="7" t="s">
        <v>166</v>
      </c>
      <c r="E985" s="7" t="s">
        <v>167</v>
      </c>
      <c r="F985" s="7" t="n">
        <v>2021</v>
      </c>
      <c r="G985" s="7" t="s">
        <v>139</v>
      </c>
      <c r="H985" s="7" t="s">
        <v>78</v>
      </c>
      <c r="I985" s="7" t="n">
        <v>34.4</v>
      </c>
      <c r="J985" s="7" t="s">
        <v>64</v>
      </c>
      <c r="K985" s="7" t="s">
        <v>79</v>
      </c>
      <c r="L985" s="7" t="s">
        <v>91</v>
      </c>
      <c r="M985" s="7" t="n">
        <v>50.9</v>
      </c>
      <c r="N985" s="7" t="n">
        <v>4680</v>
      </c>
    </row>
    <row r="986" customFormat="false" ht="15" hidden="false" customHeight="false" outlineLevel="0" collapsed="false">
      <c r="A986" s="7" t="s">
        <v>59</v>
      </c>
      <c r="B986" s="7" t="s">
        <v>165</v>
      </c>
      <c r="C986" s="7" t="s">
        <v>165</v>
      </c>
      <c r="D986" s="7" t="s">
        <v>166</v>
      </c>
      <c r="E986" s="7" t="s">
        <v>167</v>
      </c>
      <c r="F986" s="7" t="n">
        <v>2021</v>
      </c>
      <c r="G986" s="7" t="s">
        <v>140</v>
      </c>
      <c r="H986" s="7" t="s">
        <v>87</v>
      </c>
      <c r="I986" s="7" t="n">
        <v>34.4</v>
      </c>
      <c r="J986" s="7" t="s">
        <v>64</v>
      </c>
      <c r="K986" s="7" t="s">
        <v>133</v>
      </c>
      <c r="L986" s="7" t="s">
        <v>91</v>
      </c>
      <c r="M986" s="7" t="n">
        <v>17.6</v>
      </c>
      <c r="N986" s="7" t="n">
        <v>3072</v>
      </c>
    </row>
    <row r="987" customFormat="false" ht="15" hidden="false" customHeight="false" outlineLevel="0" collapsed="false">
      <c r="A987" s="7" t="s">
        <v>59</v>
      </c>
      <c r="B987" s="7" t="s">
        <v>165</v>
      </c>
      <c r="C987" s="7" t="s">
        <v>165</v>
      </c>
      <c r="D987" s="7" t="s">
        <v>166</v>
      </c>
      <c r="E987" s="7" t="s">
        <v>167</v>
      </c>
      <c r="F987" s="7" t="n">
        <v>2021</v>
      </c>
      <c r="G987" s="7" t="s">
        <v>140</v>
      </c>
      <c r="H987" s="7" t="s">
        <v>86</v>
      </c>
      <c r="I987" s="7" t="n">
        <v>34.4</v>
      </c>
      <c r="J987" s="7" t="s">
        <v>64</v>
      </c>
      <c r="K987" s="7" t="s">
        <v>133</v>
      </c>
      <c r="L987" s="7" t="s">
        <v>91</v>
      </c>
      <c r="M987" s="7" t="n">
        <v>28</v>
      </c>
      <c r="N987" s="7" t="n">
        <v>1608</v>
      </c>
    </row>
    <row r="988" customFormat="false" ht="15" hidden="false" customHeight="false" outlineLevel="0" collapsed="false">
      <c r="A988" s="7" t="s">
        <v>59</v>
      </c>
      <c r="B988" s="7" t="s">
        <v>165</v>
      </c>
      <c r="C988" s="7" t="s">
        <v>165</v>
      </c>
      <c r="D988" s="7" t="s">
        <v>166</v>
      </c>
      <c r="E988" s="7" t="s">
        <v>167</v>
      </c>
      <c r="F988" s="7" t="n">
        <v>2021</v>
      </c>
      <c r="G988" s="7" t="s">
        <v>140</v>
      </c>
      <c r="H988" s="7" t="s">
        <v>63</v>
      </c>
      <c r="I988" s="7" t="n">
        <v>34.4</v>
      </c>
      <c r="J988" s="7" t="s">
        <v>64</v>
      </c>
      <c r="K988" s="7" t="s">
        <v>133</v>
      </c>
      <c r="L988" s="7" t="s">
        <v>91</v>
      </c>
      <c r="M988" s="7" t="n">
        <v>45.6</v>
      </c>
      <c r="N988" s="7" t="n">
        <v>4680</v>
      </c>
    </row>
    <row r="989" customFormat="false" ht="15" hidden="false" customHeight="false" outlineLevel="0" collapsed="false">
      <c r="A989" s="7" t="s">
        <v>59</v>
      </c>
      <c r="B989" s="7" t="s">
        <v>165</v>
      </c>
      <c r="C989" s="7" t="s">
        <v>165</v>
      </c>
      <c r="D989" s="7" t="s">
        <v>166</v>
      </c>
      <c r="E989" s="7" t="s">
        <v>167</v>
      </c>
      <c r="F989" s="7" t="n">
        <v>2021</v>
      </c>
      <c r="G989" s="7" t="s">
        <v>140</v>
      </c>
      <c r="H989" s="7" t="s">
        <v>78</v>
      </c>
      <c r="I989" s="7" t="n">
        <v>34.4</v>
      </c>
      <c r="J989" s="7" t="s">
        <v>64</v>
      </c>
      <c r="K989" s="7" t="s">
        <v>79</v>
      </c>
      <c r="L989" s="7" t="s">
        <v>91</v>
      </c>
      <c r="M989" s="7" t="n">
        <v>43.2</v>
      </c>
      <c r="N989" s="7" t="n">
        <v>4680</v>
      </c>
    </row>
    <row r="990" customFormat="false" ht="15" hidden="false" customHeight="false" outlineLevel="0" collapsed="false">
      <c r="A990" s="7" t="s">
        <v>59</v>
      </c>
      <c r="B990" s="7" t="s">
        <v>165</v>
      </c>
      <c r="C990" s="7" t="s">
        <v>165</v>
      </c>
      <c r="D990" s="7" t="s">
        <v>166</v>
      </c>
      <c r="E990" s="7" t="s">
        <v>167</v>
      </c>
      <c r="F990" s="7" t="n">
        <v>2021</v>
      </c>
      <c r="G990" s="7" t="s">
        <v>151</v>
      </c>
      <c r="H990" s="7" t="s">
        <v>87</v>
      </c>
      <c r="I990" s="7" t="n">
        <v>34.4</v>
      </c>
      <c r="J990" s="7" t="s">
        <v>64</v>
      </c>
      <c r="K990" s="7" t="s">
        <v>133</v>
      </c>
      <c r="L990" s="7" t="s">
        <v>91</v>
      </c>
      <c r="M990" s="7" t="n">
        <v>21.9</v>
      </c>
      <c r="N990" s="7" t="n">
        <v>3072</v>
      </c>
    </row>
    <row r="991" customFormat="false" ht="15" hidden="false" customHeight="false" outlineLevel="0" collapsed="false">
      <c r="A991" s="7" t="s">
        <v>59</v>
      </c>
      <c r="B991" s="7" t="s">
        <v>165</v>
      </c>
      <c r="C991" s="7" t="s">
        <v>165</v>
      </c>
      <c r="D991" s="7" t="s">
        <v>166</v>
      </c>
      <c r="E991" s="7" t="s">
        <v>167</v>
      </c>
      <c r="F991" s="7" t="n">
        <v>2021</v>
      </c>
      <c r="G991" s="7" t="s">
        <v>151</v>
      </c>
      <c r="H991" s="7" t="s">
        <v>86</v>
      </c>
      <c r="I991" s="7" t="n">
        <v>34.4</v>
      </c>
      <c r="J991" s="7" t="s">
        <v>64</v>
      </c>
      <c r="K991" s="7" t="s">
        <v>133</v>
      </c>
      <c r="L991" s="7" t="s">
        <v>91</v>
      </c>
      <c r="M991" s="7" t="n">
        <v>31</v>
      </c>
      <c r="N991" s="7" t="n">
        <v>1608</v>
      </c>
    </row>
    <row r="992" customFormat="false" ht="15" hidden="false" customHeight="false" outlineLevel="0" collapsed="false">
      <c r="A992" s="7" t="s">
        <v>59</v>
      </c>
      <c r="B992" s="7" t="s">
        <v>165</v>
      </c>
      <c r="C992" s="7" t="s">
        <v>165</v>
      </c>
      <c r="D992" s="7" t="s">
        <v>166</v>
      </c>
      <c r="E992" s="7" t="s">
        <v>167</v>
      </c>
      <c r="F992" s="7" t="n">
        <v>2021</v>
      </c>
      <c r="G992" s="7" t="s">
        <v>151</v>
      </c>
      <c r="H992" s="7" t="s">
        <v>63</v>
      </c>
      <c r="I992" s="7" t="n">
        <v>34.4</v>
      </c>
      <c r="J992" s="7" t="s">
        <v>64</v>
      </c>
      <c r="K992" s="7" t="s">
        <v>133</v>
      </c>
      <c r="L992" s="7" t="s">
        <v>91</v>
      </c>
      <c r="M992" s="7" t="n">
        <v>52.9</v>
      </c>
      <c r="N992" s="7" t="n">
        <v>4680</v>
      </c>
    </row>
    <row r="993" customFormat="false" ht="15" hidden="false" customHeight="false" outlineLevel="0" collapsed="false">
      <c r="A993" s="7" t="s">
        <v>59</v>
      </c>
      <c r="B993" s="7" t="s">
        <v>165</v>
      </c>
      <c r="C993" s="7" t="s">
        <v>165</v>
      </c>
      <c r="D993" s="7" t="s">
        <v>166</v>
      </c>
      <c r="E993" s="7" t="s">
        <v>167</v>
      </c>
      <c r="F993" s="7" t="n">
        <v>2021</v>
      </c>
      <c r="G993" s="7" t="s">
        <v>151</v>
      </c>
      <c r="H993" s="7" t="s">
        <v>78</v>
      </c>
      <c r="I993" s="7" t="n">
        <v>34.4</v>
      </c>
      <c r="J993" s="7" t="s">
        <v>64</v>
      </c>
      <c r="K993" s="7" t="s">
        <v>79</v>
      </c>
      <c r="L993" s="7" t="s">
        <v>91</v>
      </c>
      <c r="M993" s="7" t="n">
        <v>52</v>
      </c>
      <c r="N993" s="7" t="n">
        <v>4680</v>
      </c>
    </row>
    <row r="994" customFormat="false" ht="15" hidden="false" customHeight="false" outlineLevel="0" collapsed="false">
      <c r="A994" s="7" t="s">
        <v>59</v>
      </c>
      <c r="B994" s="7" t="s">
        <v>165</v>
      </c>
      <c r="C994" s="7" t="s">
        <v>165</v>
      </c>
      <c r="D994" s="7" t="s">
        <v>166</v>
      </c>
      <c r="E994" s="7" t="s">
        <v>167</v>
      </c>
      <c r="F994" s="7" t="n">
        <v>2021</v>
      </c>
      <c r="G994" s="7" t="s">
        <v>83</v>
      </c>
      <c r="H994" s="7" t="s">
        <v>87</v>
      </c>
      <c r="I994" s="7" t="n">
        <v>34.4</v>
      </c>
      <c r="J994" s="7" t="s">
        <v>64</v>
      </c>
      <c r="K994" s="7" t="s">
        <v>133</v>
      </c>
      <c r="L994" s="7" t="s">
        <v>91</v>
      </c>
      <c r="M994" s="7" t="n">
        <v>26</v>
      </c>
      <c r="N994" s="7" t="n">
        <v>3072</v>
      </c>
    </row>
    <row r="995" customFormat="false" ht="15" hidden="false" customHeight="false" outlineLevel="0" collapsed="false">
      <c r="A995" s="7" t="s">
        <v>59</v>
      </c>
      <c r="B995" s="7" t="s">
        <v>165</v>
      </c>
      <c r="C995" s="7" t="s">
        <v>165</v>
      </c>
      <c r="D995" s="7" t="s">
        <v>166</v>
      </c>
      <c r="E995" s="7" t="s">
        <v>167</v>
      </c>
      <c r="F995" s="7" t="n">
        <v>2021</v>
      </c>
      <c r="G995" s="7" t="s">
        <v>83</v>
      </c>
      <c r="H995" s="7" t="s">
        <v>86</v>
      </c>
      <c r="I995" s="7" t="n">
        <v>34.4</v>
      </c>
      <c r="J995" s="7" t="s">
        <v>64</v>
      </c>
      <c r="K995" s="7" t="s">
        <v>133</v>
      </c>
      <c r="L995" s="7" t="s">
        <v>91</v>
      </c>
      <c r="M995" s="7" t="n">
        <v>32.8</v>
      </c>
      <c r="N995" s="7" t="n">
        <v>1608</v>
      </c>
    </row>
    <row r="996" customFormat="false" ht="15" hidden="false" customHeight="false" outlineLevel="0" collapsed="false">
      <c r="A996" s="7" t="s">
        <v>59</v>
      </c>
      <c r="B996" s="7" t="s">
        <v>165</v>
      </c>
      <c r="C996" s="7" t="s">
        <v>165</v>
      </c>
      <c r="D996" s="7" t="s">
        <v>166</v>
      </c>
      <c r="E996" s="7" t="s">
        <v>167</v>
      </c>
      <c r="F996" s="7" t="n">
        <v>2021</v>
      </c>
      <c r="G996" s="7" t="s">
        <v>83</v>
      </c>
      <c r="H996" s="7" t="s">
        <v>63</v>
      </c>
      <c r="I996" s="7" t="n">
        <v>34.4</v>
      </c>
      <c r="J996" s="7" t="s">
        <v>64</v>
      </c>
      <c r="K996" s="7" t="s">
        <v>133</v>
      </c>
      <c r="L996" s="7" t="s">
        <v>91</v>
      </c>
      <c r="M996" s="7" t="n">
        <v>58.9</v>
      </c>
      <c r="N996" s="7" t="n">
        <v>4680</v>
      </c>
    </row>
    <row r="997" customFormat="false" ht="15" hidden="false" customHeight="false" outlineLevel="0" collapsed="false">
      <c r="A997" s="7" t="s">
        <v>59</v>
      </c>
      <c r="B997" s="7" t="s">
        <v>165</v>
      </c>
      <c r="C997" s="7" t="s">
        <v>165</v>
      </c>
      <c r="D997" s="7" t="s">
        <v>166</v>
      </c>
      <c r="E997" s="7" t="s">
        <v>167</v>
      </c>
      <c r="F997" s="7" t="n">
        <v>2021</v>
      </c>
      <c r="G997" s="7" t="s">
        <v>83</v>
      </c>
      <c r="H997" s="7" t="s">
        <v>78</v>
      </c>
      <c r="I997" s="7" t="n">
        <v>34.4</v>
      </c>
      <c r="J997" s="7" t="s">
        <v>64</v>
      </c>
      <c r="K997" s="7" t="s">
        <v>79</v>
      </c>
      <c r="L997" s="7" t="s">
        <v>91</v>
      </c>
      <c r="M997" s="7" t="n">
        <v>57.3</v>
      </c>
      <c r="N997" s="7" t="n">
        <v>4680</v>
      </c>
    </row>
    <row r="998" customFormat="false" ht="15" hidden="false" customHeight="false" outlineLevel="0" collapsed="false">
      <c r="A998" s="7" t="s">
        <v>59</v>
      </c>
      <c r="B998" s="7" t="s">
        <v>165</v>
      </c>
      <c r="C998" s="7" t="s">
        <v>165</v>
      </c>
      <c r="D998" s="7" t="s">
        <v>166</v>
      </c>
      <c r="E998" s="7" t="s">
        <v>167</v>
      </c>
      <c r="F998" s="7" t="n">
        <v>2021</v>
      </c>
      <c r="G998" s="7" t="s">
        <v>141</v>
      </c>
      <c r="H998" s="7" t="s">
        <v>87</v>
      </c>
      <c r="I998" s="7" t="n">
        <v>34.4</v>
      </c>
      <c r="J998" s="7" t="s">
        <v>64</v>
      </c>
      <c r="K998" s="7" t="s">
        <v>133</v>
      </c>
      <c r="L998" s="7" t="s">
        <v>91</v>
      </c>
      <c r="M998" s="7" t="n">
        <v>20.2</v>
      </c>
      <c r="N998" s="7" t="n">
        <v>3072</v>
      </c>
    </row>
    <row r="999" customFormat="false" ht="15" hidden="false" customHeight="false" outlineLevel="0" collapsed="false">
      <c r="A999" s="7" t="s">
        <v>59</v>
      </c>
      <c r="B999" s="7" t="s">
        <v>165</v>
      </c>
      <c r="C999" s="7" t="s">
        <v>165</v>
      </c>
      <c r="D999" s="7" t="s">
        <v>166</v>
      </c>
      <c r="E999" s="7" t="s">
        <v>167</v>
      </c>
      <c r="F999" s="7" t="n">
        <v>2021</v>
      </c>
      <c r="G999" s="7" t="s">
        <v>141</v>
      </c>
      <c r="H999" s="7" t="s">
        <v>86</v>
      </c>
      <c r="I999" s="7" t="n">
        <v>34.4</v>
      </c>
      <c r="J999" s="7" t="s">
        <v>64</v>
      </c>
      <c r="K999" s="7" t="s">
        <v>133</v>
      </c>
      <c r="L999" s="7" t="s">
        <v>91</v>
      </c>
      <c r="M999" s="7" t="n">
        <v>30.6</v>
      </c>
      <c r="N999" s="7" t="n">
        <v>1608</v>
      </c>
    </row>
    <row r="1000" customFormat="false" ht="15" hidden="false" customHeight="false" outlineLevel="0" collapsed="false">
      <c r="A1000" s="7" t="s">
        <v>59</v>
      </c>
      <c r="B1000" s="7" t="s">
        <v>165</v>
      </c>
      <c r="C1000" s="7" t="s">
        <v>165</v>
      </c>
      <c r="D1000" s="7" t="s">
        <v>166</v>
      </c>
      <c r="E1000" s="7" t="s">
        <v>167</v>
      </c>
      <c r="F1000" s="7" t="n">
        <v>2021</v>
      </c>
      <c r="G1000" s="7" t="s">
        <v>141</v>
      </c>
      <c r="H1000" s="7" t="s">
        <v>63</v>
      </c>
      <c r="I1000" s="7" t="n">
        <v>34.4</v>
      </c>
      <c r="J1000" s="7" t="s">
        <v>64</v>
      </c>
      <c r="K1000" s="7" t="s">
        <v>133</v>
      </c>
      <c r="L1000" s="7" t="s">
        <v>91</v>
      </c>
      <c r="M1000" s="7" t="n">
        <v>50.8</v>
      </c>
      <c r="N1000" s="7" t="n">
        <v>4680</v>
      </c>
    </row>
    <row r="1001" customFormat="false" ht="15" hidden="false" customHeight="false" outlineLevel="0" collapsed="false">
      <c r="A1001" s="7" t="s">
        <v>59</v>
      </c>
      <c r="B1001" s="7" t="s">
        <v>165</v>
      </c>
      <c r="C1001" s="7" t="s">
        <v>165</v>
      </c>
      <c r="D1001" s="7" t="s">
        <v>166</v>
      </c>
      <c r="E1001" s="7" t="s">
        <v>167</v>
      </c>
      <c r="F1001" s="7" t="n">
        <v>2021</v>
      </c>
      <c r="G1001" s="7" t="s">
        <v>141</v>
      </c>
      <c r="H1001" s="7" t="s">
        <v>78</v>
      </c>
      <c r="I1001" s="7" t="n">
        <v>34.4</v>
      </c>
      <c r="J1001" s="7" t="s">
        <v>64</v>
      </c>
      <c r="K1001" s="7" t="s">
        <v>79</v>
      </c>
      <c r="L1001" s="7" t="s">
        <v>91</v>
      </c>
      <c r="M1001" s="7" t="n">
        <v>49.1</v>
      </c>
      <c r="N1001" s="7" t="n">
        <v>4680</v>
      </c>
    </row>
    <row r="1002" customFormat="false" ht="15" hidden="false" customHeight="false" outlineLevel="0" collapsed="false">
      <c r="A1002" s="7" t="s">
        <v>59</v>
      </c>
      <c r="B1002" s="7" t="s">
        <v>165</v>
      </c>
      <c r="C1002" s="7" t="s">
        <v>165</v>
      </c>
      <c r="D1002" s="7" t="s">
        <v>166</v>
      </c>
      <c r="E1002" s="7" t="s">
        <v>167</v>
      </c>
      <c r="F1002" s="7" t="n">
        <v>2021</v>
      </c>
      <c r="G1002" s="7" t="s">
        <v>69</v>
      </c>
      <c r="H1002" s="7" t="s">
        <v>87</v>
      </c>
      <c r="I1002" s="7" t="n">
        <v>34.4</v>
      </c>
      <c r="J1002" s="7" t="s">
        <v>64</v>
      </c>
      <c r="K1002" s="7" t="s">
        <v>133</v>
      </c>
      <c r="L1002" s="7" t="s">
        <v>91</v>
      </c>
      <c r="M1002" s="7" t="n">
        <v>8.1</v>
      </c>
      <c r="N1002" s="7" t="n">
        <v>3072</v>
      </c>
    </row>
    <row r="1003" customFormat="false" ht="15" hidden="false" customHeight="false" outlineLevel="0" collapsed="false">
      <c r="A1003" s="7" t="s">
        <v>59</v>
      </c>
      <c r="B1003" s="7" t="s">
        <v>165</v>
      </c>
      <c r="C1003" s="7" t="s">
        <v>165</v>
      </c>
      <c r="D1003" s="7" t="s">
        <v>166</v>
      </c>
      <c r="E1003" s="7" t="s">
        <v>167</v>
      </c>
      <c r="F1003" s="7" t="n">
        <v>2021</v>
      </c>
      <c r="G1003" s="7" t="s">
        <v>69</v>
      </c>
      <c r="H1003" s="7" t="s">
        <v>86</v>
      </c>
      <c r="I1003" s="7" t="n">
        <v>34.4</v>
      </c>
      <c r="J1003" s="7" t="s">
        <v>64</v>
      </c>
      <c r="K1003" s="7" t="s">
        <v>133</v>
      </c>
      <c r="L1003" s="7" t="s">
        <v>91</v>
      </c>
      <c r="M1003" s="7" t="n">
        <v>27.8</v>
      </c>
      <c r="N1003" s="7" t="n">
        <v>1608</v>
      </c>
    </row>
    <row r="1004" customFormat="false" ht="15" hidden="false" customHeight="false" outlineLevel="0" collapsed="false">
      <c r="A1004" s="7" t="s">
        <v>59</v>
      </c>
      <c r="B1004" s="7" t="s">
        <v>165</v>
      </c>
      <c r="C1004" s="7" t="s">
        <v>165</v>
      </c>
      <c r="D1004" s="7" t="s">
        <v>166</v>
      </c>
      <c r="E1004" s="7" t="s">
        <v>167</v>
      </c>
      <c r="F1004" s="7" t="n">
        <v>2021</v>
      </c>
      <c r="G1004" s="7" t="s">
        <v>69</v>
      </c>
      <c r="H1004" s="7" t="s">
        <v>63</v>
      </c>
      <c r="I1004" s="7" t="n">
        <v>34.4</v>
      </c>
      <c r="J1004" s="7" t="s">
        <v>64</v>
      </c>
      <c r="K1004" s="7" t="s">
        <v>133</v>
      </c>
      <c r="L1004" s="7" t="s">
        <v>91</v>
      </c>
      <c r="M1004" s="7" t="n">
        <v>35.9</v>
      </c>
      <c r="N1004" s="7" t="n">
        <v>4680</v>
      </c>
    </row>
    <row r="1005" customFormat="false" ht="15" hidden="false" customHeight="false" outlineLevel="0" collapsed="false">
      <c r="A1005" s="7" t="s">
        <v>59</v>
      </c>
      <c r="B1005" s="7" t="s">
        <v>165</v>
      </c>
      <c r="C1005" s="7" t="s">
        <v>165</v>
      </c>
      <c r="D1005" s="7" t="s">
        <v>166</v>
      </c>
      <c r="E1005" s="7" t="s">
        <v>167</v>
      </c>
      <c r="F1005" s="7" t="n">
        <v>2021</v>
      </c>
      <c r="G1005" s="7" t="s">
        <v>69</v>
      </c>
      <c r="H1005" s="7" t="s">
        <v>78</v>
      </c>
      <c r="I1005" s="7" t="n">
        <v>34.4</v>
      </c>
      <c r="J1005" s="7" t="s">
        <v>64</v>
      </c>
      <c r="K1005" s="7" t="s">
        <v>79</v>
      </c>
      <c r="L1005" s="7" t="s">
        <v>91</v>
      </c>
      <c r="M1005" s="7" t="n">
        <v>34.3</v>
      </c>
      <c r="N1005" s="7" t="n">
        <v>4680</v>
      </c>
    </row>
    <row r="1006" customFormat="false" ht="15" hidden="false" customHeight="false" outlineLevel="0" collapsed="false">
      <c r="A1006" s="7" t="s">
        <v>59</v>
      </c>
      <c r="B1006" s="7" t="s">
        <v>165</v>
      </c>
      <c r="C1006" s="7" t="s">
        <v>165</v>
      </c>
      <c r="D1006" s="7" t="s">
        <v>166</v>
      </c>
      <c r="E1006" s="7" t="s">
        <v>167</v>
      </c>
      <c r="F1006" s="7" t="n">
        <v>2021</v>
      </c>
      <c r="G1006" s="7" t="s">
        <v>170</v>
      </c>
      <c r="H1006" s="7" t="s">
        <v>87</v>
      </c>
      <c r="I1006" s="7" t="n">
        <v>34.4</v>
      </c>
      <c r="J1006" s="7" t="s">
        <v>64</v>
      </c>
      <c r="K1006" s="7" t="s">
        <v>133</v>
      </c>
      <c r="L1006" s="7" t="s">
        <v>91</v>
      </c>
      <c r="M1006" s="7" t="n">
        <v>21.1</v>
      </c>
      <c r="N1006" s="7" t="n">
        <v>3072</v>
      </c>
    </row>
    <row r="1007" customFormat="false" ht="15" hidden="false" customHeight="false" outlineLevel="0" collapsed="false">
      <c r="A1007" s="7" t="s">
        <v>59</v>
      </c>
      <c r="B1007" s="7" t="s">
        <v>165</v>
      </c>
      <c r="C1007" s="7" t="s">
        <v>165</v>
      </c>
      <c r="D1007" s="7" t="s">
        <v>166</v>
      </c>
      <c r="E1007" s="7" t="s">
        <v>167</v>
      </c>
      <c r="F1007" s="7" t="n">
        <v>2021</v>
      </c>
      <c r="G1007" s="7" t="s">
        <v>170</v>
      </c>
      <c r="H1007" s="7" t="s">
        <v>86</v>
      </c>
      <c r="I1007" s="7" t="n">
        <v>34.4</v>
      </c>
      <c r="J1007" s="7" t="s">
        <v>64</v>
      </c>
      <c r="K1007" s="7" t="s">
        <v>133</v>
      </c>
      <c r="L1007" s="7" t="s">
        <v>91</v>
      </c>
      <c r="M1007" s="7" t="n">
        <v>15.1</v>
      </c>
      <c r="N1007" s="7" t="n">
        <v>1608</v>
      </c>
    </row>
    <row r="1008" customFormat="false" ht="15" hidden="false" customHeight="false" outlineLevel="0" collapsed="false">
      <c r="A1008" s="7" t="s">
        <v>59</v>
      </c>
      <c r="B1008" s="7" t="s">
        <v>165</v>
      </c>
      <c r="C1008" s="7" t="s">
        <v>165</v>
      </c>
      <c r="D1008" s="7" t="s">
        <v>166</v>
      </c>
      <c r="E1008" s="7" t="s">
        <v>167</v>
      </c>
      <c r="F1008" s="7" t="n">
        <v>2021</v>
      </c>
      <c r="G1008" s="7" t="s">
        <v>170</v>
      </c>
      <c r="H1008" s="7" t="s">
        <v>63</v>
      </c>
      <c r="I1008" s="7" t="n">
        <v>34.4</v>
      </c>
      <c r="J1008" s="7" t="s">
        <v>64</v>
      </c>
      <c r="K1008" s="7" t="s">
        <v>133</v>
      </c>
      <c r="L1008" s="7" t="s">
        <v>91</v>
      </c>
      <c r="M1008" s="7" t="n">
        <v>36.2</v>
      </c>
      <c r="N1008" s="7" t="n">
        <v>4680</v>
      </c>
    </row>
    <row r="1009" customFormat="false" ht="15" hidden="false" customHeight="false" outlineLevel="0" collapsed="false">
      <c r="A1009" s="7" t="s">
        <v>59</v>
      </c>
      <c r="B1009" s="7" t="s">
        <v>165</v>
      </c>
      <c r="C1009" s="7" t="s">
        <v>165</v>
      </c>
      <c r="D1009" s="7" t="s">
        <v>166</v>
      </c>
      <c r="E1009" s="7" t="s">
        <v>167</v>
      </c>
      <c r="F1009" s="7" t="n">
        <v>2021</v>
      </c>
      <c r="G1009" s="7" t="s">
        <v>170</v>
      </c>
      <c r="H1009" s="7" t="s">
        <v>78</v>
      </c>
      <c r="I1009" s="7" t="n">
        <v>34.4</v>
      </c>
      <c r="J1009" s="7" t="s">
        <v>64</v>
      </c>
      <c r="K1009" s="7" t="s">
        <v>79</v>
      </c>
      <c r="L1009" s="7" t="s">
        <v>91</v>
      </c>
      <c r="M1009" s="7" t="n">
        <v>29.4</v>
      </c>
      <c r="N1009" s="7" t="n">
        <v>4680</v>
      </c>
    </row>
    <row r="1010" customFormat="false" ht="15" hidden="false" customHeight="false" outlineLevel="0" collapsed="false">
      <c r="A1010" s="7" t="s">
        <v>59</v>
      </c>
      <c r="B1010" s="7" t="s">
        <v>165</v>
      </c>
      <c r="C1010" s="7" t="s">
        <v>165</v>
      </c>
      <c r="D1010" s="7" t="s">
        <v>166</v>
      </c>
      <c r="E1010" s="7" t="s">
        <v>167</v>
      </c>
      <c r="F1010" s="7" t="n">
        <v>2021</v>
      </c>
      <c r="G1010" s="7" t="s">
        <v>171</v>
      </c>
      <c r="H1010" s="7" t="s">
        <v>87</v>
      </c>
      <c r="I1010" s="7" t="n">
        <v>34.4</v>
      </c>
      <c r="J1010" s="7" t="s">
        <v>64</v>
      </c>
      <c r="K1010" s="7" t="s">
        <v>133</v>
      </c>
      <c r="L1010" s="7" t="s">
        <v>91</v>
      </c>
      <c r="M1010" s="7" t="n">
        <v>17.5</v>
      </c>
      <c r="N1010" s="7" t="n">
        <v>3072</v>
      </c>
    </row>
    <row r="1011" customFormat="false" ht="15" hidden="false" customHeight="false" outlineLevel="0" collapsed="false">
      <c r="A1011" s="7" t="s">
        <v>59</v>
      </c>
      <c r="B1011" s="7" t="s">
        <v>165</v>
      </c>
      <c r="C1011" s="7" t="s">
        <v>165</v>
      </c>
      <c r="D1011" s="7" t="s">
        <v>166</v>
      </c>
      <c r="E1011" s="7" t="s">
        <v>167</v>
      </c>
      <c r="F1011" s="7" t="n">
        <v>2021</v>
      </c>
      <c r="G1011" s="7" t="s">
        <v>171</v>
      </c>
      <c r="H1011" s="7" t="s">
        <v>86</v>
      </c>
      <c r="I1011" s="7" t="n">
        <v>34.4</v>
      </c>
      <c r="J1011" s="7" t="s">
        <v>64</v>
      </c>
      <c r="K1011" s="7" t="s">
        <v>133</v>
      </c>
      <c r="L1011" s="7" t="s">
        <v>91</v>
      </c>
      <c r="M1011" s="7" t="n">
        <v>7.4</v>
      </c>
      <c r="N1011" s="7" t="n">
        <v>1608</v>
      </c>
    </row>
    <row r="1012" customFormat="false" ht="15" hidden="false" customHeight="false" outlineLevel="0" collapsed="false">
      <c r="A1012" s="7" t="s">
        <v>59</v>
      </c>
      <c r="B1012" s="7" t="s">
        <v>165</v>
      </c>
      <c r="C1012" s="7" t="s">
        <v>165</v>
      </c>
      <c r="D1012" s="7" t="s">
        <v>166</v>
      </c>
      <c r="E1012" s="7" t="s">
        <v>167</v>
      </c>
      <c r="F1012" s="7" t="n">
        <v>2021</v>
      </c>
      <c r="G1012" s="7" t="s">
        <v>171</v>
      </c>
      <c r="H1012" s="7" t="s">
        <v>63</v>
      </c>
      <c r="I1012" s="7" t="n">
        <v>34.4</v>
      </c>
      <c r="J1012" s="7" t="s">
        <v>64</v>
      </c>
      <c r="K1012" s="7" t="s">
        <v>133</v>
      </c>
      <c r="L1012" s="7" t="s">
        <v>91</v>
      </c>
      <c r="M1012" s="7" t="n">
        <v>24.9</v>
      </c>
      <c r="N1012" s="7" t="n">
        <v>4680</v>
      </c>
    </row>
    <row r="1013" customFormat="false" ht="15" hidden="false" customHeight="false" outlineLevel="0" collapsed="false">
      <c r="A1013" s="7" t="s">
        <v>59</v>
      </c>
      <c r="B1013" s="7" t="s">
        <v>165</v>
      </c>
      <c r="C1013" s="7" t="s">
        <v>165</v>
      </c>
      <c r="D1013" s="7" t="s">
        <v>166</v>
      </c>
      <c r="E1013" s="7" t="s">
        <v>167</v>
      </c>
      <c r="F1013" s="7" t="n">
        <v>2021</v>
      </c>
      <c r="G1013" s="7" t="s">
        <v>171</v>
      </c>
      <c r="H1013" s="7" t="s">
        <v>78</v>
      </c>
      <c r="I1013" s="7" t="n">
        <v>34.4</v>
      </c>
      <c r="J1013" s="7" t="s">
        <v>64</v>
      </c>
      <c r="K1013" s="7" t="s">
        <v>79</v>
      </c>
      <c r="L1013" s="7" t="s">
        <v>91</v>
      </c>
      <c r="M1013" s="7" t="n">
        <v>17.9</v>
      </c>
      <c r="N1013" s="7" t="n">
        <v>4680</v>
      </c>
    </row>
    <row r="1014" customFormat="false" ht="15" hidden="false" customHeight="false" outlineLevel="0" collapsed="false">
      <c r="A1014" s="7" t="s">
        <v>59</v>
      </c>
      <c r="B1014" s="7" t="s">
        <v>165</v>
      </c>
      <c r="C1014" s="7" t="s">
        <v>165</v>
      </c>
      <c r="D1014" s="7" t="s">
        <v>166</v>
      </c>
      <c r="E1014" s="7" t="s">
        <v>167</v>
      </c>
      <c r="F1014" s="7" t="n">
        <v>2021</v>
      </c>
      <c r="G1014" s="7" t="s">
        <v>172</v>
      </c>
      <c r="H1014" s="7" t="s">
        <v>87</v>
      </c>
      <c r="I1014" s="7" t="n">
        <v>34.4</v>
      </c>
      <c r="J1014" s="7" t="s">
        <v>64</v>
      </c>
      <c r="K1014" s="7" t="s">
        <v>133</v>
      </c>
      <c r="L1014" s="7" t="s">
        <v>91</v>
      </c>
      <c r="M1014" s="7" t="n">
        <v>6.4</v>
      </c>
      <c r="N1014" s="7" t="n">
        <v>3072</v>
      </c>
    </row>
    <row r="1015" customFormat="false" ht="15" hidden="false" customHeight="false" outlineLevel="0" collapsed="false">
      <c r="A1015" s="7" t="s">
        <v>59</v>
      </c>
      <c r="B1015" s="7" t="s">
        <v>165</v>
      </c>
      <c r="C1015" s="7" t="s">
        <v>165</v>
      </c>
      <c r="D1015" s="7" t="s">
        <v>166</v>
      </c>
      <c r="E1015" s="7" t="s">
        <v>167</v>
      </c>
      <c r="F1015" s="7" t="n">
        <v>2021</v>
      </c>
      <c r="G1015" s="7" t="s">
        <v>172</v>
      </c>
      <c r="H1015" s="7" t="s">
        <v>86</v>
      </c>
      <c r="I1015" s="7" t="n">
        <v>34.4</v>
      </c>
      <c r="J1015" s="7" t="s">
        <v>64</v>
      </c>
      <c r="K1015" s="7" t="s">
        <v>133</v>
      </c>
      <c r="L1015" s="7" t="s">
        <v>91</v>
      </c>
      <c r="M1015" s="7" t="n">
        <v>3.1</v>
      </c>
      <c r="N1015" s="7" t="n">
        <v>1608</v>
      </c>
    </row>
    <row r="1016" customFormat="false" ht="15" hidden="false" customHeight="false" outlineLevel="0" collapsed="false">
      <c r="A1016" s="7" t="s">
        <v>59</v>
      </c>
      <c r="B1016" s="7" t="s">
        <v>165</v>
      </c>
      <c r="C1016" s="7" t="s">
        <v>165</v>
      </c>
      <c r="D1016" s="7" t="s">
        <v>166</v>
      </c>
      <c r="E1016" s="7" t="s">
        <v>167</v>
      </c>
      <c r="F1016" s="7" t="n">
        <v>2021</v>
      </c>
      <c r="G1016" s="7" t="s">
        <v>172</v>
      </c>
      <c r="H1016" s="7" t="s">
        <v>63</v>
      </c>
      <c r="I1016" s="7" t="n">
        <v>34.4</v>
      </c>
      <c r="J1016" s="7" t="s">
        <v>64</v>
      </c>
      <c r="K1016" s="7" t="s">
        <v>133</v>
      </c>
      <c r="L1016" s="7" t="s">
        <v>91</v>
      </c>
      <c r="M1016" s="7" t="n">
        <v>9.5</v>
      </c>
      <c r="N1016" s="7" t="n">
        <v>4680</v>
      </c>
    </row>
    <row r="1017" customFormat="false" ht="15" hidden="false" customHeight="false" outlineLevel="0" collapsed="false">
      <c r="A1017" s="7" t="s">
        <v>59</v>
      </c>
      <c r="B1017" s="7" t="s">
        <v>165</v>
      </c>
      <c r="C1017" s="7" t="s">
        <v>165</v>
      </c>
      <c r="D1017" s="7" t="s">
        <v>166</v>
      </c>
      <c r="E1017" s="7" t="s">
        <v>167</v>
      </c>
      <c r="F1017" s="7" t="n">
        <v>2021</v>
      </c>
      <c r="G1017" s="7" t="s">
        <v>172</v>
      </c>
      <c r="H1017" s="7" t="s">
        <v>78</v>
      </c>
      <c r="I1017" s="7" t="n">
        <v>34.4</v>
      </c>
      <c r="J1017" s="7" t="s">
        <v>64</v>
      </c>
      <c r="K1017" s="7" t="s">
        <v>79</v>
      </c>
      <c r="L1017" s="7" t="s">
        <v>91</v>
      </c>
      <c r="M1017" s="7" t="n">
        <v>5.8</v>
      </c>
      <c r="N1017" s="7" t="n">
        <v>4680</v>
      </c>
    </row>
    <row r="1018" customFormat="false" ht="15" hidden="false" customHeight="false" outlineLevel="0" collapsed="false">
      <c r="A1018" s="7" t="s">
        <v>59</v>
      </c>
      <c r="B1018" s="7" t="s">
        <v>165</v>
      </c>
      <c r="C1018" s="7" t="s">
        <v>165</v>
      </c>
      <c r="D1018" s="7" t="s">
        <v>166</v>
      </c>
      <c r="E1018" s="7" t="s">
        <v>167</v>
      </c>
      <c r="F1018" s="7" t="n">
        <v>2021</v>
      </c>
      <c r="G1018" s="7" t="s">
        <v>111</v>
      </c>
      <c r="H1018" s="7" t="s">
        <v>87</v>
      </c>
      <c r="I1018" s="7" t="n">
        <v>34.4</v>
      </c>
      <c r="J1018" s="7" t="s">
        <v>64</v>
      </c>
      <c r="K1018" s="7" t="s">
        <v>133</v>
      </c>
      <c r="L1018" s="7" t="s">
        <v>91</v>
      </c>
      <c r="M1018" s="7" t="n">
        <v>20.8</v>
      </c>
      <c r="N1018" s="7" t="n">
        <v>3072</v>
      </c>
    </row>
    <row r="1019" customFormat="false" ht="15" hidden="false" customHeight="false" outlineLevel="0" collapsed="false">
      <c r="A1019" s="7" t="s">
        <v>59</v>
      </c>
      <c r="B1019" s="7" t="s">
        <v>165</v>
      </c>
      <c r="C1019" s="7" t="s">
        <v>165</v>
      </c>
      <c r="D1019" s="7" t="s">
        <v>166</v>
      </c>
      <c r="E1019" s="7" t="s">
        <v>167</v>
      </c>
      <c r="F1019" s="7" t="n">
        <v>2021</v>
      </c>
      <c r="G1019" s="7" t="s">
        <v>111</v>
      </c>
      <c r="H1019" s="7" t="s">
        <v>86</v>
      </c>
      <c r="I1019" s="7" t="n">
        <v>34.4</v>
      </c>
      <c r="J1019" s="7" t="s">
        <v>64</v>
      </c>
      <c r="K1019" s="7" t="s">
        <v>133</v>
      </c>
      <c r="L1019" s="7" t="s">
        <v>91</v>
      </c>
      <c r="M1019" s="7" t="n">
        <v>25.6</v>
      </c>
      <c r="N1019" s="7" t="n">
        <v>1608</v>
      </c>
    </row>
    <row r="1020" customFormat="false" ht="15" hidden="false" customHeight="false" outlineLevel="0" collapsed="false">
      <c r="A1020" s="7" t="s">
        <v>59</v>
      </c>
      <c r="B1020" s="7" t="s">
        <v>165</v>
      </c>
      <c r="C1020" s="7" t="s">
        <v>165</v>
      </c>
      <c r="D1020" s="7" t="s">
        <v>166</v>
      </c>
      <c r="E1020" s="7" t="s">
        <v>167</v>
      </c>
      <c r="F1020" s="7" t="n">
        <v>2021</v>
      </c>
      <c r="G1020" s="7" t="s">
        <v>111</v>
      </c>
      <c r="H1020" s="7" t="s">
        <v>63</v>
      </c>
      <c r="I1020" s="7" t="n">
        <v>34.4</v>
      </c>
      <c r="J1020" s="7" t="s">
        <v>64</v>
      </c>
      <c r="K1020" s="7" t="s">
        <v>133</v>
      </c>
      <c r="L1020" s="7" t="s">
        <v>91</v>
      </c>
      <c r="M1020" s="7" t="n">
        <v>46.4</v>
      </c>
      <c r="N1020" s="7" t="n">
        <v>4680</v>
      </c>
    </row>
    <row r="1021" customFormat="false" ht="15" hidden="false" customHeight="false" outlineLevel="0" collapsed="false">
      <c r="A1021" s="7" t="s">
        <v>59</v>
      </c>
      <c r="B1021" s="7" t="s">
        <v>165</v>
      </c>
      <c r="C1021" s="7" t="s">
        <v>165</v>
      </c>
      <c r="D1021" s="7" t="s">
        <v>166</v>
      </c>
      <c r="E1021" s="7" t="s">
        <v>167</v>
      </c>
      <c r="F1021" s="7" t="n">
        <v>2021</v>
      </c>
      <c r="G1021" s="7" t="s">
        <v>111</v>
      </c>
      <c r="H1021" s="7" t="s">
        <v>78</v>
      </c>
      <c r="I1021" s="7" t="n">
        <v>34.4</v>
      </c>
      <c r="J1021" s="7" t="s">
        <v>64</v>
      </c>
      <c r="K1021" s="7" t="s">
        <v>79</v>
      </c>
      <c r="L1021" s="7" t="s">
        <v>91</v>
      </c>
      <c r="M1021" s="7" t="n">
        <v>39.9</v>
      </c>
      <c r="N1021" s="7" t="n">
        <v>4680</v>
      </c>
    </row>
    <row r="1022" customFormat="false" ht="15" hidden="false" customHeight="false" outlineLevel="0" collapsed="false">
      <c r="A1022" s="7" t="s">
        <v>59</v>
      </c>
      <c r="B1022" s="7" t="s">
        <v>165</v>
      </c>
      <c r="C1022" s="7" t="s">
        <v>165</v>
      </c>
      <c r="D1022" s="7" t="s">
        <v>166</v>
      </c>
      <c r="E1022" s="7" t="s">
        <v>167</v>
      </c>
      <c r="F1022" s="7" t="n">
        <v>2022</v>
      </c>
      <c r="G1022" s="7" t="s">
        <v>62</v>
      </c>
      <c r="H1022" s="7" t="s">
        <v>87</v>
      </c>
      <c r="I1022" s="7" t="n">
        <v>50.2</v>
      </c>
      <c r="J1022" s="7" t="s">
        <v>64</v>
      </c>
      <c r="K1022" s="7" t="s">
        <v>65</v>
      </c>
      <c r="L1022" s="7" t="s">
        <v>66</v>
      </c>
      <c r="M1022" s="7" t="n">
        <v>17.2</v>
      </c>
      <c r="N1022" s="7" t="n">
        <v>2549</v>
      </c>
    </row>
    <row r="1023" customFormat="false" ht="15" hidden="false" customHeight="false" outlineLevel="0" collapsed="false">
      <c r="A1023" s="7" t="s">
        <v>59</v>
      </c>
      <c r="B1023" s="7" t="s">
        <v>165</v>
      </c>
      <c r="C1023" s="7" t="s">
        <v>165</v>
      </c>
      <c r="D1023" s="7" t="s">
        <v>166</v>
      </c>
      <c r="E1023" s="7" t="s">
        <v>167</v>
      </c>
      <c r="F1023" s="7" t="n">
        <v>2022</v>
      </c>
      <c r="G1023" s="7" t="s">
        <v>62</v>
      </c>
      <c r="H1023" s="7" t="s">
        <v>86</v>
      </c>
      <c r="I1023" s="7" t="n">
        <v>50.2</v>
      </c>
      <c r="J1023" s="7" t="s">
        <v>64</v>
      </c>
      <c r="K1023" s="7" t="s">
        <v>65</v>
      </c>
      <c r="L1023" s="7" t="s">
        <v>66</v>
      </c>
      <c r="M1023" s="7" t="n">
        <v>49.5</v>
      </c>
      <c r="N1023" s="7" t="n">
        <v>2572</v>
      </c>
    </row>
    <row r="1024" customFormat="false" ht="15" hidden="false" customHeight="false" outlineLevel="0" collapsed="false">
      <c r="A1024" s="7" t="s">
        <v>59</v>
      </c>
      <c r="B1024" s="7" t="s">
        <v>165</v>
      </c>
      <c r="C1024" s="7" t="s">
        <v>165</v>
      </c>
      <c r="D1024" s="7" t="s">
        <v>166</v>
      </c>
      <c r="E1024" s="7" t="s">
        <v>167</v>
      </c>
      <c r="F1024" s="7" t="n">
        <v>2022</v>
      </c>
      <c r="G1024" s="7" t="s">
        <v>62</v>
      </c>
      <c r="H1024" s="7" t="s">
        <v>63</v>
      </c>
      <c r="I1024" s="7" t="n">
        <v>50.2</v>
      </c>
      <c r="J1024" s="7" t="s">
        <v>64</v>
      </c>
      <c r="K1024" s="7" t="s">
        <v>65</v>
      </c>
      <c r="L1024" s="7" t="s">
        <v>66</v>
      </c>
      <c r="M1024" s="7" t="n">
        <v>66.7</v>
      </c>
      <c r="N1024" s="7" t="n">
        <v>5121</v>
      </c>
    </row>
    <row r="1025" customFormat="false" ht="15" hidden="false" customHeight="false" outlineLevel="0" collapsed="false">
      <c r="A1025" s="7" t="s">
        <v>59</v>
      </c>
      <c r="B1025" s="7" t="s">
        <v>165</v>
      </c>
      <c r="C1025" s="7" t="s">
        <v>165</v>
      </c>
      <c r="D1025" s="7" t="s">
        <v>166</v>
      </c>
      <c r="E1025" s="7" t="s">
        <v>167</v>
      </c>
      <c r="F1025" s="7" t="n">
        <v>2022</v>
      </c>
      <c r="G1025" s="7" t="s">
        <v>62</v>
      </c>
      <c r="H1025" s="7" t="s">
        <v>78</v>
      </c>
      <c r="I1025" s="7" t="n">
        <v>50.2</v>
      </c>
      <c r="J1025" s="7" t="s">
        <v>64</v>
      </c>
      <c r="K1025" s="7" t="s">
        <v>79</v>
      </c>
      <c r="L1025" s="7" t="s">
        <v>66</v>
      </c>
      <c r="M1025" s="7" t="n">
        <v>65.9</v>
      </c>
      <c r="N1025" s="7" t="n">
        <v>5121</v>
      </c>
    </row>
    <row r="1026" customFormat="false" ht="15" hidden="false" customHeight="false" outlineLevel="0" collapsed="false">
      <c r="A1026" s="7" t="s">
        <v>59</v>
      </c>
      <c r="B1026" s="7" t="s">
        <v>165</v>
      </c>
      <c r="C1026" s="7" t="s">
        <v>165</v>
      </c>
      <c r="D1026" s="7" t="s">
        <v>166</v>
      </c>
      <c r="E1026" s="7" t="s">
        <v>167</v>
      </c>
      <c r="F1026" s="7" t="n">
        <v>2022</v>
      </c>
      <c r="G1026" s="7" t="s">
        <v>81</v>
      </c>
      <c r="H1026" s="7" t="s">
        <v>87</v>
      </c>
      <c r="I1026" s="7" t="n">
        <v>50.2</v>
      </c>
      <c r="J1026" s="7" t="s">
        <v>64</v>
      </c>
      <c r="K1026" s="7" t="s">
        <v>65</v>
      </c>
      <c r="L1026" s="7" t="s">
        <v>66</v>
      </c>
      <c r="M1026" s="7" t="n">
        <v>15.4</v>
      </c>
      <c r="N1026" s="7" t="n">
        <v>2549</v>
      </c>
    </row>
    <row r="1027" customFormat="false" ht="15" hidden="false" customHeight="false" outlineLevel="0" collapsed="false">
      <c r="A1027" s="7" t="s">
        <v>59</v>
      </c>
      <c r="B1027" s="7" t="s">
        <v>165</v>
      </c>
      <c r="C1027" s="7" t="s">
        <v>165</v>
      </c>
      <c r="D1027" s="7" t="s">
        <v>166</v>
      </c>
      <c r="E1027" s="7" t="s">
        <v>167</v>
      </c>
      <c r="F1027" s="7" t="n">
        <v>2022</v>
      </c>
      <c r="G1027" s="7" t="s">
        <v>81</v>
      </c>
      <c r="H1027" s="7" t="s">
        <v>86</v>
      </c>
      <c r="I1027" s="7" t="n">
        <v>50.2</v>
      </c>
      <c r="J1027" s="7" t="s">
        <v>64</v>
      </c>
      <c r="K1027" s="7" t="s">
        <v>65</v>
      </c>
      <c r="L1027" s="7" t="s">
        <v>66</v>
      </c>
      <c r="M1027" s="7" t="n">
        <v>47.5</v>
      </c>
      <c r="N1027" s="7" t="n">
        <v>2572</v>
      </c>
    </row>
    <row r="1028" customFormat="false" ht="15" hidden="false" customHeight="false" outlineLevel="0" collapsed="false">
      <c r="A1028" s="7" t="s">
        <v>59</v>
      </c>
      <c r="B1028" s="7" t="s">
        <v>165</v>
      </c>
      <c r="C1028" s="7" t="s">
        <v>165</v>
      </c>
      <c r="D1028" s="7" t="s">
        <v>166</v>
      </c>
      <c r="E1028" s="7" t="s">
        <v>167</v>
      </c>
      <c r="F1028" s="7" t="n">
        <v>2022</v>
      </c>
      <c r="G1028" s="7" t="s">
        <v>81</v>
      </c>
      <c r="H1028" s="7" t="s">
        <v>63</v>
      </c>
      <c r="I1028" s="7" t="n">
        <v>50.2</v>
      </c>
      <c r="J1028" s="7" t="s">
        <v>64</v>
      </c>
      <c r="K1028" s="7" t="s">
        <v>65</v>
      </c>
      <c r="L1028" s="7" t="s">
        <v>66</v>
      </c>
      <c r="M1028" s="7" t="n">
        <v>62.9</v>
      </c>
      <c r="N1028" s="7" t="n">
        <v>5121</v>
      </c>
    </row>
    <row r="1029" customFormat="false" ht="15" hidden="false" customHeight="false" outlineLevel="0" collapsed="false">
      <c r="A1029" s="7" t="s">
        <v>59</v>
      </c>
      <c r="B1029" s="7" t="s">
        <v>165</v>
      </c>
      <c r="C1029" s="7" t="s">
        <v>165</v>
      </c>
      <c r="D1029" s="7" t="s">
        <v>166</v>
      </c>
      <c r="E1029" s="7" t="s">
        <v>167</v>
      </c>
      <c r="F1029" s="7" t="n">
        <v>2022</v>
      </c>
      <c r="G1029" s="7" t="s">
        <v>81</v>
      </c>
      <c r="H1029" s="7" t="s">
        <v>78</v>
      </c>
      <c r="I1029" s="7" t="n">
        <v>50.2</v>
      </c>
      <c r="J1029" s="7" t="s">
        <v>64</v>
      </c>
      <c r="K1029" s="7" t="s">
        <v>79</v>
      </c>
      <c r="L1029" s="7" t="s">
        <v>66</v>
      </c>
      <c r="M1029" s="7" t="n">
        <v>62</v>
      </c>
      <c r="N1029" s="7" t="n">
        <v>5121</v>
      </c>
    </row>
    <row r="1030" customFormat="false" ht="15" hidden="false" customHeight="false" outlineLevel="0" collapsed="false">
      <c r="A1030" s="7" t="s">
        <v>59</v>
      </c>
      <c r="B1030" s="7" t="s">
        <v>165</v>
      </c>
      <c r="C1030" s="7" t="s">
        <v>165</v>
      </c>
      <c r="D1030" s="7" t="s">
        <v>166</v>
      </c>
      <c r="E1030" s="7" t="s">
        <v>167</v>
      </c>
      <c r="F1030" s="7" t="n">
        <v>2022</v>
      </c>
      <c r="G1030" s="7" t="s">
        <v>134</v>
      </c>
      <c r="H1030" s="7" t="s">
        <v>87</v>
      </c>
      <c r="I1030" s="7" t="n">
        <v>50.2</v>
      </c>
      <c r="J1030" s="7" t="s">
        <v>64</v>
      </c>
      <c r="K1030" s="7" t="s">
        <v>65</v>
      </c>
      <c r="L1030" s="7" t="s">
        <v>66</v>
      </c>
      <c r="M1030" s="7" t="n">
        <v>14.8</v>
      </c>
      <c r="N1030" s="7" t="n">
        <v>2549</v>
      </c>
    </row>
    <row r="1031" customFormat="false" ht="15" hidden="false" customHeight="false" outlineLevel="0" collapsed="false">
      <c r="A1031" s="7" t="s">
        <v>59</v>
      </c>
      <c r="B1031" s="7" t="s">
        <v>165</v>
      </c>
      <c r="C1031" s="7" t="s">
        <v>165</v>
      </c>
      <c r="D1031" s="7" t="s">
        <v>166</v>
      </c>
      <c r="E1031" s="7" t="s">
        <v>167</v>
      </c>
      <c r="F1031" s="7" t="n">
        <v>2022</v>
      </c>
      <c r="G1031" s="7" t="s">
        <v>134</v>
      </c>
      <c r="H1031" s="7" t="s">
        <v>86</v>
      </c>
      <c r="I1031" s="7" t="n">
        <v>50.2</v>
      </c>
      <c r="J1031" s="7" t="s">
        <v>64</v>
      </c>
      <c r="K1031" s="7" t="s">
        <v>65</v>
      </c>
      <c r="L1031" s="7" t="s">
        <v>66</v>
      </c>
      <c r="M1031" s="7" t="n">
        <v>45</v>
      </c>
      <c r="N1031" s="7" t="n">
        <v>2572</v>
      </c>
    </row>
    <row r="1032" customFormat="false" ht="15" hidden="false" customHeight="false" outlineLevel="0" collapsed="false">
      <c r="A1032" s="7" t="s">
        <v>59</v>
      </c>
      <c r="B1032" s="7" t="s">
        <v>165</v>
      </c>
      <c r="C1032" s="7" t="s">
        <v>165</v>
      </c>
      <c r="D1032" s="7" t="s">
        <v>166</v>
      </c>
      <c r="E1032" s="7" t="s">
        <v>167</v>
      </c>
      <c r="F1032" s="7" t="n">
        <v>2022</v>
      </c>
      <c r="G1032" s="7" t="s">
        <v>134</v>
      </c>
      <c r="H1032" s="7" t="s">
        <v>63</v>
      </c>
      <c r="I1032" s="7" t="n">
        <v>50.2</v>
      </c>
      <c r="J1032" s="7" t="s">
        <v>64</v>
      </c>
      <c r="K1032" s="7" t="s">
        <v>65</v>
      </c>
      <c r="L1032" s="7" t="s">
        <v>66</v>
      </c>
      <c r="M1032" s="7" t="n">
        <v>59.8</v>
      </c>
      <c r="N1032" s="7" t="n">
        <v>5121</v>
      </c>
    </row>
    <row r="1033" customFormat="false" ht="15" hidden="false" customHeight="false" outlineLevel="0" collapsed="false">
      <c r="A1033" s="7" t="s">
        <v>59</v>
      </c>
      <c r="B1033" s="7" t="s">
        <v>165</v>
      </c>
      <c r="C1033" s="7" t="s">
        <v>165</v>
      </c>
      <c r="D1033" s="7" t="s">
        <v>166</v>
      </c>
      <c r="E1033" s="7" t="s">
        <v>167</v>
      </c>
      <c r="F1033" s="7" t="n">
        <v>2022</v>
      </c>
      <c r="G1033" s="7" t="s">
        <v>134</v>
      </c>
      <c r="H1033" s="7" t="s">
        <v>78</v>
      </c>
      <c r="I1033" s="7" t="n">
        <v>50.2</v>
      </c>
      <c r="J1033" s="7" t="s">
        <v>64</v>
      </c>
      <c r="K1033" s="7" t="s">
        <v>79</v>
      </c>
      <c r="L1033" s="7" t="s">
        <v>66</v>
      </c>
      <c r="M1033" s="7" t="n">
        <v>58.7</v>
      </c>
      <c r="N1033" s="7" t="n">
        <v>5121</v>
      </c>
    </row>
    <row r="1034" customFormat="false" ht="15" hidden="false" customHeight="false" outlineLevel="0" collapsed="false">
      <c r="A1034" s="7" t="s">
        <v>59</v>
      </c>
      <c r="B1034" s="7" t="s">
        <v>165</v>
      </c>
      <c r="C1034" s="7" t="s">
        <v>165</v>
      </c>
      <c r="D1034" s="7" t="s">
        <v>166</v>
      </c>
      <c r="E1034" s="7" t="s">
        <v>167</v>
      </c>
      <c r="F1034" s="7" t="n">
        <v>2022</v>
      </c>
      <c r="G1034" s="7" t="s">
        <v>67</v>
      </c>
      <c r="H1034" s="7" t="s">
        <v>87</v>
      </c>
      <c r="I1034" s="7" t="n">
        <v>50.2</v>
      </c>
      <c r="J1034" s="7" t="s">
        <v>64</v>
      </c>
      <c r="K1034" s="7" t="s">
        <v>65</v>
      </c>
      <c r="L1034" s="7" t="s">
        <v>66</v>
      </c>
      <c r="M1034" s="7" t="n">
        <v>11.2</v>
      </c>
      <c r="N1034" s="7" t="n">
        <v>2549</v>
      </c>
    </row>
    <row r="1035" customFormat="false" ht="15" hidden="false" customHeight="false" outlineLevel="0" collapsed="false">
      <c r="A1035" s="7" t="s">
        <v>59</v>
      </c>
      <c r="B1035" s="7" t="s">
        <v>165</v>
      </c>
      <c r="C1035" s="7" t="s">
        <v>165</v>
      </c>
      <c r="D1035" s="7" t="s">
        <v>166</v>
      </c>
      <c r="E1035" s="7" t="s">
        <v>167</v>
      </c>
      <c r="F1035" s="7" t="n">
        <v>2022</v>
      </c>
      <c r="G1035" s="7" t="s">
        <v>67</v>
      </c>
      <c r="H1035" s="7" t="s">
        <v>86</v>
      </c>
      <c r="I1035" s="7" t="n">
        <v>50.2</v>
      </c>
      <c r="J1035" s="7" t="s">
        <v>64</v>
      </c>
      <c r="K1035" s="7" t="s">
        <v>65</v>
      </c>
      <c r="L1035" s="7" t="s">
        <v>66</v>
      </c>
      <c r="M1035" s="7" t="n">
        <v>42.3</v>
      </c>
      <c r="N1035" s="7" t="n">
        <v>2572</v>
      </c>
    </row>
    <row r="1036" customFormat="false" ht="15" hidden="false" customHeight="false" outlineLevel="0" collapsed="false">
      <c r="A1036" s="7" t="s">
        <v>59</v>
      </c>
      <c r="B1036" s="7" t="s">
        <v>165</v>
      </c>
      <c r="C1036" s="7" t="s">
        <v>165</v>
      </c>
      <c r="D1036" s="7" t="s">
        <v>166</v>
      </c>
      <c r="E1036" s="7" t="s">
        <v>167</v>
      </c>
      <c r="F1036" s="7" t="n">
        <v>2022</v>
      </c>
      <c r="G1036" s="7" t="s">
        <v>67</v>
      </c>
      <c r="H1036" s="7" t="s">
        <v>63</v>
      </c>
      <c r="I1036" s="7" t="n">
        <v>50.2</v>
      </c>
      <c r="J1036" s="7" t="s">
        <v>64</v>
      </c>
      <c r="K1036" s="7" t="s">
        <v>65</v>
      </c>
      <c r="L1036" s="7" t="s">
        <v>66</v>
      </c>
      <c r="M1036" s="7" t="n">
        <v>53.4</v>
      </c>
      <c r="N1036" s="7" t="n">
        <v>5121</v>
      </c>
    </row>
    <row r="1037" customFormat="false" ht="15" hidden="false" customHeight="false" outlineLevel="0" collapsed="false">
      <c r="A1037" s="7" t="s">
        <v>59</v>
      </c>
      <c r="B1037" s="7" t="s">
        <v>165</v>
      </c>
      <c r="C1037" s="7" t="s">
        <v>165</v>
      </c>
      <c r="D1037" s="7" t="s">
        <v>166</v>
      </c>
      <c r="E1037" s="7" t="s">
        <v>167</v>
      </c>
      <c r="F1037" s="7" t="n">
        <v>2022</v>
      </c>
      <c r="G1037" s="7" t="s">
        <v>67</v>
      </c>
      <c r="H1037" s="7" t="s">
        <v>78</v>
      </c>
      <c r="I1037" s="7" t="n">
        <v>50.2</v>
      </c>
      <c r="J1037" s="7" t="s">
        <v>64</v>
      </c>
      <c r="K1037" s="7" t="s">
        <v>79</v>
      </c>
      <c r="L1037" s="7" t="s">
        <v>66</v>
      </c>
      <c r="M1037" s="7" t="n">
        <v>51.9</v>
      </c>
      <c r="N1037" s="7" t="n">
        <v>5121</v>
      </c>
    </row>
    <row r="1038" customFormat="false" ht="15" hidden="false" customHeight="false" outlineLevel="0" collapsed="false">
      <c r="A1038" s="7" t="s">
        <v>59</v>
      </c>
      <c r="B1038" s="7" t="s">
        <v>165</v>
      </c>
      <c r="C1038" s="7" t="s">
        <v>165</v>
      </c>
      <c r="D1038" s="7" t="s">
        <v>166</v>
      </c>
      <c r="E1038" s="7" t="s">
        <v>167</v>
      </c>
      <c r="F1038" s="7" t="n">
        <v>2022</v>
      </c>
      <c r="G1038" s="7" t="s">
        <v>82</v>
      </c>
      <c r="H1038" s="7" t="s">
        <v>87</v>
      </c>
      <c r="I1038" s="7" t="n">
        <v>50.2</v>
      </c>
      <c r="J1038" s="7" t="s">
        <v>64</v>
      </c>
      <c r="K1038" s="7" t="s">
        <v>65</v>
      </c>
      <c r="L1038" s="7" t="s">
        <v>66</v>
      </c>
      <c r="M1038" s="7" t="n">
        <v>3.3</v>
      </c>
      <c r="N1038" s="7" t="n">
        <v>2549</v>
      </c>
    </row>
    <row r="1039" customFormat="false" ht="15" hidden="false" customHeight="false" outlineLevel="0" collapsed="false">
      <c r="A1039" s="7" t="s">
        <v>59</v>
      </c>
      <c r="B1039" s="7" t="s">
        <v>165</v>
      </c>
      <c r="C1039" s="7" t="s">
        <v>165</v>
      </c>
      <c r="D1039" s="7" t="s">
        <v>166</v>
      </c>
      <c r="E1039" s="7" t="s">
        <v>167</v>
      </c>
      <c r="F1039" s="7" t="n">
        <v>2022</v>
      </c>
      <c r="G1039" s="7" t="s">
        <v>82</v>
      </c>
      <c r="H1039" s="7" t="s">
        <v>86</v>
      </c>
      <c r="I1039" s="7" t="n">
        <v>50.2</v>
      </c>
      <c r="J1039" s="7" t="s">
        <v>64</v>
      </c>
      <c r="K1039" s="7" t="s">
        <v>65</v>
      </c>
      <c r="L1039" s="7" t="s">
        <v>66</v>
      </c>
      <c r="M1039" s="7" t="n">
        <v>36</v>
      </c>
      <c r="N1039" s="7" t="n">
        <v>2572</v>
      </c>
    </row>
    <row r="1040" customFormat="false" ht="15" hidden="false" customHeight="false" outlineLevel="0" collapsed="false">
      <c r="A1040" s="7" t="s">
        <v>59</v>
      </c>
      <c r="B1040" s="7" t="s">
        <v>165</v>
      </c>
      <c r="C1040" s="7" t="s">
        <v>165</v>
      </c>
      <c r="D1040" s="7" t="s">
        <v>166</v>
      </c>
      <c r="E1040" s="7" t="s">
        <v>167</v>
      </c>
      <c r="F1040" s="7" t="n">
        <v>2022</v>
      </c>
      <c r="G1040" s="7" t="s">
        <v>82</v>
      </c>
      <c r="H1040" s="7" t="s">
        <v>63</v>
      </c>
      <c r="I1040" s="7" t="n">
        <v>50.2</v>
      </c>
      <c r="J1040" s="7" t="s">
        <v>64</v>
      </c>
      <c r="K1040" s="7" t="s">
        <v>65</v>
      </c>
      <c r="L1040" s="7" t="s">
        <v>66</v>
      </c>
      <c r="M1040" s="7" t="n">
        <v>39.4</v>
      </c>
      <c r="N1040" s="7" t="n">
        <v>5121</v>
      </c>
    </row>
    <row r="1041" customFormat="false" ht="15" hidden="false" customHeight="false" outlineLevel="0" collapsed="false">
      <c r="A1041" s="7" t="s">
        <v>59</v>
      </c>
      <c r="B1041" s="7" t="s">
        <v>165</v>
      </c>
      <c r="C1041" s="7" t="s">
        <v>165</v>
      </c>
      <c r="D1041" s="7" t="s">
        <v>166</v>
      </c>
      <c r="E1041" s="7" t="s">
        <v>167</v>
      </c>
      <c r="F1041" s="7" t="n">
        <v>2022</v>
      </c>
      <c r="G1041" s="7" t="s">
        <v>82</v>
      </c>
      <c r="H1041" s="7" t="s">
        <v>78</v>
      </c>
      <c r="I1041" s="7" t="n">
        <v>50.2</v>
      </c>
      <c r="J1041" s="7" t="s">
        <v>64</v>
      </c>
      <c r="K1041" s="7" t="s">
        <v>79</v>
      </c>
      <c r="L1041" s="7" t="s">
        <v>66</v>
      </c>
      <c r="M1041" s="7" t="n">
        <v>35.8</v>
      </c>
      <c r="N1041" s="7" t="n">
        <v>5121</v>
      </c>
    </row>
    <row r="1042" customFormat="false" ht="15" hidden="false" customHeight="false" outlineLevel="0" collapsed="false">
      <c r="A1042" s="7" t="s">
        <v>59</v>
      </c>
      <c r="B1042" s="7" t="s">
        <v>165</v>
      </c>
      <c r="C1042" s="7" t="s">
        <v>165</v>
      </c>
      <c r="D1042" s="7" t="s">
        <v>166</v>
      </c>
      <c r="E1042" s="7" t="s">
        <v>167</v>
      </c>
      <c r="F1042" s="7" t="n">
        <v>2022</v>
      </c>
      <c r="G1042" s="7" t="s">
        <v>148</v>
      </c>
      <c r="H1042" s="7" t="s">
        <v>87</v>
      </c>
      <c r="I1042" s="7" t="n">
        <v>50.2</v>
      </c>
      <c r="J1042" s="7" t="s">
        <v>64</v>
      </c>
      <c r="K1042" s="7" t="s">
        <v>79</v>
      </c>
      <c r="L1042" s="7" t="s">
        <v>66</v>
      </c>
      <c r="M1042" s="7" t="n">
        <v>1.6</v>
      </c>
      <c r="N1042" s="7" t="n">
        <v>2549</v>
      </c>
    </row>
    <row r="1043" customFormat="false" ht="15" hidden="false" customHeight="false" outlineLevel="0" collapsed="false">
      <c r="A1043" s="7" t="s">
        <v>59</v>
      </c>
      <c r="B1043" s="7" t="s">
        <v>165</v>
      </c>
      <c r="C1043" s="7" t="s">
        <v>165</v>
      </c>
      <c r="D1043" s="7" t="s">
        <v>166</v>
      </c>
      <c r="E1043" s="7" t="s">
        <v>167</v>
      </c>
      <c r="F1043" s="7" t="n">
        <v>2022</v>
      </c>
      <c r="G1043" s="7" t="s">
        <v>148</v>
      </c>
      <c r="H1043" s="7" t="s">
        <v>86</v>
      </c>
      <c r="I1043" s="7" t="n">
        <v>50.2</v>
      </c>
      <c r="J1043" s="7" t="s">
        <v>64</v>
      </c>
      <c r="K1043" s="7" t="s">
        <v>79</v>
      </c>
      <c r="L1043" s="7" t="s">
        <v>66</v>
      </c>
      <c r="M1043" s="7" t="n">
        <v>18.2</v>
      </c>
      <c r="N1043" s="7" t="n">
        <v>2572</v>
      </c>
    </row>
    <row r="1044" customFormat="false" ht="15" hidden="false" customHeight="false" outlineLevel="0" collapsed="false">
      <c r="A1044" s="7" t="s">
        <v>59</v>
      </c>
      <c r="B1044" s="7" t="s">
        <v>165</v>
      </c>
      <c r="C1044" s="7" t="s">
        <v>165</v>
      </c>
      <c r="D1044" s="7" t="s">
        <v>166</v>
      </c>
      <c r="E1044" s="7" t="s">
        <v>167</v>
      </c>
      <c r="F1044" s="7" t="n">
        <v>2022</v>
      </c>
      <c r="G1044" s="7" t="s">
        <v>148</v>
      </c>
      <c r="H1044" s="7" t="s">
        <v>63</v>
      </c>
      <c r="I1044" s="7" t="n">
        <v>50.2</v>
      </c>
      <c r="J1044" s="7" t="s">
        <v>64</v>
      </c>
      <c r="K1044" s="7" t="s">
        <v>79</v>
      </c>
      <c r="L1044" s="7" t="s">
        <v>66</v>
      </c>
      <c r="M1044" s="7" t="n">
        <v>19.8</v>
      </c>
      <c r="N1044" s="7" t="n">
        <v>5121</v>
      </c>
    </row>
    <row r="1045" customFormat="false" ht="15" hidden="false" customHeight="false" outlineLevel="0" collapsed="false">
      <c r="A1045" s="7" t="s">
        <v>59</v>
      </c>
      <c r="B1045" s="7" t="s">
        <v>165</v>
      </c>
      <c r="C1045" s="7" t="s">
        <v>165</v>
      </c>
      <c r="D1045" s="7" t="s">
        <v>166</v>
      </c>
      <c r="E1045" s="7" t="s">
        <v>167</v>
      </c>
      <c r="F1045" s="7" t="n">
        <v>2022</v>
      </c>
      <c r="G1045" s="7" t="s">
        <v>148</v>
      </c>
      <c r="H1045" s="7" t="s">
        <v>78</v>
      </c>
      <c r="I1045" s="7" t="n">
        <v>50.2</v>
      </c>
      <c r="J1045" s="7" t="s">
        <v>64</v>
      </c>
      <c r="K1045" s="7" t="s">
        <v>79</v>
      </c>
      <c r="L1045" s="7" t="s">
        <v>66</v>
      </c>
      <c r="M1045" s="7" t="n">
        <v>17.2</v>
      </c>
      <c r="N1045" s="7" t="n">
        <v>5121</v>
      </c>
    </row>
    <row r="1046" customFormat="false" ht="15" hidden="false" customHeight="false" outlineLevel="0" collapsed="false">
      <c r="A1046" s="7" t="s">
        <v>59</v>
      </c>
      <c r="B1046" s="7" t="s">
        <v>165</v>
      </c>
      <c r="C1046" s="7" t="s">
        <v>165</v>
      </c>
      <c r="D1046" s="7" t="s">
        <v>166</v>
      </c>
      <c r="E1046" s="7" t="s">
        <v>167</v>
      </c>
      <c r="F1046" s="7" t="n">
        <v>2022</v>
      </c>
      <c r="G1046" s="7" t="s">
        <v>168</v>
      </c>
      <c r="H1046" s="7" t="s">
        <v>87</v>
      </c>
      <c r="I1046" s="7" t="n">
        <v>50.2</v>
      </c>
      <c r="J1046" s="7" t="s">
        <v>64</v>
      </c>
      <c r="K1046" s="7" t="s">
        <v>65</v>
      </c>
      <c r="L1046" s="7" t="s">
        <v>66</v>
      </c>
      <c r="M1046" s="7" t="n">
        <v>6</v>
      </c>
      <c r="N1046" s="7" t="n">
        <v>2549</v>
      </c>
    </row>
    <row r="1047" customFormat="false" ht="15" hidden="false" customHeight="false" outlineLevel="0" collapsed="false">
      <c r="A1047" s="7" t="s">
        <v>59</v>
      </c>
      <c r="B1047" s="7" t="s">
        <v>165</v>
      </c>
      <c r="C1047" s="7" t="s">
        <v>165</v>
      </c>
      <c r="D1047" s="7" t="s">
        <v>166</v>
      </c>
      <c r="E1047" s="7" t="s">
        <v>167</v>
      </c>
      <c r="F1047" s="7" t="n">
        <v>2022</v>
      </c>
      <c r="G1047" s="7" t="s">
        <v>168</v>
      </c>
      <c r="H1047" s="7" t="s">
        <v>86</v>
      </c>
      <c r="I1047" s="7" t="n">
        <v>50.2</v>
      </c>
      <c r="J1047" s="7" t="s">
        <v>64</v>
      </c>
      <c r="K1047" s="7" t="s">
        <v>65</v>
      </c>
      <c r="L1047" s="7" t="s">
        <v>66</v>
      </c>
      <c r="M1047" s="7" t="n">
        <v>34.7</v>
      </c>
      <c r="N1047" s="7" t="n">
        <v>2572</v>
      </c>
    </row>
    <row r="1048" customFormat="false" ht="15" hidden="false" customHeight="false" outlineLevel="0" collapsed="false">
      <c r="A1048" s="7" t="s">
        <v>59</v>
      </c>
      <c r="B1048" s="7" t="s">
        <v>165</v>
      </c>
      <c r="C1048" s="7" t="s">
        <v>165</v>
      </c>
      <c r="D1048" s="7" t="s">
        <v>166</v>
      </c>
      <c r="E1048" s="7" t="s">
        <v>167</v>
      </c>
      <c r="F1048" s="7" t="n">
        <v>2022</v>
      </c>
      <c r="G1048" s="7" t="s">
        <v>168</v>
      </c>
      <c r="H1048" s="7" t="s">
        <v>63</v>
      </c>
      <c r="I1048" s="7" t="n">
        <v>50.2</v>
      </c>
      <c r="J1048" s="7" t="s">
        <v>64</v>
      </c>
      <c r="K1048" s="7" t="s">
        <v>65</v>
      </c>
      <c r="L1048" s="7" t="s">
        <v>66</v>
      </c>
      <c r="M1048" s="7" t="n">
        <v>40.7</v>
      </c>
      <c r="N1048" s="7" t="n">
        <v>5121</v>
      </c>
    </row>
    <row r="1049" customFormat="false" ht="15" hidden="false" customHeight="false" outlineLevel="0" collapsed="false">
      <c r="A1049" s="7" t="s">
        <v>59</v>
      </c>
      <c r="B1049" s="7" t="s">
        <v>165</v>
      </c>
      <c r="C1049" s="7" t="s">
        <v>165</v>
      </c>
      <c r="D1049" s="7" t="s">
        <v>166</v>
      </c>
      <c r="E1049" s="7" t="s">
        <v>167</v>
      </c>
      <c r="F1049" s="7" t="n">
        <v>2022</v>
      </c>
      <c r="G1049" s="7" t="s">
        <v>109</v>
      </c>
      <c r="H1049" s="7" t="s">
        <v>87</v>
      </c>
      <c r="I1049" s="7" t="n">
        <v>50.2</v>
      </c>
      <c r="J1049" s="7" t="s">
        <v>64</v>
      </c>
      <c r="K1049" s="7" t="s">
        <v>65</v>
      </c>
      <c r="L1049" s="7" t="s">
        <v>66</v>
      </c>
      <c r="M1049" s="7" t="n">
        <v>15.4</v>
      </c>
      <c r="N1049" s="7" t="n">
        <v>2549</v>
      </c>
    </row>
    <row r="1050" customFormat="false" ht="15" hidden="false" customHeight="false" outlineLevel="0" collapsed="false">
      <c r="A1050" s="7" t="s">
        <v>59</v>
      </c>
      <c r="B1050" s="7" t="s">
        <v>165</v>
      </c>
      <c r="C1050" s="7" t="s">
        <v>165</v>
      </c>
      <c r="D1050" s="7" t="s">
        <v>166</v>
      </c>
      <c r="E1050" s="7" t="s">
        <v>167</v>
      </c>
      <c r="F1050" s="7" t="n">
        <v>2022</v>
      </c>
      <c r="G1050" s="7" t="s">
        <v>109</v>
      </c>
      <c r="H1050" s="7" t="s">
        <v>86</v>
      </c>
      <c r="I1050" s="7" t="n">
        <v>50.2</v>
      </c>
      <c r="J1050" s="7" t="s">
        <v>64</v>
      </c>
      <c r="K1050" s="7" t="s">
        <v>65</v>
      </c>
      <c r="L1050" s="7" t="s">
        <v>66</v>
      </c>
      <c r="M1050" s="7" t="n">
        <v>47.5</v>
      </c>
      <c r="N1050" s="7" t="n">
        <v>2572</v>
      </c>
    </row>
    <row r="1051" customFormat="false" ht="15" hidden="false" customHeight="false" outlineLevel="0" collapsed="false">
      <c r="A1051" s="7" t="s">
        <v>59</v>
      </c>
      <c r="B1051" s="7" t="s">
        <v>165</v>
      </c>
      <c r="C1051" s="7" t="s">
        <v>165</v>
      </c>
      <c r="D1051" s="7" t="s">
        <v>166</v>
      </c>
      <c r="E1051" s="7" t="s">
        <v>167</v>
      </c>
      <c r="F1051" s="7" t="n">
        <v>2022</v>
      </c>
      <c r="G1051" s="7" t="s">
        <v>109</v>
      </c>
      <c r="H1051" s="7" t="s">
        <v>63</v>
      </c>
      <c r="I1051" s="7" t="n">
        <v>50.2</v>
      </c>
      <c r="J1051" s="7" t="s">
        <v>64</v>
      </c>
      <c r="K1051" s="7" t="s">
        <v>65</v>
      </c>
      <c r="L1051" s="7" t="s">
        <v>66</v>
      </c>
      <c r="M1051" s="7" t="n">
        <v>62.9</v>
      </c>
      <c r="N1051" s="7" t="n">
        <v>5121</v>
      </c>
    </row>
    <row r="1052" customFormat="false" ht="15" hidden="false" customHeight="false" outlineLevel="0" collapsed="false">
      <c r="A1052" s="7" t="s">
        <v>59</v>
      </c>
      <c r="B1052" s="7" t="s">
        <v>165</v>
      </c>
      <c r="C1052" s="7" t="s">
        <v>165</v>
      </c>
      <c r="D1052" s="7" t="s">
        <v>166</v>
      </c>
      <c r="E1052" s="7" t="s">
        <v>167</v>
      </c>
      <c r="F1052" s="7" t="n">
        <v>2022</v>
      </c>
      <c r="G1052" s="7" t="s">
        <v>109</v>
      </c>
      <c r="H1052" s="7" t="s">
        <v>78</v>
      </c>
      <c r="I1052" s="7" t="n">
        <v>50.2</v>
      </c>
      <c r="J1052" s="7" t="s">
        <v>64</v>
      </c>
      <c r="K1052" s="7" t="s">
        <v>79</v>
      </c>
      <c r="L1052" s="7" t="s">
        <v>66</v>
      </c>
      <c r="M1052" s="7" t="n">
        <v>62</v>
      </c>
      <c r="N1052" s="7" t="n">
        <v>5121</v>
      </c>
    </row>
    <row r="1053" customFormat="false" ht="15" hidden="false" customHeight="false" outlineLevel="0" collapsed="false">
      <c r="A1053" s="7" t="s">
        <v>59</v>
      </c>
      <c r="B1053" s="7" t="s">
        <v>165</v>
      </c>
      <c r="C1053" s="7" t="s">
        <v>165</v>
      </c>
      <c r="D1053" s="7" t="s">
        <v>166</v>
      </c>
      <c r="E1053" s="7" t="s">
        <v>167</v>
      </c>
      <c r="F1053" s="7" t="n">
        <v>2022</v>
      </c>
      <c r="G1053" s="7" t="s">
        <v>149</v>
      </c>
      <c r="H1053" s="7" t="s">
        <v>87</v>
      </c>
      <c r="I1053" s="7" t="n">
        <v>50.2</v>
      </c>
      <c r="J1053" s="7" t="s">
        <v>64</v>
      </c>
      <c r="K1053" s="7" t="s">
        <v>65</v>
      </c>
      <c r="L1053" s="7" t="s">
        <v>66</v>
      </c>
      <c r="M1053" s="7" t="n">
        <v>14.8</v>
      </c>
      <c r="N1053" s="7" t="n">
        <v>2549</v>
      </c>
    </row>
    <row r="1054" customFormat="false" ht="15" hidden="false" customHeight="false" outlineLevel="0" collapsed="false">
      <c r="A1054" s="7" t="s">
        <v>59</v>
      </c>
      <c r="B1054" s="7" t="s">
        <v>165</v>
      </c>
      <c r="C1054" s="7" t="s">
        <v>165</v>
      </c>
      <c r="D1054" s="7" t="s">
        <v>166</v>
      </c>
      <c r="E1054" s="7" t="s">
        <v>167</v>
      </c>
      <c r="F1054" s="7" t="n">
        <v>2022</v>
      </c>
      <c r="G1054" s="7" t="s">
        <v>149</v>
      </c>
      <c r="H1054" s="7" t="s">
        <v>86</v>
      </c>
      <c r="I1054" s="7" t="n">
        <v>50.2</v>
      </c>
      <c r="J1054" s="7" t="s">
        <v>64</v>
      </c>
      <c r="K1054" s="7" t="s">
        <v>65</v>
      </c>
      <c r="L1054" s="7" t="s">
        <v>66</v>
      </c>
      <c r="M1054" s="7" t="n">
        <v>45</v>
      </c>
      <c r="N1054" s="7" t="n">
        <v>2572</v>
      </c>
    </row>
    <row r="1055" customFormat="false" ht="15" hidden="false" customHeight="false" outlineLevel="0" collapsed="false">
      <c r="A1055" s="7" t="s">
        <v>59</v>
      </c>
      <c r="B1055" s="7" t="s">
        <v>165</v>
      </c>
      <c r="C1055" s="7" t="s">
        <v>165</v>
      </c>
      <c r="D1055" s="7" t="s">
        <v>166</v>
      </c>
      <c r="E1055" s="7" t="s">
        <v>167</v>
      </c>
      <c r="F1055" s="7" t="n">
        <v>2022</v>
      </c>
      <c r="G1055" s="7" t="s">
        <v>149</v>
      </c>
      <c r="H1055" s="7" t="s">
        <v>63</v>
      </c>
      <c r="I1055" s="7" t="n">
        <v>50.2</v>
      </c>
      <c r="J1055" s="7" t="s">
        <v>64</v>
      </c>
      <c r="K1055" s="7" t="s">
        <v>65</v>
      </c>
      <c r="L1055" s="7" t="s">
        <v>66</v>
      </c>
      <c r="M1055" s="7" t="n">
        <v>59.8</v>
      </c>
      <c r="N1055" s="7" t="n">
        <v>5121</v>
      </c>
    </row>
    <row r="1056" customFormat="false" ht="15" hidden="false" customHeight="false" outlineLevel="0" collapsed="false">
      <c r="A1056" s="7" t="s">
        <v>59</v>
      </c>
      <c r="B1056" s="7" t="s">
        <v>165</v>
      </c>
      <c r="C1056" s="7" t="s">
        <v>165</v>
      </c>
      <c r="D1056" s="7" t="s">
        <v>166</v>
      </c>
      <c r="E1056" s="7" t="s">
        <v>167</v>
      </c>
      <c r="F1056" s="7" t="n">
        <v>2022</v>
      </c>
      <c r="G1056" s="7" t="s">
        <v>149</v>
      </c>
      <c r="H1056" s="7" t="s">
        <v>78</v>
      </c>
      <c r="I1056" s="7" t="n">
        <v>50.2</v>
      </c>
      <c r="J1056" s="7" t="s">
        <v>64</v>
      </c>
      <c r="K1056" s="7" t="s">
        <v>79</v>
      </c>
      <c r="L1056" s="7" t="s">
        <v>66</v>
      </c>
      <c r="M1056" s="7" t="n">
        <v>58.7</v>
      </c>
      <c r="N1056" s="7" t="n">
        <v>5121</v>
      </c>
    </row>
    <row r="1057" customFormat="false" ht="15" hidden="false" customHeight="false" outlineLevel="0" collapsed="false">
      <c r="A1057" s="7" t="s">
        <v>59</v>
      </c>
      <c r="B1057" s="7" t="s">
        <v>165</v>
      </c>
      <c r="C1057" s="7" t="s">
        <v>165</v>
      </c>
      <c r="D1057" s="7" t="s">
        <v>166</v>
      </c>
      <c r="E1057" s="7" t="s">
        <v>167</v>
      </c>
      <c r="F1057" s="7" t="n">
        <v>2022</v>
      </c>
      <c r="G1057" s="7" t="s">
        <v>110</v>
      </c>
      <c r="H1057" s="7" t="s">
        <v>87</v>
      </c>
      <c r="I1057" s="7" t="n">
        <v>50.2</v>
      </c>
      <c r="J1057" s="7" t="s">
        <v>64</v>
      </c>
      <c r="K1057" s="7" t="s">
        <v>65</v>
      </c>
      <c r="L1057" s="7" t="s">
        <v>66</v>
      </c>
      <c r="M1057" s="7" t="n">
        <v>11.2</v>
      </c>
      <c r="N1057" s="7" t="n">
        <v>2549</v>
      </c>
    </row>
    <row r="1058" customFormat="false" ht="15" hidden="false" customHeight="false" outlineLevel="0" collapsed="false">
      <c r="A1058" s="7" t="s">
        <v>59</v>
      </c>
      <c r="B1058" s="7" t="s">
        <v>165</v>
      </c>
      <c r="C1058" s="7" t="s">
        <v>165</v>
      </c>
      <c r="D1058" s="7" t="s">
        <v>166</v>
      </c>
      <c r="E1058" s="7" t="s">
        <v>167</v>
      </c>
      <c r="F1058" s="7" t="n">
        <v>2022</v>
      </c>
      <c r="G1058" s="7" t="s">
        <v>110</v>
      </c>
      <c r="H1058" s="7" t="s">
        <v>86</v>
      </c>
      <c r="I1058" s="7" t="n">
        <v>50.2</v>
      </c>
      <c r="J1058" s="7" t="s">
        <v>64</v>
      </c>
      <c r="K1058" s="7" t="s">
        <v>65</v>
      </c>
      <c r="L1058" s="7" t="s">
        <v>66</v>
      </c>
      <c r="M1058" s="7" t="n">
        <v>42.3</v>
      </c>
      <c r="N1058" s="7" t="n">
        <v>2572</v>
      </c>
    </row>
    <row r="1059" customFormat="false" ht="15" hidden="false" customHeight="false" outlineLevel="0" collapsed="false">
      <c r="A1059" s="7" t="s">
        <v>59</v>
      </c>
      <c r="B1059" s="7" t="s">
        <v>165</v>
      </c>
      <c r="C1059" s="7" t="s">
        <v>165</v>
      </c>
      <c r="D1059" s="7" t="s">
        <v>166</v>
      </c>
      <c r="E1059" s="7" t="s">
        <v>167</v>
      </c>
      <c r="F1059" s="7" t="n">
        <v>2022</v>
      </c>
      <c r="G1059" s="7" t="s">
        <v>110</v>
      </c>
      <c r="H1059" s="7" t="s">
        <v>63</v>
      </c>
      <c r="I1059" s="7" t="n">
        <v>50.2</v>
      </c>
      <c r="J1059" s="7" t="s">
        <v>64</v>
      </c>
      <c r="K1059" s="7" t="s">
        <v>65</v>
      </c>
      <c r="L1059" s="7" t="s">
        <v>66</v>
      </c>
      <c r="M1059" s="7" t="n">
        <v>53.4</v>
      </c>
      <c r="N1059" s="7" t="n">
        <v>5121</v>
      </c>
    </row>
    <row r="1060" customFormat="false" ht="15" hidden="false" customHeight="false" outlineLevel="0" collapsed="false">
      <c r="A1060" s="7" t="s">
        <v>59</v>
      </c>
      <c r="B1060" s="7" t="s">
        <v>165</v>
      </c>
      <c r="C1060" s="7" t="s">
        <v>165</v>
      </c>
      <c r="D1060" s="7" t="s">
        <v>166</v>
      </c>
      <c r="E1060" s="7" t="s">
        <v>167</v>
      </c>
      <c r="F1060" s="7" t="n">
        <v>2022</v>
      </c>
      <c r="G1060" s="7" t="s">
        <v>110</v>
      </c>
      <c r="H1060" s="7" t="s">
        <v>78</v>
      </c>
      <c r="I1060" s="7" t="n">
        <v>50.2</v>
      </c>
      <c r="J1060" s="7" t="s">
        <v>64</v>
      </c>
      <c r="K1060" s="7" t="s">
        <v>79</v>
      </c>
      <c r="L1060" s="7" t="s">
        <v>66</v>
      </c>
      <c r="M1060" s="7" t="n">
        <v>51.9</v>
      </c>
      <c r="N1060" s="7" t="n">
        <v>5121</v>
      </c>
    </row>
    <row r="1061" customFormat="false" ht="15" hidden="false" customHeight="false" outlineLevel="0" collapsed="false">
      <c r="A1061" s="7" t="s">
        <v>59</v>
      </c>
      <c r="B1061" s="7" t="s">
        <v>165</v>
      </c>
      <c r="C1061" s="7" t="s">
        <v>165</v>
      </c>
      <c r="D1061" s="7" t="s">
        <v>166</v>
      </c>
      <c r="E1061" s="7" t="s">
        <v>167</v>
      </c>
      <c r="F1061" s="7" t="n">
        <v>2022</v>
      </c>
      <c r="G1061" s="7" t="s">
        <v>123</v>
      </c>
      <c r="H1061" s="7" t="s">
        <v>87</v>
      </c>
      <c r="I1061" s="7" t="n">
        <v>50.2</v>
      </c>
      <c r="J1061" s="7" t="s">
        <v>64</v>
      </c>
      <c r="K1061" s="7" t="s">
        <v>65</v>
      </c>
      <c r="L1061" s="7" t="s">
        <v>66</v>
      </c>
      <c r="M1061" s="7" t="n">
        <v>10.7</v>
      </c>
      <c r="N1061" s="7" t="n">
        <v>2549</v>
      </c>
    </row>
    <row r="1062" customFormat="false" ht="15" hidden="false" customHeight="false" outlineLevel="0" collapsed="false">
      <c r="A1062" s="7" t="s">
        <v>59</v>
      </c>
      <c r="B1062" s="7" t="s">
        <v>165</v>
      </c>
      <c r="C1062" s="7" t="s">
        <v>165</v>
      </c>
      <c r="D1062" s="7" t="s">
        <v>166</v>
      </c>
      <c r="E1062" s="7" t="s">
        <v>167</v>
      </c>
      <c r="F1062" s="7" t="n">
        <v>2022</v>
      </c>
      <c r="G1062" s="7" t="s">
        <v>123</v>
      </c>
      <c r="H1062" s="7" t="s">
        <v>86</v>
      </c>
      <c r="I1062" s="7" t="n">
        <v>50.2</v>
      </c>
      <c r="J1062" s="7" t="s">
        <v>64</v>
      </c>
      <c r="K1062" s="7" t="s">
        <v>65</v>
      </c>
      <c r="L1062" s="7" t="s">
        <v>66</v>
      </c>
      <c r="M1062" s="7" t="n">
        <v>6.7</v>
      </c>
      <c r="N1062" s="7" t="n">
        <v>2572</v>
      </c>
    </row>
    <row r="1063" customFormat="false" ht="15" hidden="false" customHeight="false" outlineLevel="0" collapsed="false">
      <c r="A1063" s="7" t="s">
        <v>59</v>
      </c>
      <c r="B1063" s="7" t="s">
        <v>165</v>
      </c>
      <c r="C1063" s="7" t="s">
        <v>165</v>
      </c>
      <c r="D1063" s="7" t="s">
        <v>166</v>
      </c>
      <c r="E1063" s="7" t="s">
        <v>167</v>
      </c>
      <c r="F1063" s="7" t="n">
        <v>2022</v>
      </c>
      <c r="G1063" s="7" t="s">
        <v>123</v>
      </c>
      <c r="H1063" s="7" t="s">
        <v>63</v>
      </c>
      <c r="I1063" s="7" t="n">
        <v>50.2</v>
      </c>
      <c r="J1063" s="7" t="s">
        <v>64</v>
      </c>
      <c r="K1063" s="7" t="s">
        <v>65</v>
      </c>
      <c r="L1063" s="7" t="s">
        <v>66</v>
      </c>
      <c r="M1063" s="7" t="n">
        <v>17.4</v>
      </c>
      <c r="N1063" s="7" t="n">
        <v>5121</v>
      </c>
    </row>
    <row r="1064" customFormat="false" ht="15" hidden="false" customHeight="false" outlineLevel="0" collapsed="false">
      <c r="A1064" s="7" t="s">
        <v>59</v>
      </c>
      <c r="B1064" s="7" t="s">
        <v>165</v>
      </c>
      <c r="C1064" s="7" t="s">
        <v>165</v>
      </c>
      <c r="D1064" s="7" t="s">
        <v>166</v>
      </c>
      <c r="E1064" s="7" t="s">
        <v>167</v>
      </c>
      <c r="F1064" s="7" t="n">
        <v>2022</v>
      </c>
      <c r="G1064" s="7" t="s">
        <v>135</v>
      </c>
      <c r="H1064" s="7" t="s">
        <v>87</v>
      </c>
      <c r="I1064" s="7" t="n">
        <v>50.2</v>
      </c>
      <c r="J1064" s="7" t="s">
        <v>64</v>
      </c>
      <c r="K1064" s="7" t="s">
        <v>65</v>
      </c>
      <c r="L1064" s="7" t="s">
        <v>66</v>
      </c>
      <c r="M1064" s="7" t="n">
        <v>15.4</v>
      </c>
      <c r="N1064" s="7" t="n">
        <v>2549</v>
      </c>
    </row>
    <row r="1065" customFormat="false" ht="15" hidden="false" customHeight="false" outlineLevel="0" collapsed="false">
      <c r="A1065" s="7" t="s">
        <v>59</v>
      </c>
      <c r="B1065" s="7" t="s">
        <v>165</v>
      </c>
      <c r="C1065" s="7" t="s">
        <v>165</v>
      </c>
      <c r="D1065" s="7" t="s">
        <v>166</v>
      </c>
      <c r="E1065" s="7" t="s">
        <v>167</v>
      </c>
      <c r="F1065" s="7" t="n">
        <v>2022</v>
      </c>
      <c r="G1065" s="7" t="s">
        <v>135</v>
      </c>
      <c r="H1065" s="7" t="s">
        <v>86</v>
      </c>
      <c r="I1065" s="7" t="n">
        <v>50.2</v>
      </c>
      <c r="J1065" s="7" t="s">
        <v>64</v>
      </c>
      <c r="K1065" s="7" t="s">
        <v>65</v>
      </c>
      <c r="L1065" s="7" t="s">
        <v>66</v>
      </c>
      <c r="M1065" s="7" t="n">
        <v>47.5</v>
      </c>
      <c r="N1065" s="7" t="n">
        <v>2572</v>
      </c>
    </row>
    <row r="1066" customFormat="false" ht="15" hidden="false" customHeight="false" outlineLevel="0" collapsed="false">
      <c r="A1066" s="7" t="s">
        <v>59</v>
      </c>
      <c r="B1066" s="7" t="s">
        <v>165</v>
      </c>
      <c r="C1066" s="7" t="s">
        <v>165</v>
      </c>
      <c r="D1066" s="7" t="s">
        <v>166</v>
      </c>
      <c r="E1066" s="7" t="s">
        <v>167</v>
      </c>
      <c r="F1066" s="7" t="n">
        <v>2022</v>
      </c>
      <c r="G1066" s="7" t="s">
        <v>135</v>
      </c>
      <c r="H1066" s="7" t="s">
        <v>63</v>
      </c>
      <c r="I1066" s="7" t="n">
        <v>50.2</v>
      </c>
      <c r="J1066" s="7" t="s">
        <v>64</v>
      </c>
      <c r="K1066" s="7" t="s">
        <v>65</v>
      </c>
      <c r="L1066" s="7" t="s">
        <v>66</v>
      </c>
      <c r="M1066" s="7" t="n">
        <v>62.9</v>
      </c>
      <c r="N1066" s="7" t="n">
        <v>5121</v>
      </c>
    </row>
    <row r="1067" customFormat="false" ht="15" hidden="false" customHeight="false" outlineLevel="0" collapsed="false">
      <c r="A1067" s="7" t="s">
        <v>59</v>
      </c>
      <c r="B1067" s="7" t="s">
        <v>165</v>
      </c>
      <c r="C1067" s="7" t="s">
        <v>165</v>
      </c>
      <c r="D1067" s="7" t="s">
        <v>166</v>
      </c>
      <c r="E1067" s="7" t="s">
        <v>167</v>
      </c>
      <c r="F1067" s="7" t="n">
        <v>2022</v>
      </c>
      <c r="G1067" s="7" t="s">
        <v>135</v>
      </c>
      <c r="H1067" s="7" t="s">
        <v>78</v>
      </c>
      <c r="I1067" s="7" t="n">
        <v>50.2</v>
      </c>
      <c r="J1067" s="7" t="s">
        <v>64</v>
      </c>
      <c r="K1067" s="7" t="s">
        <v>79</v>
      </c>
      <c r="L1067" s="7" t="s">
        <v>66</v>
      </c>
      <c r="M1067" s="7" t="n">
        <v>62</v>
      </c>
      <c r="N1067" s="7" t="n">
        <v>5121</v>
      </c>
    </row>
    <row r="1068" customFormat="false" ht="15" hidden="false" customHeight="false" outlineLevel="0" collapsed="false">
      <c r="A1068" s="7" t="s">
        <v>59</v>
      </c>
      <c r="B1068" s="7" t="s">
        <v>165</v>
      </c>
      <c r="C1068" s="7" t="s">
        <v>165</v>
      </c>
      <c r="D1068" s="7" t="s">
        <v>166</v>
      </c>
      <c r="E1068" s="7" t="s">
        <v>167</v>
      </c>
      <c r="F1068" s="7" t="n">
        <v>2022</v>
      </c>
      <c r="G1068" s="7" t="s">
        <v>150</v>
      </c>
      <c r="H1068" s="7" t="s">
        <v>87</v>
      </c>
      <c r="I1068" s="7" t="n">
        <v>50.2</v>
      </c>
      <c r="J1068" s="7" t="s">
        <v>64</v>
      </c>
      <c r="K1068" s="7" t="s">
        <v>65</v>
      </c>
      <c r="L1068" s="7" t="s">
        <v>66</v>
      </c>
      <c r="M1068" s="7" t="n">
        <v>14.8</v>
      </c>
      <c r="N1068" s="7" t="n">
        <v>2549</v>
      </c>
    </row>
    <row r="1069" customFormat="false" ht="15" hidden="false" customHeight="false" outlineLevel="0" collapsed="false">
      <c r="A1069" s="7" t="s">
        <v>59</v>
      </c>
      <c r="B1069" s="7" t="s">
        <v>165</v>
      </c>
      <c r="C1069" s="7" t="s">
        <v>165</v>
      </c>
      <c r="D1069" s="7" t="s">
        <v>166</v>
      </c>
      <c r="E1069" s="7" t="s">
        <v>167</v>
      </c>
      <c r="F1069" s="7" t="n">
        <v>2022</v>
      </c>
      <c r="G1069" s="7" t="s">
        <v>150</v>
      </c>
      <c r="H1069" s="7" t="s">
        <v>86</v>
      </c>
      <c r="I1069" s="7" t="n">
        <v>50.2</v>
      </c>
      <c r="J1069" s="7" t="s">
        <v>64</v>
      </c>
      <c r="K1069" s="7" t="s">
        <v>65</v>
      </c>
      <c r="L1069" s="7" t="s">
        <v>66</v>
      </c>
      <c r="M1069" s="7" t="n">
        <v>45</v>
      </c>
      <c r="N1069" s="7" t="n">
        <v>2572</v>
      </c>
    </row>
    <row r="1070" customFormat="false" ht="15" hidden="false" customHeight="false" outlineLevel="0" collapsed="false">
      <c r="A1070" s="7" t="s">
        <v>59</v>
      </c>
      <c r="B1070" s="7" t="s">
        <v>165</v>
      </c>
      <c r="C1070" s="7" t="s">
        <v>165</v>
      </c>
      <c r="D1070" s="7" t="s">
        <v>166</v>
      </c>
      <c r="E1070" s="7" t="s">
        <v>167</v>
      </c>
      <c r="F1070" s="7" t="n">
        <v>2022</v>
      </c>
      <c r="G1070" s="7" t="s">
        <v>150</v>
      </c>
      <c r="H1070" s="7" t="s">
        <v>63</v>
      </c>
      <c r="I1070" s="7" t="n">
        <v>50.2</v>
      </c>
      <c r="J1070" s="7" t="s">
        <v>64</v>
      </c>
      <c r="K1070" s="7" t="s">
        <v>65</v>
      </c>
      <c r="L1070" s="7" t="s">
        <v>66</v>
      </c>
      <c r="M1070" s="7" t="n">
        <v>59.8</v>
      </c>
      <c r="N1070" s="7" t="n">
        <v>5121</v>
      </c>
    </row>
    <row r="1071" customFormat="false" ht="15" hidden="false" customHeight="false" outlineLevel="0" collapsed="false">
      <c r="A1071" s="7" t="s">
        <v>59</v>
      </c>
      <c r="B1071" s="7" t="s">
        <v>165</v>
      </c>
      <c r="C1071" s="7" t="s">
        <v>165</v>
      </c>
      <c r="D1071" s="7" t="s">
        <v>166</v>
      </c>
      <c r="E1071" s="7" t="s">
        <v>167</v>
      </c>
      <c r="F1071" s="7" t="n">
        <v>2022</v>
      </c>
      <c r="G1071" s="7" t="s">
        <v>150</v>
      </c>
      <c r="H1071" s="7" t="s">
        <v>78</v>
      </c>
      <c r="I1071" s="7" t="n">
        <v>50.2</v>
      </c>
      <c r="J1071" s="7" t="s">
        <v>64</v>
      </c>
      <c r="K1071" s="7" t="s">
        <v>79</v>
      </c>
      <c r="L1071" s="7" t="s">
        <v>66</v>
      </c>
      <c r="M1071" s="7" t="n">
        <v>58.7</v>
      </c>
      <c r="N1071" s="7" t="n">
        <v>5121</v>
      </c>
    </row>
    <row r="1072" customFormat="false" ht="15" hidden="false" customHeight="false" outlineLevel="0" collapsed="false">
      <c r="A1072" s="7" t="s">
        <v>59</v>
      </c>
      <c r="B1072" s="7" t="s">
        <v>165</v>
      </c>
      <c r="C1072" s="7" t="s">
        <v>165</v>
      </c>
      <c r="D1072" s="7" t="s">
        <v>166</v>
      </c>
      <c r="E1072" s="7" t="s">
        <v>167</v>
      </c>
      <c r="F1072" s="7" t="n">
        <v>2022</v>
      </c>
      <c r="G1072" s="7" t="s">
        <v>136</v>
      </c>
      <c r="H1072" s="7" t="s">
        <v>87</v>
      </c>
      <c r="I1072" s="7" t="n">
        <v>50.2</v>
      </c>
      <c r="J1072" s="7" t="s">
        <v>64</v>
      </c>
      <c r="K1072" s="7" t="s">
        <v>65</v>
      </c>
      <c r="L1072" s="7" t="s">
        <v>66</v>
      </c>
      <c r="M1072" s="7" t="n">
        <v>11.2</v>
      </c>
      <c r="N1072" s="7" t="n">
        <v>2549</v>
      </c>
    </row>
    <row r="1073" customFormat="false" ht="15" hidden="false" customHeight="false" outlineLevel="0" collapsed="false">
      <c r="A1073" s="7" t="s">
        <v>59</v>
      </c>
      <c r="B1073" s="7" t="s">
        <v>165</v>
      </c>
      <c r="C1073" s="7" t="s">
        <v>165</v>
      </c>
      <c r="D1073" s="7" t="s">
        <v>166</v>
      </c>
      <c r="E1073" s="7" t="s">
        <v>167</v>
      </c>
      <c r="F1073" s="7" t="n">
        <v>2022</v>
      </c>
      <c r="G1073" s="7" t="s">
        <v>136</v>
      </c>
      <c r="H1073" s="7" t="s">
        <v>86</v>
      </c>
      <c r="I1073" s="7" t="n">
        <v>50.2</v>
      </c>
      <c r="J1073" s="7" t="s">
        <v>64</v>
      </c>
      <c r="K1073" s="7" t="s">
        <v>65</v>
      </c>
      <c r="L1073" s="7" t="s">
        <v>66</v>
      </c>
      <c r="M1073" s="7" t="n">
        <v>42.3</v>
      </c>
      <c r="N1073" s="7" t="n">
        <v>2572</v>
      </c>
    </row>
    <row r="1074" customFormat="false" ht="15" hidden="false" customHeight="false" outlineLevel="0" collapsed="false">
      <c r="A1074" s="7" t="s">
        <v>59</v>
      </c>
      <c r="B1074" s="7" t="s">
        <v>165</v>
      </c>
      <c r="C1074" s="7" t="s">
        <v>165</v>
      </c>
      <c r="D1074" s="7" t="s">
        <v>166</v>
      </c>
      <c r="E1074" s="7" t="s">
        <v>167</v>
      </c>
      <c r="F1074" s="7" t="n">
        <v>2022</v>
      </c>
      <c r="G1074" s="7" t="s">
        <v>136</v>
      </c>
      <c r="H1074" s="7" t="s">
        <v>63</v>
      </c>
      <c r="I1074" s="7" t="n">
        <v>50.2</v>
      </c>
      <c r="J1074" s="7" t="s">
        <v>64</v>
      </c>
      <c r="K1074" s="7" t="s">
        <v>65</v>
      </c>
      <c r="L1074" s="7" t="s">
        <v>66</v>
      </c>
      <c r="M1074" s="7" t="n">
        <v>53.4</v>
      </c>
      <c r="N1074" s="7" t="n">
        <v>5121</v>
      </c>
    </row>
    <row r="1075" customFormat="false" ht="15" hidden="false" customHeight="false" outlineLevel="0" collapsed="false">
      <c r="A1075" s="7" t="s">
        <v>59</v>
      </c>
      <c r="B1075" s="7" t="s">
        <v>165</v>
      </c>
      <c r="C1075" s="7" t="s">
        <v>165</v>
      </c>
      <c r="D1075" s="7" t="s">
        <v>166</v>
      </c>
      <c r="E1075" s="7" t="s">
        <v>167</v>
      </c>
      <c r="F1075" s="7" t="n">
        <v>2022</v>
      </c>
      <c r="G1075" s="7" t="s">
        <v>136</v>
      </c>
      <c r="H1075" s="7" t="s">
        <v>78</v>
      </c>
      <c r="I1075" s="7" t="n">
        <v>50.2</v>
      </c>
      <c r="J1075" s="7" t="s">
        <v>64</v>
      </c>
      <c r="K1075" s="7" t="s">
        <v>79</v>
      </c>
      <c r="L1075" s="7" t="s">
        <v>66</v>
      </c>
      <c r="M1075" s="7" t="n">
        <v>51.9</v>
      </c>
      <c r="N1075" s="7" t="n">
        <v>5121</v>
      </c>
    </row>
    <row r="1076" customFormat="false" ht="15" hidden="false" customHeight="false" outlineLevel="0" collapsed="false">
      <c r="A1076" s="7" t="s">
        <v>59</v>
      </c>
      <c r="B1076" s="7" t="s">
        <v>165</v>
      </c>
      <c r="C1076" s="7" t="s">
        <v>165</v>
      </c>
      <c r="D1076" s="7" t="s">
        <v>166</v>
      </c>
      <c r="E1076" s="7" t="s">
        <v>167</v>
      </c>
      <c r="F1076" s="7" t="n">
        <v>2022</v>
      </c>
      <c r="G1076" s="7" t="s">
        <v>137</v>
      </c>
      <c r="H1076" s="7" t="s">
        <v>87</v>
      </c>
      <c r="I1076" s="7" t="n">
        <v>50.2</v>
      </c>
      <c r="J1076" s="7" t="s">
        <v>64</v>
      </c>
      <c r="K1076" s="7" t="s">
        <v>65</v>
      </c>
      <c r="L1076" s="7" t="s">
        <v>66</v>
      </c>
      <c r="M1076" s="7" t="n">
        <v>15</v>
      </c>
      <c r="N1076" s="7" t="n">
        <v>2549</v>
      </c>
    </row>
    <row r="1077" customFormat="false" ht="15" hidden="false" customHeight="false" outlineLevel="0" collapsed="false">
      <c r="A1077" s="7" t="s">
        <v>59</v>
      </c>
      <c r="B1077" s="7" t="s">
        <v>165</v>
      </c>
      <c r="C1077" s="7" t="s">
        <v>165</v>
      </c>
      <c r="D1077" s="7" t="s">
        <v>166</v>
      </c>
      <c r="E1077" s="7" t="s">
        <v>167</v>
      </c>
      <c r="F1077" s="7" t="n">
        <v>2022</v>
      </c>
      <c r="G1077" s="7" t="s">
        <v>137</v>
      </c>
      <c r="H1077" s="7" t="s">
        <v>86</v>
      </c>
      <c r="I1077" s="7" t="n">
        <v>50.2</v>
      </c>
      <c r="J1077" s="7" t="s">
        <v>64</v>
      </c>
      <c r="K1077" s="7" t="s">
        <v>65</v>
      </c>
      <c r="L1077" s="7" t="s">
        <v>66</v>
      </c>
      <c r="M1077" s="7" t="n">
        <v>40.5</v>
      </c>
      <c r="N1077" s="7" t="n">
        <v>2572</v>
      </c>
    </row>
    <row r="1078" customFormat="false" ht="15" hidden="false" customHeight="false" outlineLevel="0" collapsed="false">
      <c r="A1078" s="7" t="s">
        <v>59</v>
      </c>
      <c r="B1078" s="7" t="s">
        <v>165</v>
      </c>
      <c r="C1078" s="7" t="s">
        <v>165</v>
      </c>
      <c r="D1078" s="7" t="s">
        <v>166</v>
      </c>
      <c r="E1078" s="7" t="s">
        <v>167</v>
      </c>
      <c r="F1078" s="7" t="n">
        <v>2022</v>
      </c>
      <c r="G1078" s="7" t="s">
        <v>137</v>
      </c>
      <c r="H1078" s="7" t="s">
        <v>63</v>
      </c>
      <c r="I1078" s="7" t="n">
        <v>50.2</v>
      </c>
      <c r="J1078" s="7" t="s">
        <v>64</v>
      </c>
      <c r="K1078" s="7" t="s">
        <v>65</v>
      </c>
      <c r="L1078" s="7" t="s">
        <v>66</v>
      </c>
      <c r="M1078" s="7" t="n">
        <v>55.4</v>
      </c>
      <c r="N1078" s="7" t="n">
        <v>5121</v>
      </c>
    </row>
    <row r="1079" customFormat="false" ht="15" hidden="false" customHeight="false" outlineLevel="0" collapsed="false">
      <c r="A1079" s="7" t="s">
        <v>59</v>
      </c>
      <c r="B1079" s="7" t="s">
        <v>165</v>
      </c>
      <c r="C1079" s="7" t="s">
        <v>165</v>
      </c>
      <c r="D1079" s="7" t="s">
        <v>166</v>
      </c>
      <c r="E1079" s="7" t="s">
        <v>167</v>
      </c>
      <c r="F1079" s="7" t="n">
        <v>2022</v>
      </c>
      <c r="G1079" s="7" t="s">
        <v>137</v>
      </c>
      <c r="H1079" s="7" t="s">
        <v>78</v>
      </c>
      <c r="I1079" s="7" t="n">
        <v>50.2</v>
      </c>
      <c r="J1079" s="7" t="s">
        <v>64</v>
      </c>
      <c r="K1079" s="7" t="s">
        <v>79</v>
      </c>
      <c r="L1079" s="7" t="s">
        <v>66</v>
      </c>
      <c r="M1079" s="7" t="n">
        <v>54.6</v>
      </c>
      <c r="N1079" s="7" t="n">
        <v>5121</v>
      </c>
    </row>
    <row r="1080" customFormat="false" ht="15" hidden="false" customHeight="false" outlineLevel="0" collapsed="false">
      <c r="A1080" s="7" t="s">
        <v>59</v>
      </c>
      <c r="B1080" s="7" t="s">
        <v>165</v>
      </c>
      <c r="C1080" s="7" t="s">
        <v>165</v>
      </c>
      <c r="D1080" s="7" t="s">
        <v>166</v>
      </c>
      <c r="E1080" s="7" t="s">
        <v>167</v>
      </c>
      <c r="F1080" s="7" t="n">
        <v>2022</v>
      </c>
      <c r="G1080" s="7" t="s">
        <v>169</v>
      </c>
      <c r="H1080" s="7" t="s">
        <v>87</v>
      </c>
      <c r="I1080" s="7" t="n">
        <v>50.2</v>
      </c>
      <c r="J1080" s="7" t="s">
        <v>64</v>
      </c>
      <c r="K1080" s="7" t="s">
        <v>65</v>
      </c>
      <c r="L1080" s="7" t="s">
        <v>66</v>
      </c>
      <c r="M1080" s="7" t="n">
        <v>10.8</v>
      </c>
      <c r="N1080" s="7" t="n">
        <v>2549</v>
      </c>
    </row>
    <row r="1081" customFormat="false" ht="15" hidden="false" customHeight="false" outlineLevel="0" collapsed="false">
      <c r="A1081" s="7" t="s">
        <v>59</v>
      </c>
      <c r="B1081" s="7" t="s">
        <v>165</v>
      </c>
      <c r="C1081" s="7" t="s">
        <v>165</v>
      </c>
      <c r="D1081" s="7" t="s">
        <v>166</v>
      </c>
      <c r="E1081" s="7" t="s">
        <v>167</v>
      </c>
      <c r="F1081" s="7" t="n">
        <v>2022</v>
      </c>
      <c r="G1081" s="7" t="s">
        <v>169</v>
      </c>
      <c r="H1081" s="7" t="s">
        <v>86</v>
      </c>
      <c r="I1081" s="7" t="n">
        <v>50.2</v>
      </c>
      <c r="J1081" s="7" t="s">
        <v>64</v>
      </c>
      <c r="K1081" s="7" t="s">
        <v>65</v>
      </c>
      <c r="L1081" s="7" t="s">
        <v>66</v>
      </c>
      <c r="M1081" s="7" t="n">
        <v>32.3</v>
      </c>
      <c r="N1081" s="7" t="n">
        <v>2572</v>
      </c>
    </row>
    <row r="1082" customFormat="false" ht="15" hidden="false" customHeight="false" outlineLevel="0" collapsed="false">
      <c r="A1082" s="7" t="s">
        <v>59</v>
      </c>
      <c r="B1082" s="7" t="s">
        <v>165</v>
      </c>
      <c r="C1082" s="7" t="s">
        <v>165</v>
      </c>
      <c r="D1082" s="7" t="s">
        <v>166</v>
      </c>
      <c r="E1082" s="7" t="s">
        <v>167</v>
      </c>
      <c r="F1082" s="7" t="n">
        <v>2022</v>
      </c>
      <c r="G1082" s="7" t="s">
        <v>169</v>
      </c>
      <c r="H1082" s="7" t="s">
        <v>63</v>
      </c>
      <c r="I1082" s="7" t="n">
        <v>50.2</v>
      </c>
      <c r="J1082" s="7" t="s">
        <v>64</v>
      </c>
      <c r="K1082" s="7" t="s">
        <v>65</v>
      </c>
      <c r="L1082" s="7" t="s">
        <v>66</v>
      </c>
      <c r="M1082" s="7" t="n">
        <v>43</v>
      </c>
      <c r="N1082" s="7" t="n">
        <v>5121</v>
      </c>
    </row>
    <row r="1083" customFormat="false" ht="15" hidden="false" customHeight="false" outlineLevel="0" collapsed="false">
      <c r="A1083" s="7" t="s">
        <v>59</v>
      </c>
      <c r="B1083" s="7" t="s">
        <v>165</v>
      </c>
      <c r="C1083" s="7" t="s">
        <v>165</v>
      </c>
      <c r="D1083" s="7" t="s">
        <v>166</v>
      </c>
      <c r="E1083" s="7" t="s">
        <v>167</v>
      </c>
      <c r="F1083" s="7" t="n">
        <v>2022</v>
      </c>
      <c r="G1083" s="7" t="s">
        <v>169</v>
      </c>
      <c r="H1083" s="7" t="s">
        <v>78</v>
      </c>
      <c r="I1083" s="7" t="n">
        <v>50.2</v>
      </c>
      <c r="J1083" s="7" t="s">
        <v>64</v>
      </c>
      <c r="K1083" s="7" t="s">
        <v>79</v>
      </c>
      <c r="L1083" s="7" t="s">
        <v>66</v>
      </c>
      <c r="M1083" s="7" t="n">
        <v>41.5</v>
      </c>
      <c r="N1083" s="7" t="n">
        <v>5121</v>
      </c>
    </row>
    <row r="1084" customFormat="false" ht="15" hidden="false" customHeight="false" outlineLevel="0" collapsed="false">
      <c r="A1084" s="7" t="s">
        <v>59</v>
      </c>
      <c r="B1084" s="7" t="s">
        <v>165</v>
      </c>
      <c r="C1084" s="7" t="s">
        <v>165</v>
      </c>
      <c r="D1084" s="7" t="s">
        <v>166</v>
      </c>
      <c r="E1084" s="7" t="s">
        <v>167</v>
      </c>
      <c r="F1084" s="7" t="n">
        <v>2022</v>
      </c>
      <c r="G1084" s="7" t="s">
        <v>68</v>
      </c>
      <c r="H1084" s="7" t="s">
        <v>87</v>
      </c>
      <c r="I1084" s="7" t="n">
        <v>50.2</v>
      </c>
      <c r="J1084" s="7" t="s">
        <v>64</v>
      </c>
      <c r="K1084" s="7" t="s">
        <v>65</v>
      </c>
      <c r="L1084" s="7" t="s">
        <v>66</v>
      </c>
      <c r="M1084" s="7" t="n">
        <v>12.7</v>
      </c>
      <c r="N1084" s="7" t="n">
        <v>2549</v>
      </c>
    </row>
    <row r="1085" customFormat="false" ht="15" hidden="false" customHeight="false" outlineLevel="0" collapsed="false">
      <c r="A1085" s="7" t="s">
        <v>59</v>
      </c>
      <c r="B1085" s="7" t="s">
        <v>165</v>
      </c>
      <c r="C1085" s="7" t="s">
        <v>165</v>
      </c>
      <c r="D1085" s="7" t="s">
        <v>166</v>
      </c>
      <c r="E1085" s="7" t="s">
        <v>167</v>
      </c>
      <c r="F1085" s="7" t="n">
        <v>2022</v>
      </c>
      <c r="G1085" s="7" t="s">
        <v>68</v>
      </c>
      <c r="H1085" s="7" t="s">
        <v>86</v>
      </c>
      <c r="I1085" s="7" t="n">
        <v>50.2</v>
      </c>
      <c r="J1085" s="7" t="s">
        <v>64</v>
      </c>
      <c r="K1085" s="7" t="s">
        <v>65</v>
      </c>
      <c r="L1085" s="7" t="s">
        <v>66</v>
      </c>
      <c r="M1085" s="7" t="n">
        <v>38.7</v>
      </c>
      <c r="N1085" s="7" t="n">
        <v>2572</v>
      </c>
    </row>
    <row r="1086" customFormat="false" ht="15" hidden="false" customHeight="false" outlineLevel="0" collapsed="false">
      <c r="A1086" s="7" t="s">
        <v>59</v>
      </c>
      <c r="B1086" s="7" t="s">
        <v>165</v>
      </c>
      <c r="C1086" s="7" t="s">
        <v>165</v>
      </c>
      <c r="D1086" s="7" t="s">
        <v>166</v>
      </c>
      <c r="E1086" s="7" t="s">
        <v>167</v>
      </c>
      <c r="F1086" s="7" t="n">
        <v>2022</v>
      </c>
      <c r="G1086" s="7" t="s">
        <v>68</v>
      </c>
      <c r="H1086" s="7" t="s">
        <v>63</v>
      </c>
      <c r="I1086" s="7" t="n">
        <v>50.2</v>
      </c>
      <c r="J1086" s="7" t="s">
        <v>64</v>
      </c>
      <c r="K1086" s="7" t="s">
        <v>65</v>
      </c>
      <c r="L1086" s="7" t="s">
        <v>66</v>
      </c>
      <c r="M1086" s="7" t="n">
        <v>51.4</v>
      </c>
      <c r="N1086" s="7" t="n">
        <v>5121</v>
      </c>
    </row>
    <row r="1087" customFormat="false" ht="15" hidden="false" customHeight="false" outlineLevel="0" collapsed="false">
      <c r="A1087" s="7" t="s">
        <v>59</v>
      </c>
      <c r="B1087" s="7" t="s">
        <v>165</v>
      </c>
      <c r="C1087" s="7" t="s">
        <v>165</v>
      </c>
      <c r="D1087" s="7" t="s">
        <v>166</v>
      </c>
      <c r="E1087" s="7" t="s">
        <v>167</v>
      </c>
      <c r="F1087" s="7" t="n">
        <v>2022</v>
      </c>
      <c r="G1087" s="7" t="s">
        <v>68</v>
      </c>
      <c r="H1087" s="7" t="s">
        <v>78</v>
      </c>
      <c r="I1087" s="7" t="n">
        <v>50.2</v>
      </c>
      <c r="J1087" s="7" t="s">
        <v>64</v>
      </c>
      <c r="K1087" s="7" t="s">
        <v>79</v>
      </c>
      <c r="L1087" s="7" t="s">
        <v>66</v>
      </c>
      <c r="M1087" s="7" t="n">
        <v>47.3</v>
      </c>
      <c r="N1087" s="7" t="n">
        <v>5121</v>
      </c>
    </row>
    <row r="1088" customFormat="false" ht="15" hidden="false" customHeight="false" outlineLevel="0" collapsed="false">
      <c r="A1088" s="7" t="s">
        <v>59</v>
      </c>
      <c r="B1088" s="7" t="s">
        <v>165</v>
      </c>
      <c r="C1088" s="7" t="s">
        <v>165</v>
      </c>
      <c r="D1088" s="7" t="s">
        <v>166</v>
      </c>
      <c r="E1088" s="7" t="s">
        <v>167</v>
      </c>
      <c r="F1088" s="7" t="n">
        <v>2022</v>
      </c>
      <c r="G1088" s="7" t="s">
        <v>160</v>
      </c>
      <c r="H1088" s="7" t="s">
        <v>87</v>
      </c>
      <c r="I1088" s="7" t="n">
        <v>34.4</v>
      </c>
      <c r="J1088" s="7" t="s">
        <v>64</v>
      </c>
      <c r="K1088" s="7" t="s">
        <v>133</v>
      </c>
      <c r="L1088" s="7" t="s">
        <v>91</v>
      </c>
      <c r="M1088" s="7" t="n">
        <v>14</v>
      </c>
      <c r="N1088" s="7" t="n">
        <v>3072</v>
      </c>
    </row>
    <row r="1089" customFormat="false" ht="15" hidden="false" customHeight="false" outlineLevel="0" collapsed="false">
      <c r="A1089" s="7" t="s">
        <v>59</v>
      </c>
      <c r="B1089" s="7" t="s">
        <v>165</v>
      </c>
      <c r="C1089" s="7" t="s">
        <v>165</v>
      </c>
      <c r="D1089" s="7" t="s">
        <v>166</v>
      </c>
      <c r="E1089" s="7" t="s">
        <v>167</v>
      </c>
      <c r="F1089" s="7" t="n">
        <v>2022</v>
      </c>
      <c r="G1089" s="7" t="s">
        <v>160</v>
      </c>
      <c r="H1089" s="7" t="s">
        <v>86</v>
      </c>
      <c r="I1089" s="7" t="n">
        <v>34.4</v>
      </c>
      <c r="J1089" s="7" t="s">
        <v>64</v>
      </c>
      <c r="K1089" s="7" t="s">
        <v>133</v>
      </c>
      <c r="L1089" s="7" t="s">
        <v>91</v>
      </c>
      <c r="M1089" s="7" t="n">
        <v>16.3</v>
      </c>
      <c r="N1089" s="7" t="n">
        <v>1608</v>
      </c>
    </row>
    <row r="1090" customFormat="false" ht="15" hidden="false" customHeight="false" outlineLevel="0" collapsed="false">
      <c r="A1090" s="7" t="s">
        <v>59</v>
      </c>
      <c r="B1090" s="7" t="s">
        <v>165</v>
      </c>
      <c r="C1090" s="7" t="s">
        <v>165</v>
      </c>
      <c r="D1090" s="7" t="s">
        <v>166</v>
      </c>
      <c r="E1090" s="7" t="s">
        <v>167</v>
      </c>
      <c r="F1090" s="7" t="n">
        <v>2022</v>
      </c>
      <c r="G1090" s="7" t="s">
        <v>160</v>
      </c>
      <c r="H1090" s="7" t="s">
        <v>63</v>
      </c>
      <c r="I1090" s="7" t="n">
        <v>34.4</v>
      </c>
      <c r="J1090" s="7" t="s">
        <v>64</v>
      </c>
      <c r="K1090" s="7" t="s">
        <v>133</v>
      </c>
      <c r="L1090" s="7" t="s">
        <v>91</v>
      </c>
      <c r="M1090" s="7" t="n">
        <v>30.3</v>
      </c>
      <c r="N1090" s="7" t="n">
        <v>4680</v>
      </c>
    </row>
    <row r="1091" customFormat="false" ht="15" hidden="false" customHeight="false" outlineLevel="0" collapsed="false">
      <c r="A1091" s="7" t="s">
        <v>59</v>
      </c>
      <c r="B1091" s="7" t="s">
        <v>165</v>
      </c>
      <c r="C1091" s="7" t="s">
        <v>165</v>
      </c>
      <c r="D1091" s="7" t="s">
        <v>166</v>
      </c>
      <c r="E1091" s="7" t="s">
        <v>167</v>
      </c>
      <c r="F1091" s="7" t="n">
        <v>2022</v>
      </c>
      <c r="G1091" s="7" t="s">
        <v>160</v>
      </c>
      <c r="H1091" s="7" t="s">
        <v>78</v>
      </c>
      <c r="I1091" s="7" t="n">
        <v>34.4</v>
      </c>
      <c r="J1091" s="7" t="s">
        <v>64</v>
      </c>
      <c r="K1091" s="7" t="s">
        <v>79</v>
      </c>
      <c r="L1091" s="7" t="s">
        <v>91</v>
      </c>
      <c r="M1091" s="7" t="n">
        <v>28.7</v>
      </c>
      <c r="N1091" s="7" t="n">
        <v>4680</v>
      </c>
    </row>
    <row r="1092" customFormat="false" ht="15" hidden="false" customHeight="false" outlineLevel="0" collapsed="false">
      <c r="A1092" s="7" t="s">
        <v>59</v>
      </c>
      <c r="B1092" s="7" t="s">
        <v>165</v>
      </c>
      <c r="C1092" s="7" t="s">
        <v>165</v>
      </c>
      <c r="D1092" s="7" t="s">
        <v>166</v>
      </c>
      <c r="E1092" s="7" t="s">
        <v>167</v>
      </c>
      <c r="F1092" s="7" t="n">
        <v>2022</v>
      </c>
      <c r="G1092" s="7" t="s">
        <v>158</v>
      </c>
      <c r="H1092" s="7" t="s">
        <v>87</v>
      </c>
      <c r="I1092" s="7" t="n">
        <v>50.2</v>
      </c>
      <c r="J1092" s="7" t="s">
        <v>64</v>
      </c>
      <c r="K1092" s="7" t="s">
        <v>65</v>
      </c>
      <c r="L1092" s="7" t="s">
        <v>66</v>
      </c>
      <c r="M1092" s="7" t="n">
        <v>11.1</v>
      </c>
      <c r="N1092" s="7" t="n">
        <v>2549</v>
      </c>
    </row>
    <row r="1093" customFormat="false" ht="15" hidden="false" customHeight="false" outlineLevel="0" collapsed="false">
      <c r="A1093" s="7" t="s">
        <v>59</v>
      </c>
      <c r="B1093" s="7" t="s">
        <v>165</v>
      </c>
      <c r="C1093" s="7" t="s">
        <v>165</v>
      </c>
      <c r="D1093" s="7" t="s">
        <v>166</v>
      </c>
      <c r="E1093" s="7" t="s">
        <v>167</v>
      </c>
      <c r="F1093" s="7" t="n">
        <v>2022</v>
      </c>
      <c r="G1093" s="7" t="s">
        <v>158</v>
      </c>
      <c r="H1093" s="7" t="s">
        <v>86</v>
      </c>
      <c r="I1093" s="7" t="n">
        <v>50.2</v>
      </c>
      <c r="J1093" s="7" t="s">
        <v>64</v>
      </c>
      <c r="K1093" s="7" t="s">
        <v>65</v>
      </c>
      <c r="L1093" s="7" t="s">
        <v>66</v>
      </c>
      <c r="M1093" s="7" t="n">
        <v>36.4</v>
      </c>
      <c r="N1093" s="7" t="n">
        <v>2572</v>
      </c>
    </row>
    <row r="1094" customFormat="false" ht="15" hidden="false" customHeight="false" outlineLevel="0" collapsed="false">
      <c r="A1094" s="7" t="s">
        <v>59</v>
      </c>
      <c r="B1094" s="7" t="s">
        <v>165</v>
      </c>
      <c r="C1094" s="7" t="s">
        <v>165</v>
      </c>
      <c r="D1094" s="7" t="s">
        <v>166</v>
      </c>
      <c r="E1094" s="7" t="s">
        <v>167</v>
      </c>
      <c r="F1094" s="7" t="n">
        <v>2022</v>
      </c>
      <c r="G1094" s="7" t="s">
        <v>158</v>
      </c>
      <c r="H1094" s="7" t="s">
        <v>63</v>
      </c>
      <c r="I1094" s="7" t="n">
        <v>50.2</v>
      </c>
      <c r="J1094" s="7" t="s">
        <v>64</v>
      </c>
      <c r="K1094" s="7" t="s">
        <v>65</v>
      </c>
      <c r="L1094" s="7" t="s">
        <v>66</v>
      </c>
      <c r="M1094" s="7" t="n">
        <v>47.5</v>
      </c>
      <c r="N1094" s="7" t="n">
        <v>5121</v>
      </c>
    </row>
    <row r="1095" customFormat="false" ht="15" hidden="false" customHeight="false" outlineLevel="0" collapsed="false">
      <c r="A1095" s="7" t="s">
        <v>59</v>
      </c>
      <c r="B1095" s="7" t="s">
        <v>165</v>
      </c>
      <c r="C1095" s="7" t="s">
        <v>165</v>
      </c>
      <c r="D1095" s="7" t="s">
        <v>166</v>
      </c>
      <c r="E1095" s="7" t="s">
        <v>167</v>
      </c>
      <c r="F1095" s="7" t="n">
        <v>2022</v>
      </c>
      <c r="G1095" s="7" t="s">
        <v>158</v>
      </c>
      <c r="H1095" s="7" t="s">
        <v>78</v>
      </c>
      <c r="I1095" s="7" t="n">
        <v>50.2</v>
      </c>
      <c r="J1095" s="7" t="s">
        <v>64</v>
      </c>
      <c r="K1095" s="7" t="s">
        <v>79</v>
      </c>
      <c r="L1095" s="7" t="s">
        <v>66</v>
      </c>
      <c r="M1095" s="7" t="n">
        <v>42.7</v>
      </c>
      <c r="N1095" s="7" t="n">
        <v>5121</v>
      </c>
    </row>
    <row r="1096" customFormat="false" ht="15" hidden="false" customHeight="false" outlineLevel="0" collapsed="false">
      <c r="A1096" s="7" t="s">
        <v>59</v>
      </c>
      <c r="B1096" s="7" t="s">
        <v>165</v>
      </c>
      <c r="C1096" s="7" t="s">
        <v>165</v>
      </c>
      <c r="D1096" s="7" t="s">
        <v>166</v>
      </c>
      <c r="E1096" s="7" t="s">
        <v>167</v>
      </c>
      <c r="F1096" s="7" t="n">
        <v>2022</v>
      </c>
      <c r="G1096" s="7" t="s">
        <v>106</v>
      </c>
      <c r="H1096" s="7" t="s">
        <v>63</v>
      </c>
      <c r="J1096" s="7" t="s">
        <v>64</v>
      </c>
      <c r="L1096" s="7" t="s">
        <v>71</v>
      </c>
      <c r="M1096" s="7" t="n">
        <v>58.3</v>
      </c>
      <c r="N1096" s="7" t="n">
        <v>10948</v>
      </c>
    </row>
    <row r="1097" customFormat="false" ht="15" hidden="false" customHeight="false" outlineLevel="0" collapsed="false">
      <c r="A1097" s="7" t="s">
        <v>59</v>
      </c>
      <c r="B1097" s="7" t="s">
        <v>165</v>
      </c>
      <c r="C1097" s="7" t="s">
        <v>165</v>
      </c>
      <c r="D1097" s="7" t="s">
        <v>166</v>
      </c>
      <c r="E1097" s="7" t="s">
        <v>167</v>
      </c>
      <c r="F1097" s="7" t="n">
        <v>2022</v>
      </c>
      <c r="G1097" s="7" t="s">
        <v>138</v>
      </c>
      <c r="H1097" s="7" t="s">
        <v>87</v>
      </c>
      <c r="I1097" s="7" t="n">
        <v>50.2</v>
      </c>
      <c r="J1097" s="7" t="s">
        <v>64</v>
      </c>
      <c r="K1097" s="7" t="s">
        <v>65</v>
      </c>
      <c r="L1097" s="7" t="s">
        <v>66</v>
      </c>
      <c r="M1097" s="7" t="n">
        <v>15</v>
      </c>
      <c r="N1097" s="7" t="n">
        <v>2549</v>
      </c>
    </row>
    <row r="1098" customFormat="false" ht="15" hidden="false" customHeight="false" outlineLevel="0" collapsed="false">
      <c r="A1098" s="7" t="s">
        <v>59</v>
      </c>
      <c r="B1098" s="7" t="s">
        <v>165</v>
      </c>
      <c r="C1098" s="7" t="s">
        <v>165</v>
      </c>
      <c r="D1098" s="7" t="s">
        <v>166</v>
      </c>
      <c r="E1098" s="7" t="s">
        <v>167</v>
      </c>
      <c r="F1098" s="7" t="n">
        <v>2022</v>
      </c>
      <c r="G1098" s="7" t="s">
        <v>138</v>
      </c>
      <c r="H1098" s="7" t="s">
        <v>86</v>
      </c>
      <c r="I1098" s="7" t="n">
        <v>50.2</v>
      </c>
      <c r="J1098" s="7" t="s">
        <v>64</v>
      </c>
      <c r="K1098" s="7" t="s">
        <v>65</v>
      </c>
      <c r="L1098" s="7" t="s">
        <v>66</v>
      </c>
      <c r="M1098" s="7" t="n">
        <v>48</v>
      </c>
      <c r="N1098" s="7" t="n">
        <v>2572</v>
      </c>
    </row>
    <row r="1099" customFormat="false" ht="15" hidden="false" customHeight="false" outlineLevel="0" collapsed="false">
      <c r="A1099" s="7" t="s">
        <v>59</v>
      </c>
      <c r="B1099" s="7" t="s">
        <v>165</v>
      </c>
      <c r="C1099" s="7" t="s">
        <v>165</v>
      </c>
      <c r="D1099" s="7" t="s">
        <v>166</v>
      </c>
      <c r="E1099" s="7" t="s">
        <v>167</v>
      </c>
      <c r="F1099" s="7" t="n">
        <v>2022</v>
      </c>
      <c r="G1099" s="7" t="s">
        <v>138</v>
      </c>
      <c r="H1099" s="7" t="s">
        <v>63</v>
      </c>
      <c r="I1099" s="7" t="n">
        <v>50.2</v>
      </c>
      <c r="J1099" s="7" t="s">
        <v>64</v>
      </c>
      <c r="K1099" s="7" t="s">
        <v>65</v>
      </c>
      <c r="L1099" s="7" t="s">
        <v>66</v>
      </c>
      <c r="M1099" s="7" t="n">
        <v>63</v>
      </c>
      <c r="N1099" s="7" t="n">
        <v>5121</v>
      </c>
    </row>
    <row r="1100" customFormat="false" ht="15" hidden="false" customHeight="false" outlineLevel="0" collapsed="false">
      <c r="A1100" s="7" t="s">
        <v>59</v>
      </c>
      <c r="B1100" s="7" t="s">
        <v>165</v>
      </c>
      <c r="C1100" s="7" t="s">
        <v>165</v>
      </c>
      <c r="D1100" s="7" t="s">
        <v>166</v>
      </c>
      <c r="E1100" s="7" t="s">
        <v>167</v>
      </c>
      <c r="F1100" s="7" t="n">
        <v>2022</v>
      </c>
      <c r="G1100" s="7" t="s">
        <v>138</v>
      </c>
      <c r="H1100" s="7" t="s">
        <v>78</v>
      </c>
      <c r="I1100" s="7" t="n">
        <v>50.2</v>
      </c>
      <c r="J1100" s="7" t="s">
        <v>64</v>
      </c>
      <c r="K1100" s="7" t="s">
        <v>79</v>
      </c>
      <c r="L1100" s="7" t="s">
        <v>66</v>
      </c>
      <c r="M1100" s="7" t="n">
        <v>62.2</v>
      </c>
      <c r="N1100" s="7" t="n">
        <v>5121</v>
      </c>
    </row>
    <row r="1101" customFormat="false" ht="15" hidden="false" customHeight="false" outlineLevel="0" collapsed="false">
      <c r="A1101" s="7" t="s">
        <v>59</v>
      </c>
      <c r="B1101" s="7" t="s">
        <v>165</v>
      </c>
      <c r="C1101" s="7" t="s">
        <v>165</v>
      </c>
      <c r="D1101" s="7" t="s">
        <v>166</v>
      </c>
      <c r="E1101" s="7" t="s">
        <v>167</v>
      </c>
      <c r="F1101" s="7" t="n">
        <v>2022</v>
      </c>
      <c r="G1101" s="7" t="s">
        <v>139</v>
      </c>
      <c r="H1101" s="7" t="s">
        <v>87</v>
      </c>
      <c r="I1101" s="7" t="n">
        <v>50.2</v>
      </c>
      <c r="J1101" s="7" t="s">
        <v>64</v>
      </c>
      <c r="K1101" s="7" t="s">
        <v>65</v>
      </c>
      <c r="L1101" s="7" t="s">
        <v>66</v>
      </c>
      <c r="M1101" s="7" t="n">
        <v>14.1</v>
      </c>
      <c r="N1101" s="7" t="n">
        <v>2549</v>
      </c>
    </row>
    <row r="1102" customFormat="false" ht="15" hidden="false" customHeight="false" outlineLevel="0" collapsed="false">
      <c r="A1102" s="7" t="s">
        <v>59</v>
      </c>
      <c r="B1102" s="7" t="s">
        <v>165</v>
      </c>
      <c r="C1102" s="7" t="s">
        <v>165</v>
      </c>
      <c r="D1102" s="7" t="s">
        <v>166</v>
      </c>
      <c r="E1102" s="7" t="s">
        <v>167</v>
      </c>
      <c r="F1102" s="7" t="n">
        <v>2022</v>
      </c>
      <c r="G1102" s="7" t="s">
        <v>139</v>
      </c>
      <c r="H1102" s="7" t="s">
        <v>86</v>
      </c>
      <c r="I1102" s="7" t="n">
        <v>50.2</v>
      </c>
      <c r="J1102" s="7" t="s">
        <v>64</v>
      </c>
      <c r="K1102" s="7" t="s">
        <v>65</v>
      </c>
      <c r="L1102" s="7" t="s">
        <v>66</v>
      </c>
      <c r="M1102" s="7" t="n">
        <v>45.5</v>
      </c>
      <c r="N1102" s="7" t="n">
        <v>2572</v>
      </c>
    </row>
    <row r="1103" customFormat="false" ht="15" hidden="false" customHeight="false" outlineLevel="0" collapsed="false">
      <c r="A1103" s="7" t="s">
        <v>59</v>
      </c>
      <c r="B1103" s="7" t="s">
        <v>165</v>
      </c>
      <c r="C1103" s="7" t="s">
        <v>165</v>
      </c>
      <c r="D1103" s="7" t="s">
        <v>166</v>
      </c>
      <c r="E1103" s="7" t="s">
        <v>167</v>
      </c>
      <c r="F1103" s="7" t="n">
        <v>2022</v>
      </c>
      <c r="G1103" s="7" t="s">
        <v>139</v>
      </c>
      <c r="H1103" s="7" t="s">
        <v>63</v>
      </c>
      <c r="I1103" s="7" t="n">
        <v>50.2</v>
      </c>
      <c r="J1103" s="7" t="s">
        <v>64</v>
      </c>
      <c r="K1103" s="7" t="s">
        <v>65</v>
      </c>
      <c r="L1103" s="7" t="s">
        <v>66</v>
      </c>
      <c r="M1103" s="7" t="n">
        <v>59.6</v>
      </c>
      <c r="N1103" s="7" t="n">
        <v>5121</v>
      </c>
    </row>
    <row r="1104" customFormat="false" ht="15" hidden="false" customHeight="false" outlineLevel="0" collapsed="false">
      <c r="A1104" s="7" t="s">
        <v>59</v>
      </c>
      <c r="B1104" s="7" t="s">
        <v>165</v>
      </c>
      <c r="C1104" s="7" t="s">
        <v>165</v>
      </c>
      <c r="D1104" s="7" t="s">
        <v>166</v>
      </c>
      <c r="E1104" s="7" t="s">
        <v>167</v>
      </c>
      <c r="F1104" s="7" t="n">
        <v>2022</v>
      </c>
      <c r="G1104" s="7" t="s">
        <v>139</v>
      </c>
      <c r="H1104" s="7" t="s">
        <v>78</v>
      </c>
      <c r="I1104" s="7" t="n">
        <v>50.2</v>
      </c>
      <c r="J1104" s="7" t="s">
        <v>64</v>
      </c>
      <c r="K1104" s="7" t="s">
        <v>79</v>
      </c>
      <c r="L1104" s="7" t="s">
        <v>66</v>
      </c>
      <c r="M1104" s="7" t="n">
        <v>58.6</v>
      </c>
      <c r="N1104" s="7" t="n">
        <v>5121</v>
      </c>
    </row>
    <row r="1105" customFormat="false" ht="15" hidden="false" customHeight="false" outlineLevel="0" collapsed="false">
      <c r="A1105" s="7" t="s">
        <v>59</v>
      </c>
      <c r="B1105" s="7" t="s">
        <v>165</v>
      </c>
      <c r="C1105" s="7" t="s">
        <v>165</v>
      </c>
      <c r="D1105" s="7" t="s">
        <v>166</v>
      </c>
      <c r="E1105" s="7" t="s">
        <v>167</v>
      </c>
      <c r="F1105" s="7" t="n">
        <v>2022</v>
      </c>
      <c r="G1105" s="7" t="s">
        <v>140</v>
      </c>
      <c r="H1105" s="7" t="s">
        <v>87</v>
      </c>
      <c r="I1105" s="7" t="n">
        <v>50.2</v>
      </c>
      <c r="J1105" s="7" t="s">
        <v>64</v>
      </c>
      <c r="K1105" s="7" t="s">
        <v>65</v>
      </c>
      <c r="L1105" s="7" t="s">
        <v>66</v>
      </c>
      <c r="M1105" s="7" t="n">
        <v>10.4</v>
      </c>
      <c r="N1105" s="7" t="n">
        <v>2549</v>
      </c>
    </row>
    <row r="1106" customFormat="false" ht="15" hidden="false" customHeight="false" outlineLevel="0" collapsed="false">
      <c r="A1106" s="7" t="s">
        <v>59</v>
      </c>
      <c r="B1106" s="7" t="s">
        <v>165</v>
      </c>
      <c r="C1106" s="7" t="s">
        <v>165</v>
      </c>
      <c r="D1106" s="7" t="s">
        <v>166</v>
      </c>
      <c r="E1106" s="7" t="s">
        <v>167</v>
      </c>
      <c r="F1106" s="7" t="n">
        <v>2022</v>
      </c>
      <c r="G1106" s="7" t="s">
        <v>140</v>
      </c>
      <c r="H1106" s="7" t="s">
        <v>86</v>
      </c>
      <c r="I1106" s="7" t="n">
        <v>50.2</v>
      </c>
      <c r="J1106" s="7" t="s">
        <v>64</v>
      </c>
      <c r="K1106" s="7" t="s">
        <v>65</v>
      </c>
      <c r="L1106" s="7" t="s">
        <v>66</v>
      </c>
      <c r="M1106" s="7" t="n">
        <v>42.9</v>
      </c>
      <c r="N1106" s="7" t="n">
        <v>2572</v>
      </c>
    </row>
    <row r="1107" customFormat="false" ht="15" hidden="false" customHeight="false" outlineLevel="0" collapsed="false">
      <c r="A1107" s="7" t="s">
        <v>59</v>
      </c>
      <c r="B1107" s="7" t="s">
        <v>165</v>
      </c>
      <c r="C1107" s="7" t="s">
        <v>165</v>
      </c>
      <c r="D1107" s="7" t="s">
        <v>166</v>
      </c>
      <c r="E1107" s="7" t="s">
        <v>167</v>
      </c>
      <c r="F1107" s="7" t="n">
        <v>2022</v>
      </c>
      <c r="G1107" s="7" t="s">
        <v>140</v>
      </c>
      <c r="H1107" s="7" t="s">
        <v>63</v>
      </c>
      <c r="I1107" s="7" t="n">
        <v>50.2</v>
      </c>
      <c r="J1107" s="7" t="s">
        <v>64</v>
      </c>
      <c r="K1107" s="7" t="s">
        <v>65</v>
      </c>
      <c r="L1107" s="7" t="s">
        <v>66</v>
      </c>
      <c r="M1107" s="7" t="n">
        <v>53.3</v>
      </c>
      <c r="N1107" s="7" t="n">
        <v>5121</v>
      </c>
    </row>
    <row r="1108" customFormat="false" ht="15" hidden="false" customHeight="false" outlineLevel="0" collapsed="false">
      <c r="A1108" s="7" t="s">
        <v>59</v>
      </c>
      <c r="B1108" s="7" t="s">
        <v>165</v>
      </c>
      <c r="C1108" s="7" t="s">
        <v>165</v>
      </c>
      <c r="D1108" s="7" t="s">
        <v>166</v>
      </c>
      <c r="E1108" s="7" t="s">
        <v>167</v>
      </c>
      <c r="F1108" s="7" t="n">
        <v>2022</v>
      </c>
      <c r="G1108" s="7" t="s">
        <v>140</v>
      </c>
      <c r="H1108" s="7" t="s">
        <v>78</v>
      </c>
      <c r="I1108" s="7" t="n">
        <v>50.2</v>
      </c>
      <c r="J1108" s="7" t="s">
        <v>64</v>
      </c>
      <c r="K1108" s="7" t="s">
        <v>79</v>
      </c>
      <c r="L1108" s="7" t="s">
        <v>66</v>
      </c>
      <c r="M1108" s="7" t="n">
        <v>51.8</v>
      </c>
      <c r="N1108" s="7" t="n">
        <v>5121</v>
      </c>
    </row>
    <row r="1109" customFormat="false" ht="15" hidden="false" customHeight="false" outlineLevel="0" collapsed="false">
      <c r="A1109" s="7" t="s">
        <v>59</v>
      </c>
      <c r="B1109" s="7" t="s">
        <v>165</v>
      </c>
      <c r="C1109" s="7" t="s">
        <v>165</v>
      </c>
      <c r="D1109" s="7" t="s">
        <v>166</v>
      </c>
      <c r="E1109" s="7" t="s">
        <v>167</v>
      </c>
      <c r="F1109" s="7" t="n">
        <v>2022</v>
      </c>
      <c r="G1109" s="7" t="s">
        <v>151</v>
      </c>
      <c r="H1109" s="7" t="s">
        <v>87</v>
      </c>
      <c r="I1109" s="7" t="n">
        <v>50.2</v>
      </c>
      <c r="J1109" s="7" t="s">
        <v>64</v>
      </c>
      <c r="K1109" s="7" t="s">
        <v>65</v>
      </c>
      <c r="L1109" s="7" t="s">
        <v>66</v>
      </c>
      <c r="M1109" s="7" t="n">
        <v>14.2</v>
      </c>
      <c r="N1109" s="7" t="n">
        <v>2549</v>
      </c>
    </row>
    <row r="1110" customFormat="false" ht="15" hidden="false" customHeight="false" outlineLevel="0" collapsed="false">
      <c r="A1110" s="7" t="s">
        <v>59</v>
      </c>
      <c r="B1110" s="7" t="s">
        <v>165</v>
      </c>
      <c r="C1110" s="7" t="s">
        <v>165</v>
      </c>
      <c r="D1110" s="7" t="s">
        <v>166</v>
      </c>
      <c r="E1110" s="7" t="s">
        <v>167</v>
      </c>
      <c r="F1110" s="7" t="n">
        <v>2022</v>
      </c>
      <c r="G1110" s="7" t="s">
        <v>151</v>
      </c>
      <c r="H1110" s="7" t="s">
        <v>86</v>
      </c>
      <c r="I1110" s="7" t="n">
        <v>50.2</v>
      </c>
      <c r="J1110" s="7" t="s">
        <v>64</v>
      </c>
      <c r="K1110" s="7" t="s">
        <v>65</v>
      </c>
      <c r="L1110" s="7" t="s">
        <v>66</v>
      </c>
      <c r="M1110" s="7" t="n">
        <v>42.7</v>
      </c>
      <c r="N1110" s="7" t="n">
        <v>2572</v>
      </c>
    </row>
    <row r="1111" customFormat="false" ht="15" hidden="false" customHeight="false" outlineLevel="0" collapsed="false">
      <c r="A1111" s="7" t="s">
        <v>59</v>
      </c>
      <c r="B1111" s="7" t="s">
        <v>165</v>
      </c>
      <c r="C1111" s="7" t="s">
        <v>165</v>
      </c>
      <c r="D1111" s="7" t="s">
        <v>166</v>
      </c>
      <c r="E1111" s="7" t="s">
        <v>167</v>
      </c>
      <c r="F1111" s="7" t="n">
        <v>2022</v>
      </c>
      <c r="G1111" s="7" t="s">
        <v>151</v>
      </c>
      <c r="H1111" s="7" t="s">
        <v>63</v>
      </c>
      <c r="I1111" s="7" t="n">
        <v>50.2</v>
      </c>
      <c r="J1111" s="7" t="s">
        <v>64</v>
      </c>
      <c r="K1111" s="7" t="s">
        <v>65</v>
      </c>
      <c r="L1111" s="7" t="s">
        <v>66</v>
      </c>
      <c r="M1111" s="7" t="n">
        <v>56.9</v>
      </c>
      <c r="N1111" s="7" t="n">
        <v>5121</v>
      </c>
    </row>
    <row r="1112" customFormat="false" ht="15" hidden="false" customHeight="false" outlineLevel="0" collapsed="false">
      <c r="A1112" s="7" t="s">
        <v>59</v>
      </c>
      <c r="B1112" s="7" t="s">
        <v>165</v>
      </c>
      <c r="C1112" s="7" t="s">
        <v>165</v>
      </c>
      <c r="D1112" s="7" t="s">
        <v>166</v>
      </c>
      <c r="E1112" s="7" t="s">
        <v>167</v>
      </c>
      <c r="F1112" s="7" t="n">
        <v>2022</v>
      </c>
      <c r="G1112" s="7" t="s">
        <v>151</v>
      </c>
      <c r="H1112" s="7" t="s">
        <v>78</v>
      </c>
      <c r="I1112" s="7" t="n">
        <v>50.2</v>
      </c>
      <c r="J1112" s="7" t="s">
        <v>64</v>
      </c>
      <c r="K1112" s="7" t="s">
        <v>79</v>
      </c>
      <c r="L1112" s="7" t="s">
        <v>66</v>
      </c>
      <c r="M1112" s="7" t="n">
        <v>56.5</v>
      </c>
      <c r="N1112" s="7" t="n">
        <v>5121</v>
      </c>
    </row>
    <row r="1113" customFormat="false" ht="15" hidden="false" customHeight="false" outlineLevel="0" collapsed="false">
      <c r="A1113" s="7" t="s">
        <v>59</v>
      </c>
      <c r="B1113" s="7" t="s">
        <v>165</v>
      </c>
      <c r="C1113" s="7" t="s">
        <v>165</v>
      </c>
      <c r="D1113" s="7" t="s">
        <v>166</v>
      </c>
      <c r="E1113" s="7" t="s">
        <v>167</v>
      </c>
      <c r="F1113" s="7" t="n">
        <v>2022</v>
      </c>
      <c r="G1113" s="7" t="s">
        <v>83</v>
      </c>
      <c r="H1113" s="7" t="s">
        <v>87</v>
      </c>
      <c r="I1113" s="7" t="n">
        <v>50.2</v>
      </c>
      <c r="J1113" s="7" t="s">
        <v>64</v>
      </c>
      <c r="K1113" s="7" t="s">
        <v>65</v>
      </c>
      <c r="L1113" s="7" t="s">
        <v>66</v>
      </c>
      <c r="M1113" s="7" t="n">
        <v>16.7</v>
      </c>
      <c r="N1113" s="7" t="n">
        <v>2549</v>
      </c>
    </row>
    <row r="1114" customFormat="false" ht="15" hidden="false" customHeight="false" outlineLevel="0" collapsed="false">
      <c r="A1114" s="7" t="s">
        <v>59</v>
      </c>
      <c r="B1114" s="7" t="s">
        <v>165</v>
      </c>
      <c r="C1114" s="7" t="s">
        <v>165</v>
      </c>
      <c r="D1114" s="7" t="s">
        <v>166</v>
      </c>
      <c r="E1114" s="7" t="s">
        <v>167</v>
      </c>
      <c r="F1114" s="7" t="n">
        <v>2022</v>
      </c>
      <c r="G1114" s="7" t="s">
        <v>83</v>
      </c>
      <c r="H1114" s="7" t="s">
        <v>86</v>
      </c>
      <c r="I1114" s="7" t="n">
        <v>50.2</v>
      </c>
      <c r="J1114" s="7" t="s">
        <v>64</v>
      </c>
      <c r="K1114" s="7" t="s">
        <v>65</v>
      </c>
      <c r="L1114" s="7" t="s">
        <v>66</v>
      </c>
      <c r="M1114" s="7" t="n">
        <v>48.1</v>
      </c>
      <c r="N1114" s="7" t="n">
        <v>2572</v>
      </c>
    </row>
    <row r="1115" customFormat="false" ht="15" hidden="false" customHeight="false" outlineLevel="0" collapsed="false">
      <c r="A1115" s="7" t="s">
        <v>59</v>
      </c>
      <c r="B1115" s="7" t="s">
        <v>165</v>
      </c>
      <c r="C1115" s="7" t="s">
        <v>165</v>
      </c>
      <c r="D1115" s="7" t="s">
        <v>166</v>
      </c>
      <c r="E1115" s="7" t="s">
        <v>167</v>
      </c>
      <c r="F1115" s="7" t="n">
        <v>2022</v>
      </c>
      <c r="G1115" s="7" t="s">
        <v>83</v>
      </c>
      <c r="H1115" s="7" t="s">
        <v>63</v>
      </c>
      <c r="I1115" s="7" t="n">
        <v>50.2</v>
      </c>
      <c r="J1115" s="7" t="s">
        <v>64</v>
      </c>
      <c r="K1115" s="7" t="s">
        <v>65</v>
      </c>
      <c r="L1115" s="7" t="s">
        <v>66</v>
      </c>
      <c r="M1115" s="7" t="n">
        <v>64.8</v>
      </c>
      <c r="N1115" s="7" t="n">
        <v>5121</v>
      </c>
    </row>
    <row r="1116" customFormat="false" ht="15" hidden="false" customHeight="false" outlineLevel="0" collapsed="false">
      <c r="A1116" s="7" t="s">
        <v>59</v>
      </c>
      <c r="B1116" s="7" t="s">
        <v>165</v>
      </c>
      <c r="C1116" s="7" t="s">
        <v>165</v>
      </c>
      <c r="D1116" s="7" t="s">
        <v>166</v>
      </c>
      <c r="E1116" s="7" t="s">
        <v>167</v>
      </c>
      <c r="F1116" s="7" t="n">
        <v>2022</v>
      </c>
      <c r="G1116" s="7" t="s">
        <v>83</v>
      </c>
      <c r="H1116" s="7" t="s">
        <v>78</v>
      </c>
      <c r="I1116" s="7" t="n">
        <v>50.2</v>
      </c>
      <c r="J1116" s="7" t="s">
        <v>64</v>
      </c>
      <c r="K1116" s="7" t="s">
        <v>79</v>
      </c>
      <c r="L1116" s="7" t="s">
        <v>66</v>
      </c>
      <c r="M1116" s="7" t="n">
        <v>64.1</v>
      </c>
      <c r="N1116" s="7" t="n">
        <v>5121</v>
      </c>
    </row>
    <row r="1117" customFormat="false" ht="15" hidden="false" customHeight="false" outlineLevel="0" collapsed="false">
      <c r="A1117" s="7" t="s">
        <v>59</v>
      </c>
      <c r="B1117" s="7" t="s">
        <v>165</v>
      </c>
      <c r="C1117" s="7" t="s">
        <v>165</v>
      </c>
      <c r="D1117" s="7" t="s">
        <v>166</v>
      </c>
      <c r="E1117" s="7" t="s">
        <v>167</v>
      </c>
      <c r="F1117" s="7" t="n">
        <v>2022</v>
      </c>
      <c r="G1117" s="7" t="s">
        <v>141</v>
      </c>
      <c r="H1117" s="7" t="s">
        <v>87</v>
      </c>
      <c r="I1117" s="7" t="n">
        <v>50.2</v>
      </c>
      <c r="J1117" s="7" t="s">
        <v>64</v>
      </c>
      <c r="K1117" s="7" t="s">
        <v>65</v>
      </c>
      <c r="L1117" s="7" t="s">
        <v>66</v>
      </c>
      <c r="M1117" s="7" t="n">
        <v>12.6</v>
      </c>
      <c r="N1117" s="7" t="n">
        <v>2549</v>
      </c>
    </row>
    <row r="1118" customFormat="false" ht="15" hidden="false" customHeight="false" outlineLevel="0" collapsed="false">
      <c r="A1118" s="7" t="s">
        <v>59</v>
      </c>
      <c r="B1118" s="7" t="s">
        <v>165</v>
      </c>
      <c r="C1118" s="7" t="s">
        <v>165</v>
      </c>
      <c r="D1118" s="7" t="s">
        <v>166</v>
      </c>
      <c r="E1118" s="7" t="s">
        <v>167</v>
      </c>
      <c r="F1118" s="7" t="n">
        <v>2022</v>
      </c>
      <c r="G1118" s="7" t="s">
        <v>141</v>
      </c>
      <c r="H1118" s="7" t="s">
        <v>86</v>
      </c>
      <c r="I1118" s="7" t="n">
        <v>50.2</v>
      </c>
      <c r="J1118" s="7" t="s">
        <v>64</v>
      </c>
      <c r="K1118" s="7" t="s">
        <v>65</v>
      </c>
      <c r="L1118" s="7" t="s">
        <v>66</v>
      </c>
      <c r="M1118" s="7" t="n">
        <v>45.3</v>
      </c>
      <c r="N1118" s="7" t="n">
        <v>2572</v>
      </c>
    </row>
    <row r="1119" customFormat="false" ht="15" hidden="false" customHeight="false" outlineLevel="0" collapsed="false">
      <c r="A1119" s="7" t="s">
        <v>59</v>
      </c>
      <c r="B1119" s="7" t="s">
        <v>165</v>
      </c>
      <c r="C1119" s="7" t="s">
        <v>165</v>
      </c>
      <c r="D1119" s="7" t="s">
        <v>166</v>
      </c>
      <c r="E1119" s="7" t="s">
        <v>167</v>
      </c>
      <c r="F1119" s="7" t="n">
        <v>2022</v>
      </c>
      <c r="G1119" s="7" t="s">
        <v>141</v>
      </c>
      <c r="H1119" s="7" t="s">
        <v>63</v>
      </c>
      <c r="I1119" s="7" t="n">
        <v>50.2</v>
      </c>
      <c r="J1119" s="7" t="s">
        <v>64</v>
      </c>
      <c r="K1119" s="7" t="s">
        <v>65</v>
      </c>
      <c r="L1119" s="7" t="s">
        <v>66</v>
      </c>
      <c r="M1119" s="7" t="n">
        <v>57.9</v>
      </c>
      <c r="N1119" s="7" t="n">
        <v>5121</v>
      </c>
    </row>
    <row r="1120" customFormat="false" ht="15" hidden="false" customHeight="false" outlineLevel="0" collapsed="false">
      <c r="A1120" s="7" t="s">
        <v>59</v>
      </c>
      <c r="B1120" s="7" t="s">
        <v>165</v>
      </c>
      <c r="C1120" s="7" t="s">
        <v>165</v>
      </c>
      <c r="D1120" s="7" t="s">
        <v>166</v>
      </c>
      <c r="E1120" s="7" t="s">
        <v>167</v>
      </c>
      <c r="F1120" s="7" t="n">
        <v>2022</v>
      </c>
      <c r="G1120" s="7" t="s">
        <v>141</v>
      </c>
      <c r="H1120" s="7" t="s">
        <v>78</v>
      </c>
      <c r="I1120" s="7" t="n">
        <v>50.2</v>
      </c>
      <c r="J1120" s="7" t="s">
        <v>64</v>
      </c>
      <c r="K1120" s="7" t="s">
        <v>79</v>
      </c>
      <c r="L1120" s="7" t="s">
        <v>66</v>
      </c>
      <c r="M1120" s="7" t="n">
        <v>56.8</v>
      </c>
      <c r="N1120" s="7" t="n">
        <v>5121</v>
      </c>
    </row>
    <row r="1121" customFormat="false" ht="15" hidden="false" customHeight="false" outlineLevel="0" collapsed="false">
      <c r="A1121" s="7" t="s">
        <v>59</v>
      </c>
      <c r="B1121" s="7" t="s">
        <v>165</v>
      </c>
      <c r="C1121" s="7" t="s">
        <v>165</v>
      </c>
      <c r="D1121" s="7" t="s">
        <v>166</v>
      </c>
      <c r="E1121" s="7" t="s">
        <v>167</v>
      </c>
      <c r="F1121" s="7" t="n">
        <v>2022</v>
      </c>
      <c r="G1121" s="7" t="s">
        <v>69</v>
      </c>
      <c r="H1121" s="7" t="s">
        <v>87</v>
      </c>
      <c r="I1121" s="7" t="n">
        <v>50.2</v>
      </c>
      <c r="J1121" s="7" t="s">
        <v>64</v>
      </c>
      <c r="K1121" s="7" t="s">
        <v>65</v>
      </c>
      <c r="L1121" s="7" t="s">
        <v>66</v>
      </c>
      <c r="M1121" s="7" t="n">
        <v>4.8</v>
      </c>
      <c r="N1121" s="7" t="n">
        <v>2549</v>
      </c>
    </row>
    <row r="1122" customFormat="false" ht="15" hidden="false" customHeight="false" outlineLevel="0" collapsed="false">
      <c r="A1122" s="7" t="s">
        <v>59</v>
      </c>
      <c r="B1122" s="7" t="s">
        <v>165</v>
      </c>
      <c r="C1122" s="7" t="s">
        <v>165</v>
      </c>
      <c r="D1122" s="7" t="s">
        <v>166</v>
      </c>
      <c r="E1122" s="7" t="s">
        <v>167</v>
      </c>
      <c r="F1122" s="7" t="n">
        <v>2022</v>
      </c>
      <c r="G1122" s="7" t="s">
        <v>69</v>
      </c>
      <c r="H1122" s="7" t="s">
        <v>86</v>
      </c>
      <c r="I1122" s="7" t="n">
        <v>50.2</v>
      </c>
      <c r="J1122" s="7" t="s">
        <v>64</v>
      </c>
      <c r="K1122" s="7" t="s">
        <v>65</v>
      </c>
      <c r="L1122" s="7" t="s">
        <v>66</v>
      </c>
      <c r="M1122" s="7" t="n">
        <v>40.9</v>
      </c>
      <c r="N1122" s="7" t="n">
        <v>2572</v>
      </c>
    </row>
    <row r="1123" customFormat="false" ht="15" hidden="false" customHeight="false" outlineLevel="0" collapsed="false">
      <c r="A1123" s="7" t="s">
        <v>59</v>
      </c>
      <c r="B1123" s="7" t="s">
        <v>165</v>
      </c>
      <c r="C1123" s="7" t="s">
        <v>165</v>
      </c>
      <c r="D1123" s="7" t="s">
        <v>166</v>
      </c>
      <c r="E1123" s="7" t="s">
        <v>167</v>
      </c>
      <c r="F1123" s="7" t="n">
        <v>2022</v>
      </c>
      <c r="G1123" s="7" t="s">
        <v>69</v>
      </c>
      <c r="H1123" s="7" t="s">
        <v>63</v>
      </c>
      <c r="I1123" s="7" t="n">
        <v>50.2</v>
      </c>
      <c r="J1123" s="7" t="s">
        <v>64</v>
      </c>
      <c r="K1123" s="7" t="s">
        <v>65</v>
      </c>
      <c r="L1123" s="7" t="s">
        <v>66</v>
      </c>
      <c r="M1123" s="7" t="n">
        <v>45.6</v>
      </c>
      <c r="N1123" s="7" t="n">
        <v>5121</v>
      </c>
    </row>
    <row r="1124" customFormat="false" ht="15" hidden="false" customHeight="false" outlineLevel="0" collapsed="false">
      <c r="A1124" s="7" t="s">
        <v>59</v>
      </c>
      <c r="B1124" s="7" t="s">
        <v>165</v>
      </c>
      <c r="C1124" s="7" t="s">
        <v>165</v>
      </c>
      <c r="D1124" s="7" t="s">
        <v>166</v>
      </c>
      <c r="E1124" s="7" t="s">
        <v>167</v>
      </c>
      <c r="F1124" s="7" t="n">
        <v>2022</v>
      </c>
      <c r="G1124" s="7" t="s">
        <v>69</v>
      </c>
      <c r="H1124" s="7" t="s">
        <v>78</v>
      </c>
      <c r="I1124" s="7" t="n">
        <v>50.2</v>
      </c>
      <c r="J1124" s="7" t="s">
        <v>64</v>
      </c>
      <c r="K1124" s="7" t="s">
        <v>79</v>
      </c>
      <c r="L1124" s="7" t="s">
        <v>66</v>
      </c>
      <c r="M1124" s="7" t="n">
        <v>44.6</v>
      </c>
      <c r="N1124" s="7" t="n">
        <v>5121</v>
      </c>
    </row>
    <row r="1125" customFormat="false" ht="15" hidden="false" customHeight="false" outlineLevel="0" collapsed="false">
      <c r="A1125" s="7" t="s">
        <v>59</v>
      </c>
      <c r="B1125" s="7" t="s">
        <v>165</v>
      </c>
      <c r="C1125" s="7" t="s">
        <v>165</v>
      </c>
      <c r="D1125" s="7" t="s">
        <v>166</v>
      </c>
      <c r="E1125" s="7" t="s">
        <v>167</v>
      </c>
      <c r="F1125" s="7" t="n">
        <v>2022</v>
      </c>
      <c r="G1125" s="7" t="s">
        <v>170</v>
      </c>
      <c r="H1125" s="7" t="s">
        <v>87</v>
      </c>
      <c r="I1125" s="7" t="n">
        <v>50.2</v>
      </c>
      <c r="J1125" s="7" t="s">
        <v>64</v>
      </c>
      <c r="K1125" s="7" t="s">
        <v>65</v>
      </c>
      <c r="L1125" s="7" t="s">
        <v>66</v>
      </c>
      <c r="M1125" s="7" t="n">
        <v>13.6</v>
      </c>
      <c r="N1125" s="7" t="n">
        <v>2549</v>
      </c>
    </row>
    <row r="1126" customFormat="false" ht="15" hidden="false" customHeight="false" outlineLevel="0" collapsed="false">
      <c r="A1126" s="7" t="s">
        <v>59</v>
      </c>
      <c r="B1126" s="7" t="s">
        <v>165</v>
      </c>
      <c r="C1126" s="7" t="s">
        <v>165</v>
      </c>
      <c r="D1126" s="7" t="s">
        <v>166</v>
      </c>
      <c r="E1126" s="7" t="s">
        <v>167</v>
      </c>
      <c r="F1126" s="7" t="n">
        <v>2022</v>
      </c>
      <c r="G1126" s="7" t="s">
        <v>170</v>
      </c>
      <c r="H1126" s="7" t="s">
        <v>86</v>
      </c>
      <c r="I1126" s="7" t="n">
        <v>50.2</v>
      </c>
      <c r="J1126" s="7" t="s">
        <v>64</v>
      </c>
      <c r="K1126" s="7" t="s">
        <v>65</v>
      </c>
      <c r="L1126" s="7" t="s">
        <v>66</v>
      </c>
      <c r="M1126" s="7" t="n">
        <v>41.8</v>
      </c>
      <c r="N1126" s="7" t="n">
        <v>2572</v>
      </c>
    </row>
    <row r="1127" customFormat="false" ht="15" hidden="false" customHeight="false" outlineLevel="0" collapsed="false">
      <c r="A1127" s="7" t="s">
        <v>59</v>
      </c>
      <c r="B1127" s="7" t="s">
        <v>165</v>
      </c>
      <c r="C1127" s="7" t="s">
        <v>165</v>
      </c>
      <c r="D1127" s="7" t="s">
        <v>166</v>
      </c>
      <c r="E1127" s="7" t="s">
        <v>167</v>
      </c>
      <c r="F1127" s="7" t="n">
        <v>2022</v>
      </c>
      <c r="G1127" s="7" t="s">
        <v>170</v>
      </c>
      <c r="H1127" s="7" t="s">
        <v>63</v>
      </c>
      <c r="I1127" s="7" t="n">
        <v>50.2</v>
      </c>
      <c r="J1127" s="7" t="s">
        <v>64</v>
      </c>
      <c r="K1127" s="7" t="s">
        <v>65</v>
      </c>
      <c r="L1127" s="7" t="s">
        <v>66</v>
      </c>
      <c r="M1127" s="7" t="n">
        <v>55.3</v>
      </c>
      <c r="N1127" s="7" t="n">
        <v>5121</v>
      </c>
    </row>
    <row r="1128" customFormat="false" ht="15" hidden="false" customHeight="false" outlineLevel="0" collapsed="false">
      <c r="A1128" s="7" t="s">
        <v>59</v>
      </c>
      <c r="B1128" s="7" t="s">
        <v>165</v>
      </c>
      <c r="C1128" s="7" t="s">
        <v>165</v>
      </c>
      <c r="D1128" s="7" t="s">
        <v>166</v>
      </c>
      <c r="E1128" s="7" t="s">
        <v>167</v>
      </c>
      <c r="F1128" s="7" t="n">
        <v>2022</v>
      </c>
      <c r="G1128" s="7" t="s">
        <v>170</v>
      </c>
      <c r="H1128" s="7" t="s">
        <v>78</v>
      </c>
      <c r="I1128" s="7" t="n">
        <v>50.2</v>
      </c>
      <c r="J1128" s="7" t="s">
        <v>64</v>
      </c>
      <c r="K1128" s="7" t="s">
        <v>79</v>
      </c>
      <c r="L1128" s="7" t="s">
        <v>66</v>
      </c>
      <c r="M1128" s="7" t="n">
        <v>54.1</v>
      </c>
      <c r="N1128" s="7" t="n">
        <v>5121</v>
      </c>
    </row>
    <row r="1129" customFormat="false" ht="15" hidden="false" customHeight="false" outlineLevel="0" collapsed="false">
      <c r="A1129" s="7" t="s">
        <v>59</v>
      </c>
      <c r="B1129" s="7" t="s">
        <v>165</v>
      </c>
      <c r="C1129" s="7" t="s">
        <v>165</v>
      </c>
      <c r="D1129" s="7" t="s">
        <v>166</v>
      </c>
      <c r="E1129" s="7" t="s">
        <v>167</v>
      </c>
      <c r="F1129" s="7" t="n">
        <v>2022</v>
      </c>
      <c r="G1129" s="7" t="s">
        <v>171</v>
      </c>
      <c r="H1129" s="7" t="s">
        <v>87</v>
      </c>
      <c r="I1129" s="7" t="n">
        <v>50.2</v>
      </c>
      <c r="J1129" s="7" t="s">
        <v>64</v>
      </c>
      <c r="K1129" s="7" t="s">
        <v>65</v>
      </c>
      <c r="L1129" s="7" t="s">
        <v>66</v>
      </c>
      <c r="M1129" s="7" t="n">
        <v>11.2</v>
      </c>
      <c r="N1129" s="7" t="n">
        <v>2549</v>
      </c>
    </row>
    <row r="1130" customFormat="false" ht="15" hidden="false" customHeight="false" outlineLevel="0" collapsed="false">
      <c r="A1130" s="7" t="s">
        <v>59</v>
      </c>
      <c r="B1130" s="7" t="s">
        <v>165</v>
      </c>
      <c r="C1130" s="7" t="s">
        <v>165</v>
      </c>
      <c r="D1130" s="7" t="s">
        <v>166</v>
      </c>
      <c r="E1130" s="7" t="s">
        <v>167</v>
      </c>
      <c r="F1130" s="7" t="n">
        <v>2022</v>
      </c>
      <c r="G1130" s="7" t="s">
        <v>171</v>
      </c>
      <c r="H1130" s="7" t="s">
        <v>86</v>
      </c>
      <c r="I1130" s="7" t="n">
        <v>50.2</v>
      </c>
      <c r="J1130" s="7" t="s">
        <v>64</v>
      </c>
      <c r="K1130" s="7" t="s">
        <v>65</v>
      </c>
      <c r="L1130" s="7" t="s">
        <v>66</v>
      </c>
      <c r="M1130" s="7" t="n">
        <v>31.1</v>
      </c>
      <c r="N1130" s="7" t="n">
        <v>2572</v>
      </c>
    </row>
    <row r="1131" customFormat="false" ht="15" hidden="false" customHeight="false" outlineLevel="0" collapsed="false">
      <c r="A1131" s="7" t="s">
        <v>59</v>
      </c>
      <c r="B1131" s="7" t="s">
        <v>165</v>
      </c>
      <c r="C1131" s="7" t="s">
        <v>165</v>
      </c>
      <c r="D1131" s="7" t="s">
        <v>166</v>
      </c>
      <c r="E1131" s="7" t="s">
        <v>167</v>
      </c>
      <c r="F1131" s="7" t="n">
        <v>2022</v>
      </c>
      <c r="G1131" s="7" t="s">
        <v>171</v>
      </c>
      <c r="H1131" s="7" t="s">
        <v>63</v>
      </c>
      <c r="I1131" s="7" t="n">
        <v>50.2</v>
      </c>
      <c r="J1131" s="7" t="s">
        <v>64</v>
      </c>
      <c r="K1131" s="7" t="s">
        <v>65</v>
      </c>
      <c r="L1131" s="7" t="s">
        <v>66</v>
      </c>
      <c r="M1131" s="7" t="n">
        <v>42.3</v>
      </c>
      <c r="N1131" s="7" t="n">
        <v>5121</v>
      </c>
    </row>
    <row r="1132" customFormat="false" ht="15" hidden="false" customHeight="false" outlineLevel="0" collapsed="false">
      <c r="A1132" s="7" t="s">
        <v>59</v>
      </c>
      <c r="B1132" s="7" t="s">
        <v>165</v>
      </c>
      <c r="C1132" s="7" t="s">
        <v>165</v>
      </c>
      <c r="D1132" s="7" t="s">
        <v>166</v>
      </c>
      <c r="E1132" s="7" t="s">
        <v>167</v>
      </c>
      <c r="F1132" s="7" t="n">
        <v>2022</v>
      </c>
      <c r="G1132" s="7" t="s">
        <v>171</v>
      </c>
      <c r="H1132" s="7" t="s">
        <v>78</v>
      </c>
      <c r="I1132" s="7" t="n">
        <v>50.2</v>
      </c>
      <c r="J1132" s="7" t="s">
        <v>64</v>
      </c>
      <c r="K1132" s="7" t="s">
        <v>79</v>
      </c>
      <c r="L1132" s="7" t="s">
        <v>66</v>
      </c>
      <c r="M1132" s="7" t="n">
        <v>40.6</v>
      </c>
      <c r="N1132" s="7" t="n">
        <v>5121</v>
      </c>
    </row>
    <row r="1133" customFormat="false" ht="15" hidden="false" customHeight="false" outlineLevel="0" collapsed="false">
      <c r="A1133" s="7" t="s">
        <v>59</v>
      </c>
      <c r="B1133" s="7" t="s">
        <v>165</v>
      </c>
      <c r="C1133" s="7" t="s">
        <v>165</v>
      </c>
      <c r="D1133" s="7" t="s">
        <v>166</v>
      </c>
      <c r="E1133" s="7" t="s">
        <v>167</v>
      </c>
      <c r="F1133" s="7" t="n">
        <v>2022</v>
      </c>
      <c r="G1133" s="7" t="s">
        <v>172</v>
      </c>
      <c r="H1133" s="7" t="s">
        <v>87</v>
      </c>
      <c r="I1133" s="7" t="n">
        <v>50.2</v>
      </c>
      <c r="J1133" s="7" t="s">
        <v>64</v>
      </c>
      <c r="K1133" s="7" t="s">
        <v>65</v>
      </c>
      <c r="L1133" s="7" t="s">
        <v>66</v>
      </c>
      <c r="M1133" s="7" t="n">
        <v>4</v>
      </c>
      <c r="N1133" s="7" t="n">
        <v>2549</v>
      </c>
    </row>
    <row r="1134" customFormat="false" ht="15" hidden="false" customHeight="false" outlineLevel="0" collapsed="false">
      <c r="A1134" s="7" t="s">
        <v>59</v>
      </c>
      <c r="B1134" s="7" t="s">
        <v>165</v>
      </c>
      <c r="C1134" s="7" t="s">
        <v>165</v>
      </c>
      <c r="D1134" s="7" t="s">
        <v>166</v>
      </c>
      <c r="E1134" s="7" t="s">
        <v>167</v>
      </c>
      <c r="F1134" s="7" t="n">
        <v>2022</v>
      </c>
      <c r="G1134" s="7" t="s">
        <v>172</v>
      </c>
      <c r="H1134" s="7" t="s">
        <v>86</v>
      </c>
      <c r="I1134" s="7" t="n">
        <v>50.2</v>
      </c>
      <c r="J1134" s="7" t="s">
        <v>64</v>
      </c>
      <c r="K1134" s="7" t="s">
        <v>65</v>
      </c>
      <c r="L1134" s="7" t="s">
        <v>66</v>
      </c>
      <c r="M1134" s="7" t="n">
        <v>14.3</v>
      </c>
      <c r="N1134" s="7" t="n">
        <v>2572</v>
      </c>
    </row>
    <row r="1135" customFormat="false" ht="15" hidden="false" customHeight="false" outlineLevel="0" collapsed="false">
      <c r="A1135" s="7" t="s">
        <v>59</v>
      </c>
      <c r="B1135" s="7" t="s">
        <v>165</v>
      </c>
      <c r="C1135" s="7" t="s">
        <v>165</v>
      </c>
      <c r="D1135" s="7" t="s">
        <v>166</v>
      </c>
      <c r="E1135" s="7" t="s">
        <v>167</v>
      </c>
      <c r="F1135" s="7" t="n">
        <v>2022</v>
      </c>
      <c r="G1135" s="7" t="s">
        <v>172</v>
      </c>
      <c r="H1135" s="7" t="s">
        <v>63</v>
      </c>
      <c r="I1135" s="7" t="n">
        <v>50.2</v>
      </c>
      <c r="J1135" s="7" t="s">
        <v>64</v>
      </c>
      <c r="K1135" s="7" t="s">
        <v>65</v>
      </c>
      <c r="L1135" s="7" t="s">
        <v>66</v>
      </c>
      <c r="M1135" s="7" t="n">
        <v>18.3</v>
      </c>
      <c r="N1135" s="7" t="n">
        <v>5121</v>
      </c>
    </row>
    <row r="1136" customFormat="false" ht="15" hidden="false" customHeight="false" outlineLevel="0" collapsed="false">
      <c r="A1136" s="7" t="s">
        <v>59</v>
      </c>
      <c r="B1136" s="7" t="s">
        <v>165</v>
      </c>
      <c r="C1136" s="7" t="s">
        <v>165</v>
      </c>
      <c r="D1136" s="7" t="s">
        <v>166</v>
      </c>
      <c r="E1136" s="7" t="s">
        <v>167</v>
      </c>
      <c r="F1136" s="7" t="n">
        <v>2022</v>
      </c>
      <c r="G1136" s="7" t="s">
        <v>172</v>
      </c>
      <c r="H1136" s="7" t="s">
        <v>78</v>
      </c>
      <c r="I1136" s="7" t="n">
        <v>50.2</v>
      </c>
      <c r="J1136" s="7" t="s">
        <v>64</v>
      </c>
      <c r="K1136" s="7" t="s">
        <v>79</v>
      </c>
      <c r="L1136" s="7" t="s">
        <v>66</v>
      </c>
      <c r="M1136" s="7" t="n">
        <v>16.6</v>
      </c>
      <c r="N1136" s="7" t="n">
        <v>5121</v>
      </c>
    </row>
    <row r="1137" customFormat="false" ht="15" hidden="false" customHeight="false" outlineLevel="0" collapsed="false">
      <c r="A1137" s="7" t="s">
        <v>59</v>
      </c>
      <c r="B1137" s="7" t="s">
        <v>165</v>
      </c>
      <c r="C1137" s="7" t="s">
        <v>165</v>
      </c>
      <c r="D1137" s="7" t="s">
        <v>166</v>
      </c>
      <c r="E1137" s="7" t="s">
        <v>167</v>
      </c>
      <c r="F1137" s="7" t="n">
        <v>2022</v>
      </c>
      <c r="G1137" s="7" t="s">
        <v>72</v>
      </c>
      <c r="H1137" s="7" t="s">
        <v>63</v>
      </c>
      <c r="J1137" s="7" t="s">
        <v>64</v>
      </c>
      <c r="L1137" s="7" t="s">
        <v>71</v>
      </c>
      <c r="M1137" s="7" t="n">
        <v>49.6</v>
      </c>
      <c r="N1137" s="7" t="n">
        <v>10948</v>
      </c>
    </row>
    <row r="1138" customFormat="false" ht="15" hidden="false" customHeight="false" outlineLevel="0" collapsed="false">
      <c r="A1138" s="7" t="s">
        <v>59</v>
      </c>
      <c r="B1138" s="7" t="s">
        <v>165</v>
      </c>
      <c r="C1138" s="7" t="s">
        <v>165</v>
      </c>
      <c r="D1138" s="7" t="s">
        <v>166</v>
      </c>
      <c r="E1138" s="7" t="s">
        <v>167</v>
      </c>
      <c r="F1138" s="7" t="n">
        <v>2022</v>
      </c>
      <c r="G1138" s="7" t="s">
        <v>111</v>
      </c>
      <c r="H1138" s="7" t="s">
        <v>87</v>
      </c>
      <c r="I1138" s="7" t="n">
        <v>50.2</v>
      </c>
      <c r="J1138" s="7" t="s">
        <v>64</v>
      </c>
      <c r="K1138" s="7" t="s">
        <v>65</v>
      </c>
      <c r="L1138" s="7" t="s">
        <v>66</v>
      </c>
      <c r="M1138" s="7" t="n">
        <v>11.6</v>
      </c>
      <c r="N1138" s="7" t="n">
        <v>2549</v>
      </c>
    </row>
    <row r="1139" customFormat="false" ht="15" hidden="false" customHeight="false" outlineLevel="0" collapsed="false">
      <c r="A1139" s="7" t="s">
        <v>59</v>
      </c>
      <c r="B1139" s="7" t="s">
        <v>165</v>
      </c>
      <c r="C1139" s="7" t="s">
        <v>165</v>
      </c>
      <c r="D1139" s="7" t="s">
        <v>166</v>
      </c>
      <c r="E1139" s="7" t="s">
        <v>167</v>
      </c>
      <c r="F1139" s="7" t="n">
        <v>2022</v>
      </c>
      <c r="G1139" s="7" t="s">
        <v>111</v>
      </c>
      <c r="H1139" s="7" t="s">
        <v>86</v>
      </c>
      <c r="I1139" s="7" t="n">
        <v>50.2</v>
      </c>
      <c r="J1139" s="7" t="s">
        <v>64</v>
      </c>
      <c r="K1139" s="7" t="s">
        <v>65</v>
      </c>
      <c r="L1139" s="7" t="s">
        <v>66</v>
      </c>
      <c r="M1139" s="7" t="n">
        <v>37.8</v>
      </c>
      <c r="N1139" s="7" t="n">
        <v>2572</v>
      </c>
    </row>
    <row r="1140" customFormat="false" ht="15" hidden="false" customHeight="false" outlineLevel="0" collapsed="false">
      <c r="A1140" s="7" t="s">
        <v>59</v>
      </c>
      <c r="B1140" s="7" t="s">
        <v>165</v>
      </c>
      <c r="C1140" s="7" t="s">
        <v>165</v>
      </c>
      <c r="D1140" s="7" t="s">
        <v>166</v>
      </c>
      <c r="E1140" s="7" t="s">
        <v>167</v>
      </c>
      <c r="F1140" s="7" t="n">
        <v>2022</v>
      </c>
      <c r="G1140" s="7" t="s">
        <v>111</v>
      </c>
      <c r="H1140" s="7" t="s">
        <v>63</v>
      </c>
      <c r="I1140" s="7" t="n">
        <v>50.2</v>
      </c>
      <c r="J1140" s="7" t="s">
        <v>64</v>
      </c>
      <c r="K1140" s="7" t="s">
        <v>65</v>
      </c>
      <c r="L1140" s="7" t="s">
        <v>66</v>
      </c>
      <c r="M1140" s="7" t="n">
        <v>49.4</v>
      </c>
      <c r="N1140" s="7" t="n">
        <v>5121</v>
      </c>
    </row>
    <row r="1141" customFormat="false" ht="15" hidden="false" customHeight="false" outlineLevel="0" collapsed="false">
      <c r="A1141" s="7" t="s">
        <v>59</v>
      </c>
      <c r="B1141" s="7" t="s">
        <v>165</v>
      </c>
      <c r="C1141" s="7" t="s">
        <v>165</v>
      </c>
      <c r="D1141" s="7" t="s">
        <v>166</v>
      </c>
      <c r="E1141" s="7" t="s">
        <v>167</v>
      </c>
      <c r="F1141" s="7" t="n">
        <v>2022</v>
      </c>
      <c r="G1141" s="7" t="s">
        <v>111</v>
      </c>
      <c r="H1141" s="7" t="s">
        <v>78</v>
      </c>
      <c r="I1141" s="7" t="n">
        <v>50.2</v>
      </c>
      <c r="J1141" s="7" t="s">
        <v>64</v>
      </c>
      <c r="K1141" s="7" t="s">
        <v>79</v>
      </c>
      <c r="L1141" s="7" t="s">
        <v>66</v>
      </c>
      <c r="M1141" s="7" t="n">
        <v>45.5</v>
      </c>
      <c r="N1141" s="7" t="n">
        <v>5121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1" min="20" style="0" width="9"/>
    <col collapsed="false" customWidth="true" hidden="false" outlineLevel="0" max="23" min="22" style="0" width="12"/>
    <col collapsed="false" customWidth="true" hidden="false" outlineLevel="0" max="24" min="24" style="0" width="9"/>
  </cols>
  <sheetData>
    <row r="1" customFormat="false" ht="42" hidden="false" customHeight="true" outlineLevel="0" collapsed="false">
      <c r="A1" s="3" t="s">
        <v>173</v>
      </c>
      <c r="B1" s="3" t="s">
        <v>174</v>
      </c>
      <c r="C1" s="3" t="s">
        <v>175</v>
      </c>
      <c r="D1" s="3" t="s">
        <v>176</v>
      </c>
      <c r="E1" s="3" t="s">
        <v>177</v>
      </c>
      <c r="F1" s="3" t="s">
        <v>178</v>
      </c>
      <c r="G1" s="3" t="s">
        <v>179</v>
      </c>
      <c r="H1" s="3" t="s">
        <v>37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  <c r="V1" s="3" t="s">
        <v>193</v>
      </c>
      <c r="W1" s="3" t="s">
        <v>194</v>
      </c>
      <c r="X1" s="3" t="s">
        <v>43</v>
      </c>
    </row>
    <row r="2" customFormat="false" ht="15" hidden="false" customHeight="false" outlineLevel="0" collapsed="false">
      <c r="A2" s="7" t="n">
        <f aca="false">ROW()-1</f>
        <v>1</v>
      </c>
      <c r="B2" s="7" t="str">
        <f aca="false">IF(Raw_Nigeria!B2="",TRIM(Raw_Nigeria!C2),TRIM(Raw_Nigeria!B2))</f>
        <v>Status report on revised EPI programme from 1985 to 1989</v>
      </c>
      <c r="C2" s="7" t="str">
        <f aca="false">IF(ISNUMBER(SEARCH("Demographic and Health",B2)),"DHS",IF(OR(ISNUMBER(SEARCH("Multiple Indicator Cluster",B2)),ISNUMBER(SEARCH("MICS",B2))),"MICS",IF(ISNUMBER(SEARCH("Immunization Coverage Survey",B2)),"Coverage survey",IF(ISNUMBER(SEARCH("Nutrition",B2)),"Nutrition survey","Other"))))</f>
        <v>Other</v>
      </c>
      <c r="D2" s="7" t="n">
        <f aca="false">VALUE(LEFT(Raw_Nigeria!D2,4))</f>
        <v>1985</v>
      </c>
      <c r="E2" s="7" t="str">
        <f aca="false">IF(VALUE(RIGHT(Raw_Nigeria!D2,2))&gt;12,"",VALUE(RIGHT(Raw_Nigeria!D2,2)))</f>
        <v/>
      </c>
      <c r="F2" s="7" t="n">
        <f aca="false">VALUE(LEFT(Raw_Nigeria!E2,4))</f>
        <v>1985</v>
      </c>
      <c r="G2" s="7" t="str">
        <f aca="false">IF(VALUE(RIGHT(Raw_Nigeria!E2,2))&gt;12,"",VALUE(RIGHT(Raw_Nigeria!E2,2)))</f>
        <v/>
      </c>
      <c r="H2" s="7" t="n">
        <f aca="false">Raw_Nigeria!F2</f>
        <v>1984</v>
      </c>
      <c r="I2" s="7" t="str">
        <f aca="false">UPPER(TRIM(Raw_Nigeria!G2))</f>
        <v>BCG</v>
      </c>
      <c r="J2" s="7" t="str">
        <f aca="false">Raw_Nigeria!H2</f>
        <v>Record or Recall</v>
      </c>
      <c r="K2" s="7" t="str">
        <f aca="false">Raw_Nigeria!L2</f>
        <v>12-23 m</v>
      </c>
      <c r="L2" s="7" t="str">
        <f aca="false">IF(Raw_Nigeria!K2="","n/a",Raw_Nigeria!K2)</f>
        <v>0-23 m</v>
      </c>
      <c r="M2" s="7" t="str">
        <f aca="false">IF(Raw_Nigeria!I2="","",Raw_Nigeria!I2)</f>
        <v/>
      </c>
      <c r="N2" s="7" t="n">
        <f aca="false">Raw_Nigeria!M2</f>
        <v>16.5</v>
      </c>
      <c r="O2" s="7" t="str">
        <f aca="false">IF(Raw_Nigeria!N2="","",Raw_Nigeria!N2)</f>
        <v/>
      </c>
      <c r="P2" s="7" t="str">
        <f aca="false">IF(K2="CBAW","Women of child-bearing age","Children")</f>
        <v>Children</v>
      </c>
      <c r="Q2" s="7" t="n">
        <f aca="false">IF(J2="NOT USED",1,0)</f>
        <v>0</v>
      </c>
      <c r="R2" s="7" t="n">
        <f aca="false">IF(AND(P2="Children",Q2=0),1,0)</f>
        <v>1</v>
      </c>
      <c r="S2" s="7" t="n">
        <f aca="false">IF(AND(R2=1,J2="Record or Recall",K2="12-23 m"),1,0)</f>
        <v>1</v>
      </c>
      <c r="T2" s="7" t="n">
        <f aca="false">IF(OR(I2="BCG",I2="DTP1",I2="DTP3",I2="POL3",I2="MCV1",I2="FULL"),1,0)</f>
        <v>1</v>
      </c>
      <c r="U2" s="7" t="n">
        <f aca="false">IF(OR(C2="DHS",C2="MICS"),1,0)</f>
        <v>0</v>
      </c>
      <c r="V2" s="7" t="n">
        <f aca="false">IF(O2="",1,0)</f>
        <v>1</v>
      </c>
      <c r="W2" s="7" t="n">
        <f aca="false">IF(M2="",1,0)</f>
        <v>1</v>
      </c>
      <c r="X2" s="7" t="n">
        <f aca="false">COUNTIFS($B$2:$B$1141,B2,$H$2:$H$1141,H2,$I$2:$I$1141,I2,$J$2:$J$1141,J2,$K$2:$K$1141,K2,$L$2:$L$1141,L2)</f>
        <v>1</v>
      </c>
    </row>
    <row r="3" customFormat="false" ht="15" hidden="false" customHeight="false" outlineLevel="0" collapsed="false">
      <c r="A3" s="7" t="n">
        <f aca="false">ROW()-1</f>
        <v>2</v>
      </c>
      <c r="B3" s="7" t="str">
        <f aca="false">IF(Raw_Nigeria!B3="",TRIM(Raw_Nigeria!C3),TRIM(Raw_Nigeria!B3))</f>
        <v>Status report on revised EPI programme from 1985 to 1989</v>
      </c>
      <c r="C3" s="7" t="str">
        <f aca="false">IF(ISNUMBER(SEARCH("Demographic and Health",B3)),"DHS",IF(OR(ISNUMBER(SEARCH("Multiple Indicator Cluster",B3)),ISNUMBER(SEARCH("MICS",B3))),"MICS",IF(ISNUMBER(SEARCH("Immunization Coverage Survey",B3)),"Coverage survey",IF(ISNUMBER(SEARCH("Nutrition",B3)),"Nutrition survey","Other"))))</f>
        <v>Other</v>
      </c>
      <c r="D3" s="7" t="n">
        <f aca="false">VALUE(LEFT(Raw_Nigeria!D3,4))</f>
        <v>1985</v>
      </c>
      <c r="E3" s="7" t="str">
        <f aca="false">IF(VALUE(RIGHT(Raw_Nigeria!D3,2))&gt;12,"",VALUE(RIGHT(Raw_Nigeria!D3,2)))</f>
        <v/>
      </c>
      <c r="F3" s="7" t="n">
        <f aca="false">VALUE(LEFT(Raw_Nigeria!E3,4))</f>
        <v>1985</v>
      </c>
      <c r="G3" s="7" t="str">
        <f aca="false">IF(VALUE(RIGHT(Raw_Nigeria!E3,2))&gt;12,"",VALUE(RIGHT(Raw_Nigeria!E3,2)))</f>
        <v/>
      </c>
      <c r="H3" s="7" t="n">
        <f aca="false">Raw_Nigeria!F3</f>
        <v>1984</v>
      </c>
      <c r="I3" s="7" t="str">
        <f aca="false">UPPER(TRIM(Raw_Nigeria!G3))</f>
        <v>DTP3</v>
      </c>
      <c r="J3" s="7" t="str">
        <f aca="false">Raw_Nigeria!H3</f>
        <v>Record or Recall</v>
      </c>
      <c r="K3" s="7" t="str">
        <f aca="false">Raw_Nigeria!L3</f>
        <v>12-23 m</v>
      </c>
      <c r="L3" s="7" t="str">
        <f aca="false">IF(Raw_Nigeria!K3="","n/a",Raw_Nigeria!K3)</f>
        <v>0-23 m</v>
      </c>
      <c r="M3" s="7" t="str">
        <f aca="false">IF(Raw_Nigeria!I3="","",Raw_Nigeria!I3)</f>
        <v/>
      </c>
      <c r="N3" s="7" t="n">
        <f aca="false">Raw_Nigeria!M3</f>
        <v>8.9</v>
      </c>
      <c r="O3" s="7" t="str">
        <f aca="false">IF(Raw_Nigeria!N3="","",Raw_Nigeria!N3)</f>
        <v/>
      </c>
      <c r="P3" s="7" t="str">
        <f aca="false">IF(K3="CBAW","Women of child-bearing age","Children")</f>
        <v>Children</v>
      </c>
      <c r="Q3" s="7" t="n">
        <f aca="false">IF(J3="NOT USED",1,0)</f>
        <v>0</v>
      </c>
      <c r="R3" s="7" t="n">
        <f aca="false">IF(AND(P3="Children",Q3=0),1,0)</f>
        <v>1</v>
      </c>
      <c r="S3" s="7" t="n">
        <f aca="false">IF(AND(R3=1,J3="Record or Recall",K3="12-23 m"),1,0)</f>
        <v>1</v>
      </c>
      <c r="T3" s="7" t="n">
        <f aca="false">IF(OR(I3="BCG",I3="DTP1",I3="DTP3",I3="POL3",I3="MCV1",I3="FULL"),1,0)</f>
        <v>1</v>
      </c>
      <c r="U3" s="7" t="n">
        <f aca="false">IF(OR(C3="DHS",C3="MICS"),1,0)</f>
        <v>0</v>
      </c>
      <c r="V3" s="7" t="n">
        <f aca="false">IF(O3="",1,0)</f>
        <v>1</v>
      </c>
      <c r="W3" s="7" t="n">
        <f aca="false">IF(M3="",1,0)</f>
        <v>1</v>
      </c>
      <c r="X3" s="7" t="n">
        <f aca="false">COUNTIFS($B$2:$B$1141,B3,$H$2:$H$1141,H3,$I$2:$I$1141,I3,$J$2:$J$1141,J3,$K$2:$K$1141,K3,$L$2:$L$1141,L3)</f>
        <v>1</v>
      </c>
    </row>
    <row r="4" customFormat="false" ht="15" hidden="false" customHeight="false" outlineLevel="0" collapsed="false">
      <c r="A4" s="7" t="n">
        <f aca="false">ROW()-1</f>
        <v>3</v>
      </c>
      <c r="B4" s="7" t="str">
        <f aca="false">IF(Raw_Nigeria!B4="",TRIM(Raw_Nigeria!C4),TRIM(Raw_Nigeria!B4))</f>
        <v>Status report on revised EPI programme from 1985 to 1989</v>
      </c>
      <c r="C4" s="7" t="str">
        <f aca="false">IF(ISNUMBER(SEARCH("Demographic and Health",B4)),"DHS",IF(OR(ISNUMBER(SEARCH("Multiple Indicator Cluster",B4)),ISNUMBER(SEARCH("MICS",B4))),"MICS",IF(ISNUMBER(SEARCH("Immunization Coverage Survey",B4)),"Coverage survey",IF(ISNUMBER(SEARCH("Nutrition",B4)),"Nutrition survey","Other"))))</f>
        <v>Other</v>
      </c>
      <c r="D4" s="7" t="n">
        <f aca="false">VALUE(LEFT(Raw_Nigeria!D4,4))</f>
        <v>1985</v>
      </c>
      <c r="E4" s="7" t="str">
        <f aca="false">IF(VALUE(RIGHT(Raw_Nigeria!D4,2))&gt;12,"",VALUE(RIGHT(Raw_Nigeria!D4,2)))</f>
        <v/>
      </c>
      <c r="F4" s="7" t="n">
        <f aca="false">VALUE(LEFT(Raw_Nigeria!E4,4))</f>
        <v>1985</v>
      </c>
      <c r="G4" s="7" t="str">
        <f aca="false">IF(VALUE(RIGHT(Raw_Nigeria!E4,2))&gt;12,"",VALUE(RIGHT(Raw_Nigeria!E4,2)))</f>
        <v/>
      </c>
      <c r="H4" s="7" t="n">
        <f aca="false">Raw_Nigeria!F4</f>
        <v>1984</v>
      </c>
      <c r="I4" s="7" t="str">
        <f aca="false">UPPER(TRIM(Raw_Nigeria!G4))</f>
        <v>MCV1</v>
      </c>
      <c r="J4" s="7" t="str">
        <f aca="false">Raw_Nigeria!H4</f>
        <v>Record or Recall</v>
      </c>
      <c r="K4" s="7" t="str">
        <f aca="false">Raw_Nigeria!L4</f>
        <v>12-23 m</v>
      </c>
      <c r="L4" s="7" t="str">
        <f aca="false">IF(Raw_Nigeria!K4="","n/a",Raw_Nigeria!K4)</f>
        <v>0-23 m</v>
      </c>
      <c r="M4" s="7" t="str">
        <f aca="false">IF(Raw_Nigeria!I4="","",Raw_Nigeria!I4)</f>
        <v/>
      </c>
      <c r="N4" s="7" t="n">
        <f aca="false">Raw_Nigeria!M4</f>
        <v>9.1</v>
      </c>
      <c r="O4" s="7" t="str">
        <f aca="false">IF(Raw_Nigeria!N4="","",Raw_Nigeria!N4)</f>
        <v/>
      </c>
      <c r="P4" s="7" t="str">
        <f aca="false">IF(K4="CBAW","Women of child-bearing age","Children")</f>
        <v>Children</v>
      </c>
      <c r="Q4" s="7" t="n">
        <f aca="false">IF(J4="NOT USED",1,0)</f>
        <v>0</v>
      </c>
      <c r="R4" s="7" t="n">
        <f aca="false">IF(AND(P4="Children",Q4=0),1,0)</f>
        <v>1</v>
      </c>
      <c r="S4" s="7" t="n">
        <f aca="false">IF(AND(R4=1,J4="Record or Recall",K4="12-23 m"),1,0)</f>
        <v>1</v>
      </c>
      <c r="T4" s="7" t="n">
        <f aca="false">IF(OR(I4="BCG",I4="DTP1",I4="DTP3",I4="POL3",I4="MCV1",I4="FULL"),1,0)</f>
        <v>1</v>
      </c>
      <c r="U4" s="7" t="n">
        <f aca="false">IF(OR(C4="DHS",C4="MICS"),1,0)</f>
        <v>0</v>
      </c>
      <c r="V4" s="7" t="n">
        <f aca="false">IF(O4="",1,0)</f>
        <v>1</v>
      </c>
      <c r="W4" s="7" t="n">
        <f aca="false">IF(M4="",1,0)</f>
        <v>1</v>
      </c>
      <c r="X4" s="7" t="n">
        <f aca="false">COUNTIFS($B$2:$B$1141,B4,$H$2:$H$1141,H4,$I$2:$I$1141,I4,$J$2:$J$1141,J4,$K$2:$K$1141,K4,$L$2:$L$1141,L4)</f>
        <v>1</v>
      </c>
    </row>
    <row r="5" customFormat="false" ht="15" hidden="false" customHeight="false" outlineLevel="0" collapsed="false">
      <c r="A5" s="7" t="n">
        <f aca="false">ROW()-1</f>
        <v>4</v>
      </c>
      <c r="B5" s="7" t="str">
        <f aca="false">IF(Raw_Nigeria!B5="",TRIM(Raw_Nigeria!C5),TRIM(Raw_Nigeria!B5))</f>
        <v>Status report on revised EPI programme from 1985 to 1989</v>
      </c>
      <c r="C5" s="7" t="str">
        <f aca="false">IF(ISNUMBER(SEARCH("Demographic and Health",B5)),"DHS",IF(OR(ISNUMBER(SEARCH("Multiple Indicator Cluster",B5)),ISNUMBER(SEARCH("MICS",B5))),"MICS",IF(ISNUMBER(SEARCH("Immunization Coverage Survey",B5)),"Coverage survey",IF(ISNUMBER(SEARCH("Nutrition",B5)),"Nutrition survey","Other"))))</f>
        <v>Other</v>
      </c>
      <c r="D5" s="7" t="n">
        <f aca="false">VALUE(LEFT(Raw_Nigeria!D5,4))</f>
        <v>1985</v>
      </c>
      <c r="E5" s="7" t="str">
        <f aca="false">IF(VALUE(RIGHT(Raw_Nigeria!D5,2))&gt;12,"",VALUE(RIGHT(Raw_Nigeria!D5,2)))</f>
        <v/>
      </c>
      <c r="F5" s="7" t="n">
        <f aca="false">VALUE(LEFT(Raw_Nigeria!E5,4))</f>
        <v>1985</v>
      </c>
      <c r="G5" s="7" t="str">
        <f aca="false">IF(VALUE(RIGHT(Raw_Nigeria!E5,2))&gt;12,"",VALUE(RIGHT(Raw_Nigeria!E5,2)))</f>
        <v/>
      </c>
      <c r="H5" s="7" t="n">
        <f aca="false">Raw_Nigeria!F5</f>
        <v>1984</v>
      </c>
      <c r="I5" s="7" t="str">
        <f aca="false">UPPER(TRIM(Raw_Nigeria!G5))</f>
        <v>POL3</v>
      </c>
      <c r="J5" s="7" t="str">
        <f aca="false">Raw_Nigeria!H5</f>
        <v>Record or Recall</v>
      </c>
      <c r="K5" s="7" t="str">
        <f aca="false">Raw_Nigeria!L5</f>
        <v>12-23 m</v>
      </c>
      <c r="L5" s="7" t="str">
        <f aca="false">IF(Raw_Nigeria!K5="","n/a",Raw_Nigeria!K5)</f>
        <v>0-23 m</v>
      </c>
      <c r="M5" s="7" t="str">
        <f aca="false">IF(Raw_Nigeria!I5="","",Raw_Nigeria!I5)</f>
        <v/>
      </c>
      <c r="N5" s="7" t="n">
        <f aca="false">Raw_Nigeria!M5</f>
        <v>8.1</v>
      </c>
      <c r="O5" s="7" t="str">
        <f aca="false">IF(Raw_Nigeria!N5="","",Raw_Nigeria!N5)</f>
        <v/>
      </c>
      <c r="P5" s="7" t="str">
        <f aca="false">IF(K5="CBAW","Women of child-bearing age","Children")</f>
        <v>Children</v>
      </c>
      <c r="Q5" s="7" t="n">
        <f aca="false">IF(J5="NOT USED",1,0)</f>
        <v>0</v>
      </c>
      <c r="R5" s="7" t="n">
        <f aca="false">IF(AND(P5="Children",Q5=0),1,0)</f>
        <v>1</v>
      </c>
      <c r="S5" s="7" t="n">
        <f aca="false">IF(AND(R5=1,J5="Record or Recall",K5="12-23 m"),1,0)</f>
        <v>1</v>
      </c>
      <c r="T5" s="7" t="n">
        <f aca="false">IF(OR(I5="BCG",I5="DTP1",I5="DTP3",I5="POL3",I5="MCV1",I5="FULL"),1,0)</f>
        <v>1</v>
      </c>
      <c r="U5" s="7" t="n">
        <f aca="false">IF(OR(C5="DHS",C5="MICS"),1,0)</f>
        <v>0</v>
      </c>
      <c r="V5" s="7" t="n">
        <f aca="false">IF(O5="",1,0)</f>
        <v>1</v>
      </c>
      <c r="W5" s="7" t="n">
        <f aca="false">IF(M5="",1,0)</f>
        <v>1</v>
      </c>
      <c r="X5" s="7" t="n">
        <f aca="false">COUNTIFS($B$2:$B$1141,B5,$H$2:$H$1141,H5,$I$2:$I$1141,I5,$J$2:$J$1141,J5,$K$2:$K$1141,K5,$L$2:$L$1141,L5)</f>
        <v>1</v>
      </c>
    </row>
    <row r="6" customFormat="false" ht="15" hidden="false" customHeight="false" outlineLevel="0" collapsed="false">
      <c r="A6" s="7" t="n">
        <f aca="false">ROW()-1</f>
        <v>5</v>
      </c>
      <c r="B6" s="7" t="str">
        <f aca="false">IF(Raw_Nigeria!B6="",TRIM(Raw_Nigeria!C6),TRIM(Raw_Nigeria!B6))</f>
        <v>Status report on revised EPI programme from 1985 to 1989</v>
      </c>
      <c r="C6" s="7" t="str">
        <f aca="false">IF(ISNUMBER(SEARCH("Demographic and Health",B6)),"DHS",IF(OR(ISNUMBER(SEARCH("Multiple Indicator Cluster",B6)),ISNUMBER(SEARCH("MICS",B6))),"MICS",IF(ISNUMBER(SEARCH("Immunization Coverage Survey",B6)),"Coverage survey",IF(ISNUMBER(SEARCH("Nutrition",B6)),"Nutrition survey","Other"))))</f>
        <v>Other</v>
      </c>
      <c r="D6" s="7" t="n">
        <f aca="false">VALUE(LEFT(Raw_Nigeria!D6,4))</f>
        <v>1985</v>
      </c>
      <c r="E6" s="7" t="str">
        <f aca="false">IF(VALUE(RIGHT(Raw_Nigeria!D6,2))&gt;12,"",VALUE(RIGHT(Raw_Nigeria!D6,2)))</f>
        <v/>
      </c>
      <c r="F6" s="7" t="n">
        <f aca="false">VALUE(LEFT(Raw_Nigeria!E6,4))</f>
        <v>1985</v>
      </c>
      <c r="G6" s="7" t="str">
        <f aca="false">IF(VALUE(RIGHT(Raw_Nigeria!E6,2))&gt;12,"",VALUE(RIGHT(Raw_Nigeria!E6,2)))</f>
        <v/>
      </c>
      <c r="H6" s="7" t="n">
        <f aca="false">Raw_Nigeria!F6</f>
        <v>1984</v>
      </c>
      <c r="I6" s="7" t="str">
        <f aca="false">UPPER(TRIM(Raw_Nigeria!G6))</f>
        <v>TT1</v>
      </c>
      <c r="J6" s="7" t="str">
        <f aca="false">Raw_Nigeria!H6</f>
        <v>Record or Recall</v>
      </c>
      <c r="K6" s="7" t="str">
        <f aca="false">Raw_Nigeria!L6</f>
        <v>CBAW</v>
      </c>
      <c r="L6" s="7" t="str">
        <f aca="false">IF(Raw_Nigeria!K6="","n/a",Raw_Nigeria!K6)</f>
        <v>n/a</v>
      </c>
      <c r="M6" s="7" t="str">
        <f aca="false">IF(Raw_Nigeria!I6="","",Raw_Nigeria!I6)</f>
        <v/>
      </c>
      <c r="N6" s="7" t="n">
        <f aca="false">Raw_Nigeria!M6</f>
        <v>11.1</v>
      </c>
      <c r="O6" s="7" t="str">
        <f aca="false">IF(Raw_Nigeria!N6="","",Raw_Nigeria!N6)</f>
        <v/>
      </c>
      <c r="P6" s="7" t="str">
        <f aca="false">IF(K6="CBAW","Women of child-bearing age","Children")</f>
        <v>Women of child-bearing age</v>
      </c>
      <c r="Q6" s="7" t="n">
        <f aca="false">IF(J6="NOT USED",1,0)</f>
        <v>0</v>
      </c>
      <c r="R6" s="7" t="n">
        <f aca="false">IF(AND(P6="Children",Q6=0),1,0)</f>
        <v>0</v>
      </c>
      <c r="S6" s="7" t="n">
        <f aca="false">IF(AND(R6=1,J6="Record or Recall",K6="12-23 m"),1,0)</f>
        <v>0</v>
      </c>
      <c r="T6" s="7" t="n">
        <f aca="false">IF(OR(I6="BCG",I6="DTP1",I6="DTP3",I6="POL3",I6="MCV1",I6="FULL"),1,0)</f>
        <v>0</v>
      </c>
      <c r="U6" s="7" t="n">
        <f aca="false">IF(OR(C6="DHS",C6="MICS"),1,0)</f>
        <v>0</v>
      </c>
      <c r="V6" s="7" t="n">
        <f aca="false">IF(O6="",1,0)</f>
        <v>1</v>
      </c>
      <c r="W6" s="7" t="n">
        <f aca="false">IF(M6="",1,0)</f>
        <v>1</v>
      </c>
      <c r="X6" s="7" t="n">
        <f aca="false">COUNTIFS($B$2:$B$1141,B6,$H$2:$H$1141,H6,$I$2:$I$1141,I6,$J$2:$J$1141,J6,$K$2:$K$1141,K6,$L$2:$L$1141,L6)</f>
        <v>1</v>
      </c>
    </row>
    <row r="7" customFormat="false" ht="15" hidden="false" customHeight="false" outlineLevel="0" collapsed="false">
      <c r="A7" s="7" t="n">
        <f aca="false">ROW()-1</f>
        <v>6</v>
      </c>
      <c r="B7" s="7" t="str">
        <f aca="false">IF(Raw_Nigeria!B7="",TRIM(Raw_Nigeria!C7),TRIM(Raw_Nigeria!B7))</f>
        <v>Status report on revised EPI programme from 1985 to 1989</v>
      </c>
      <c r="C7" s="7" t="str">
        <f aca="false">IF(ISNUMBER(SEARCH("Demographic and Health",B7)),"DHS",IF(OR(ISNUMBER(SEARCH("Multiple Indicator Cluster",B7)),ISNUMBER(SEARCH("MICS",B7))),"MICS",IF(ISNUMBER(SEARCH("Immunization Coverage Survey",B7)),"Coverage survey",IF(ISNUMBER(SEARCH("Nutrition",B7)),"Nutrition survey","Other"))))</f>
        <v>Other</v>
      </c>
      <c r="D7" s="7" t="n">
        <f aca="false">VALUE(LEFT(Raw_Nigeria!D7,4))</f>
        <v>1985</v>
      </c>
      <c r="E7" s="7" t="str">
        <f aca="false">IF(VALUE(RIGHT(Raw_Nigeria!D7,2))&gt;12,"",VALUE(RIGHT(Raw_Nigeria!D7,2)))</f>
        <v/>
      </c>
      <c r="F7" s="7" t="n">
        <f aca="false">VALUE(LEFT(Raw_Nigeria!E7,4))</f>
        <v>1985</v>
      </c>
      <c r="G7" s="7" t="str">
        <f aca="false">IF(VALUE(RIGHT(Raw_Nigeria!E7,2))&gt;12,"",VALUE(RIGHT(Raw_Nigeria!E7,2)))</f>
        <v/>
      </c>
      <c r="H7" s="7" t="n">
        <f aca="false">Raw_Nigeria!F7</f>
        <v>1984</v>
      </c>
      <c r="I7" s="7" t="str">
        <f aca="false">UPPER(TRIM(Raw_Nigeria!G7))</f>
        <v>TT2+</v>
      </c>
      <c r="J7" s="7" t="str">
        <f aca="false">Raw_Nigeria!H7</f>
        <v>Record or Recall</v>
      </c>
      <c r="K7" s="7" t="str">
        <f aca="false">Raw_Nigeria!L7</f>
        <v>CBAW</v>
      </c>
      <c r="L7" s="7" t="str">
        <f aca="false">IF(Raw_Nigeria!K7="","n/a",Raw_Nigeria!K7)</f>
        <v>n/a</v>
      </c>
      <c r="M7" s="7" t="str">
        <f aca="false">IF(Raw_Nigeria!I7="","",Raw_Nigeria!I7)</f>
        <v/>
      </c>
      <c r="N7" s="7" t="n">
        <f aca="false">Raw_Nigeria!M7</f>
        <v>7</v>
      </c>
      <c r="O7" s="7" t="str">
        <f aca="false">IF(Raw_Nigeria!N7="","",Raw_Nigeria!N7)</f>
        <v/>
      </c>
      <c r="P7" s="7" t="str">
        <f aca="false">IF(K7="CBAW","Women of child-bearing age","Children")</f>
        <v>Women of child-bearing age</v>
      </c>
      <c r="Q7" s="7" t="n">
        <f aca="false">IF(J7="NOT USED",1,0)</f>
        <v>0</v>
      </c>
      <c r="R7" s="7" t="n">
        <f aca="false">IF(AND(P7="Children",Q7=0),1,0)</f>
        <v>0</v>
      </c>
      <c r="S7" s="7" t="n">
        <f aca="false">IF(AND(R7=1,J7="Record or Recall",K7="12-23 m"),1,0)</f>
        <v>0</v>
      </c>
      <c r="T7" s="7" t="n">
        <f aca="false">IF(OR(I7="BCG",I7="DTP1",I7="DTP3",I7="POL3",I7="MCV1",I7="FULL"),1,0)</f>
        <v>0</v>
      </c>
      <c r="U7" s="7" t="n">
        <f aca="false">IF(OR(C7="DHS",C7="MICS"),1,0)</f>
        <v>0</v>
      </c>
      <c r="V7" s="7" t="n">
        <f aca="false">IF(O7="",1,0)</f>
        <v>1</v>
      </c>
      <c r="W7" s="7" t="n">
        <f aca="false">IF(M7="",1,0)</f>
        <v>1</v>
      </c>
      <c r="X7" s="7" t="n">
        <f aca="false">COUNTIFS($B$2:$B$1141,B7,$H$2:$H$1141,H7,$I$2:$I$1141,I7,$J$2:$J$1141,J7,$K$2:$K$1141,K7,$L$2:$L$1141,L7)</f>
        <v>1</v>
      </c>
    </row>
    <row r="8" customFormat="false" ht="15" hidden="false" customHeight="false" outlineLevel="0" collapsed="false">
      <c r="A8" s="7" t="n">
        <f aca="false">ROW()-1</f>
        <v>7</v>
      </c>
      <c r="B8" s="7" t="str">
        <f aca="false">IF(Raw_Nigeria!B8="",TRIM(Raw_Nigeria!C8),TRIM(Raw_Nigeria!B8))</f>
        <v>Status report on revised EPI programme from 1985 to 1989</v>
      </c>
      <c r="C8" s="7" t="str">
        <f aca="false">IF(ISNUMBER(SEARCH("Demographic and Health",B8)),"DHS",IF(OR(ISNUMBER(SEARCH("Multiple Indicator Cluster",B8)),ISNUMBER(SEARCH("MICS",B8))),"MICS",IF(ISNUMBER(SEARCH("Immunization Coverage Survey",B8)),"Coverage survey",IF(ISNUMBER(SEARCH("Nutrition",B8)),"Nutrition survey","Other"))))</f>
        <v>Other</v>
      </c>
      <c r="D8" s="7" t="n">
        <f aca="false">VALUE(LEFT(Raw_Nigeria!D8,4))</f>
        <v>1986</v>
      </c>
      <c r="E8" s="7" t="str">
        <f aca="false">IF(VALUE(RIGHT(Raw_Nigeria!D8,2))&gt;12,"",VALUE(RIGHT(Raw_Nigeria!D8,2)))</f>
        <v/>
      </c>
      <c r="F8" s="7" t="n">
        <f aca="false">VALUE(LEFT(Raw_Nigeria!E8,4))</f>
        <v>1986</v>
      </c>
      <c r="G8" s="7" t="str">
        <f aca="false">IF(VALUE(RIGHT(Raw_Nigeria!E8,2))&gt;12,"",VALUE(RIGHT(Raw_Nigeria!E8,2)))</f>
        <v/>
      </c>
      <c r="H8" s="7" t="n">
        <f aca="false">Raw_Nigeria!F8</f>
        <v>1985</v>
      </c>
      <c r="I8" s="7" t="str">
        <f aca="false">UPPER(TRIM(Raw_Nigeria!G8))</f>
        <v>BCG</v>
      </c>
      <c r="J8" s="7" t="str">
        <f aca="false">Raw_Nigeria!H8</f>
        <v>Record or Recall</v>
      </c>
      <c r="K8" s="7" t="str">
        <f aca="false">Raw_Nigeria!L8</f>
        <v>12-23 m</v>
      </c>
      <c r="L8" s="7" t="str">
        <f aca="false">IF(Raw_Nigeria!K8="","n/a",Raw_Nigeria!K8)</f>
        <v>0-23 m</v>
      </c>
      <c r="M8" s="7" t="str">
        <f aca="false">IF(Raw_Nigeria!I8="","",Raw_Nigeria!I8)</f>
        <v/>
      </c>
      <c r="N8" s="7" t="n">
        <f aca="false">Raw_Nigeria!M8</f>
        <v>28.3</v>
      </c>
      <c r="O8" s="7" t="str">
        <f aca="false">IF(Raw_Nigeria!N8="","",Raw_Nigeria!N8)</f>
        <v/>
      </c>
      <c r="P8" s="7" t="str">
        <f aca="false">IF(K8="CBAW","Women of child-bearing age","Children")</f>
        <v>Children</v>
      </c>
      <c r="Q8" s="7" t="n">
        <f aca="false">IF(J8="NOT USED",1,0)</f>
        <v>0</v>
      </c>
      <c r="R8" s="7" t="n">
        <f aca="false">IF(AND(P8="Children",Q8=0),1,0)</f>
        <v>1</v>
      </c>
      <c r="S8" s="7" t="n">
        <f aca="false">IF(AND(R8=1,J8="Record or Recall",K8="12-23 m"),1,0)</f>
        <v>1</v>
      </c>
      <c r="T8" s="7" t="n">
        <f aca="false">IF(OR(I8="BCG",I8="DTP1",I8="DTP3",I8="POL3",I8="MCV1",I8="FULL"),1,0)</f>
        <v>1</v>
      </c>
      <c r="U8" s="7" t="n">
        <f aca="false">IF(OR(C8="DHS",C8="MICS"),1,0)</f>
        <v>0</v>
      </c>
      <c r="V8" s="7" t="n">
        <f aca="false">IF(O8="",1,0)</f>
        <v>1</v>
      </c>
      <c r="W8" s="7" t="n">
        <f aca="false">IF(M8="",1,0)</f>
        <v>1</v>
      </c>
      <c r="X8" s="7" t="n">
        <f aca="false">COUNTIFS($B$2:$B$1141,B8,$H$2:$H$1141,H8,$I$2:$I$1141,I8,$J$2:$J$1141,J8,$K$2:$K$1141,K8,$L$2:$L$1141,L8)</f>
        <v>1</v>
      </c>
    </row>
    <row r="9" customFormat="false" ht="15" hidden="false" customHeight="false" outlineLevel="0" collapsed="false">
      <c r="A9" s="7" t="n">
        <f aca="false">ROW()-1</f>
        <v>8</v>
      </c>
      <c r="B9" s="7" t="str">
        <f aca="false">IF(Raw_Nigeria!B9="",TRIM(Raw_Nigeria!C9),TRIM(Raw_Nigeria!B9))</f>
        <v>Status report on revised EPI programme from 1985 to 1989</v>
      </c>
      <c r="C9" s="7" t="str">
        <f aca="false">IF(ISNUMBER(SEARCH("Demographic and Health",B9)),"DHS",IF(OR(ISNUMBER(SEARCH("Multiple Indicator Cluster",B9)),ISNUMBER(SEARCH("MICS",B9))),"MICS",IF(ISNUMBER(SEARCH("Immunization Coverage Survey",B9)),"Coverage survey",IF(ISNUMBER(SEARCH("Nutrition",B9)),"Nutrition survey","Other"))))</f>
        <v>Other</v>
      </c>
      <c r="D9" s="7" t="n">
        <f aca="false">VALUE(LEFT(Raw_Nigeria!D9,4))</f>
        <v>1986</v>
      </c>
      <c r="E9" s="7" t="str">
        <f aca="false">IF(VALUE(RIGHT(Raw_Nigeria!D9,2))&gt;12,"",VALUE(RIGHT(Raw_Nigeria!D9,2)))</f>
        <v/>
      </c>
      <c r="F9" s="7" t="n">
        <f aca="false">VALUE(LEFT(Raw_Nigeria!E9,4))</f>
        <v>1986</v>
      </c>
      <c r="G9" s="7" t="str">
        <f aca="false">IF(VALUE(RIGHT(Raw_Nigeria!E9,2))&gt;12,"",VALUE(RIGHT(Raw_Nigeria!E9,2)))</f>
        <v/>
      </c>
      <c r="H9" s="7" t="n">
        <f aca="false">Raw_Nigeria!F9</f>
        <v>1985</v>
      </c>
      <c r="I9" s="7" t="str">
        <f aca="false">UPPER(TRIM(Raw_Nigeria!G9))</f>
        <v>DTP3</v>
      </c>
      <c r="J9" s="7" t="str">
        <f aca="false">Raw_Nigeria!H9</f>
        <v>Record or Recall</v>
      </c>
      <c r="K9" s="7" t="str">
        <f aca="false">Raw_Nigeria!L9</f>
        <v>12-23 m</v>
      </c>
      <c r="L9" s="7" t="str">
        <f aca="false">IF(Raw_Nigeria!K9="","n/a",Raw_Nigeria!K9)</f>
        <v>0-23 m</v>
      </c>
      <c r="M9" s="7" t="str">
        <f aca="false">IF(Raw_Nigeria!I9="","",Raw_Nigeria!I9)</f>
        <v/>
      </c>
      <c r="N9" s="7" t="n">
        <f aca="false">Raw_Nigeria!M9</f>
        <v>15.9</v>
      </c>
      <c r="O9" s="7" t="str">
        <f aca="false">IF(Raw_Nigeria!N9="","",Raw_Nigeria!N9)</f>
        <v/>
      </c>
      <c r="P9" s="7" t="str">
        <f aca="false">IF(K9="CBAW","Women of child-bearing age","Children")</f>
        <v>Children</v>
      </c>
      <c r="Q9" s="7" t="n">
        <f aca="false">IF(J9="NOT USED",1,0)</f>
        <v>0</v>
      </c>
      <c r="R9" s="7" t="n">
        <f aca="false">IF(AND(P9="Children",Q9=0),1,0)</f>
        <v>1</v>
      </c>
      <c r="S9" s="7" t="n">
        <f aca="false">IF(AND(R9=1,J9="Record or Recall",K9="12-23 m"),1,0)</f>
        <v>1</v>
      </c>
      <c r="T9" s="7" t="n">
        <f aca="false">IF(OR(I9="BCG",I9="DTP1",I9="DTP3",I9="POL3",I9="MCV1",I9="FULL"),1,0)</f>
        <v>1</v>
      </c>
      <c r="U9" s="7" t="n">
        <f aca="false">IF(OR(C9="DHS",C9="MICS"),1,0)</f>
        <v>0</v>
      </c>
      <c r="V9" s="7" t="n">
        <f aca="false">IF(O9="",1,0)</f>
        <v>1</v>
      </c>
      <c r="W9" s="7" t="n">
        <f aca="false">IF(M9="",1,0)</f>
        <v>1</v>
      </c>
      <c r="X9" s="7" t="n">
        <f aca="false">COUNTIFS($B$2:$B$1141,B9,$H$2:$H$1141,H9,$I$2:$I$1141,I9,$J$2:$J$1141,J9,$K$2:$K$1141,K9,$L$2:$L$1141,L9)</f>
        <v>1</v>
      </c>
    </row>
    <row r="10" customFormat="false" ht="15" hidden="false" customHeight="false" outlineLevel="0" collapsed="false">
      <c r="A10" s="7" t="n">
        <f aca="false">ROW()-1</f>
        <v>9</v>
      </c>
      <c r="B10" s="7" t="str">
        <f aca="false">IF(Raw_Nigeria!B10="",TRIM(Raw_Nigeria!C10),TRIM(Raw_Nigeria!B10))</f>
        <v>Status report on revised EPI programme from 1985 to 1989</v>
      </c>
      <c r="C10" s="7" t="str">
        <f aca="false">IF(ISNUMBER(SEARCH("Demographic and Health",B10)),"DHS",IF(OR(ISNUMBER(SEARCH("Multiple Indicator Cluster",B10)),ISNUMBER(SEARCH("MICS",B10))),"MICS",IF(ISNUMBER(SEARCH("Immunization Coverage Survey",B10)),"Coverage survey",IF(ISNUMBER(SEARCH("Nutrition",B10)),"Nutrition survey","Other"))))</f>
        <v>Other</v>
      </c>
      <c r="D10" s="7" t="n">
        <f aca="false">VALUE(LEFT(Raw_Nigeria!D10,4))</f>
        <v>1986</v>
      </c>
      <c r="E10" s="7" t="str">
        <f aca="false">IF(VALUE(RIGHT(Raw_Nigeria!D10,2))&gt;12,"",VALUE(RIGHT(Raw_Nigeria!D10,2)))</f>
        <v/>
      </c>
      <c r="F10" s="7" t="n">
        <f aca="false">VALUE(LEFT(Raw_Nigeria!E10,4))</f>
        <v>1986</v>
      </c>
      <c r="G10" s="7" t="str">
        <f aca="false">IF(VALUE(RIGHT(Raw_Nigeria!E10,2))&gt;12,"",VALUE(RIGHT(Raw_Nigeria!E10,2)))</f>
        <v/>
      </c>
      <c r="H10" s="7" t="n">
        <f aca="false">Raw_Nigeria!F10</f>
        <v>1985</v>
      </c>
      <c r="I10" s="7" t="str">
        <f aca="false">UPPER(TRIM(Raw_Nigeria!G10))</f>
        <v>MCV1</v>
      </c>
      <c r="J10" s="7" t="str">
        <f aca="false">Raw_Nigeria!H10</f>
        <v>Record or Recall</v>
      </c>
      <c r="K10" s="7" t="str">
        <f aca="false">Raw_Nigeria!L10</f>
        <v>12-23 m</v>
      </c>
      <c r="L10" s="7" t="str">
        <f aca="false">IF(Raw_Nigeria!K10="","n/a",Raw_Nigeria!K10)</f>
        <v>0-23 m</v>
      </c>
      <c r="M10" s="7" t="str">
        <f aca="false">IF(Raw_Nigeria!I10="","",Raw_Nigeria!I10)</f>
        <v/>
      </c>
      <c r="N10" s="7" t="n">
        <f aca="false">Raw_Nigeria!M10</f>
        <v>17.2</v>
      </c>
      <c r="O10" s="7" t="str">
        <f aca="false">IF(Raw_Nigeria!N10="","",Raw_Nigeria!N10)</f>
        <v/>
      </c>
      <c r="P10" s="7" t="str">
        <f aca="false">IF(K10="CBAW","Women of child-bearing age","Children")</f>
        <v>Children</v>
      </c>
      <c r="Q10" s="7" t="n">
        <f aca="false">IF(J10="NOT USED",1,0)</f>
        <v>0</v>
      </c>
      <c r="R10" s="7" t="n">
        <f aca="false">IF(AND(P10="Children",Q10=0),1,0)</f>
        <v>1</v>
      </c>
      <c r="S10" s="7" t="n">
        <f aca="false">IF(AND(R10=1,J10="Record or Recall",K10="12-23 m"),1,0)</f>
        <v>1</v>
      </c>
      <c r="T10" s="7" t="n">
        <f aca="false">IF(OR(I10="BCG",I10="DTP1",I10="DTP3",I10="POL3",I10="MCV1",I10="FULL"),1,0)</f>
        <v>1</v>
      </c>
      <c r="U10" s="7" t="n">
        <f aca="false">IF(OR(C10="DHS",C10="MICS"),1,0)</f>
        <v>0</v>
      </c>
      <c r="V10" s="7" t="n">
        <f aca="false">IF(O10="",1,0)</f>
        <v>1</v>
      </c>
      <c r="W10" s="7" t="n">
        <f aca="false">IF(M10="",1,0)</f>
        <v>1</v>
      </c>
      <c r="X10" s="7" t="n">
        <f aca="false">COUNTIFS($B$2:$B$1141,B10,$H$2:$H$1141,H10,$I$2:$I$1141,I10,$J$2:$J$1141,J10,$K$2:$K$1141,K10,$L$2:$L$1141,L10)</f>
        <v>1</v>
      </c>
    </row>
    <row r="11" customFormat="false" ht="15" hidden="false" customHeight="false" outlineLevel="0" collapsed="false">
      <c r="A11" s="7" t="n">
        <f aca="false">ROW()-1</f>
        <v>10</v>
      </c>
      <c r="B11" s="7" t="str">
        <f aca="false">IF(Raw_Nigeria!B11="",TRIM(Raw_Nigeria!C11),TRIM(Raw_Nigeria!B11))</f>
        <v>Status report on revised EPI programme from 1985 to 1989</v>
      </c>
      <c r="C11" s="7" t="str">
        <f aca="false">IF(ISNUMBER(SEARCH("Demographic and Health",B11)),"DHS",IF(OR(ISNUMBER(SEARCH("Multiple Indicator Cluster",B11)),ISNUMBER(SEARCH("MICS",B11))),"MICS",IF(ISNUMBER(SEARCH("Immunization Coverage Survey",B11)),"Coverage survey",IF(ISNUMBER(SEARCH("Nutrition",B11)),"Nutrition survey","Other"))))</f>
        <v>Other</v>
      </c>
      <c r="D11" s="7" t="n">
        <f aca="false">VALUE(LEFT(Raw_Nigeria!D11,4))</f>
        <v>1986</v>
      </c>
      <c r="E11" s="7" t="str">
        <f aca="false">IF(VALUE(RIGHT(Raw_Nigeria!D11,2))&gt;12,"",VALUE(RIGHT(Raw_Nigeria!D11,2)))</f>
        <v/>
      </c>
      <c r="F11" s="7" t="n">
        <f aca="false">VALUE(LEFT(Raw_Nigeria!E11,4))</f>
        <v>1986</v>
      </c>
      <c r="G11" s="7" t="str">
        <f aca="false">IF(VALUE(RIGHT(Raw_Nigeria!E11,2))&gt;12,"",VALUE(RIGHT(Raw_Nigeria!E11,2)))</f>
        <v/>
      </c>
      <c r="H11" s="7" t="n">
        <f aca="false">Raw_Nigeria!F11</f>
        <v>1985</v>
      </c>
      <c r="I11" s="7" t="str">
        <f aca="false">UPPER(TRIM(Raw_Nigeria!G11))</f>
        <v>POL3</v>
      </c>
      <c r="J11" s="7" t="str">
        <f aca="false">Raw_Nigeria!H11</f>
        <v>Record or Recall</v>
      </c>
      <c r="K11" s="7" t="str">
        <f aca="false">Raw_Nigeria!L11</f>
        <v>12-23 m</v>
      </c>
      <c r="L11" s="7" t="str">
        <f aca="false">IF(Raw_Nigeria!K11="","n/a",Raw_Nigeria!K11)</f>
        <v>0-23 m</v>
      </c>
      <c r="M11" s="7" t="str">
        <f aca="false">IF(Raw_Nigeria!I11="","",Raw_Nigeria!I11)</f>
        <v/>
      </c>
      <c r="N11" s="7" t="n">
        <f aca="false">Raw_Nigeria!M11</f>
        <v>16.3</v>
      </c>
      <c r="O11" s="7" t="str">
        <f aca="false">IF(Raw_Nigeria!N11="","",Raw_Nigeria!N11)</f>
        <v/>
      </c>
      <c r="P11" s="7" t="str">
        <f aca="false">IF(K11="CBAW","Women of child-bearing age","Children")</f>
        <v>Children</v>
      </c>
      <c r="Q11" s="7" t="n">
        <f aca="false">IF(J11="NOT USED",1,0)</f>
        <v>0</v>
      </c>
      <c r="R11" s="7" t="n">
        <f aca="false">IF(AND(P11="Children",Q11=0),1,0)</f>
        <v>1</v>
      </c>
      <c r="S11" s="7" t="n">
        <f aca="false">IF(AND(R11=1,J11="Record or Recall",K11="12-23 m"),1,0)</f>
        <v>1</v>
      </c>
      <c r="T11" s="7" t="n">
        <f aca="false">IF(OR(I11="BCG",I11="DTP1",I11="DTP3",I11="POL3",I11="MCV1",I11="FULL"),1,0)</f>
        <v>1</v>
      </c>
      <c r="U11" s="7" t="n">
        <f aca="false">IF(OR(C11="DHS",C11="MICS"),1,0)</f>
        <v>0</v>
      </c>
      <c r="V11" s="7" t="n">
        <f aca="false">IF(O11="",1,0)</f>
        <v>1</v>
      </c>
      <c r="W11" s="7" t="n">
        <f aca="false">IF(M11="",1,0)</f>
        <v>1</v>
      </c>
      <c r="X11" s="7" t="n">
        <f aca="false">COUNTIFS($B$2:$B$1141,B11,$H$2:$H$1141,H11,$I$2:$I$1141,I11,$J$2:$J$1141,J11,$K$2:$K$1141,K11,$L$2:$L$1141,L11)</f>
        <v>1</v>
      </c>
    </row>
    <row r="12" customFormat="false" ht="15" hidden="false" customHeight="false" outlineLevel="0" collapsed="false">
      <c r="A12" s="7" t="n">
        <f aca="false">ROW()-1</f>
        <v>11</v>
      </c>
      <c r="B12" s="7" t="str">
        <f aca="false">IF(Raw_Nigeria!B12="",TRIM(Raw_Nigeria!C12),TRIM(Raw_Nigeria!B12))</f>
        <v>Status report on revised EPI programme from 1985 to 1989</v>
      </c>
      <c r="C12" s="7" t="str">
        <f aca="false">IF(ISNUMBER(SEARCH("Demographic and Health",B12)),"DHS",IF(OR(ISNUMBER(SEARCH("Multiple Indicator Cluster",B12)),ISNUMBER(SEARCH("MICS",B12))),"MICS",IF(ISNUMBER(SEARCH("Immunization Coverage Survey",B12)),"Coverage survey",IF(ISNUMBER(SEARCH("Nutrition",B12)),"Nutrition survey","Other"))))</f>
        <v>Other</v>
      </c>
      <c r="D12" s="7" t="n">
        <f aca="false">VALUE(LEFT(Raw_Nigeria!D12,4))</f>
        <v>1986</v>
      </c>
      <c r="E12" s="7" t="str">
        <f aca="false">IF(VALUE(RIGHT(Raw_Nigeria!D12,2))&gt;12,"",VALUE(RIGHT(Raw_Nigeria!D12,2)))</f>
        <v/>
      </c>
      <c r="F12" s="7" t="n">
        <f aca="false">VALUE(LEFT(Raw_Nigeria!E12,4))</f>
        <v>1986</v>
      </c>
      <c r="G12" s="7" t="str">
        <f aca="false">IF(VALUE(RIGHT(Raw_Nigeria!E12,2))&gt;12,"",VALUE(RIGHT(Raw_Nigeria!E12,2)))</f>
        <v/>
      </c>
      <c r="H12" s="7" t="n">
        <f aca="false">Raw_Nigeria!F12</f>
        <v>1985</v>
      </c>
      <c r="I12" s="7" t="str">
        <f aca="false">UPPER(TRIM(Raw_Nigeria!G12))</f>
        <v>TT1</v>
      </c>
      <c r="J12" s="7" t="str">
        <f aca="false">Raw_Nigeria!H12</f>
        <v>Record or Recall</v>
      </c>
      <c r="K12" s="7" t="str">
        <f aca="false">Raw_Nigeria!L12</f>
        <v>CBAW</v>
      </c>
      <c r="L12" s="7" t="str">
        <f aca="false">IF(Raw_Nigeria!K12="","n/a",Raw_Nigeria!K12)</f>
        <v>n/a</v>
      </c>
      <c r="M12" s="7" t="str">
        <f aca="false">IF(Raw_Nigeria!I12="","",Raw_Nigeria!I12)</f>
        <v/>
      </c>
      <c r="N12" s="7" t="n">
        <f aca="false">Raw_Nigeria!M12</f>
        <v>17.4</v>
      </c>
      <c r="O12" s="7" t="str">
        <f aca="false">IF(Raw_Nigeria!N12="","",Raw_Nigeria!N12)</f>
        <v/>
      </c>
      <c r="P12" s="7" t="str">
        <f aca="false">IF(K12="CBAW","Women of child-bearing age","Children")</f>
        <v>Women of child-bearing age</v>
      </c>
      <c r="Q12" s="7" t="n">
        <f aca="false">IF(J12="NOT USED",1,0)</f>
        <v>0</v>
      </c>
      <c r="R12" s="7" t="n">
        <f aca="false">IF(AND(P12="Children",Q12=0),1,0)</f>
        <v>0</v>
      </c>
      <c r="S12" s="7" t="n">
        <f aca="false">IF(AND(R12=1,J12="Record or Recall",K12="12-23 m"),1,0)</f>
        <v>0</v>
      </c>
      <c r="T12" s="7" t="n">
        <f aca="false">IF(OR(I12="BCG",I12="DTP1",I12="DTP3",I12="POL3",I12="MCV1",I12="FULL"),1,0)</f>
        <v>0</v>
      </c>
      <c r="U12" s="7" t="n">
        <f aca="false">IF(OR(C12="DHS",C12="MICS"),1,0)</f>
        <v>0</v>
      </c>
      <c r="V12" s="7" t="n">
        <f aca="false">IF(O12="",1,0)</f>
        <v>1</v>
      </c>
      <c r="W12" s="7" t="n">
        <f aca="false">IF(M12="",1,0)</f>
        <v>1</v>
      </c>
      <c r="X12" s="7" t="n">
        <f aca="false">COUNTIFS($B$2:$B$1141,B12,$H$2:$H$1141,H12,$I$2:$I$1141,I12,$J$2:$J$1141,J12,$K$2:$K$1141,K12,$L$2:$L$1141,L12)</f>
        <v>1</v>
      </c>
    </row>
    <row r="13" customFormat="false" ht="15" hidden="false" customHeight="false" outlineLevel="0" collapsed="false">
      <c r="A13" s="7" t="n">
        <f aca="false">ROW()-1</f>
        <v>12</v>
      </c>
      <c r="B13" s="7" t="str">
        <f aca="false">IF(Raw_Nigeria!B13="",TRIM(Raw_Nigeria!C13),TRIM(Raw_Nigeria!B13))</f>
        <v>Status report on revised EPI programme from 1985 to 1989</v>
      </c>
      <c r="C13" s="7" t="str">
        <f aca="false">IF(ISNUMBER(SEARCH("Demographic and Health",B13)),"DHS",IF(OR(ISNUMBER(SEARCH("Multiple Indicator Cluster",B13)),ISNUMBER(SEARCH("MICS",B13))),"MICS",IF(ISNUMBER(SEARCH("Immunization Coverage Survey",B13)),"Coverage survey",IF(ISNUMBER(SEARCH("Nutrition",B13)),"Nutrition survey","Other"))))</f>
        <v>Other</v>
      </c>
      <c r="D13" s="7" t="n">
        <f aca="false">VALUE(LEFT(Raw_Nigeria!D13,4))</f>
        <v>1986</v>
      </c>
      <c r="E13" s="7" t="str">
        <f aca="false">IF(VALUE(RIGHT(Raw_Nigeria!D13,2))&gt;12,"",VALUE(RIGHT(Raw_Nigeria!D13,2)))</f>
        <v/>
      </c>
      <c r="F13" s="7" t="n">
        <f aca="false">VALUE(LEFT(Raw_Nigeria!E13,4))</f>
        <v>1986</v>
      </c>
      <c r="G13" s="7" t="str">
        <f aca="false">IF(VALUE(RIGHT(Raw_Nigeria!E13,2))&gt;12,"",VALUE(RIGHT(Raw_Nigeria!E13,2)))</f>
        <v/>
      </c>
      <c r="H13" s="7" t="n">
        <f aca="false">Raw_Nigeria!F13</f>
        <v>1985</v>
      </c>
      <c r="I13" s="7" t="str">
        <f aca="false">UPPER(TRIM(Raw_Nigeria!G13))</f>
        <v>TT2+</v>
      </c>
      <c r="J13" s="7" t="str">
        <f aca="false">Raw_Nigeria!H13</f>
        <v>Record or Recall</v>
      </c>
      <c r="K13" s="7" t="str">
        <f aca="false">Raw_Nigeria!L13</f>
        <v>CBAW</v>
      </c>
      <c r="L13" s="7" t="str">
        <f aca="false">IF(Raw_Nigeria!K13="","n/a",Raw_Nigeria!K13)</f>
        <v>n/a</v>
      </c>
      <c r="M13" s="7" t="str">
        <f aca="false">IF(Raw_Nigeria!I13="","",Raw_Nigeria!I13)</f>
        <v/>
      </c>
      <c r="N13" s="7" t="n">
        <f aca="false">Raw_Nigeria!M13</f>
        <v>17.4</v>
      </c>
      <c r="O13" s="7" t="str">
        <f aca="false">IF(Raw_Nigeria!N13="","",Raw_Nigeria!N13)</f>
        <v/>
      </c>
      <c r="P13" s="7" t="str">
        <f aca="false">IF(K13="CBAW","Women of child-bearing age","Children")</f>
        <v>Women of child-bearing age</v>
      </c>
      <c r="Q13" s="7" t="n">
        <f aca="false">IF(J13="NOT USED",1,0)</f>
        <v>0</v>
      </c>
      <c r="R13" s="7" t="n">
        <f aca="false">IF(AND(P13="Children",Q13=0),1,0)</f>
        <v>0</v>
      </c>
      <c r="S13" s="7" t="n">
        <f aca="false">IF(AND(R13=1,J13="Record or Recall",K13="12-23 m"),1,0)</f>
        <v>0</v>
      </c>
      <c r="T13" s="7" t="n">
        <f aca="false">IF(OR(I13="BCG",I13="DTP1",I13="DTP3",I13="POL3",I13="MCV1",I13="FULL"),1,0)</f>
        <v>0</v>
      </c>
      <c r="U13" s="7" t="n">
        <f aca="false">IF(OR(C13="DHS",C13="MICS"),1,0)</f>
        <v>0</v>
      </c>
      <c r="V13" s="7" t="n">
        <f aca="false">IF(O13="",1,0)</f>
        <v>1</v>
      </c>
      <c r="W13" s="7" t="n">
        <f aca="false">IF(M13="",1,0)</f>
        <v>1</v>
      </c>
      <c r="X13" s="7" t="n">
        <f aca="false">COUNTIFS($B$2:$B$1141,B13,$H$2:$H$1141,H13,$I$2:$I$1141,I13,$J$2:$J$1141,J13,$K$2:$K$1141,K13,$L$2:$L$1141,L13)</f>
        <v>1</v>
      </c>
    </row>
    <row r="14" customFormat="false" ht="15" hidden="false" customHeight="false" outlineLevel="0" collapsed="false">
      <c r="A14" s="7" t="n">
        <f aca="false">ROW()-1</f>
        <v>13</v>
      </c>
      <c r="B14" s="7" t="str">
        <f aca="false">IF(Raw_Nigeria!B14="",TRIM(Raw_Nigeria!C14),TRIM(Raw_Nigeria!B14))</f>
        <v>Status report on revised EPI programme from 1985 to 1989</v>
      </c>
      <c r="C14" s="7" t="str">
        <f aca="false">IF(ISNUMBER(SEARCH("Demographic and Health",B14)),"DHS",IF(OR(ISNUMBER(SEARCH("Multiple Indicator Cluster",B14)),ISNUMBER(SEARCH("MICS",B14))),"MICS",IF(ISNUMBER(SEARCH("Immunization Coverage Survey",B14)),"Coverage survey",IF(ISNUMBER(SEARCH("Nutrition",B14)),"Nutrition survey","Other"))))</f>
        <v>Other</v>
      </c>
      <c r="D14" s="7" t="n">
        <f aca="false">VALUE(LEFT(Raw_Nigeria!D14,4))</f>
        <v>1987</v>
      </c>
      <c r="E14" s="7" t="str">
        <f aca="false">IF(VALUE(RIGHT(Raw_Nigeria!D14,2))&gt;12,"",VALUE(RIGHT(Raw_Nigeria!D14,2)))</f>
        <v/>
      </c>
      <c r="F14" s="7" t="n">
        <f aca="false">VALUE(LEFT(Raw_Nigeria!E14,4))</f>
        <v>1987</v>
      </c>
      <c r="G14" s="7" t="str">
        <f aca="false">IF(VALUE(RIGHT(Raw_Nigeria!E14,2))&gt;12,"",VALUE(RIGHT(Raw_Nigeria!E14,2)))</f>
        <v/>
      </c>
      <c r="H14" s="7" t="n">
        <f aca="false">Raw_Nigeria!F14</f>
        <v>1986</v>
      </c>
      <c r="I14" s="7" t="str">
        <f aca="false">UPPER(TRIM(Raw_Nigeria!G14))</f>
        <v>BCG</v>
      </c>
      <c r="J14" s="7" t="str">
        <f aca="false">Raw_Nigeria!H14</f>
        <v>Record or Recall</v>
      </c>
      <c r="K14" s="7" t="str">
        <f aca="false">Raw_Nigeria!L14</f>
        <v>12-23 m</v>
      </c>
      <c r="L14" s="7" t="str">
        <f aca="false">IF(Raw_Nigeria!K14="","n/a",Raw_Nigeria!K14)</f>
        <v>0-23 m</v>
      </c>
      <c r="M14" s="7" t="str">
        <f aca="false">IF(Raw_Nigeria!I14="","",Raw_Nigeria!I14)</f>
        <v/>
      </c>
      <c r="N14" s="7" t="n">
        <f aca="false">Raw_Nigeria!M14</f>
        <v>40</v>
      </c>
      <c r="O14" s="7" t="str">
        <f aca="false">IF(Raw_Nigeria!N14="","",Raw_Nigeria!N14)</f>
        <v/>
      </c>
      <c r="P14" s="7" t="str">
        <f aca="false">IF(K14="CBAW","Women of child-bearing age","Children")</f>
        <v>Children</v>
      </c>
      <c r="Q14" s="7" t="n">
        <f aca="false">IF(J14="NOT USED",1,0)</f>
        <v>0</v>
      </c>
      <c r="R14" s="7" t="n">
        <f aca="false">IF(AND(P14="Children",Q14=0),1,0)</f>
        <v>1</v>
      </c>
      <c r="S14" s="7" t="n">
        <f aca="false">IF(AND(R14=1,J14="Record or Recall",K14="12-23 m"),1,0)</f>
        <v>1</v>
      </c>
      <c r="T14" s="7" t="n">
        <f aca="false">IF(OR(I14="BCG",I14="DTP1",I14="DTP3",I14="POL3",I14="MCV1",I14="FULL"),1,0)</f>
        <v>1</v>
      </c>
      <c r="U14" s="7" t="n">
        <f aca="false">IF(OR(C14="DHS",C14="MICS"),1,0)</f>
        <v>0</v>
      </c>
      <c r="V14" s="7" t="n">
        <f aca="false">IF(O14="",1,0)</f>
        <v>1</v>
      </c>
      <c r="W14" s="7" t="n">
        <f aca="false">IF(M14="",1,0)</f>
        <v>1</v>
      </c>
      <c r="X14" s="7" t="n">
        <f aca="false">COUNTIFS($B$2:$B$1141,B14,$H$2:$H$1141,H14,$I$2:$I$1141,I14,$J$2:$J$1141,J14,$K$2:$K$1141,K14,$L$2:$L$1141,L14)</f>
        <v>1</v>
      </c>
    </row>
    <row r="15" customFormat="false" ht="15" hidden="false" customHeight="false" outlineLevel="0" collapsed="false">
      <c r="A15" s="7" t="n">
        <f aca="false">ROW()-1</f>
        <v>14</v>
      </c>
      <c r="B15" s="7" t="str">
        <f aca="false">IF(Raw_Nigeria!B15="",TRIM(Raw_Nigeria!C15),TRIM(Raw_Nigeria!B15))</f>
        <v>Nigeria Demographic and Health Survey 1990, 1992</v>
      </c>
      <c r="C15" s="7" t="str">
        <f aca="false">IF(ISNUMBER(SEARCH("Demographic and Health",B15)),"DHS",IF(OR(ISNUMBER(SEARCH("Multiple Indicator Cluster",B15)),ISNUMBER(SEARCH("MICS",B15))),"MICS",IF(ISNUMBER(SEARCH("Immunization Coverage Survey",B15)),"Coverage survey",IF(ISNUMBER(SEARCH("Nutrition",B15)),"Nutrition survey","Other"))))</f>
        <v>DHS</v>
      </c>
      <c r="D15" s="7" t="n">
        <f aca="false">VALUE(LEFT(Raw_Nigeria!D15,4))</f>
        <v>1990</v>
      </c>
      <c r="E15" s="7" t="n">
        <f aca="false">IF(VALUE(RIGHT(Raw_Nigeria!D15,2))&gt;12,"",VALUE(RIGHT(Raw_Nigeria!D15,2)))</f>
        <v>4</v>
      </c>
      <c r="F15" s="7" t="n">
        <f aca="false">VALUE(LEFT(Raw_Nigeria!E15,4))</f>
        <v>1990</v>
      </c>
      <c r="G15" s="7" t="n">
        <f aca="false">IF(VALUE(RIGHT(Raw_Nigeria!E15,2))&gt;12,"",VALUE(RIGHT(Raw_Nigeria!E15,2)))</f>
        <v>10</v>
      </c>
      <c r="H15" s="7" t="n">
        <f aca="false">Raw_Nigeria!F15</f>
        <v>1986</v>
      </c>
      <c r="I15" s="7" t="str">
        <f aca="false">UPPER(TRIM(Raw_Nigeria!G15))</f>
        <v>BCG</v>
      </c>
      <c r="J15" s="7" t="str">
        <f aca="false">Raw_Nigeria!H15</f>
        <v>Record or Recall&lt;12m</v>
      </c>
      <c r="K15" s="7" t="str">
        <f aca="false">Raw_Nigeria!L15</f>
        <v>48-59 m</v>
      </c>
      <c r="L15" s="7" t="str">
        <f aca="false">IF(Raw_Nigeria!K15="","n/a",Raw_Nigeria!K15)</f>
        <v>0-12 m</v>
      </c>
      <c r="M15" s="7" t="str">
        <f aca="false">IF(Raw_Nigeria!I15="","",Raw_Nigeria!I15)</f>
        <v/>
      </c>
      <c r="N15" s="7" t="n">
        <f aca="false">Raw_Nigeria!M15</f>
        <v>30.4</v>
      </c>
      <c r="O15" s="7" t="n">
        <f aca="false">IF(Raw_Nigeria!N15="","",Raw_Nigeria!N15)</f>
        <v>1349</v>
      </c>
      <c r="P15" s="7" t="str">
        <f aca="false">IF(K15="CBAW","Women of child-bearing age","Children")</f>
        <v>Children</v>
      </c>
      <c r="Q15" s="7" t="n">
        <f aca="false">IF(J15="NOT USED",1,0)</f>
        <v>0</v>
      </c>
      <c r="R15" s="7" t="n">
        <f aca="false">IF(AND(P15="Children",Q15=0),1,0)</f>
        <v>1</v>
      </c>
      <c r="S15" s="7" t="n">
        <f aca="false">IF(AND(R15=1,J15="Record or Recall",K15="12-23 m"),1,0)</f>
        <v>0</v>
      </c>
      <c r="T15" s="7" t="n">
        <f aca="false">IF(OR(I15="BCG",I15="DTP1",I15="DTP3",I15="POL3",I15="MCV1",I15="FULL"),1,0)</f>
        <v>1</v>
      </c>
      <c r="U15" s="7" t="n">
        <f aca="false">IF(OR(C15="DHS",C15="MICS"),1,0)</f>
        <v>1</v>
      </c>
      <c r="V15" s="7" t="n">
        <f aca="false">IF(O15="",1,0)</f>
        <v>0</v>
      </c>
      <c r="W15" s="7" t="n">
        <f aca="false">IF(M15="",1,0)</f>
        <v>1</v>
      </c>
      <c r="X15" s="7" t="n">
        <f aca="false">COUNTIFS($B$2:$B$1141,B15,$H$2:$H$1141,H15,$I$2:$I$1141,I15,$J$2:$J$1141,J15,$K$2:$K$1141,K15,$L$2:$L$1141,L15)</f>
        <v>1</v>
      </c>
    </row>
    <row r="16" customFormat="false" ht="15" hidden="false" customHeight="false" outlineLevel="0" collapsed="false">
      <c r="A16" s="7" t="n">
        <f aca="false">ROW()-1</f>
        <v>15</v>
      </c>
      <c r="B16" s="7" t="str">
        <f aca="false">IF(Raw_Nigeria!B16="",TRIM(Raw_Nigeria!C16),TRIM(Raw_Nigeria!B16))</f>
        <v>Nigeria Demographic and Health Survey 1990, 1992</v>
      </c>
      <c r="C16" s="7" t="str">
        <f aca="false">IF(ISNUMBER(SEARCH("Demographic and Health",B16)),"DHS",IF(OR(ISNUMBER(SEARCH("Multiple Indicator Cluster",B16)),ISNUMBER(SEARCH("MICS",B16))),"MICS",IF(ISNUMBER(SEARCH("Immunization Coverage Survey",B16)),"Coverage survey",IF(ISNUMBER(SEARCH("Nutrition",B16)),"Nutrition survey","Other"))))</f>
        <v>DHS</v>
      </c>
      <c r="D16" s="7" t="n">
        <f aca="false">VALUE(LEFT(Raw_Nigeria!D16,4))</f>
        <v>1990</v>
      </c>
      <c r="E16" s="7" t="n">
        <f aca="false">IF(VALUE(RIGHT(Raw_Nigeria!D16,2))&gt;12,"",VALUE(RIGHT(Raw_Nigeria!D16,2)))</f>
        <v>4</v>
      </c>
      <c r="F16" s="7" t="n">
        <f aca="false">VALUE(LEFT(Raw_Nigeria!E16,4))</f>
        <v>1990</v>
      </c>
      <c r="G16" s="7" t="n">
        <f aca="false">IF(VALUE(RIGHT(Raw_Nigeria!E16,2))&gt;12,"",VALUE(RIGHT(Raw_Nigeria!E16,2)))</f>
        <v>10</v>
      </c>
      <c r="H16" s="7" t="n">
        <f aca="false">Raw_Nigeria!F16</f>
        <v>1986</v>
      </c>
      <c r="I16" s="7" t="str">
        <f aca="false">UPPER(TRIM(Raw_Nigeria!G16))</f>
        <v>DTP1</v>
      </c>
      <c r="J16" s="7" t="str">
        <f aca="false">Raw_Nigeria!H16</f>
        <v>Record or Recall&lt;12m</v>
      </c>
      <c r="K16" s="7" t="str">
        <f aca="false">Raw_Nigeria!L16</f>
        <v>48-59 m</v>
      </c>
      <c r="L16" s="7" t="str">
        <f aca="false">IF(Raw_Nigeria!K16="","n/a",Raw_Nigeria!K16)</f>
        <v>0-12 m</v>
      </c>
      <c r="M16" s="7" t="str">
        <f aca="false">IF(Raw_Nigeria!I16="","",Raw_Nigeria!I16)</f>
        <v/>
      </c>
      <c r="N16" s="7" t="n">
        <f aca="false">Raw_Nigeria!M16</f>
        <v>27</v>
      </c>
      <c r="O16" s="7" t="n">
        <f aca="false">IF(Raw_Nigeria!N16="","",Raw_Nigeria!N16)</f>
        <v>1349</v>
      </c>
      <c r="P16" s="7" t="str">
        <f aca="false">IF(K16="CBAW","Women of child-bearing age","Children")</f>
        <v>Children</v>
      </c>
      <c r="Q16" s="7" t="n">
        <f aca="false">IF(J16="NOT USED",1,0)</f>
        <v>0</v>
      </c>
      <c r="R16" s="7" t="n">
        <f aca="false">IF(AND(P16="Children",Q16=0),1,0)</f>
        <v>1</v>
      </c>
      <c r="S16" s="7" t="n">
        <f aca="false">IF(AND(R16=1,J16="Record or Recall",K16="12-23 m"),1,0)</f>
        <v>0</v>
      </c>
      <c r="T16" s="7" t="n">
        <f aca="false">IF(OR(I16="BCG",I16="DTP1",I16="DTP3",I16="POL3",I16="MCV1",I16="FULL"),1,0)</f>
        <v>1</v>
      </c>
      <c r="U16" s="7" t="n">
        <f aca="false">IF(OR(C16="DHS",C16="MICS"),1,0)</f>
        <v>1</v>
      </c>
      <c r="V16" s="7" t="n">
        <f aca="false">IF(O16="",1,0)</f>
        <v>0</v>
      </c>
      <c r="W16" s="7" t="n">
        <f aca="false">IF(M16="",1,0)</f>
        <v>1</v>
      </c>
      <c r="X16" s="7" t="n">
        <f aca="false">COUNTIFS($B$2:$B$1141,B16,$H$2:$H$1141,H16,$I$2:$I$1141,I16,$J$2:$J$1141,J16,$K$2:$K$1141,K16,$L$2:$L$1141,L16)</f>
        <v>1</v>
      </c>
    </row>
    <row r="17" customFormat="false" ht="15" hidden="false" customHeight="false" outlineLevel="0" collapsed="false">
      <c r="A17" s="7" t="n">
        <f aca="false">ROW()-1</f>
        <v>16</v>
      </c>
      <c r="B17" s="7" t="str">
        <f aca="false">IF(Raw_Nigeria!B17="",TRIM(Raw_Nigeria!C17),TRIM(Raw_Nigeria!B17))</f>
        <v>Status report on revised EPI programme from 1985 to 1989</v>
      </c>
      <c r="C17" s="7" t="str">
        <f aca="false">IF(ISNUMBER(SEARCH("Demographic and Health",B17)),"DHS",IF(OR(ISNUMBER(SEARCH("Multiple Indicator Cluster",B17)),ISNUMBER(SEARCH("MICS",B17))),"MICS",IF(ISNUMBER(SEARCH("Immunization Coverage Survey",B17)),"Coverage survey",IF(ISNUMBER(SEARCH("Nutrition",B17)),"Nutrition survey","Other"))))</f>
        <v>Other</v>
      </c>
      <c r="D17" s="7" t="n">
        <f aca="false">VALUE(LEFT(Raw_Nigeria!D17,4))</f>
        <v>1987</v>
      </c>
      <c r="E17" s="7" t="str">
        <f aca="false">IF(VALUE(RIGHT(Raw_Nigeria!D17,2))&gt;12,"",VALUE(RIGHT(Raw_Nigeria!D17,2)))</f>
        <v/>
      </c>
      <c r="F17" s="7" t="n">
        <f aca="false">VALUE(LEFT(Raw_Nigeria!E17,4))</f>
        <v>1987</v>
      </c>
      <c r="G17" s="7" t="str">
        <f aca="false">IF(VALUE(RIGHT(Raw_Nigeria!E17,2))&gt;12,"",VALUE(RIGHT(Raw_Nigeria!E17,2)))</f>
        <v/>
      </c>
      <c r="H17" s="7" t="n">
        <f aca="false">Raw_Nigeria!F17</f>
        <v>1986</v>
      </c>
      <c r="I17" s="7" t="str">
        <f aca="false">UPPER(TRIM(Raw_Nigeria!G17))</f>
        <v>DTP3</v>
      </c>
      <c r="J17" s="7" t="str">
        <f aca="false">Raw_Nigeria!H17</f>
        <v>Record or Recall</v>
      </c>
      <c r="K17" s="7" t="str">
        <f aca="false">Raw_Nigeria!L17</f>
        <v>12-23 m</v>
      </c>
      <c r="L17" s="7" t="str">
        <f aca="false">IF(Raw_Nigeria!K17="","n/a",Raw_Nigeria!K17)</f>
        <v>0-23 m</v>
      </c>
      <c r="M17" s="7" t="str">
        <f aca="false">IF(Raw_Nigeria!I17="","",Raw_Nigeria!I17)</f>
        <v/>
      </c>
      <c r="N17" s="7" t="n">
        <f aca="false">Raw_Nigeria!M17</f>
        <v>21.5</v>
      </c>
      <c r="O17" s="7" t="str">
        <f aca="false">IF(Raw_Nigeria!N17="","",Raw_Nigeria!N17)</f>
        <v/>
      </c>
      <c r="P17" s="7" t="str">
        <f aca="false">IF(K17="CBAW","Women of child-bearing age","Children")</f>
        <v>Children</v>
      </c>
      <c r="Q17" s="7" t="n">
        <f aca="false">IF(J17="NOT USED",1,0)</f>
        <v>0</v>
      </c>
      <c r="R17" s="7" t="n">
        <f aca="false">IF(AND(P17="Children",Q17=0),1,0)</f>
        <v>1</v>
      </c>
      <c r="S17" s="7" t="n">
        <f aca="false">IF(AND(R17=1,J17="Record or Recall",K17="12-23 m"),1,0)</f>
        <v>1</v>
      </c>
      <c r="T17" s="7" t="n">
        <f aca="false">IF(OR(I17="BCG",I17="DTP1",I17="DTP3",I17="POL3",I17="MCV1",I17="FULL"),1,0)</f>
        <v>1</v>
      </c>
      <c r="U17" s="7" t="n">
        <f aca="false">IF(OR(C17="DHS",C17="MICS"),1,0)</f>
        <v>0</v>
      </c>
      <c r="V17" s="7" t="n">
        <f aca="false">IF(O17="",1,0)</f>
        <v>1</v>
      </c>
      <c r="W17" s="7" t="n">
        <f aca="false">IF(M17="",1,0)</f>
        <v>1</v>
      </c>
      <c r="X17" s="7" t="n">
        <f aca="false">COUNTIFS($B$2:$B$1141,B17,$H$2:$H$1141,H17,$I$2:$I$1141,I17,$J$2:$J$1141,J17,$K$2:$K$1141,K17,$L$2:$L$1141,L17)</f>
        <v>1</v>
      </c>
    </row>
    <row r="18" customFormat="false" ht="15" hidden="false" customHeight="false" outlineLevel="0" collapsed="false">
      <c r="A18" s="7" t="n">
        <f aca="false">ROW()-1</f>
        <v>17</v>
      </c>
      <c r="B18" s="7" t="str">
        <f aca="false">IF(Raw_Nigeria!B18="",TRIM(Raw_Nigeria!C18),TRIM(Raw_Nigeria!B18))</f>
        <v>Nigeria Demographic and Health Survey 1990, 1992</v>
      </c>
      <c r="C18" s="7" t="str">
        <f aca="false">IF(ISNUMBER(SEARCH("Demographic and Health",B18)),"DHS",IF(OR(ISNUMBER(SEARCH("Multiple Indicator Cluster",B18)),ISNUMBER(SEARCH("MICS",B18))),"MICS",IF(ISNUMBER(SEARCH("Immunization Coverage Survey",B18)),"Coverage survey",IF(ISNUMBER(SEARCH("Nutrition",B18)),"Nutrition survey","Other"))))</f>
        <v>DHS</v>
      </c>
      <c r="D18" s="7" t="n">
        <f aca="false">VALUE(LEFT(Raw_Nigeria!D18,4))</f>
        <v>1990</v>
      </c>
      <c r="E18" s="7" t="n">
        <f aca="false">IF(VALUE(RIGHT(Raw_Nigeria!D18,2))&gt;12,"",VALUE(RIGHT(Raw_Nigeria!D18,2)))</f>
        <v>4</v>
      </c>
      <c r="F18" s="7" t="n">
        <f aca="false">VALUE(LEFT(Raw_Nigeria!E18,4))</f>
        <v>1990</v>
      </c>
      <c r="G18" s="7" t="n">
        <f aca="false">IF(VALUE(RIGHT(Raw_Nigeria!E18,2))&gt;12,"",VALUE(RIGHT(Raw_Nigeria!E18,2)))</f>
        <v>10</v>
      </c>
      <c r="H18" s="7" t="n">
        <f aca="false">Raw_Nigeria!F18</f>
        <v>1986</v>
      </c>
      <c r="I18" s="7" t="str">
        <f aca="false">UPPER(TRIM(Raw_Nigeria!G18))</f>
        <v>DTP3</v>
      </c>
      <c r="J18" s="7" t="str">
        <f aca="false">Raw_Nigeria!H18</f>
        <v>Record or Recall&lt;12m</v>
      </c>
      <c r="K18" s="7" t="str">
        <f aca="false">Raw_Nigeria!L18</f>
        <v>48-59 m</v>
      </c>
      <c r="L18" s="7" t="str">
        <f aca="false">IF(Raw_Nigeria!K18="","n/a",Raw_Nigeria!K18)</f>
        <v>0-12 m</v>
      </c>
      <c r="M18" s="7" t="str">
        <f aca="false">IF(Raw_Nigeria!I18="","",Raw_Nigeria!I18)</f>
        <v/>
      </c>
      <c r="N18" s="7" t="n">
        <f aca="false">Raw_Nigeria!M18</f>
        <v>16.6</v>
      </c>
      <c r="O18" s="7" t="n">
        <f aca="false">IF(Raw_Nigeria!N18="","",Raw_Nigeria!N18)</f>
        <v>1349</v>
      </c>
      <c r="P18" s="7" t="str">
        <f aca="false">IF(K18="CBAW","Women of child-bearing age","Children")</f>
        <v>Children</v>
      </c>
      <c r="Q18" s="7" t="n">
        <f aca="false">IF(J18="NOT USED",1,0)</f>
        <v>0</v>
      </c>
      <c r="R18" s="7" t="n">
        <f aca="false">IF(AND(P18="Children",Q18=0),1,0)</f>
        <v>1</v>
      </c>
      <c r="S18" s="7" t="n">
        <f aca="false">IF(AND(R18=1,J18="Record or Recall",K18="12-23 m"),1,0)</f>
        <v>0</v>
      </c>
      <c r="T18" s="7" t="n">
        <f aca="false">IF(OR(I18="BCG",I18="DTP1",I18="DTP3",I18="POL3",I18="MCV1",I18="FULL"),1,0)</f>
        <v>1</v>
      </c>
      <c r="U18" s="7" t="n">
        <f aca="false">IF(OR(C18="DHS",C18="MICS"),1,0)</f>
        <v>1</v>
      </c>
      <c r="V18" s="7" t="n">
        <f aca="false">IF(O18="",1,0)</f>
        <v>0</v>
      </c>
      <c r="W18" s="7" t="n">
        <f aca="false">IF(M18="",1,0)</f>
        <v>1</v>
      </c>
      <c r="X18" s="7" t="n">
        <f aca="false">COUNTIFS($B$2:$B$1141,B18,$H$2:$H$1141,H18,$I$2:$I$1141,I18,$J$2:$J$1141,J18,$K$2:$K$1141,K18,$L$2:$L$1141,L18)</f>
        <v>1</v>
      </c>
    </row>
    <row r="19" customFormat="false" ht="15" hidden="false" customHeight="false" outlineLevel="0" collapsed="false">
      <c r="A19" s="7" t="n">
        <f aca="false">ROW()-1</f>
        <v>18</v>
      </c>
      <c r="B19" s="7" t="str">
        <f aca="false">IF(Raw_Nigeria!B19="",TRIM(Raw_Nigeria!C19),TRIM(Raw_Nigeria!B19))</f>
        <v>Nigeria Demographic and Health Survey 1990, 1992</v>
      </c>
      <c r="C19" s="7" t="str">
        <f aca="false">IF(ISNUMBER(SEARCH("Demographic and Health",B19)),"DHS",IF(OR(ISNUMBER(SEARCH("Multiple Indicator Cluster",B19)),ISNUMBER(SEARCH("MICS",B19))),"MICS",IF(ISNUMBER(SEARCH("Immunization Coverage Survey",B19)),"Coverage survey",IF(ISNUMBER(SEARCH("Nutrition",B19)),"Nutrition survey","Other"))))</f>
        <v>DHS</v>
      </c>
      <c r="D19" s="7" t="n">
        <f aca="false">VALUE(LEFT(Raw_Nigeria!D19,4))</f>
        <v>1990</v>
      </c>
      <c r="E19" s="7" t="n">
        <f aca="false">IF(VALUE(RIGHT(Raw_Nigeria!D19,2))&gt;12,"",VALUE(RIGHT(Raw_Nigeria!D19,2)))</f>
        <v>4</v>
      </c>
      <c r="F19" s="7" t="n">
        <f aca="false">VALUE(LEFT(Raw_Nigeria!E19,4))</f>
        <v>1990</v>
      </c>
      <c r="G19" s="7" t="n">
        <f aca="false">IF(VALUE(RIGHT(Raw_Nigeria!E19,2))&gt;12,"",VALUE(RIGHT(Raw_Nigeria!E19,2)))</f>
        <v>10</v>
      </c>
      <c r="H19" s="7" t="n">
        <f aca="false">Raw_Nigeria!F19</f>
        <v>1986</v>
      </c>
      <c r="I19" s="7" t="str">
        <f aca="false">UPPER(TRIM(Raw_Nigeria!G19))</f>
        <v>FULL</v>
      </c>
      <c r="J19" s="7" t="str">
        <f aca="false">Raw_Nigeria!H19</f>
        <v>Record or Recall&lt;12m</v>
      </c>
      <c r="K19" s="7" t="str">
        <f aca="false">Raw_Nigeria!L19</f>
        <v>48-59 m</v>
      </c>
      <c r="L19" s="7" t="str">
        <f aca="false">IF(Raw_Nigeria!K19="","n/a",Raw_Nigeria!K19)</f>
        <v>0-12 m</v>
      </c>
      <c r="M19" s="7" t="str">
        <f aca="false">IF(Raw_Nigeria!I19="","",Raw_Nigeria!I19)</f>
        <v/>
      </c>
      <c r="N19" s="7" t="n">
        <f aca="false">Raw_Nigeria!M19</f>
        <v>11.2</v>
      </c>
      <c r="O19" s="7" t="n">
        <f aca="false">IF(Raw_Nigeria!N19="","",Raw_Nigeria!N19)</f>
        <v>1349</v>
      </c>
      <c r="P19" s="7" t="str">
        <f aca="false">IF(K19="CBAW","Women of child-bearing age","Children")</f>
        <v>Children</v>
      </c>
      <c r="Q19" s="7" t="n">
        <f aca="false">IF(J19="NOT USED",1,0)</f>
        <v>0</v>
      </c>
      <c r="R19" s="7" t="n">
        <f aca="false">IF(AND(P19="Children",Q19=0),1,0)</f>
        <v>1</v>
      </c>
      <c r="S19" s="7" t="n">
        <f aca="false">IF(AND(R19=1,J19="Record or Recall",K19="12-23 m"),1,0)</f>
        <v>0</v>
      </c>
      <c r="T19" s="7" t="n">
        <f aca="false">IF(OR(I19="BCG",I19="DTP1",I19="DTP3",I19="POL3",I19="MCV1",I19="FULL"),1,0)</f>
        <v>1</v>
      </c>
      <c r="U19" s="7" t="n">
        <f aca="false">IF(OR(C19="DHS",C19="MICS"),1,0)</f>
        <v>1</v>
      </c>
      <c r="V19" s="7" t="n">
        <f aca="false">IF(O19="",1,0)</f>
        <v>0</v>
      </c>
      <c r="W19" s="7" t="n">
        <f aca="false">IF(M19="",1,0)</f>
        <v>1</v>
      </c>
      <c r="X19" s="7" t="n">
        <f aca="false">COUNTIFS($B$2:$B$1141,B19,$H$2:$H$1141,H19,$I$2:$I$1141,I19,$J$2:$J$1141,J19,$K$2:$K$1141,K19,$L$2:$L$1141,L19)</f>
        <v>1</v>
      </c>
    </row>
    <row r="20" customFormat="false" ht="15" hidden="false" customHeight="false" outlineLevel="0" collapsed="false">
      <c r="A20" s="7" t="n">
        <f aca="false">ROW()-1</f>
        <v>19</v>
      </c>
      <c r="B20" s="7" t="str">
        <f aca="false">IF(Raw_Nigeria!B20="",TRIM(Raw_Nigeria!C20),TRIM(Raw_Nigeria!B20))</f>
        <v>Status report on revised EPI programme from 1985 to 1989</v>
      </c>
      <c r="C20" s="7" t="str">
        <f aca="false">IF(ISNUMBER(SEARCH("Demographic and Health",B20)),"DHS",IF(OR(ISNUMBER(SEARCH("Multiple Indicator Cluster",B20)),ISNUMBER(SEARCH("MICS",B20))),"MICS",IF(ISNUMBER(SEARCH("Immunization Coverage Survey",B20)),"Coverage survey",IF(ISNUMBER(SEARCH("Nutrition",B20)),"Nutrition survey","Other"))))</f>
        <v>Other</v>
      </c>
      <c r="D20" s="7" t="n">
        <f aca="false">VALUE(LEFT(Raw_Nigeria!D20,4))</f>
        <v>1987</v>
      </c>
      <c r="E20" s="7" t="str">
        <f aca="false">IF(VALUE(RIGHT(Raw_Nigeria!D20,2))&gt;12,"",VALUE(RIGHT(Raw_Nigeria!D20,2)))</f>
        <v/>
      </c>
      <c r="F20" s="7" t="n">
        <f aca="false">VALUE(LEFT(Raw_Nigeria!E20,4))</f>
        <v>1987</v>
      </c>
      <c r="G20" s="7" t="str">
        <f aca="false">IF(VALUE(RIGHT(Raw_Nigeria!E20,2))&gt;12,"",VALUE(RIGHT(Raw_Nigeria!E20,2)))</f>
        <v/>
      </c>
      <c r="H20" s="7" t="n">
        <f aca="false">Raw_Nigeria!F20</f>
        <v>1986</v>
      </c>
      <c r="I20" s="7" t="str">
        <f aca="false">UPPER(TRIM(Raw_Nigeria!G20))</f>
        <v>MCV1</v>
      </c>
      <c r="J20" s="7" t="str">
        <f aca="false">Raw_Nigeria!H20</f>
        <v>Record or Recall</v>
      </c>
      <c r="K20" s="7" t="str">
        <f aca="false">Raw_Nigeria!L20</f>
        <v>12-23 m</v>
      </c>
      <c r="L20" s="7" t="str">
        <f aca="false">IF(Raw_Nigeria!K20="","n/a",Raw_Nigeria!K20)</f>
        <v>0-23 m</v>
      </c>
      <c r="M20" s="7" t="str">
        <f aca="false">IF(Raw_Nigeria!I20="","",Raw_Nigeria!I20)</f>
        <v/>
      </c>
      <c r="N20" s="7" t="n">
        <f aca="false">Raw_Nigeria!M20</f>
        <v>28</v>
      </c>
      <c r="O20" s="7" t="str">
        <f aca="false">IF(Raw_Nigeria!N20="","",Raw_Nigeria!N20)</f>
        <v/>
      </c>
      <c r="P20" s="7" t="str">
        <f aca="false">IF(K20="CBAW","Women of child-bearing age","Children")</f>
        <v>Children</v>
      </c>
      <c r="Q20" s="7" t="n">
        <f aca="false">IF(J20="NOT USED",1,0)</f>
        <v>0</v>
      </c>
      <c r="R20" s="7" t="n">
        <f aca="false">IF(AND(P20="Children",Q20=0),1,0)</f>
        <v>1</v>
      </c>
      <c r="S20" s="7" t="n">
        <f aca="false">IF(AND(R20=1,J20="Record or Recall",K20="12-23 m"),1,0)</f>
        <v>1</v>
      </c>
      <c r="T20" s="7" t="n">
        <f aca="false">IF(OR(I20="BCG",I20="DTP1",I20="DTP3",I20="POL3",I20="MCV1",I20="FULL"),1,0)</f>
        <v>1</v>
      </c>
      <c r="U20" s="7" t="n">
        <f aca="false">IF(OR(C20="DHS",C20="MICS"),1,0)</f>
        <v>0</v>
      </c>
      <c r="V20" s="7" t="n">
        <f aca="false">IF(O20="",1,0)</f>
        <v>1</v>
      </c>
      <c r="W20" s="7" t="n">
        <f aca="false">IF(M20="",1,0)</f>
        <v>1</v>
      </c>
      <c r="X20" s="7" t="n">
        <f aca="false">COUNTIFS($B$2:$B$1141,B20,$H$2:$H$1141,H20,$I$2:$I$1141,I20,$J$2:$J$1141,J20,$K$2:$K$1141,K20,$L$2:$L$1141,L20)</f>
        <v>1</v>
      </c>
    </row>
    <row r="21" customFormat="false" ht="15" hidden="false" customHeight="false" outlineLevel="0" collapsed="false">
      <c r="A21" s="7" t="n">
        <f aca="false">ROW()-1</f>
        <v>20</v>
      </c>
      <c r="B21" s="7" t="str">
        <f aca="false">IF(Raw_Nigeria!B21="",TRIM(Raw_Nigeria!C21),TRIM(Raw_Nigeria!B21))</f>
        <v>Nigeria Demographic and Health Survey 1990, 1992</v>
      </c>
      <c r="C21" s="7" t="str">
        <f aca="false">IF(ISNUMBER(SEARCH("Demographic and Health",B21)),"DHS",IF(OR(ISNUMBER(SEARCH("Multiple Indicator Cluster",B21)),ISNUMBER(SEARCH("MICS",B21))),"MICS",IF(ISNUMBER(SEARCH("Immunization Coverage Survey",B21)),"Coverage survey",IF(ISNUMBER(SEARCH("Nutrition",B21)),"Nutrition survey","Other"))))</f>
        <v>DHS</v>
      </c>
      <c r="D21" s="7" t="n">
        <f aca="false">VALUE(LEFT(Raw_Nigeria!D21,4))</f>
        <v>1990</v>
      </c>
      <c r="E21" s="7" t="n">
        <f aca="false">IF(VALUE(RIGHT(Raw_Nigeria!D21,2))&gt;12,"",VALUE(RIGHT(Raw_Nigeria!D21,2)))</f>
        <v>4</v>
      </c>
      <c r="F21" s="7" t="n">
        <f aca="false">VALUE(LEFT(Raw_Nigeria!E21,4))</f>
        <v>1990</v>
      </c>
      <c r="G21" s="7" t="n">
        <f aca="false">IF(VALUE(RIGHT(Raw_Nigeria!E21,2))&gt;12,"",VALUE(RIGHT(Raw_Nigeria!E21,2)))</f>
        <v>10</v>
      </c>
      <c r="H21" s="7" t="n">
        <f aca="false">Raw_Nigeria!F21</f>
        <v>1986</v>
      </c>
      <c r="I21" s="7" t="str">
        <f aca="false">UPPER(TRIM(Raw_Nigeria!G21))</f>
        <v>MCV1</v>
      </c>
      <c r="J21" s="7" t="str">
        <f aca="false">Raw_Nigeria!H21</f>
        <v>Record or Recall&lt;12m</v>
      </c>
      <c r="K21" s="7" t="str">
        <f aca="false">Raw_Nigeria!L21</f>
        <v>48-59 m</v>
      </c>
      <c r="L21" s="7" t="str">
        <f aca="false">IF(Raw_Nigeria!K21="","n/a",Raw_Nigeria!K21)</f>
        <v>0-12 m</v>
      </c>
      <c r="M21" s="7" t="str">
        <f aca="false">IF(Raw_Nigeria!I21="","",Raw_Nigeria!I21)</f>
        <v/>
      </c>
      <c r="N21" s="7" t="n">
        <f aca="false">Raw_Nigeria!M21</f>
        <v>15.8</v>
      </c>
      <c r="O21" s="7" t="n">
        <f aca="false">IF(Raw_Nigeria!N21="","",Raw_Nigeria!N21)</f>
        <v>1349</v>
      </c>
      <c r="P21" s="7" t="str">
        <f aca="false">IF(K21="CBAW","Women of child-bearing age","Children")</f>
        <v>Children</v>
      </c>
      <c r="Q21" s="7" t="n">
        <f aca="false">IF(J21="NOT USED",1,0)</f>
        <v>0</v>
      </c>
      <c r="R21" s="7" t="n">
        <f aca="false">IF(AND(P21="Children",Q21=0),1,0)</f>
        <v>1</v>
      </c>
      <c r="S21" s="7" t="n">
        <f aca="false">IF(AND(R21=1,J21="Record or Recall",K21="12-23 m"),1,0)</f>
        <v>0</v>
      </c>
      <c r="T21" s="7" t="n">
        <f aca="false">IF(OR(I21="BCG",I21="DTP1",I21="DTP3",I21="POL3",I21="MCV1",I21="FULL"),1,0)</f>
        <v>1</v>
      </c>
      <c r="U21" s="7" t="n">
        <f aca="false">IF(OR(C21="DHS",C21="MICS"),1,0)</f>
        <v>1</v>
      </c>
      <c r="V21" s="7" t="n">
        <f aca="false">IF(O21="",1,0)</f>
        <v>0</v>
      </c>
      <c r="W21" s="7" t="n">
        <f aca="false">IF(M21="",1,0)</f>
        <v>1</v>
      </c>
      <c r="X21" s="7" t="n">
        <f aca="false">COUNTIFS($B$2:$B$1141,B21,$H$2:$H$1141,H21,$I$2:$I$1141,I21,$J$2:$J$1141,J21,$K$2:$K$1141,K21,$L$2:$L$1141,L21)</f>
        <v>1</v>
      </c>
    </row>
    <row r="22" customFormat="false" ht="15" hidden="false" customHeight="false" outlineLevel="0" collapsed="false">
      <c r="A22" s="7" t="n">
        <f aca="false">ROW()-1</f>
        <v>21</v>
      </c>
      <c r="B22" s="7" t="str">
        <f aca="false">IF(Raw_Nigeria!B22="",TRIM(Raw_Nigeria!C22),TRIM(Raw_Nigeria!B22))</f>
        <v>Nigeria Demographic and Health Survey 1990, 1992</v>
      </c>
      <c r="C22" s="7" t="str">
        <f aca="false">IF(ISNUMBER(SEARCH("Demographic and Health",B22)),"DHS",IF(OR(ISNUMBER(SEARCH("Multiple Indicator Cluster",B22)),ISNUMBER(SEARCH("MICS",B22))),"MICS",IF(ISNUMBER(SEARCH("Immunization Coverage Survey",B22)),"Coverage survey",IF(ISNUMBER(SEARCH("Nutrition",B22)),"Nutrition survey","Other"))))</f>
        <v>DHS</v>
      </c>
      <c r="D22" s="7" t="n">
        <f aca="false">VALUE(LEFT(Raw_Nigeria!D22,4))</f>
        <v>1990</v>
      </c>
      <c r="E22" s="7" t="n">
        <f aca="false">IF(VALUE(RIGHT(Raw_Nigeria!D22,2))&gt;12,"",VALUE(RIGHT(Raw_Nigeria!D22,2)))</f>
        <v>4</v>
      </c>
      <c r="F22" s="7" t="n">
        <f aca="false">VALUE(LEFT(Raw_Nigeria!E22,4))</f>
        <v>1990</v>
      </c>
      <c r="G22" s="7" t="n">
        <f aca="false">IF(VALUE(RIGHT(Raw_Nigeria!E22,2))&gt;12,"",VALUE(RIGHT(Raw_Nigeria!E22,2)))</f>
        <v>10</v>
      </c>
      <c r="H22" s="7" t="n">
        <f aca="false">Raw_Nigeria!F22</f>
        <v>1986</v>
      </c>
      <c r="I22" s="7" t="str">
        <f aca="false">UPPER(TRIM(Raw_Nigeria!G22))</f>
        <v>POL1</v>
      </c>
      <c r="J22" s="7" t="str">
        <f aca="false">Raw_Nigeria!H22</f>
        <v>Record or Recall&lt;12m</v>
      </c>
      <c r="K22" s="7" t="str">
        <f aca="false">Raw_Nigeria!L22</f>
        <v>48-59 m</v>
      </c>
      <c r="L22" s="7" t="str">
        <f aca="false">IF(Raw_Nigeria!K22="","n/a",Raw_Nigeria!K22)</f>
        <v>0-12 m</v>
      </c>
      <c r="M22" s="7" t="str">
        <f aca="false">IF(Raw_Nigeria!I22="","",Raw_Nigeria!I22)</f>
        <v/>
      </c>
      <c r="N22" s="7" t="n">
        <f aca="false">Raw_Nigeria!M22</f>
        <v>27.1</v>
      </c>
      <c r="O22" s="7" t="n">
        <f aca="false">IF(Raw_Nigeria!N22="","",Raw_Nigeria!N22)</f>
        <v>1349</v>
      </c>
      <c r="P22" s="7" t="str">
        <f aca="false">IF(K22="CBAW","Women of child-bearing age","Children")</f>
        <v>Children</v>
      </c>
      <c r="Q22" s="7" t="n">
        <f aca="false">IF(J22="NOT USED",1,0)</f>
        <v>0</v>
      </c>
      <c r="R22" s="7" t="n">
        <f aca="false">IF(AND(P22="Children",Q22=0),1,0)</f>
        <v>1</v>
      </c>
      <c r="S22" s="7" t="n">
        <f aca="false">IF(AND(R22=1,J22="Record or Recall",K22="12-23 m"),1,0)</f>
        <v>0</v>
      </c>
      <c r="T22" s="7" t="n">
        <f aca="false">IF(OR(I22="BCG",I22="DTP1",I22="DTP3",I22="POL3",I22="MCV1",I22="FULL"),1,0)</f>
        <v>0</v>
      </c>
      <c r="U22" s="7" t="n">
        <f aca="false">IF(OR(C22="DHS",C22="MICS"),1,0)</f>
        <v>1</v>
      </c>
      <c r="V22" s="7" t="n">
        <f aca="false">IF(O22="",1,0)</f>
        <v>0</v>
      </c>
      <c r="W22" s="7" t="n">
        <f aca="false">IF(M22="",1,0)</f>
        <v>1</v>
      </c>
      <c r="X22" s="7" t="n">
        <f aca="false">COUNTIFS($B$2:$B$1141,B22,$H$2:$H$1141,H22,$I$2:$I$1141,I22,$J$2:$J$1141,J22,$K$2:$K$1141,K22,$L$2:$L$1141,L22)</f>
        <v>1</v>
      </c>
    </row>
    <row r="23" customFormat="false" ht="15" hidden="false" customHeight="false" outlineLevel="0" collapsed="false">
      <c r="A23" s="7" t="n">
        <f aca="false">ROW()-1</f>
        <v>22</v>
      </c>
      <c r="B23" s="7" t="str">
        <f aca="false">IF(Raw_Nigeria!B23="",TRIM(Raw_Nigeria!C23),TRIM(Raw_Nigeria!B23))</f>
        <v>Status report on revised EPI programme from 1985 to 1989</v>
      </c>
      <c r="C23" s="7" t="str">
        <f aca="false">IF(ISNUMBER(SEARCH("Demographic and Health",B23)),"DHS",IF(OR(ISNUMBER(SEARCH("Multiple Indicator Cluster",B23)),ISNUMBER(SEARCH("MICS",B23))),"MICS",IF(ISNUMBER(SEARCH("Immunization Coverage Survey",B23)),"Coverage survey",IF(ISNUMBER(SEARCH("Nutrition",B23)),"Nutrition survey","Other"))))</f>
        <v>Other</v>
      </c>
      <c r="D23" s="7" t="n">
        <f aca="false">VALUE(LEFT(Raw_Nigeria!D23,4))</f>
        <v>1987</v>
      </c>
      <c r="E23" s="7" t="str">
        <f aca="false">IF(VALUE(RIGHT(Raw_Nigeria!D23,2))&gt;12,"",VALUE(RIGHT(Raw_Nigeria!D23,2)))</f>
        <v/>
      </c>
      <c r="F23" s="7" t="n">
        <f aca="false">VALUE(LEFT(Raw_Nigeria!E23,4))</f>
        <v>1987</v>
      </c>
      <c r="G23" s="7" t="str">
        <f aca="false">IF(VALUE(RIGHT(Raw_Nigeria!E23,2))&gt;12,"",VALUE(RIGHT(Raw_Nigeria!E23,2)))</f>
        <v/>
      </c>
      <c r="H23" s="7" t="n">
        <f aca="false">Raw_Nigeria!F23</f>
        <v>1986</v>
      </c>
      <c r="I23" s="7" t="str">
        <f aca="false">UPPER(TRIM(Raw_Nigeria!G23))</f>
        <v>POL3</v>
      </c>
      <c r="J23" s="7" t="str">
        <f aca="false">Raw_Nigeria!H23</f>
        <v>Record or Recall</v>
      </c>
      <c r="K23" s="7" t="str">
        <f aca="false">Raw_Nigeria!L23</f>
        <v>12-23 m</v>
      </c>
      <c r="L23" s="7" t="str">
        <f aca="false">IF(Raw_Nigeria!K23="","n/a",Raw_Nigeria!K23)</f>
        <v>0-23 m</v>
      </c>
      <c r="M23" s="7" t="str">
        <f aca="false">IF(Raw_Nigeria!I23="","",Raw_Nigeria!I23)</f>
        <v/>
      </c>
      <c r="N23" s="7" t="n">
        <f aca="false">Raw_Nigeria!M23</f>
        <v>20.7</v>
      </c>
      <c r="O23" s="7" t="str">
        <f aca="false">IF(Raw_Nigeria!N23="","",Raw_Nigeria!N23)</f>
        <v/>
      </c>
      <c r="P23" s="7" t="str">
        <f aca="false">IF(K23="CBAW","Women of child-bearing age","Children")</f>
        <v>Children</v>
      </c>
      <c r="Q23" s="7" t="n">
        <f aca="false">IF(J23="NOT USED",1,0)</f>
        <v>0</v>
      </c>
      <c r="R23" s="7" t="n">
        <f aca="false">IF(AND(P23="Children",Q23=0),1,0)</f>
        <v>1</v>
      </c>
      <c r="S23" s="7" t="n">
        <f aca="false">IF(AND(R23=1,J23="Record or Recall",K23="12-23 m"),1,0)</f>
        <v>1</v>
      </c>
      <c r="T23" s="7" t="n">
        <f aca="false">IF(OR(I23="BCG",I23="DTP1",I23="DTP3",I23="POL3",I23="MCV1",I23="FULL"),1,0)</f>
        <v>1</v>
      </c>
      <c r="U23" s="7" t="n">
        <f aca="false">IF(OR(C23="DHS",C23="MICS"),1,0)</f>
        <v>0</v>
      </c>
      <c r="V23" s="7" t="n">
        <f aca="false">IF(O23="",1,0)</f>
        <v>1</v>
      </c>
      <c r="W23" s="7" t="n">
        <f aca="false">IF(M23="",1,0)</f>
        <v>1</v>
      </c>
      <c r="X23" s="7" t="n">
        <f aca="false">COUNTIFS($B$2:$B$1141,B23,$H$2:$H$1141,H23,$I$2:$I$1141,I23,$J$2:$J$1141,J23,$K$2:$K$1141,K23,$L$2:$L$1141,L23)</f>
        <v>1</v>
      </c>
    </row>
    <row r="24" customFormat="false" ht="15" hidden="false" customHeight="false" outlineLevel="0" collapsed="false">
      <c r="A24" s="7" t="n">
        <f aca="false">ROW()-1</f>
        <v>23</v>
      </c>
      <c r="B24" s="7" t="str">
        <f aca="false">IF(Raw_Nigeria!B24="",TRIM(Raw_Nigeria!C24),TRIM(Raw_Nigeria!B24))</f>
        <v>Nigeria Demographic and Health Survey 1990, 1992</v>
      </c>
      <c r="C24" s="7" t="str">
        <f aca="false">IF(ISNUMBER(SEARCH("Demographic and Health",B24)),"DHS",IF(OR(ISNUMBER(SEARCH("Multiple Indicator Cluster",B24)),ISNUMBER(SEARCH("MICS",B24))),"MICS",IF(ISNUMBER(SEARCH("Immunization Coverage Survey",B24)),"Coverage survey",IF(ISNUMBER(SEARCH("Nutrition",B24)),"Nutrition survey","Other"))))</f>
        <v>DHS</v>
      </c>
      <c r="D24" s="7" t="n">
        <f aca="false">VALUE(LEFT(Raw_Nigeria!D24,4))</f>
        <v>1990</v>
      </c>
      <c r="E24" s="7" t="n">
        <f aca="false">IF(VALUE(RIGHT(Raw_Nigeria!D24,2))&gt;12,"",VALUE(RIGHT(Raw_Nigeria!D24,2)))</f>
        <v>4</v>
      </c>
      <c r="F24" s="7" t="n">
        <f aca="false">VALUE(LEFT(Raw_Nigeria!E24,4))</f>
        <v>1990</v>
      </c>
      <c r="G24" s="7" t="n">
        <f aca="false">IF(VALUE(RIGHT(Raw_Nigeria!E24,2))&gt;12,"",VALUE(RIGHT(Raw_Nigeria!E24,2)))</f>
        <v>10</v>
      </c>
      <c r="H24" s="7" t="n">
        <f aca="false">Raw_Nigeria!F24</f>
        <v>1986</v>
      </c>
      <c r="I24" s="7" t="str">
        <f aca="false">UPPER(TRIM(Raw_Nigeria!G24))</f>
        <v>POL3</v>
      </c>
      <c r="J24" s="7" t="str">
        <f aca="false">Raw_Nigeria!H24</f>
        <v>Record or Recall&lt;12m</v>
      </c>
      <c r="K24" s="7" t="str">
        <f aca="false">Raw_Nigeria!L24</f>
        <v>48-59 m</v>
      </c>
      <c r="L24" s="7" t="str">
        <f aca="false">IF(Raw_Nigeria!K24="","n/a",Raw_Nigeria!K24)</f>
        <v>0-12 m</v>
      </c>
      <c r="M24" s="7" t="str">
        <f aca="false">IF(Raw_Nigeria!I24="","",Raw_Nigeria!I24)</f>
        <v/>
      </c>
      <c r="N24" s="7" t="n">
        <f aca="false">Raw_Nigeria!M24</f>
        <v>16.5</v>
      </c>
      <c r="O24" s="7" t="n">
        <f aca="false">IF(Raw_Nigeria!N24="","",Raw_Nigeria!N24)</f>
        <v>1349</v>
      </c>
      <c r="P24" s="7" t="str">
        <f aca="false">IF(K24="CBAW","Women of child-bearing age","Children")</f>
        <v>Children</v>
      </c>
      <c r="Q24" s="7" t="n">
        <f aca="false">IF(J24="NOT USED",1,0)</f>
        <v>0</v>
      </c>
      <c r="R24" s="7" t="n">
        <f aca="false">IF(AND(P24="Children",Q24=0),1,0)</f>
        <v>1</v>
      </c>
      <c r="S24" s="7" t="n">
        <f aca="false">IF(AND(R24=1,J24="Record or Recall",K24="12-23 m"),1,0)</f>
        <v>0</v>
      </c>
      <c r="T24" s="7" t="n">
        <f aca="false">IF(OR(I24="BCG",I24="DTP1",I24="DTP3",I24="POL3",I24="MCV1",I24="FULL"),1,0)</f>
        <v>1</v>
      </c>
      <c r="U24" s="7" t="n">
        <f aca="false">IF(OR(C24="DHS",C24="MICS"),1,0)</f>
        <v>1</v>
      </c>
      <c r="V24" s="7" t="n">
        <f aca="false">IF(O24="",1,0)</f>
        <v>0</v>
      </c>
      <c r="W24" s="7" t="n">
        <f aca="false">IF(M24="",1,0)</f>
        <v>1</v>
      </c>
      <c r="X24" s="7" t="n">
        <f aca="false">COUNTIFS($B$2:$B$1141,B24,$H$2:$H$1141,H24,$I$2:$I$1141,I24,$J$2:$J$1141,J24,$K$2:$K$1141,K24,$L$2:$L$1141,L24)</f>
        <v>1</v>
      </c>
    </row>
    <row r="25" customFormat="false" ht="15" hidden="false" customHeight="false" outlineLevel="0" collapsed="false">
      <c r="A25" s="7" t="n">
        <f aca="false">ROW()-1</f>
        <v>24</v>
      </c>
      <c r="B25" s="7" t="str">
        <f aca="false">IF(Raw_Nigeria!B25="",TRIM(Raw_Nigeria!C25),TRIM(Raw_Nigeria!B25))</f>
        <v>Status report on revised EPI programme from 1985 to 1989</v>
      </c>
      <c r="C25" s="7" t="str">
        <f aca="false">IF(ISNUMBER(SEARCH("Demographic and Health",B25)),"DHS",IF(OR(ISNUMBER(SEARCH("Multiple Indicator Cluster",B25)),ISNUMBER(SEARCH("MICS",B25))),"MICS",IF(ISNUMBER(SEARCH("Immunization Coverage Survey",B25)),"Coverage survey",IF(ISNUMBER(SEARCH("Nutrition",B25)),"Nutrition survey","Other"))))</f>
        <v>Other</v>
      </c>
      <c r="D25" s="7" t="n">
        <f aca="false">VALUE(LEFT(Raw_Nigeria!D25,4))</f>
        <v>1987</v>
      </c>
      <c r="E25" s="7" t="str">
        <f aca="false">IF(VALUE(RIGHT(Raw_Nigeria!D25,2))&gt;12,"",VALUE(RIGHT(Raw_Nigeria!D25,2)))</f>
        <v/>
      </c>
      <c r="F25" s="7" t="n">
        <f aca="false">VALUE(LEFT(Raw_Nigeria!E25,4))</f>
        <v>1987</v>
      </c>
      <c r="G25" s="7" t="str">
        <f aca="false">IF(VALUE(RIGHT(Raw_Nigeria!E25,2))&gt;12,"",VALUE(RIGHT(Raw_Nigeria!E25,2)))</f>
        <v/>
      </c>
      <c r="H25" s="7" t="n">
        <f aca="false">Raw_Nigeria!F25</f>
        <v>1986</v>
      </c>
      <c r="I25" s="7" t="str">
        <f aca="false">UPPER(TRIM(Raw_Nigeria!G25))</f>
        <v>TT1</v>
      </c>
      <c r="J25" s="7" t="str">
        <f aca="false">Raw_Nigeria!H25</f>
        <v>Record or Recall</v>
      </c>
      <c r="K25" s="7" t="str">
        <f aca="false">Raw_Nigeria!L25</f>
        <v>CBAW</v>
      </c>
      <c r="L25" s="7" t="str">
        <f aca="false">IF(Raw_Nigeria!K25="","n/a",Raw_Nigeria!K25)</f>
        <v>n/a</v>
      </c>
      <c r="M25" s="7" t="str">
        <f aca="false">IF(Raw_Nigeria!I25="","",Raw_Nigeria!I25)</f>
        <v/>
      </c>
      <c r="N25" s="7" t="n">
        <f aca="false">Raw_Nigeria!M25</f>
        <v>21.7</v>
      </c>
      <c r="O25" s="7" t="str">
        <f aca="false">IF(Raw_Nigeria!N25="","",Raw_Nigeria!N25)</f>
        <v/>
      </c>
      <c r="P25" s="7" t="str">
        <f aca="false">IF(K25="CBAW","Women of child-bearing age","Children")</f>
        <v>Women of child-bearing age</v>
      </c>
      <c r="Q25" s="7" t="n">
        <f aca="false">IF(J25="NOT USED",1,0)</f>
        <v>0</v>
      </c>
      <c r="R25" s="7" t="n">
        <f aca="false">IF(AND(P25="Children",Q25=0),1,0)</f>
        <v>0</v>
      </c>
      <c r="S25" s="7" t="n">
        <f aca="false">IF(AND(R25=1,J25="Record or Recall",K25="12-23 m"),1,0)</f>
        <v>0</v>
      </c>
      <c r="T25" s="7" t="n">
        <f aca="false">IF(OR(I25="BCG",I25="DTP1",I25="DTP3",I25="POL3",I25="MCV1",I25="FULL"),1,0)</f>
        <v>0</v>
      </c>
      <c r="U25" s="7" t="n">
        <f aca="false">IF(OR(C25="DHS",C25="MICS"),1,0)</f>
        <v>0</v>
      </c>
      <c r="V25" s="7" t="n">
        <f aca="false">IF(O25="",1,0)</f>
        <v>1</v>
      </c>
      <c r="W25" s="7" t="n">
        <f aca="false">IF(M25="",1,0)</f>
        <v>1</v>
      </c>
      <c r="X25" s="7" t="n">
        <f aca="false">COUNTIFS($B$2:$B$1141,B25,$H$2:$H$1141,H25,$I$2:$I$1141,I25,$J$2:$J$1141,J25,$K$2:$K$1141,K25,$L$2:$L$1141,L25)</f>
        <v>1</v>
      </c>
    </row>
    <row r="26" customFormat="false" ht="15" hidden="false" customHeight="false" outlineLevel="0" collapsed="false">
      <c r="A26" s="7" t="n">
        <f aca="false">ROW()-1</f>
        <v>25</v>
      </c>
      <c r="B26" s="7" t="str">
        <f aca="false">IF(Raw_Nigeria!B26="",TRIM(Raw_Nigeria!C26),TRIM(Raw_Nigeria!B26))</f>
        <v>Status report on revised EPI programme from 1985 to 1989</v>
      </c>
      <c r="C26" s="7" t="str">
        <f aca="false">IF(ISNUMBER(SEARCH("Demographic and Health",B26)),"DHS",IF(OR(ISNUMBER(SEARCH("Multiple Indicator Cluster",B26)),ISNUMBER(SEARCH("MICS",B26))),"MICS",IF(ISNUMBER(SEARCH("Immunization Coverage Survey",B26)),"Coverage survey",IF(ISNUMBER(SEARCH("Nutrition",B26)),"Nutrition survey","Other"))))</f>
        <v>Other</v>
      </c>
      <c r="D26" s="7" t="n">
        <f aca="false">VALUE(LEFT(Raw_Nigeria!D26,4))</f>
        <v>1987</v>
      </c>
      <c r="E26" s="7" t="str">
        <f aca="false">IF(VALUE(RIGHT(Raw_Nigeria!D26,2))&gt;12,"",VALUE(RIGHT(Raw_Nigeria!D26,2)))</f>
        <v/>
      </c>
      <c r="F26" s="7" t="n">
        <f aca="false">VALUE(LEFT(Raw_Nigeria!E26,4))</f>
        <v>1987</v>
      </c>
      <c r="G26" s="7" t="str">
        <f aca="false">IF(VALUE(RIGHT(Raw_Nigeria!E26,2))&gt;12,"",VALUE(RIGHT(Raw_Nigeria!E26,2)))</f>
        <v/>
      </c>
      <c r="H26" s="7" t="n">
        <f aca="false">Raw_Nigeria!F26</f>
        <v>1986</v>
      </c>
      <c r="I26" s="7" t="str">
        <f aca="false">UPPER(TRIM(Raw_Nigeria!G26))</f>
        <v>TT2+</v>
      </c>
      <c r="J26" s="7" t="str">
        <f aca="false">Raw_Nigeria!H26</f>
        <v>Record or Recall</v>
      </c>
      <c r="K26" s="7" t="str">
        <f aca="false">Raw_Nigeria!L26</f>
        <v>CBAW</v>
      </c>
      <c r="L26" s="7" t="str">
        <f aca="false">IF(Raw_Nigeria!K26="","n/a",Raw_Nigeria!K26)</f>
        <v>n/a</v>
      </c>
      <c r="M26" s="7" t="str">
        <f aca="false">IF(Raw_Nigeria!I26="","",Raw_Nigeria!I26)</f>
        <v/>
      </c>
      <c r="N26" s="7" t="n">
        <f aca="false">Raw_Nigeria!M26</f>
        <v>22</v>
      </c>
      <c r="O26" s="7" t="str">
        <f aca="false">IF(Raw_Nigeria!N26="","",Raw_Nigeria!N26)</f>
        <v/>
      </c>
      <c r="P26" s="7" t="str">
        <f aca="false">IF(K26="CBAW","Women of child-bearing age","Children")</f>
        <v>Women of child-bearing age</v>
      </c>
      <c r="Q26" s="7" t="n">
        <f aca="false">IF(J26="NOT USED",1,0)</f>
        <v>0</v>
      </c>
      <c r="R26" s="7" t="n">
        <f aca="false">IF(AND(P26="Children",Q26=0),1,0)</f>
        <v>0</v>
      </c>
      <c r="S26" s="7" t="n">
        <f aca="false">IF(AND(R26=1,J26="Record or Recall",K26="12-23 m"),1,0)</f>
        <v>0</v>
      </c>
      <c r="T26" s="7" t="n">
        <f aca="false">IF(OR(I26="BCG",I26="DTP1",I26="DTP3",I26="POL3",I26="MCV1",I26="FULL"),1,0)</f>
        <v>0</v>
      </c>
      <c r="U26" s="7" t="n">
        <f aca="false">IF(OR(C26="DHS",C26="MICS"),1,0)</f>
        <v>0</v>
      </c>
      <c r="V26" s="7" t="n">
        <f aca="false">IF(O26="",1,0)</f>
        <v>1</v>
      </c>
      <c r="W26" s="7" t="n">
        <f aca="false">IF(M26="",1,0)</f>
        <v>1</v>
      </c>
      <c r="X26" s="7" t="n">
        <f aca="false">COUNTIFS($B$2:$B$1141,B26,$H$2:$H$1141,H26,$I$2:$I$1141,I26,$J$2:$J$1141,J26,$K$2:$K$1141,K26,$L$2:$L$1141,L26)</f>
        <v>1</v>
      </c>
    </row>
    <row r="27" customFormat="false" ht="15" hidden="false" customHeight="false" outlineLevel="0" collapsed="false">
      <c r="A27" s="7" t="n">
        <f aca="false">ROW()-1</f>
        <v>26</v>
      </c>
      <c r="B27" s="7" t="str">
        <f aca="false">IF(Raw_Nigeria!B27="",TRIM(Raw_Nigeria!C27),TRIM(Raw_Nigeria!B27))</f>
        <v>EPI, Immunization Coverage Survey, 1988</v>
      </c>
      <c r="C27" s="7" t="str">
        <f aca="false">IF(ISNUMBER(SEARCH("Demographic and Health",B27)),"DHS",IF(OR(ISNUMBER(SEARCH("Multiple Indicator Cluster",B27)),ISNUMBER(SEARCH("MICS",B27))),"MICS",IF(ISNUMBER(SEARCH("Immunization Coverage Survey",B27)),"Coverage survey",IF(ISNUMBER(SEARCH("Nutrition",B27)),"Nutrition survey","Other"))))</f>
        <v>Coverage survey</v>
      </c>
      <c r="D27" s="7" t="n">
        <f aca="false">VALUE(LEFT(Raw_Nigeria!D27,4))</f>
        <v>1988</v>
      </c>
      <c r="E27" s="7" t="str">
        <f aca="false">IF(VALUE(RIGHT(Raw_Nigeria!D27,2))&gt;12,"",VALUE(RIGHT(Raw_Nigeria!D27,2)))</f>
        <v/>
      </c>
      <c r="F27" s="7" t="n">
        <f aca="false">VALUE(LEFT(Raw_Nigeria!E27,4))</f>
        <v>1988</v>
      </c>
      <c r="G27" s="7" t="str">
        <f aca="false">IF(VALUE(RIGHT(Raw_Nigeria!E27,2))&gt;12,"",VALUE(RIGHT(Raw_Nigeria!E27,2)))</f>
        <v/>
      </c>
      <c r="H27" s="7" t="n">
        <f aca="false">Raw_Nigeria!F27</f>
        <v>1987</v>
      </c>
      <c r="I27" s="7" t="str">
        <f aca="false">UPPER(TRIM(Raw_Nigeria!G27))</f>
        <v>BCG</v>
      </c>
      <c r="J27" s="7" t="str">
        <f aca="false">Raw_Nigeria!H27</f>
        <v>Record</v>
      </c>
      <c r="K27" s="7" t="str">
        <f aca="false">Raw_Nigeria!L27</f>
        <v>12-23 m</v>
      </c>
      <c r="L27" s="7" t="str">
        <f aca="false">IF(Raw_Nigeria!K27="","n/a",Raw_Nigeria!K27)</f>
        <v>0-23 m</v>
      </c>
      <c r="M27" s="7" t="str">
        <f aca="false">IF(Raw_Nigeria!I27="","",Raw_Nigeria!I27)</f>
        <v/>
      </c>
      <c r="N27" s="7" t="n">
        <f aca="false">Raw_Nigeria!M27</f>
        <v>52.9</v>
      </c>
      <c r="O27" s="7" t="n">
        <f aca="false">IF(Raw_Nigeria!N27="","",Raw_Nigeria!N27)</f>
        <v>9240</v>
      </c>
      <c r="P27" s="7" t="str">
        <f aca="false">IF(K27="CBAW","Women of child-bearing age","Children")</f>
        <v>Children</v>
      </c>
      <c r="Q27" s="7" t="n">
        <f aca="false">IF(J27="NOT USED",1,0)</f>
        <v>0</v>
      </c>
      <c r="R27" s="7" t="n">
        <f aca="false">IF(AND(P27="Children",Q27=0),1,0)</f>
        <v>1</v>
      </c>
      <c r="S27" s="7" t="n">
        <f aca="false">IF(AND(R27=1,J27="Record or Recall",K27="12-23 m"),1,0)</f>
        <v>0</v>
      </c>
      <c r="T27" s="7" t="n">
        <f aca="false">IF(OR(I27="BCG",I27="DTP1",I27="DTP3",I27="POL3",I27="MCV1",I27="FULL"),1,0)</f>
        <v>1</v>
      </c>
      <c r="U27" s="7" t="n">
        <f aca="false">IF(OR(C27="DHS",C27="MICS"),1,0)</f>
        <v>0</v>
      </c>
      <c r="V27" s="7" t="n">
        <f aca="false">IF(O27="",1,0)</f>
        <v>0</v>
      </c>
      <c r="W27" s="7" t="n">
        <f aca="false">IF(M27="",1,0)</f>
        <v>1</v>
      </c>
      <c r="X27" s="7" t="n">
        <f aca="false">COUNTIFS($B$2:$B$1141,B27,$H$2:$H$1141,H27,$I$2:$I$1141,I27,$J$2:$J$1141,J27,$K$2:$K$1141,K27,$L$2:$L$1141,L27)</f>
        <v>1</v>
      </c>
    </row>
    <row r="28" customFormat="false" ht="15" hidden="false" customHeight="false" outlineLevel="0" collapsed="false">
      <c r="A28" s="7" t="n">
        <f aca="false">ROW()-1</f>
        <v>27</v>
      </c>
      <c r="B28" s="7" t="str">
        <f aca="false">IF(Raw_Nigeria!B28="",TRIM(Raw_Nigeria!C28),TRIM(Raw_Nigeria!B28))</f>
        <v>EPI, Immunization Coverage Survey, 1988</v>
      </c>
      <c r="C28" s="7" t="str">
        <f aca="false">IF(ISNUMBER(SEARCH("Demographic and Health",B28)),"DHS",IF(OR(ISNUMBER(SEARCH("Multiple Indicator Cluster",B28)),ISNUMBER(SEARCH("MICS",B28))),"MICS",IF(ISNUMBER(SEARCH("Immunization Coverage Survey",B28)),"Coverage survey",IF(ISNUMBER(SEARCH("Nutrition",B28)),"Nutrition survey","Other"))))</f>
        <v>Coverage survey</v>
      </c>
      <c r="D28" s="7" t="n">
        <f aca="false">VALUE(LEFT(Raw_Nigeria!D28,4))</f>
        <v>1988</v>
      </c>
      <c r="E28" s="7" t="str">
        <f aca="false">IF(VALUE(RIGHT(Raw_Nigeria!D28,2))&gt;12,"",VALUE(RIGHT(Raw_Nigeria!D28,2)))</f>
        <v/>
      </c>
      <c r="F28" s="7" t="n">
        <f aca="false">VALUE(LEFT(Raw_Nigeria!E28,4))</f>
        <v>1988</v>
      </c>
      <c r="G28" s="7" t="str">
        <f aca="false">IF(VALUE(RIGHT(Raw_Nigeria!E28,2))&gt;12,"",VALUE(RIGHT(Raw_Nigeria!E28,2)))</f>
        <v/>
      </c>
      <c r="H28" s="7" t="n">
        <f aca="false">Raw_Nigeria!F28</f>
        <v>1987</v>
      </c>
      <c r="I28" s="7" t="str">
        <f aca="false">UPPER(TRIM(Raw_Nigeria!G28))</f>
        <v>BCG</v>
      </c>
      <c r="J28" s="7" t="str">
        <f aca="false">Raw_Nigeria!H28</f>
        <v>Record or Recall</v>
      </c>
      <c r="K28" s="7" t="str">
        <f aca="false">Raw_Nigeria!L28</f>
        <v>12-23 m</v>
      </c>
      <c r="L28" s="7" t="str">
        <f aca="false">IF(Raw_Nigeria!K28="","n/a",Raw_Nigeria!K28)</f>
        <v>0-23 m</v>
      </c>
      <c r="M28" s="7" t="str">
        <f aca="false">IF(Raw_Nigeria!I28="","",Raw_Nigeria!I28)</f>
        <v/>
      </c>
      <c r="N28" s="7" t="n">
        <f aca="false">Raw_Nigeria!M28</f>
        <v>72.2</v>
      </c>
      <c r="O28" s="7" t="n">
        <f aca="false">IF(Raw_Nigeria!N28="","",Raw_Nigeria!N28)</f>
        <v>9240</v>
      </c>
      <c r="P28" s="7" t="str">
        <f aca="false">IF(K28="CBAW","Women of child-bearing age","Children")</f>
        <v>Children</v>
      </c>
      <c r="Q28" s="7" t="n">
        <f aca="false">IF(J28="NOT USED",1,0)</f>
        <v>0</v>
      </c>
      <c r="R28" s="7" t="n">
        <f aca="false">IF(AND(P28="Children",Q28=0),1,0)</f>
        <v>1</v>
      </c>
      <c r="S28" s="7" t="n">
        <f aca="false">IF(AND(R28=1,J28="Record or Recall",K28="12-23 m"),1,0)</f>
        <v>1</v>
      </c>
      <c r="T28" s="7" t="n">
        <f aca="false">IF(OR(I28="BCG",I28="DTP1",I28="DTP3",I28="POL3",I28="MCV1",I28="FULL"),1,0)</f>
        <v>1</v>
      </c>
      <c r="U28" s="7" t="n">
        <f aca="false">IF(OR(C28="DHS",C28="MICS"),1,0)</f>
        <v>0</v>
      </c>
      <c r="V28" s="7" t="n">
        <f aca="false">IF(O28="",1,0)</f>
        <v>0</v>
      </c>
      <c r="W28" s="7" t="n">
        <f aca="false">IF(M28="",1,0)</f>
        <v>1</v>
      </c>
      <c r="X28" s="7" t="n">
        <f aca="false">COUNTIFS($B$2:$B$1141,B28,$H$2:$H$1141,H28,$I$2:$I$1141,I28,$J$2:$J$1141,J28,$K$2:$K$1141,K28,$L$2:$L$1141,L28)</f>
        <v>1</v>
      </c>
    </row>
    <row r="29" customFormat="false" ht="15" hidden="false" customHeight="false" outlineLevel="0" collapsed="false">
      <c r="A29" s="7" t="n">
        <f aca="false">ROW()-1</f>
        <v>28</v>
      </c>
      <c r="B29" s="7" t="str">
        <f aca="false">IF(Raw_Nigeria!B29="",TRIM(Raw_Nigeria!C29),TRIM(Raw_Nigeria!B29))</f>
        <v>EPI, Immunization Coverage Survey, 1988</v>
      </c>
      <c r="C29" s="7" t="str">
        <f aca="false">IF(ISNUMBER(SEARCH("Demographic and Health",B29)),"DHS",IF(OR(ISNUMBER(SEARCH("Multiple Indicator Cluster",B29)),ISNUMBER(SEARCH("MICS",B29))),"MICS",IF(ISNUMBER(SEARCH("Immunization Coverage Survey",B29)),"Coverage survey",IF(ISNUMBER(SEARCH("Nutrition",B29)),"Nutrition survey","Other"))))</f>
        <v>Coverage survey</v>
      </c>
      <c r="D29" s="7" t="n">
        <f aca="false">VALUE(LEFT(Raw_Nigeria!D29,4))</f>
        <v>1988</v>
      </c>
      <c r="E29" s="7" t="str">
        <f aca="false">IF(VALUE(RIGHT(Raw_Nigeria!D29,2))&gt;12,"",VALUE(RIGHT(Raw_Nigeria!D29,2)))</f>
        <v/>
      </c>
      <c r="F29" s="7" t="n">
        <f aca="false">VALUE(LEFT(Raw_Nigeria!E29,4))</f>
        <v>1988</v>
      </c>
      <c r="G29" s="7" t="str">
        <f aca="false">IF(VALUE(RIGHT(Raw_Nigeria!E29,2))&gt;12,"",VALUE(RIGHT(Raw_Nigeria!E29,2)))</f>
        <v/>
      </c>
      <c r="H29" s="7" t="n">
        <f aca="false">Raw_Nigeria!F29</f>
        <v>1987</v>
      </c>
      <c r="I29" s="7" t="str">
        <f aca="false">UPPER(TRIM(Raw_Nigeria!G29))</f>
        <v>BCG</v>
      </c>
      <c r="J29" s="7" t="str">
        <f aca="false">Raw_Nigeria!H29</f>
        <v>Recall</v>
      </c>
      <c r="K29" s="7" t="str">
        <f aca="false">Raw_Nigeria!L29</f>
        <v>12-23 m</v>
      </c>
      <c r="L29" s="7" t="str">
        <f aca="false">IF(Raw_Nigeria!K29="","n/a",Raw_Nigeria!K29)</f>
        <v>0-23 m</v>
      </c>
      <c r="M29" s="7" t="str">
        <f aca="false">IF(Raw_Nigeria!I29="","",Raw_Nigeria!I29)</f>
        <v/>
      </c>
      <c r="N29" s="7" t="n">
        <f aca="false">Raw_Nigeria!M29</f>
        <v>19.3</v>
      </c>
      <c r="O29" s="7" t="n">
        <f aca="false">IF(Raw_Nigeria!N29="","",Raw_Nigeria!N29)</f>
        <v>9240</v>
      </c>
      <c r="P29" s="7" t="str">
        <f aca="false">IF(K29="CBAW","Women of child-bearing age","Children")</f>
        <v>Children</v>
      </c>
      <c r="Q29" s="7" t="n">
        <f aca="false">IF(J29="NOT USED",1,0)</f>
        <v>0</v>
      </c>
      <c r="R29" s="7" t="n">
        <f aca="false">IF(AND(P29="Children",Q29=0),1,0)</f>
        <v>1</v>
      </c>
      <c r="S29" s="7" t="n">
        <f aca="false">IF(AND(R29=1,J29="Record or Recall",K29="12-23 m"),1,0)</f>
        <v>0</v>
      </c>
      <c r="T29" s="7" t="n">
        <f aca="false">IF(OR(I29="BCG",I29="DTP1",I29="DTP3",I29="POL3",I29="MCV1",I29="FULL"),1,0)</f>
        <v>1</v>
      </c>
      <c r="U29" s="7" t="n">
        <f aca="false">IF(OR(C29="DHS",C29="MICS"),1,0)</f>
        <v>0</v>
      </c>
      <c r="V29" s="7" t="n">
        <f aca="false">IF(O29="",1,0)</f>
        <v>0</v>
      </c>
      <c r="W29" s="7" t="n">
        <f aca="false">IF(M29="",1,0)</f>
        <v>1</v>
      </c>
      <c r="X29" s="7" t="n">
        <f aca="false">COUNTIFS($B$2:$B$1141,B29,$H$2:$H$1141,H29,$I$2:$I$1141,I29,$J$2:$J$1141,J29,$K$2:$K$1141,K29,$L$2:$L$1141,L29)</f>
        <v>1</v>
      </c>
    </row>
    <row r="30" customFormat="false" ht="15" hidden="false" customHeight="false" outlineLevel="0" collapsed="false">
      <c r="A30" s="7" t="n">
        <f aca="false">ROW()-1</f>
        <v>29</v>
      </c>
      <c r="B30" s="7" t="str">
        <f aca="false">IF(Raw_Nigeria!B30="",TRIM(Raw_Nigeria!C30),TRIM(Raw_Nigeria!B30))</f>
        <v>Nigeria Demographic and Health Survey 1990, 1992</v>
      </c>
      <c r="C30" s="7" t="str">
        <f aca="false">IF(ISNUMBER(SEARCH("Demographic and Health",B30)),"DHS",IF(OR(ISNUMBER(SEARCH("Multiple Indicator Cluster",B30)),ISNUMBER(SEARCH("MICS",B30))),"MICS",IF(ISNUMBER(SEARCH("Immunization Coverage Survey",B30)),"Coverage survey",IF(ISNUMBER(SEARCH("Nutrition",B30)),"Nutrition survey","Other"))))</f>
        <v>DHS</v>
      </c>
      <c r="D30" s="7" t="n">
        <f aca="false">VALUE(LEFT(Raw_Nigeria!D30,4))</f>
        <v>1990</v>
      </c>
      <c r="E30" s="7" t="n">
        <f aca="false">IF(VALUE(RIGHT(Raw_Nigeria!D30,2))&gt;12,"",VALUE(RIGHT(Raw_Nigeria!D30,2)))</f>
        <v>4</v>
      </c>
      <c r="F30" s="7" t="n">
        <f aca="false">VALUE(LEFT(Raw_Nigeria!E30,4))</f>
        <v>1990</v>
      </c>
      <c r="G30" s="7" t="n">
        <f aca="false">IF(VALUE(RIGHT(Raw_Nigeria!E30,2))&gt;12,"",VALUE(RIGHT(Raw_Nigeria!E30,2)))</f>
        <v>10</v>
      </c>
      <c r="H30" s="7" t="n">
        <f aca="false">Raw_Nigeria!F30</f>
        <v>1987</v>
      </c>
      <c r="I30" s="7" t="str">
        <f aca="false">UPPER(TRIM(Raw_Nigeria!G30))</f>
        <v>BCG</v>
      </c>
      <c r="J30" s="7" t="str">
        <f aca="false">Raw_Nigeria!H30</f>
        <v>Record or Recall&lt;12m</v>
      </c>
      <c r="K30" s="7" t="str">
        <f aca="false">Raw_Nigeria!L30</f>
        <v>36-47 m</v>
      </c>
      <c r="L30" s="7" t="str">
        <f aca="false">IF(Raw_Nigeria!K30="","n/a",Raw_Nigeria!K30)</f>
        <v>0-12 m</v>
      </c>
      <c r="M30" s="7" t="str">
        <f aca="false">IF(Raw_Nigeria!I30="","",Raw_Nigeria!I30)</f>
        <v/>
      </c>
      <c r="N30" s="7" t="n">
        <f aca="false">Raw_Nigeria!M30</f>
        <v>34.9</v>
      </c>
      <c r="O30" s="7" t="n">
        <f aca="false">IF(Raw_Nigeria!N30="","",Raw_Nigeria!N30)</f>
        <v>1415</v>
      </c>
      <c r="P30" s="7" t="str">
        <f aca="false">IF(K30="CBAW","Women of child-bearing age","Children")</f>
        <v>Children</v>
      </c>
      <c r="Q30" s="7" t="n">
        <f aca="false">IF(J30="NOT USED",1,0)</f>
        <v>0</v>
      </c>
      <c r="R30" s="7" t="n">
        <f aca="false">IF(AND(P30="Children",Q30=0),1,0)</f>
        <v>1</v>
      </c>
      <c r="S30" s="7" t="n">
        <f aca="false">IF(AND(R30=1,J30="Record or Recall",K30="12-23 m"),1,0)</f>
        <v>0</v>
      </c>
      <c r="T30" s="7" t="n">
        <f aca="false">IF(OR(I30="BCG",I30="DTP1",I30="DTP3",I30="POL3",I30="MCV1",I30="FULL"),1,0)</f>
        <v>1</v>
      </c>
      <c r="U30" s="7" t="n">
        <f aca="false">IF(OR(C30="DHS",C30="MICS"),1,0)</f>
        <v>1</v>
      </c>
      <c r="V30" s="7" t="n">
        <f aca="false">IF(O30="",1,0)</f>
        <v>0</v>
      </c>
      <c r="W30" s="7" t="n">
        <f aca="false">IF(M30="",1,0)</f>
        <v>1</v>
      </c>
      <c r="X30" s="7" t="n">
        <f aca="false">COUNTIFS($B$2:$B$1141,B30,$H$2:$H$1141,H30,$I$2:$I$1141,I30,$J$2:$J$1141,J30,$K$2:$K$1141,K30,$L$2:$L$1141,L30)</f>
        <v>1</v>
      </c>
    </row>
    <row r="31" customFormat="false" ht="15" hidden="false" customHeight="false" outlineLevel="0" collapsed="false">
      <c r="A31" s="7" t="n">
        <f aca="false">ROW()-1</f>
        <v>30</v>
      </c>
      <c r="B31" s="7" t="str">
        <f aca="false">IF(Raw_Nigeria!B31="",TRIM(Raw_Nigeria!C31),TRIM(Raw_Nigeria!B31))</f>
        <v>Nigeria Demographic and Health Survey 1990, 1992</v>
      </c>
      <c r="C31" s="7" t="str">
        <f aca="false">IF(ISNUMBER(SEARCH("Demographic and Health",B31)),"DHS",IF(OR(ISNUMBER(SEARCH("Multiple Indicator Cluster",B31)),ISNUMBER(SEARCH("MICS",B31))),"MICS",IF(ISNUMBER(SEARCH("Immunization Coverage Survey",B31)),"Coverage survey",IF(ISNUMBER(SEARCH("Nutrition",B31)),"Nutrition survey","Other"))))</f>
        <v>DHS</v>
      </c>
      <c r="D31" s="7" t="n">
        <f aca="false">VALUE(LEFT(Raw_Nigeria!D31,4))</f>
        <v>1990</v>
      </c>
      <c r="E31" s="7" t="n">
        <f aca="false">IF(VALUE(RIGHT(Raw_Nigeria!D31,2))&gt;12,"",VALUE(RIGHT(Raw_Nigeria!D31,2)))</f>
        <v>4</v>
      </c>
      <c r="F31" s="7" t="n">
        <f aca="false">VALUE(LEFT(Raw_Nigeria!E31,4))</f>
        <v>1990</v>
      </c>
      <c r="G31" s="7" t="n">
        <f aca="false">IF(VALUE(RIGHT(Raw_Nigeria!E31,2))&gt;12,"",VALUE(RIGHT(Raw_Nigeria!E31,2)))</f>
        <v>10</v>
      </c>
      <c r="H31" s="7" t="n">
        <f aca="false">Raw_Nigeria!F31</f>
        <v>1987</v>
      </c>
      <c r="I31" s="7" t="str">
        <f aca="false">UPPER(TRIM(Raw_Nigeria!G31))</f>
        <v>DTP1</v>
      </c>
      <c r="J31" s="7" t="str">
        <f aca="false">Raw_Nigeria!H31</f>
        <v>Record or Recall&lt;12m</v>
      </c>
      <c r="K31" s="7" t="str">
        <f aca="false">Raw_Nigeria!L31</f>
        <v>36-47 m</v>
      </c>
      <c r="L31" s="7" t="str">
        <f aca="false">IF(Raw_Nigeria!K31="","n/a",Raw_Nigeria!K31)</f>
        <v>0-12 m</v>
      </c>
      <c r="M31" s="7" t="str">
        <f aca="false">IF(Raw_Nigeria!I31="","",Raw_Nigeria!I31)</f>
        <v/>
      </c>
      <c r="N31" s="7" t="n">
        <f aca="false">Raw_Nigeria!M31</f>
        <v>33.8</v>
      </c>
      <c r="O31" s="7" t="n">
        <f aca="false">IF(Raw_Nigeria!N31="","",Raw_Nigeria!N31)</f>
        <v>1415</v>
      </c>
      <c r="P31" s="7" t="str">
        <f aca="false">IF(K31="CBAW","Women of child-bearing age","Children")</f>
        <v>Children</v>
      </c>
      <c r="Q31" s="7" t="n">
        <f aca="false">IF(J31="NOT USED",1,0)</f>
        <v>0</v>
      </c>
      <c r="R31" s="7" t="n">
        <f aca="false">IF(AND(P31="Children",Q31=0),1,0)</f>
        <v>1</v>
      </c>
      <c r="S31" s="7" t="n">
        <f aca="false">IF(AND(R31=1,J31="Record or Recall",K31="12-23 m"),1,0)</f>
        <v>0</v>
      </c>
      <c r="T31" s="7" t="n">
        <f aca="false">IF(OR(I31="BCG",I31="DTP1",I31="DTP3",I31="POL3",I31="MCV1",I31="FULL"),1,0)</f>
        <v>1</v>
      </c>
      <c r="U31" s="7" t="n">
        <f aca="false">IF(OR(C31="DHS",C31="MICS"),1,0)</f>
        <v>1</v>
      </c>
      <c r="V31" s="7" t="n">
        <f aca="false">IF(O31="",1,0)</f>
        <v>0</v>
      </c>
      <c r="W31" s="7" t="n">
        <f aca="false">IF(M31="",1,0)</f>
        <v>1</v>
      </c>
      <c r="X31" s="7" t="n">
        <f aca="false">COUNTIFS($B$2:$B$1141,B31,$H$2:$H$1141,H31,$I$2:$I$1141,I31,$J$2:$J$1141,J31,$K$2:$K$1141,K31,$L$2:$L$1141,L31)</f>
        <v>1</v>
      </c>
    </row>
    <row r="32" customFormat="false" ht="15" hidden="false" customHeight="false" outlineLevel="0" collapsed="false">
      <c r="A32" s="7" t="n">
        <f aca="false">ROW()-1</f>
        <v>31</v>
      </c>
      <c r="B32" s="7" t="str">
        <f aca="false">IF(Raw_Nigeria!B32="",TRIM(Raw_Nigeria!C32),TRIM(Raw_Nigeria!B32))</f>
        <v>EPI, Immunization Coverage Survey, 1988</v>
      </c>
      <c r="C32" s="7" t="str">
        <f aca="false">IF(ISNUMBER(SEARCH("Demographic and Health",B32)),"DHS",IF(OR(ISNUMBER(SEARCH("Multiple Indicator Cluster",B32)),ISNUMBER(SEARCH("MICS",B32))),"MICS",IF(ISNUMBER(SEARCH("Immunization Coverage Survey",B32)),"Coverage survey",IF(ISNUMBER(SEARCH("Nutrition",B32)),"Nutrition survey","Other"))))</f>
        <v>Coverage survey</v>
      </c>
      <c r="D32" s="7" t="n">
        <f aca="false">VALUE(LEFT(Raw_Nigeria!D32,4))</f>
        <v>1988</v>
      </c>
      <c r="E32" s="7" t="str">
        <f aca="false">IF(VALUE(RIGHT(Raw_Nigeria!D32,2))&gt;12,"",VALUE(RIGHT(Raw_Nigeria!D32,2)))</f>
        <v/>
      </c>
      <c r="F32" s="7" t="n">
        <f aca="false">VALUE(LEFT(Raw_Nigeria!E32,4))</f>
        <v>1988</v>
      </c>
      <c r="G32" s="7" t="str">
        <f aca="false">IF(VALUE(RIGHT(Raw_Nigeria!E32,2))&gt;12,"",VALUE(RIGHT(Raw_Nigeria!E32,2)))</f>
        <v/>
      </c>
      <c r="H32" s="7" t="n">
        <f aca="false">Raw_Nigeria!F32</f>
        <v>1987</v>
      </c>
      <c r="I32" s="7" t="str">
        <f aca="false">UPPER(TRIM(Raw_Nigeria!G32))</f>
        <v>DTP3</v>
      </c>
      <c r="J32" s="7" t="str">
        <f aca="false">Raw_Nigeria!H32</f>
        <v>Record</v>
      </c>
      <c r="K32" s="7" t="str">
        <f aca="false">Raw_Nigeria!L32</f>
        <v>12-23 m</v>
      </c>
      <c r="L32" s="7" t="str">
        <f aca="false">IF(Raw_Nigeria!K32="","n/a",Raw_Nigeria!K32)</f>
        <v>0-23 m</v>
      </c>
      <c r="M32" s="7" t="str">
        <f aca="false">IF(Raw_Nigeria!I32="","",Raw_Nigeria!I32)</f>
        <v/>
      </c>
      <c r="N32" s="7" t="n">
        <f aca="false">Raw_Nigeria!M32</f>
        <v>41.9</v>
      </c>
      <c r="O32" s="7" t="n">
        <f aca="false">IF(Raw_Nigeria!N32="","",Raw_Nigeria!N32)</f>
        <v>9240</v>
      </c>
      <c r="P32" s="7" t="str">
        <f aca="false">IF(K32="CBAW","Women of child-bearing age","Children")</f>
        <v>Children</v>
      </c>
      <c r="Q32" s="7" t="n">
        <f aca="false">IF(J32="NOT USED",1,0)</f>
        <v>0</v>
      </c>
      <c r="R32" s="7" t="n">
        <f aca="false">IF(AND(P32="Children",Q32=0),1,0)</f>
        <v>1</v>
      </c>
      <c r="S32" s="7" t="n">
        <f aca="false">IF(AND(R32=1,J32="Record or Recall",K32="12-23 m"),1,0)</f>
        <v>0</v>
      </c>
      <c r="T32" s="7" t="n">
        <f aca="false">IF(OR(I32="BCG",I32="DTP1",I32="DTP3",I32="POL3",I32="MCV1",I32="FULL"),1,0)</f>
        <v>1</v>
      </c>
      <c r="U32" s="7" t="n">
        <f aca="false">IF(OR(C32="DHS",C32="MICS"),1,0)</f>
        <v>0</v>
      </c>
      <c r="V32" s="7" t="n">
        <f aca="false">IF(O32="",1,0)</f>
        <v>0</v>
      </c>
      <c r="W32" s="7" t="n">
        <f aca="false">IF(M32="",1,0)</f>
        <v>1</v>
      </c>
      <c r="X32" s="7" t="n">
        <f aca="false">COUNTIFS($B$2:$B$1141,B32,$H$2:$H$1141,H32,$I$2:$I$1141,I32,$J$2:$J$1141,J32,$K$2:$K$1141,K32,$L$2:$L$1141,L32)</f>
        <v>1</v>
      </c>
    </row>
    <row r="33" customFormat="false" ht="15" hidden="false" customHeight="false" outlineLevel="0" collapsed="false">
      <c r="A33" s="7" t="n">
        <f aca="false">ROW()-1</f>
        <v>32</v>
      </c>
      <c r="B33" s="7" t="str">
        <f aca="false">IF(Raw_Nigeria!B33="",TRIM(Raw_Nigeria!C33),TRIM(Raw_Nigeria!B33))</f>
        <v>EPI, Immunization Coverage Survey, 1988</v>
      </c>
      <c r="C33" s="7" t="str">
        <f aca="false">IF(ISNUMBER(SEARCH("Demographic and Health",B33)),"DHS",IF(OR(ISNUMBER(SEARCH("Multiple Indicator Cluster",B33)),ISNUMBER(SEARCH("MICS",B33))),"MICS",IF(ISNUMBER(SEARCH("Immunization Coverage Survey",B33)),"Coverage survey",IF(ISNUMBER(SEARCH("Nutrition",B33)),"Nutrition survey","Other"))))</f>
        <v>Coverage survey</v>
      </c>
      <c r="D33" s="7" t="n">
        <f aca="false">VALUE(LEFT(Raw_Nigeria!D33,4))</f>
        <v>1988</v>
      </c>
      <c r="E33" s="7" t="str">
        <f aca="false">IF(VALUE(RIGHT(Raw_Nigeria!D33,2))&gt;12,"",VALUE(RIGHT(Raw_Nigeria!D33,2)))</f>
        <v/>
      </c>
      <c r="F33" s="7" t="n">
        <f aca="false">VALUE(LEFT(Raw_Nigeria!E33,4))</f>
        <v>1988</v>
      </c>
      <c r="G33" s="7" t="str">
        <f aca="false">IF(VALUE(RIGHT(Raw_Nigeria!E33,2))&gt;12,"",VALUE(RIGHT(Raw_Nigeria!E33,2)))</f>
        <v/>
      </c>
      <c r="H33" s="7" t="n">
        <f aca="false">Raw_Nigeria!F33</f>
        <v>1987</v>
      </c>
      <c r="I33" s="7" t="str">
        <f aca="false">UPPER(TRIM(Raw_Nigeria!G33))</f>
        <v>DTP3</v>
      </c>
      <c r="J33" s="7" t="str">
        <f aca="false">Raw_Nigeria!H33</f>
        <v>Record or Recall</v>
      </c>
      <c r="K33" s="7" t="str">
        <f aca="false">Raw_Nigeria!L33</f>
        <v>12-23 m</v>
      </c>
      <c r="L33" s="7" t="str">
        <f aca="false">IF(Raw_Nigeria!K33="","n/a",Raw_Nigeria!K33)</f>
        <v>0-23 m</v>
      </c>
      <c r="M33" s="7" t="str">
        <f aca="false">IF(Raw_Nigeria!I33="","",Raw_Nigeria!I33)</f>
        <v/>
      </c>
      <c r="N33" s="7" t="n">
        <f aca="false">Raw_Nigeria!M33</f>
        <v>57.8</v>
      </c>
      <c r="O33" s="7" t="n">
        <f aca="false">IF(Raw_Nigeria!N33="","",Raw_Nigeria!N33)</f>
        <v>9240</v>
      </c>
      <c r="P33" s="7" t="str">
        <f aca="false">IF(K33="CBAW","Women of child-bearing age","Children")</f>
        <v>Children</v>
      </c>
      <c r="Q33" s="7" t="n">
        <f aca="false">IF(J33="NOT USED",1,0)</f>
        <v>0</v>
      </c>
      <c r="R33" s="7" t="n">
        <f aca="false">IF(AND(P33="Children",Q33=0),1,0)</f>
        <v>1</v>
      </c>
      <c r="S33" s="7" t="n">
        <f aca="false">IF(AND(R33=1,J33="Record or Recall",K33="12-23 m"),1,0)</f>
        <v>1</v>
      </c>
      <c r="T33" s="7" t="n">
        <f aca="false">IF(OR(I33="BCG",I33="DTP1",I33="DTP3",I33="POL3",I33="MCV1",I33="FULL"),1,0)</f>
        <v>1</v>
      </c>
      <c r="U33" s="7" t="n">
        <f aca="false">IF(OR(C33="DHS",C33="MICS"),1,0)</f>
        <v>0</v>
      </c>
      <c r="V33" s="7" t="n">
        <f aca="false">IF(O33="",1,0)</f>
        <v>0</v>
      </c>
      <c r="W33" s="7" t="n">
        <f aca="false">IF(M33="",1,0)</f>
        <v>1</v>
      </c>
      <c r="X33" s="7" t="n">
        <f aca="false">COUNTIFS($B$2:$B$1141,B33,$H$2:$H$1141,H33,$I$2:$I$1141,I33,$J$2:$J$1141,J33,$K$2:$K$1141,K33,$L$2:$L$1141,L33)</f>
        <v>1</v>
      </c>
    </row>
    <row r="34" customFormat="false" ht="15" hidden="false" customHeight="false" outlineLevel="0" collapsed="false">
      <c r="A34" s="7" t="n">
        <f aca="false">ROW()-1</f>
        <v>33</v>
      </c>
      <c r="B34" s="7" t="str">
        <f aca="false">IF(Raw_Nigeria!B34="",TRIM(Raw_Nigeria!C34),TRIM(Raw_Nigeria!B34))</f>
        <v>EPI, Immunization Coverage Survey, 1988</v>
      </c>
      <c r="C34" s="7" t="str">
        <f aca="false">IF(ISNUMBER(SEARCH("Demographic and Health",B34)),"DHS",IF(OR(ISNUMBER(SEARCH("Multiple Indicator Cluster",B34)),ISNUMBER(SEARCH("MICS",B34))),"MICS",IF(ISNUMBER(SEARCH("Immunization Coverage Survey",B34)),"Coverage survey",IF(ISNUMBER(SEARCH("Nutrition",B34)),"Nutrition survey","Other"))))</f>
        <v>Coverage survey</v>
      </c>
      <c r="D34" s="7" t="n">
        <f aca="false">VALUE(LEFT(Raw_Nigeria!D34,4))</f>
        <v>1988</v>
      </c>
      <c r="E34" s="7" t="str">
        <f aca="false">IF(VALUE(RIGHT(Raw_Nigeria!D34,2))&gt;12,"",VALUE(RIGHT(Raw_Nigeria!D34,2)))</f>
        <v/>
      </c>
      <c r="F34" s="7" t="n">
        <f aca="false">VALUE(LEFT(Raw_Nigeria!E34,4))</f>
        <v>1988</v>
      </c>
      <c r="G34" s="7" t="str">
        <f aca="false">IF(VALUE(RIGHT(Raw_Nigeria!E34,2))&gt;12,"",VALUE(RIGHT(Raw_Nigeria!E34,2)))</f>
        <v/>
      </c>
      <c r="H34" s="7" t="n">
        <f aca="false">Raw_Nigeria!F34</f>
        <v>1987</v>
      </c>
      <c r="I34" s="7" t="str">
        <f aca="false">UPPER(TRIM(Raw_Nigeria!G34))</f>
        <v>DTP3</v>
      </c>
      <c r="J34" s="7" t="str">
        <f aca="false">Raw_Nigeria!H34</f>
        <v>Recall</v>
      </c>
      <c r="K34" s="7" t="str">
        <f aca="false">Raw_Nigeria!L34</f>
        <v>12-23 m</v>
      </c>
      <c r="L34" s="7" t="str">
        <f aca="false">IF(Raw_Nigeria!K34="","n/a",Raw_Nigeria!K34)</f>
        <v>0-23 m</v>
      </c>
      <c r="M34" s="7" t="str">
        <f aca="false">IF(Raw_Nigeria!I34="","",Raw_Nigeria!I34)</f>
        <v/>
      </c>
      <c r="N34" s="7" t="n">
        <f aca="false">Raw_Nigeria!M34</f>
        <v>15.9</v>
      </c>
      <c r="O34" s="7" t="n">
        <f aca="false">IF(Raw_Nigeria!N34="","",Raw_Nigeria!N34)</f>
        <v>9240</v>
      </c>
      <c r="P34" s="7" t="str">
        <f aca="false">IF(K34="CBAW","Women of child-bearing age","Children")</f>
        <v>Children</v>
      </c>
      <c r="Q34" s="7" t="n">
        <f aca="false">IF(J34="NOT USED",1,0)</f>
        <v>0</v>
      </c>
      <c r="R34" s="7" t="n">
        <f aca="false">IF(AND(P34="Children",Q34=0),1,0)</f>
        <v>1</v>
      </c>
      <c r="S34" s="7" t="n">
        <f aca="false">IF(AND(R34=1,J34="Record or Recall",K34="12-23 m"),1,0)</f>
        <v>0</v>
      </c>
      <c r="T34" s="7" t="n">
        <f aca="false">IF(OR(I34="BCG",I34="DTP1",I34="DTP3",I34="POL3",I34="MCV1",I34="FULL"),1,0)</f>
        <v>1</v>
      </c>
      <c r="U34" s="7" t="n">
        <f aca="false">IF(OR(C34="DHS",C34="MICS"),1,0)</f>
        <v>0</v>
      </c>
      <c r="V34" s="7" t="n">
        <f aca="false">IF(O34="",1,0)</f>
        <v>0</v>
      </c>
      <c r="W34" s="7" t="n">
        <f aca="false">IF(M34="",1,0)</f>
        <v>1</v>
      </c>
      <c r="X34" s="7" t="n">
        <f aca="false">COUNTIFS($B$2:$B$1141,B34,$H$2:$H$1141,H34,$I$2:$I$1141,I34,$J$2:$J$1141,J34,$K$2:$K$1141,K34,$L$2:$L$1141,L34)</f>
        <v>1</v>
      </c>
    </row>
    <row r="35" customFormat="false" ht="15" hidden="false" customHeight="false" outlineLevel="0" collapsed="false">
      <c r="A35" s="7" t="n">
        <f aca="false">ROW()-1</f>
        <v>34</v>
      </c>
      <c r="B35" s="7" t="str">
        <f aca="false">IF(Raw_Nigeria!B35="",TRIM(Raw_Nigeria!C35),TRIM(Raw_Nigeria!B35))</f>
        <v>Nigeria Demographic and Health Survey 1990, 1992</v>
      </c>
      <c r="C35" s="7" t="str">
        <f aca="false">IF(ISNUMBER(SEARCH("Demographic and Health",B35)),"DHS",IF(OR(ISNUMBER(SEARCH("Multiple Indicator Cluster",B35)),ISNUMBER(SEARCH("MICS",B35))),"MICS",IF(ISNUMBER(SEARCH("Immunization Coverage Survey",B35)),"Coverage survey",IF(ISNUMBER(SEARCH("Nutrition",B35)),"Nutrition survey","Other"))))</f>
        <v>DHS</v>
      </c>
      <c r="D35" s="7" t="n">
        <f aca="false">VALUE(LEFT(Raw_Nigeria!D35,4))</f>
        <v>1990</v>
      </c>
      <c r="E35" s="7" t="n">
        <f aca="false">IF(VALUE(RIGHT(Raw_Nigeria!D35,2))&gt;12,"",VALUE(RIGHT(Raw_Nigeria!D35,2)))</f>
        <v>4</v>
      </c>
      <c r="F35" s="7" t="n">
        <f aca="false">VALUE(LEFT(Raw_Nigeria!E35,4))</f>
        <v>1990</v>
      </c>
      <c r="G35" s="7" t="n">
        <f aca="false">IF(VALUE(RIGHT(Raw_Nigeria!E35,2))&gt;12,"",VALUE(RIGHT(Raw_Nigeria!E35,2)))</f>
        <v>10</v>
      </c>
      <c r="H35" s="7" t="n">
        <f aca="false">Raw_Nigeria!F35</f>
        <v>1987</v>
      </c>
      <c r="I35" s="7" t="str">
        <f aca="false">UPPER(TRIM(Raw_Nigeria!G35))</f>
        <v>DTP3</v>
      </c>
      <c r="J35" s="7" t="str">
        <f aca="false">Raw_Nigeria!H35</f>
        <v>Record or Recall&lt;12m</v>
      </c>
      <c r="K35" s="7" t="str">
        <f aca="false">Raw_Nigeria!L35</f>
        <v>36-47 m</v>
      </c>
      <c r="L35" s="7" t="str">
        <f aca="false">IF(Raw_Nigeria!K35="","n/a",Raw_Nigeria!K35)</f>
        <v>0-12 m</v>
      </c>
      <c r="M35" s="7" t="str">
        <f aca="false">IF(Raw_Nigeria!I35="","",Raw_Nigeria!I35)</f>
        <v/>
      </c>
      <c r="N35" s="7" t="n">
        <f aca="false">Raw_Nigeria!M35</f>
        <v>22.7</v>
      </c>
      <c r="O35" s="7" t="n">
        <f aca="false">IF(Raw_Nigeria!N35="","",Raw_Nigeria!N35)</f>
        <v>1415</v>
      </c>
      <c r="P35" s="7" t="str">
        <f aca="false">IF(K35="CBAW","Women of child-bearing age","Children")</f>
        <v>Children</v>
      </c>
      <c r="Q35" s="7" t="n">
        <f aca="false">IF(J35="NOT USED",1,0)</f>
        <v>0</v>
      </c>
      <c r="R35" s="7" t="n">
        <f aca="false">IF(AND(P35="Children",Q35=0),1,0)</f>
        <v>1</v>
      </c>
      <c r="S35" s="7" t="n">
        <f aca="false">IF(AND(R35=1,J35="Record or Recall",K35="12-23 m"),1,0)</f>
        <v>0</v>
      </c>
      <c r="T35" s="7" t="n">
        <f aca="false">IF(OR(I35="BCG",I35="DTP1",I35="DTP3",I35="POL3",I35="MCV1",I35="FULL"),1,0)</f>
        <v>1</v>
      </c>
      <c r="U35" s="7" t="n">
        <f aca="false">IF(OR(C35="DHS",C35="MICS"),1,0)</f>
        <v>1</v>
      </c>
      <c r="V35" s="7" t="n">
        <f aca="false">IF(O35="",1,0)</f>
        <v>0</v>
      </c>
      <c r="W35" s="7" t="n">
        <f aca="false">IF(M35="",1,0)</f>
        <v>1</v>
      </c>
      <c r="X35" s="7" t="n">
        <f aca="false">COUNTIFS($B$2:$B$1141,B35,$H$2:$H$1141,H35,$I$2:$I$1141,I35,$J$2:$J$1141,J35,$K$2:$K$1141,K35,$L$2:$L$1141,L35)</f>
        <v>1</v>
      </c>
    </row>
    <row r="36" customFormat="false" ht="15" hidden="false" customHeight="false" outlineLevel="0" collapsed="false">
      <c r="A36" s="7" t="n">
        <f aca="false">ROW()-1</f>
        <v>35</v>
      </c>
      <c r="B36" s="7" t="str">
        <f aca="false">IF(Raw_Nigeria!B36="",TRIM(Raw_Nigeria!C36),TRIM(Raw_Nigeria!B36))</f>
        <v>EPI, Immunization Coverage Survey, 1988</v>
      </c>
      <c r="C36" s="7" t="str">
        <f aca="false">IF(ISNUMBER(SEARCH("Demographic and Health",B36)),"DHS",IF(OR(ISNUMBER(SEARCH("Multiple Indicator Cluster",B36)),ISNUMBER(SEARCH("MICS",B36))),"MICS",IF(ISNUMBER(SEARCH("Immunization Coverage Survey",B36)),"Coverage survey",IF(ISNUMBER(SEARCH("Nutrition",B36)),"Nutrition survey","Other"))))</f>
        <v>Coverage survey</v>
      </c>
      <c r="D36" s="7" t="n">
        <f aca="false">VALUE(LEFT(Raw_Nigeria!D36,4))</f>
        <v>1988</v>
      </c>
      <c r="E36" s="7" t="str">
        <f aca="false">IF(VALUE(RIGHT(Raw_Nigeria!D36,2))&gt;12,"",VALUE(RIGHT(Raw_Nigeria!D36,2)))</f>
        <v/>
      </c>
      <c r="F36" s="7" t="n">
        <f aca="false">VALUE(LEFT(Raw_Nigeria!E36,4))</f>
        <v>1988</v>
      </c>
      <c r="G36" s="7" t="str">
        <f aca="false">IF(VALUE(RIGHT(Raw_Nigeria!E36,2))&gt;12,"",VALUE(RIGHT(Raw_Nigeria!E36,2)))</f>
        <v/>
      </c>
      <c r="H36" s="7" t="n">
        <f aca="false">Raw_Nigeria!F36</f>
        <v>1987</v>
      </c>
      <c r="I36" s="7" t="str">
        <f aca="false">UPPER(TRIM(Raw_Nigeria!G36))</f>
        <v>FULL</v>
      </c>
      <c r="J36" s="7" t="str">
        <f aca="false">Raw_Nigeria!H36</f>
        <v>Record</v>
      </c>
      <c r="K36" s="7" t="str">
        <f aca="false">Raw_Nigeria!L36</f>
        <v>12-23 m</v>
      </c>
      <c r="L36" s="7" t="str">
        <f aca="false">IF(Raw_Nigeria!K36="","n/a",Raw_Nigeria!K36)</f>
        <v>0-23 m</v>
      </c>
      <c r="M36" s="7" t="str">
        <f aca="false">IF(Raw_Nigeria!I36="","",Raw_Nigeria!I36)</f>
        <v/>
      </c>
      <c r="N36" s="7" t="n">
        <f aca="false">Raw_Nigeria!M36</f>
        <v>25.6</v>
      </c>
      <c r="O36" s="7" t="n">
        <f aca="false">IF(Raw_Nigeria!N36="","",Raw_Nigeria!N36)</f>
        <v>9240</v>
      </c>
      <c r="P36" s="7" t="str">
        <f aca="false">IF(K36="CBAW","Women of child-bearing age","Children")</f>
        <v>Children</v>
      </c>
      <c r="Q36" s="7" t="n">
        <f aca="false">IF(J36="NOT USED",1,0)</f>
        <v>0</v>
      </c>
      <c r="R36" s="7" t="n">
        <f aca="false">IF(AND(P36="Children",Q36=0),1,0)</f>
        <v>1</v>
      </c>
      <c r="S36" s="7" t="n">
        <f aca="false">IF(AND(R36=1,J36="Record or Recall",K36="12-23 m"),1,0)</f>
        <v>0</v>
      </c>
      <c r="T36" s="7" t="n">
        <f aca="false">IF(OR(I36="BCG",I36="DTP1",I36="DTP3",I36="POL3",I36="MCV1",I36="FULL"),1,0)</f>
        <v>1</v>
      </c>
      <c r="U36" s="7" t="n">
        <f aca="false">IF(OR(C36="DHS",C36="MICS"),1,0)</f>
        <v>0</v>
      </c>
      <c r="V36" s="7" t="n">
        <f aca="false">IF(O36="",1,0)</f>
        <v>0</v>
      </c>
      <c r="W36" s="7" t="n">
        <f aca="false">IF(M36="",1,0)</f>
        <v>1</v>
      </c>
      <c r="X36" s="7" t="n">
        <f aca="false">COUNTIFS($B$2:$B$1141,B36,$H$2:$H$1141,H36,$I$2:$I$1141,I36,$J$2:$J$1141,J36,$K$2:$K$1141,K36,$L$2:$L$1141,L36)</f>
        <v>1</v>
      </c>
    </row>
    <row r="37" customFormat="false" ht="15" hidden="false" customHeight="false" outlineLevel="0" collapsed="false">
      <c r="A37" s="7" t="n">
        <f aca="false">ROW()-1</f>
        <v>36</v>
      </c>
      <c r="B37" s="7" t="str">
        <f aca="false">IF(Raw_Nigeria!B37="",TRIM(Raw_Nigeria!C37),TRIM(Raw_Nigeria!B37))</f>
        <v>EPI, Immunization Coverage Survey, 1988</v>
      </c>
      <c r="C37" s="7" t="str">
        <f aca="false">IF(ISNUMBER(SEARCH("Demographic and Health",B37)),"DHS",IF(OR(ISNUMBER(SEARCH("Multiple Indicator Cluster",B37)),ISNUMBER(SEARCH("MICS",B37))),"MICS",IF(ISNUMBER(SEARCH("Immunization Coverage Survey",B37)),"Coverage survey",IF(ISNUMBER(SEARCH("Nutrition",B37)),"Nutrition survey","Other"))))</f>
        <v>Coverage survey</v>
      </c>
      <c r="D37" s="7" t="n">
        <f aca="false">VALUE(LEFT(Raw_Nigeria!D37,4))</f>
        <v>1988</v>
      </c>
      <c r="E37" s="7" t="str">
        <f aca="false">IF(VALUE(RIGHT(Raw_Nigeria!D37,2))&gt;12,"",VALUE(RIGHT(Raw_Nigeria!D37,2)))</f>
        <v/>
      </c>
      <c r="F37" s="7" t="n">
        <f aca="false">VALUE(LEFT(Raw_Nigeria!E37,4))</f>
        <v>1988</v>
      </c>
      <c r="G37" s="7" t="str">
        <f aca="false">IF(VALUE(RIGHT(Raw_Nigeria!E37,2))&gt;12,"",VALUE(RIGHT(Raw_Nigeria!E37,2)))</f>
        <v/>
      </c>
      <c r="H37" s="7" t="n">
        <f aca="false">Raw_Nigeria!F37</f>
        <v>1987</v>
      </c>
      <c r="I37" s="7" t="str">
        <f aca="false">UPPER(TRIM(Raw_Nigeria!G37))</f>
        <v>FULL</v>
      </c>
      <c r="J37" s="7" t="str">
        <f aca="false">Raw_Nigeria!H37</f>
        <v>Record or Recall</v>
      </c>
      <c r="K37" s="7" t="str">
        <f aca="false">Raw_Nigeria!L37</f>
        <v>12-23 m</v>
      </c>
      <c r="L37" s="7" t="str">
        <f aca="false">IF(Raw_Nigeria!K37="","n/a",Raw_Nigeria!K37)</f>
        <v>0-23 m</v>
      </c>
      <c r="M37" s="7" t="str">
        <f aca="false">IF(Raw_Nigeria!I37="","",Raw_Nigeria!I37)</f>
        <v/>
      </c>
      <c r="N37" s="7" t="n">
        <f aca="false">Raw_Nigeria!M37</f>
        <v>37.5</v>
      </c>
      <c r="O37" s="7" t="n">
        <f aca="false">IF(Raw_Nigeria!N37="","",Raw_Nigeria!N37)</f>
        <v>9240</v>
      </c>
      <c r="P37" s="7" t="str">
        <f aca="false">IF(K37="CBAW","Women of child-bearing age","Children")</f>
        <v>Children</v>
      </c>
      <c r="Q37" s="7" t="n">
        <f aca="false">IF(J37="NOT USED",1,0)</f>
        <v>0</v>
      </c>
      <c r="R37" s="7" t="n">
        <f aca="false">IF(AND(P37="Children",Q37=0),1,0)</f>
        <v>1</v>
      </c>
      <c r="S37" s="7" t="n">
        <f aca="false">IF(AND(R37=1,J37="Record or Recall",K37="12-23 m"),1,0)</f>
        <v>1</v>
      </c>
      <c r="T37" s="7" t="n">
        <f aca="false">IF(OR(I37="BCG",I37="DTP1",I37="DTP3",I37="POL3",I37="MCV1",I37="FULL"),1,0)</f>
        <v>1</v>
      </c>
      <c r="U37" s="7" t="n">
        <f aca="false">IF(OR(C37="DHS",C37="MICS"),1,0)</f>
        <v>0</v>
      </c>
      <c r="V37" s="7" t="n">
        <f aca="false">IF(O37="",1,0)</f>
        <v>0</v>
      </c>
      <c r="W37" s="7" t="n">
        <f aca="false">IF(M37="",1,0)</f>
        <v>1</v>
      </c>
      <c r="X37" s="7" t="n">
        <f aca="false">COUNTIFS($B$2:$B$1141,B37,$H$2:$H$1141,H37,$I$2:$I$1141,I37,$J$2:$J$1141,J37,$K$2:$K$1141,K37,$L$2:$L$1141,L37)</f>
        <v>1</v>
      </c>
    </row>
    <row r="38" customFormat="false" ht="15" hidden="false" customHeight="false" outlineLevel="0" collapsed="false">
      <c r="A38" s="7" t="n">
        <f aca="false">ROW()-1</f>
        <v>37</v>
      </c>
      <c r="B38" s="7" t="str">
        <f aca="false">IF(Raw_Nigeria!B38="",TRIM(Raw_Nigeria!C38),TRIM(Raw_Nigeria!B38))</f>
        <v>EPI, Immunization Coverage Survey, 1988</v>
      </c>
      <c r="C38" s="7" t="str">
        <f aca="false">IF(ISNUMBER(SEARCH("Demographic and Health",B38)),"DHS",IF(OR(ISNUMBER(SEARCH("Multiple Indicator Cluster",B38)),ISNUMBER(SEARCH("MICS",B38))),"MICS",IF(ISNUMBER(SEARCH("Immunization Coverage Survey",B38)),"Coverage survey",IF(ISNUMBER(SEARCH("Nutrition",B38)),"Nutrition survey","Other"))))</f>
        <v>Coverage survey</v>
      </c>
      <c r="D38" s="7" t="n">
        <f aca="false">VALUE(LEFT(Raw_Nigeria!D38,4))</f>
        <v>1988</v>
      </c>
      <c r="E38" s="7" t="str">
        <f aca="false">IF(VALUE(RIGHT(Raw_Nigeria!D38,2))&gt;12,"",VALUE(RIGHT(Raw_Nigeria!D38,2)))</f>
        <v/>
      </c>
      <c r="F38" s="7" t="n">
        <f aca="false">VALUE(LEFT(Raw_Nigeria!E38,4))</f>
        <v>1988</v>
      </c>
      <c r="G38" s="7" t="str">
        <f aca="false">IF(VALUE(RIGHT(Raw_Nigeria!E38,2))&gt;12,"",VALUE(RIGHT(Raw_Nigeria!E38,2)))</f>
        <v/>
      </c>
      <c r="H38" s="7" t="n">
        <f aca="false">Raw_Nigeria!F38</f>
        <v>1987</v>
      </c>
      <c r="I38" s="7" t="str">
        <f aca="false">UPPER(TRIM(Raw_Nigeria!G38))</f>
        <v>FULL</v>
      </c>
      <c r="J38" s="7" t="str">
        <f aca="false">Raw_Nigeria!H38</f>
        <v>Recall</v>
      </c>
      <c r="K38" s="7" t="str">
        <f aca="false">Raw_Nigeria!L38</f>
        <v>12-23 m</v>
      </c>
      <c r="L38" s="7" t="str">
        <f aca="false">IF(Raw_Nigeria!K38="","n/a",Raw_Nigeria!K38)</f>
        <v>0-23 m</v>
      </c>
      <c r="M38" s="7" t="str">
        <f aca="false">IF(Raw_Nigeria!I38="","",Raw_Nigeria!I38)</f>
        <v/>
      </c>
      <c r="N38" s="7" t="n">
        <f aca="false">Raw_Nigeria!M38</f>
        <v>11.9</v>
      </c>
      <c r="O38" s="7" t="n">
        <f aca="false">IF(Raw_Nigeria!N38="","",Raw_Nigeria!N38)</f>
        <v>9240</v>
      </c>
      <c r="P38" s="7" t="str">
        <f aca="false">IF(K38="CBAW","Women of child-bearing age","Children")</f>
        <v>Children</v>
      </c>
      <c r="Q38" s="7" t="n">
        <f aca="false">IF(J38="NOT USED",1,0)</f>
        <v>0</v>
      </c>
      <c r="R38" s="7" t="n">
        <f aca="false">IF(AND(P38="Children",Q38=0),1,0)</f>
        <v>1</v>
      </c>
      <c r="S38" s="7" t="n">
        <f aca="false">IF(AND(R38=1,J38="Record or Recall",K38="12-23 m"),1,0)</f>
        <v>0</v>
      </c>
      <c r="T38" s="7" t="n">
        <f aca="false">IF(OR(I38="BCG",I38="DTP1",I38="DTP3",I38="POL3",I38="MCV1",I38="FULL"),1,0)</f>
        <v>1</v>
      </c>
      <c r="U38" s="7" t="n">
        <f aca="false">IF(OR(C38="DHS",C38="MICS"),1,0)</f>
        <v>0</v>
      </c>
      <c r="V38" s="7" t="n">
        <f aca="false">IF(O38="",1,0)</f>
        <v>0</v>
      </c>
      <c r="W38" s="7" t="n">
        <f aca="false">IF(M38="",1,0)</f>
        <v>1</v>
      </c>
      <c r="X38" s="7" t="n">
        <f aca="false">COUNTIFS($B$2:$B$1141,B38,$H$2:$H$1141,H38,$I$2:$I$1141,I38,$J$2:$J$1141,J38,$K$2:$K$1141,K38,$L$2:$L$1141,L38)</f>
        <v>1</v>
      </c>
    </row>
    <row r="39" customFormat="false" ht="15" hidden="false" customHeight="false" outlineLevel="0" collapsed="false">
      <c r="A39" s="7" t="n">
        <f aca="false">ROW()-1</f>
        <v>38</v>
      </c>
      <c r="B39" s="7" t="str">
        <f aca="false">IF(Raw_Nigeria!B39="",TRIM(Raw_Nigeria!C39),TRIM(Raw_Nigeria!B39))</f>
        <v>Nigeria Demographic and Health Survey 1990, 1992</v>
      </c>
      <c r="C39" s="7" t="str">
        <f aca="false">IF(ISNUMBER(SEARCH("Demographic and Health",B39)),"DHS",IF(OR(ISNUMBER(SEARCH("Multiple Indicator Cluster",B39)),ISNUMBER(SEARCH("MICS",B39))),"MICS",IF(ISNUMBER(SEARCH("Immunization Coverage Survey",B39)),"Coverage survey",IF(ISNUMBER(SEARCH("Nutrition",B39)),"Nutrition survey","Other"))))</f>
        <v>DHS</v>
      </c>
      <c r="D39" s="7" t="n">
        <f aca="false">VALUE(LEFT(Raw_Nigeria!D39,4))</f>
        <v>1990</v>
      </c>
      <c r="E39" s="7" t="n">
        <f aca="false">IF(VALUE(RIGHT(Raw_Nigeria!D39,2))&gt;12,"",VALUE(RIGHT(Raw_Nigeria!D39,2)))</f>
        <v>4</v>
      </c>
      <c r="F39" s="7" t="n">
        <f aca="false">VALUE(LEFT(Raw_Nigeria!E39,4))</f>
        <v>1990</v>
      </c>
      <c r="G39" s="7" t="n">
        <f aca="false">IF(VALUE(RIGHT(Raw_Nigeria!E39,2))&gt;12,"",VALUE(RIGHT(Raw_Nigeria!E39,2)))</f>
        <v>10</v>
      </c>
      <c r="H39" s="7" t="n">
        <f aca="false">Raw_Nigeria!F39</f>
        <v>1987</v>
      </c>
      <c r="I39" s="7" t="str">
        <f aca="false">UPPER(TRIM(Raw_Nigeria!G39))</f>
        <v>FULL</v>
      </c>
      <c r="J39" s="7" t="str">
        <f aca="false">Raw_Nigeria!H39</f>
        <v>Record or Recall&lt;12m</v>
      </c>
      <c r="K39" s="7" t="str">
        <f aca="false">Raw_Nigeria!L39</f>
        <v>36-47 m</v>
      </c>
      <c r="L39" s="7" t="str">
        <f aca="false">IF(Raw_Nigeria!K39="","n/a",Raw_Nigeria!K39)</f>
        <v>0-12 m</v>
      </c>
      <c r="M39" s="7" t="str">
        <f aca="false">IF(Raw_Nigeria!I39="","",Raw_Nigeria!I39)</f>
        <v/>
      </c>
      <c r="N39" s="7" t="n">
        <f aca="false">Raw_Nigeria!M39</f>
        <v>15.1</v>
      </c>
      <c r="O39" s="7" t="n">
        <f aca="false">IF(Raw_Nigeria!N39="","",Raw_Nigeria!N39)</f>
        <v>1415</v>
      </c>
      <c r="P39" s="7" t="str">
        <f aca="false">IF(K39="CBAW","Women of child-bearing age","Children")</f>
        <v>Children</v>
      </c>
      <c r="Q39" s="7" t="n">
        <f aca="false">IF(J39="NOT USED",1,0)</f>
        <v>0</v>
      </c>
      <c r="R39" s="7" t="n">
        <f aca="false">IF(AND(P39="Children",Q39=0),1,0)</f>
        <v>1</v>
      </c>
      <c r="S39" s="7" t="n">
        <f aca="false">IF(AND(R39=1,J39="Record or Recall",K39="12-23 m"),1,0)</f>
        <v>0</v>
      </c>
      <c r="T39" s="7" t="n">
        <f aca="false">IF(OR(I39="BCG",I39="DTP1",I39="DTP3",I39="POL3",I39="MCV1",I39="FULL"),1,0)</f>
        <v>1</v>
      </c>
      <c r="U39" s="7" t="n">
        <f aca="false">IF(OR(C39="DHS",C39="MICS"),1,0)</f>
        <v>1</v>
      </c>
      <c r="V39" s="7" t="n">
        <f aca="false">IF(O39="",1,0)</f>
        <v>0</v>
      </c>
      <c r="W39" s="7" t="n">
        <f aca="false">IF(M39="",1,0)</f>
        <v>1</v>
      </c>
      <c r="X39" s="7" t="n">
        <f aca="false">COUNTIFS($B$2:$B$1141,B39,$H$2:$H$1141,H39,$I$2:$I$1141,I39,$J$2:$J$1141,J39,$K$2:$K$1141,K39,$L$2:$L$1141,L39)</f>
        <v>1</v>
      </c>
    </row>
    <row r="40" customFormat="false" ht="15" hidden="false" customHeight="false" outlineLevel="0" collapsed="false">
      <c r="A40" s="7" t="n">
        <f aca="false">ROW()-1</f>
        <v>39</v>
      </c>
      <c r="B40" s="7" t="str">
        <f aca="false">IF(Raw_Nigeria!B40="",TRIM(Raw_Nigeria!C40),TRIM(Raw_Nigeria!B40))</f>
        <v>EPI, Immunization Coverage Survey, 1988</v>
      </c>
      <c r="C40" s="7" t="str">
        <f aca="false">IF(ISNUMBER(SEARCH("Demographic and Health",B40)),"DHS",IF(OR(ISNUMBER(SEARCH("Multiple Indicator Cluster",B40)),ISNUMBER(SEARCH("MICS",B40))),"MICS",IF(ISNUMBER(SEARCH("Immunization Coverage Survey",B40)),"Coverage survey",IF(ISNUMBER(SEARCH("Nutrition",B40)),"Nutrition survey","Other"))))</f>
        <v>Coverage survey</v>
      </c>
      <c r="D40" s="7" t="n">
        <f aca="false">VALUE(LEFT(Raw_Nigeria!D40,4))</f>
        <v>1988</v>
      </c>
      <c r="E40" s="7" t="str">
        <f aca="false">IF(VALUE(RIGHT(Raw_Nigeria!D40,2))&gt;12,"",VALUE(RIGHT(Raw_Nigeria!D40,2)))</f>
        <v/>
      </c>
      <c r="F40" s="7" t="n">
        <f aca="false">VALUE(LEFT(Raw_Nigeria!E40,4))</f>
        <v>1988</v>
      </c>
      <c r="G40" s="7" t="str">
        <f aca="false">IF(VALUE(RIGHT(Raw_Nigeria!E40,2))&gt;12,"",VALUE(RIGHT(Raw_Nigeria!E40,2)))</f>
        <v/>
      </c>
      <c r="H40" s="7" t="n">
        <f aca="false">Raw_Nigeria!F40</f>
        <v>1987</v>
      </c>
      <c r="I40" s="7" t="str">
        <f aca="false">UPPER(TRIM(Raw_Nigeria!G40))</f>
        <v>MCV1</v>
      </c>
      <c r="J40" s="7" t="str">
        <f aca="false">Raw_Nigeria!H40</f>
        <v>Record</v>
      </c>
      <c r="K40" s="7" t="str">
        <f aca="false">Raw_Nigeria!L40</f>
        <v>12-23 m</v>
      </c>
      <c r="L40" s="7" t="str">
        <f aca="false">IF(Raw_Nigeria!K40="","n/a",Raw_Nigeria!K40)</f>
        <v>0-23 m</v>
      </c>
      <c r="M40" s="7" t="str">
        <f aca="false">IF(Raw_Nigeria!I40="","",Raw_Nigeria!I40)</f>
        <v/>
      </c>
      <c r="N40" s="7" t="n">
        <f aca="false">Raw_Nigeria!M40</f>
        <v>42.1</v>
      </c>
      <c r="O40" s="7" t="n">
        <f aca="false">IF(Raw_Nigeria!N40="","",Raw_Nigeria!N40)</f>
        <v>9240</v>
      </c>
      <c r="P40" s="7" t="str">
        <f aca="false">IF(K40="CBAW","Women of child-bearing age","Children")</f>
        <v>Children</v>
      </c>
      <c r="Q40" s="7" t="n">
        <f aca="false">IF(J40="NOT USED",1,0)</f>
        <v>0</v>
      </c>
      <c r="R40" s="7" t="n">
        <f aca="false">IF(AND(P40="Children",Q40=0),1,0)</f>
        <v>1</v>
      </c>
      <c r="S40" s="7" t="n">
        <f aca="false">IF(AND(R40=1,J40="Record or Recall",K40="12-23 m"),1,0)</f>
        <v>0</v>
      </c>
      <c r="T40" s="7" t="n">
        <f aca="false">IF(OR(I40="BCG",I40="DTP1",I40="DTP3",I40="POL3",I40="MCV1",I40="FULL"),1,0)</f>
        <v>1</v>
      </c>
      <c r="U40" s="7" t="n">
        <f aca="false">IF(OR(C40="DHS",C40="MICS"),1,0)</f>
        <v>0</v>
      </c>
      <c r="V40" s="7" t="n">
        <f aca="false">IF(O40="",1,0)</f>
        <v>0</v>
      </c>
      <c r="W40" s="7" t="n">
        <f aca="false">IF(M40="",1,0)</f>
        <v>1</v>
      </c>
      <c r="X40" s="7" t="n">
        <f aca="false">COUNTIFS($B$2:$B$1141,B40,$H$2:$H$1141,H40,$I$2:$I$1141,I40,$J$2:$J$1141,J40,$K$2:$K$1141,K40,$L$2:$L$1141,L40)</f>
        <v>1</v>
      </c>
    </row>
    <row r="41" customFormat="false" ht="15" hidden="false" customHeight="false" outlineLevel="0" collapsed="false">
      <c r="A41" s="7" t="n">
        <f aca="false">ROW()-1</f>
        <v>40</v>
      </c>
      <c r="B41" s="7" t="str">
        <f aca="false">IF(Raw_Nigeria!B41="",TRIM(Raw_Nigeria!C41),TRIM(Raw_Nigeria!B41))</f>
        <v>EPI, Immunization Coverage Survey, 1988</v>
      </c>
      <c r="C41" s="7" t="str">
        <f aca="false">IF(ISNUMBER(SEARCH("Demographic and Health",B41)),"DHS",IF(OR(ISNUMBER(SEARCH("Multiple Indicator Cluster",B41)),ISNUMBER(SEARCH("MICS",B41))),"MICS",IF(ISNUMBER(SEARCH("Immunization Coverage Survey",B41)),"Coverage survey",IF(ISNUMBER(SEARCH("Nutrition",B41)),"Nutrition survey","Other"))))</f>
        <v>Coverage survey</v>
      </c>
      <c r="D41" s="7" t="n">
        <f aca="false">VALUE(LEFT(Raw_Nigeria!D41,4))</f>
        <v>1988</v>
      </c>
      <c r="E41" s="7" t="str">
        <f aca="false">IF(VALUE(RIGHT(Raw_Nigeria!D41,2))&gt;12,"",VALUE(RIGHT(Raw_Nigeria!D41,2)))</f>
        <v/>
      </c>
      <c r="F41" s="7" t="n">
        <f aca="false">VALUE(LEFT(Raw_Nigeria!E41,4))</f>
        <v>1988</v>
      </c>
      <c r="G41" s="7" t="str">
        <f aca="false">IF(VALUE(RIGHT(Raw_Nigeria!E41,2))&gt;12,"",VALUE(RIGHT(Raw_Nigeria!E41,2)))</f>
        <v/>
      </c>
      <c r="H41" s="7" t="n">
        <f aca="false">Raw_Nigeria!F41</f>
        <v>1987</v>
      </c>
      <c r="I41" s="7" t="str">
        <f aca="false">UPPER(TRIM(Raw_Nigeria!G41))</f>
        <v>MCV1</v>
      </c>
      <c r="J41" s="7" t="str">
        <f aca="false">Raw_Nigeria!H41</f>
        <v>Record or Recall</v>
      </c>
      <c r="K41" s="7" t="str">
        <f aca="false">Raw_Nigeria!L41</f>
        <v>12-23 m</v>
      </c>
      <c r="L41" s="7" t="str">
        <f aca="false">IF(Raw_Nigeria!K41="","n/a",Raw_Nigeria!K41)</f>
        <v>0-23 m</v>
      </c>
      <c r="M41" s="7" t="str">
        <f aca="false">IF(Raw_Nigeria!I41="","",Raw_Nigeria!I41)</f>
        <v/>
      </c>
      <c r="N41" s="7" t="n">
        <f aca="false">Raw_Nigeria!M41</f>
        <v>59.2</v>
      </c>
      <c r="O41" s="7" t="n">
        <f aca="false">IF(Raw_Nigeria!N41="","",Raw_Nigeria!N41)</f>
        <v>9240</v>
      </c>
      <c r="P41" s="7" t="str">
        <f aca="false">IF(K41="CBAW","Women of child-bearing age","Children")</f>
        <v>Children</v>
      </c>
      <c r="Q41" s="7" t="n">
        <f aca="false">IF(J41="NOT USED",1,0)</f>
        <v>0</v>
      </c>
      <c r="R41" s="7" t="n">
        <f aca="false">IF(AND(P41="Children",Q41=0),1,0)</f>
        <v>1</v>
      </c>
      <c r="S41" s="7" t="n">
        <f aca="false">IF(AND(R41=1,J41="Record or Recall",K41="12-23 m"),1,0)</f>
        <v>1</v>
      </c>
      <c r="T41" s="7" t="n">
        <f aca="false">IF(OR(I41="BCG",I41="DTP1",I41="DTP3",I41="POL3",I41="MCV1",I41="FULL"),1,0)</f>
        <v>1</v>
      </c>
      <c r="U41" s="7" t="n">
        <f aca="false">IF(OR(C41="DHS",C41="MICS"),1,0)</f>
        <v>0</v>
      </c>
      <c r="V41" s="7" t="n">
        <f aca="false">IF(O41="",1,0)</f>
        <v>0</v>
      </c>
      <c r="W41" s="7" t="n">
        <f aca="false">IF(M41="",1,0)</f>
        <v>1</v>
      </c>
      <c r="X41" s="7" t="n">
        <f aca="false">COUNTIFS($B$2:$B$1141,B41,$H$2:$H$1141,H41,$I$2:$I$1141,I41,$J$2:$J$1141,J41,$K$2:$K$1141,K41,$L$2:$L$1141,L41)</f>
        <v>1</v>
      </c>
    </row>
    <row r="42" customFormat="false" ht="15" hidden="false" customHeight="false" outlineLevel="0" collapsed="false">
      <c r="A42" s="7" t="n">
        <f aca="false">ROW()-1</f>
        <v>41</v>
      </c>
      <c r="B42" s="7" t="str">
        <f aca="false">IF(Raw_Nigeria!B42="",TRIM(Raw_Nigeria!C42),TRIM(Raw_Nigeria!B42))</f>
        <v>EPI, Immunization Coverage Survey, 1988</v>
      </c>
      <c r="C42" s="7" t="str">
        <f aca="false">IF(ISNUMBER(SEARCH("Demographic and Health",B42)),"DHS",IF(OR(ISNUMBER(SEARCH("Multiple Indicator Cluster",B42)),ISNUMBER(SEARCH("MICS",B42))),"MICS",IF(ISNUMBER(SEARCH("Immunization Coverage Survey",B42)),"Coverage survey",IF(ISNUMBER(SEARCH("Nutrition",B42)),"Nutrition survey","Other"))))</f>
        <v>Coverage survey</v>
      </c>
      <c r="D42" s="7" t="n">
        <f aca="false">VALUE(LEFT(Raw_Nigeria!D42,4))</f>
        <v>1988</v>
      </c>
      <c r="E42" s="7" t="str">
        <f aca="false">IF(VALUE(RIGHT(Raw_Nigeria!D42,2))&gt;12,"",VALUE(RIGHT(Raw_Nigeria!D42,2)))</f>
        <v/>
      </c>
      <c r="F42" s="7" t="n">
        <f aca="false">VALUE(LEFT(Raw_Nigeria!E42,4))</f>
        <v>1988</v>
      </c>
      <c r="G42" s="7" t="str">
        <f aca="false">IF(VALUE(RIGHT(Raw_Nigeria!E42,2))&gt;12,"",VALUE(RIGHT(Raw_Nigeria!E42,2)))</f>
        <v/>
      </c>
      <c r="H42" s="7" t="n">
        <f aca="false">Raw_Nigeria!F42</f>
        <v>1987</v>
      </c>
      <c r="I42" s="7" t="str">
        <f aca="false">UPPER(TRIM(Raw_Nigeria!G42))</f>
        <v>MCV1</v>
      </c>
      <c r="J42" s="7" t="str">
        <f aca="false">Raw_Nigeria!H42</f>
        <v>Recall</v>
      </c>
      <c r="K42" s="7" t="str">
        <f aca="false">Raw_Nigeria!L42</f>
        <v>12-23 m</v>
      </c>
      <c r="L42" s="7" t="str">
        <f aca="false">IF(Raw_Nigeria!K42="","n/a",Raw_Nigeria!K42)</f>
        <v>0-23 m</v>
      </c>
      <c r="M42" s="7" t="str">
        <f aca="false">IF(Raw_Nigeria!I42="","",Raw_Nigeria!I42)</f>
        <v/>
      </c>
      <c r="N42" s="7" t="n">
        <f aca="false">Raw_Nigeria!M42</f>
        <v>17.1</v>
      </c>
      <c r="O42" s="7" t="n">
        <f aca="false">IF(Raw_Nigeria!N42="","",Raw_Nigeria!N42)</f>
        <v>9240</v>
      </c>
      <c r="P42" s="7" t="str">
        <f aca="false">IF(K42="CBAW","Women of child-bearing age","Children")</f>
        <v>Children</v>
      </c>
      <c r="Q42" s="7" t="n">
        <f aca="false">IF(J42="NOT USED",1,0)</f>
        <v>0</v>
      </c>
      <c r="R42" s="7" t="n">
        <f aca="false">IF(AND(P42="Children",Q42=0),1,0)</f>
        <v>1</v>
      </c>
      <c r="S42" s="7" t="n">
        <f aca="false">IF(AND(R42=1,J42="Record or Recall",K42="12-23 m"),1,0)</f>
        <v>0</v>
      </c>
      <c r="T42" s="7" t="n">
        <f aca="false">IF(OR(I42="BCG",I42="DTP1",I42="DTP3",I42="POL3",I42="MCV1",I42="FULL"),1,0)</f>
        <v>1</v>
      </c>
      <c r="U42" s="7" t="n">
        <f aca="false">IF(OR(C42="DHS",C42="MICS"),1,0)</f>
        <v>0</v>
      </c>
      <c r="V42" s="7" t="n">
        <f aca="false">IF(O42="",1,0)</f>
        <v>0</v>
      </c>
      <c r="W42" s="7" t="n">
        <f aca="false">IF(M42="",1,0)</f>
        <v>1</v>
      </c>
      <c r="X42" s="7" t="n">
        <f aca="false">COUNTIFS($B$2:$B$1141,B42,$H$2:$H$1141,H42,$I$2:$I$1141,I42,$J$2:$J$1141,J42,$K$2:$K$1141,K42,$L$2:$L$1141,L42)</f>
        <v>1</v>
      </c>
    </row>
    <row r="43" customFormat="false" ht="15" hidden="false" customHeight="false" outlineLevel="0" collapsed="false">
      <c r="A43" s="7" t="n">
        <f aca="false">ROW()-1</f>
        <v>42</v>
      </c>
      <c r="B43" s="7" t="str">
        <f aca="false">IF(Raw_Nigeria!B43="",TRIM(Raw_Nigeria!C43),TRIM(Raw_Nigeria!B43))</f>
        <v>Nigeria Demographic and Health Survey 1990, 1992</v>
      </c>
      <c r="C43" s="7" t="str">
        <f aca="false">IF(ISNUMBER(SEARCH("Demographic and Health",B43)),"DHS",IF(OR(ISNUMBER(SEARCH("Multiple Indicator Cluster",B43)),ISNUMBER(SEARCH("MICS",B43))),"MICS",IF(ISNUMBER(SEARCH("Immunization Coverage Survey",B43)),"Coverage survey",IF(ISNUMBER(SEARCH("Nutrition",B43)),"Nutrition survey","Other"))))</f>
        <v>DHS</v>
      </c>
      <c r="D43" s="7" t="n">
        <f aca="false">VALUE(LEFT(Raw_Nigeria!D43,4))</f>
        <v>1990</v>
      </c>
      <c r="E43" s="7" t="n">
        <f aca="false">IF(VALUE(RIGHT(Raw_Nigeria!D43,2))&gt;12,"",VALUE(RIGHT(Raw_Nigeria!D43,2)))</f>
        <v>4</v>
      </c>
      <c r="F43" s="7" t="n">
        <f aca="false">VALUE(LEFT(Raw_Nigeria!E43,4))</f>
        <v>1990</v>
      </c>
      <c r="G43" s="7" t="n">
        <f aca="false">IF(VALUE(RIGHT(Raw_Nigeria!E43,2))&gt;12,"",VALUE(RIGHT(Raw_Nigeria!E43,2)))</f>
        <v>10</v>
      </c>
      <c r="H43" s="7" t="n">
        <f aca="false">Raw_Nigeria!F43</f>
        <v>1987</v>
      </c>
      <c r="I43" s="7" t="str">
        <f aca="false">UPPER(TRIM(Raw_Nigeria!G43))</f>
        <v>MCV1</v>
      </c>
      <c r="J43" s="7" t="str">
        <f aca="false">Raw_Nigeria!H43</f>
        <v>Record or Recall&lt;12m</v>
      </c>
      <c r="K43" s="7" t="str">
        <f aca="false">Raw_Nigeria!L43</f>
        <v>36-47 m</v>
      </c>
      <c r="L43" s="7" t="str">
        <f aca="false">IF(Raw_Nigeria!K43="","n/a",Raw_Nigeria!K43)</f>
        <v>0-12 m</v>
      </c>
      <c r="M43" s="7" t="str">
        <f aca="false">IF(Raw_Nigeria!I43="","",Raw_Nigeria!I43)</f>
        <v/>
      </c>
      <c r="N43" s="7" t="n">
        <f aca="false">Raw_Nigeria!M43</f>
        <v>21</v>
      </c>
      <c r="O43" s="7" t="n">
        <f aca="false">IF(Raw_Nigeria!N43="","",Raw_Nigeria!N43)</f>
        <v>1415</v>
      </c>
      <c r="P43" s="7" t="str">
        <f aca="false">IF(K43="CBAW","Women of child-bearing age","Children")</f>
        <v>Children</v>
      </c>
      <c r="Q43" s="7" t="n">
        <f aca="false">IF(J43="NOT USED",1,0)</f>
        <v>0</v>
      </c>
      <c r="R43" s="7" t="n">
        <f aca="false">IF(AND(P43="Children",Q43=0),1,0)</f>
        <v>1</v>
      </c>
      <c r="S43" s="7" t="n">
        <f aca="false">IF(AND(R43=1,J43="Record or Recall",K43="12-23 m"),1,0)</f>
        <v>0</v>
      </c>
      <c r="T43" s="7" t="n">
        <f aca="false">IF(OR(I43="BCG",I43="DTP1",I43="DTP3",I43="POL3",I43="MCV1",I43="FULL"),1,0)</f>
        <v>1</v>
      </c>
      <c r="U43" s="7" t="n">
        <f aca="false">IF(OR(C43="DHS",C43="MICS"),1,0)</f>
        <v>1</v>
      </c>
      <c r="V43" s="7" t="n">
        <f aca="false">IF(O43="",1,0)</f>
        <v>0</v>
      </c>
      <c r="W43" s="7" t="n">
        <f aca="false">IF(M43="",1,0)</f>
        <v>1</v>
      </c>
      <c r="X43" s="7" t="n">
        <f aca="false">COUNTIFS($B$2:$B$1141,B43,$H$2:$H$1141,H43,$I$2:$I$1141,I43,$J$2:$J$1141,J43,$K$2:$K$1141,K43,$L$2:$L$1141,L43)</f>
        <v>1</v>
      </c>
    </row>
    <row r="44" customFormat="false" ht="15" hidden="false" customHeight="false" outlineLevel="0" collapsed="false">
      <c r="A44" s="7" t="n">
        <f aca="false">ROW()-1</f>
        <v>43</v>
      </c>
      <c r="B44" s="7" t="str">
        <f aca="false">IF(Raw_Nigeria!B44="",TRIM(Raw_Nigeria!C44),TRIM(Raw_Nigeria!B44))</f>
        <v>Nigeria Demographic and Health Survey 1990, 1992</v>
      </c>
      <c r="C44" s="7" t="str">
        <f aca="false">IF(ISNUMBER(SEARCH("Demographic and Health",B44)),"DHS",IF(OR(ISNUMBER(SEARCH("Multiple Indicator Cluster",B44)),ISNUMBER(SEARCH("MICS",B44))),"MICS",IF(ISNUMBER(SEARCH("Immunization Coverage Survey",B44)),"Coverage survey",IF(ISNUMBER(SEARCH("Nutrition",B44)),"Nutrition survey","Other"))))</f>
        <v>DHS</v>
      </c>
      <c r="D44" s="7" t="n">
        <f aca="false">VALUE(LEFT(Raw_Nigeria!D44,4))</f>
        <v>1990</v>
      </c>
      <c r="E44" s="7" t="n">
        <f aca="false">IF(VALUE(RIGHT(Raw_Nigeria!D44,2))&gt;12,"",VALUE(RIGHT(Raw_Nigeria!D44,2)))</f>
        <v>4</v>
      </c>
      <c r="F44" s="7" t="n">
        <f aca="false">VALUE(LEFT(Raw_Nigeria!E44,4))</f>
        <v>1990</v>
      </c>
      <c r="G44" s="7" t="n">
        <f aca="false">IF(VALUE(RIGHT(Raw_Nigeria!E44,2))&gt;12,"",VALUE(RIGHT(Raw_Nigeria!E44,2)))</f>
        <v>10</v>
      </c>
      <c r="H44" s="7" t="n">
        <f aca="false">Raw_Nigeria!F44</f>
        <v>1987</v>
      </c>
      <c r="I44" s="7" t="str">
        <f aca="false">UPPER(TRIM(Raw_Nigeria!G44))</f>
        <v>POL1</v>
      </c>
      <c r="J44" s="7" t="str">
        <f aca="false">Raw_Nigeria!H44</f>
        <v>Record or Recall&lt;12m</v>
      </c>
      <c r="K44" s="7" t="str">
        <f aca="false">Raw_Nigeria!L44</f>
        <v>36-47 m</v>
      </c>
      <c r="L44" s="7" t="str">
        <f aca="false">IF(Raw_Nigeria!K44="","n/a",Raw_Nigeria!K44)</f>
        <v>0-12 m</v>
      </c>
      <c r="M44" s="7" t="str">
        <f aca="false">IF(Raw_Nigeria!I44="","",Raw_Nigeria!I44)</f>
        <v/>
      </c>
      <c r="N44" s="7" t="n">
        <f aca="false">Raw_Nigeria!M44</f>
        <v>33.5</v>
      </c>
      <c r="O44" s="7" t="n">
        <f aca="false">IF(Raw_Nigeria!N44="","",Raw_Nigeria!N44)</f>
        <v>1415</v>
      </c>
      <c r="P44" s="7" t="str">
        <f aca="false">IF(K44="CBAW","Women of child-bearing age","Children")</f>
        <v>Children</v>
      </c>
      <c r="Q44" s="7" t="n">
        <f aca="false">IF(J44="NOT USED",1,0)</f>
        <v>0</v>
      </c>
      <c r="R44" s="7" t="n">
        <f aca="false">IF(AND(P44="Children",Q44=0),1,0)</f>
        <v>1</v>
      </c>
      <c r="S44" s="7" t="n">
        <f aca="false">IF(AND(R44=1,J44="Record or Recall",K44="12-23 m"),1,0)</f>
        <v>0</v>
      </c>
      <c r="T44" s="7" t="n">
        <f aca="false">IF(OR(I44="BCG",I44="DTP1",I44="DTP3",I44="POL3",I44="MCV1",I44="FULL"),1,0)</f>
        <v>0</v>
      </c>
      <c r="U44" s="7" t="n">
        <f aca="false">IF(OR(C44="DHS",C44="MICS"),1,0)</f>
        <v>1</v>
      </c>
      <c r="V44" s="7" t="n">
        <f aca="false">IF(O44="",1,0)</f>
        <v>0</v>
      </c>
      <c r="W44" s="7" t="n">
        <f aca="false">IF(M44="",1,0)</f>
        <v>1</v>
      </c>
      <c r="X44" s="7" t="n">
        <f aca="false">COUNTIFS($B$2:$B$1141,B44,$H$2:$H$1141,H44,$I$2:$I$1141,I44,$J$2:$J$1141,J44,$K$2:$K$1141,K44,$L$2:$L$1141,L44)</f>
        <v>1</v>
      </c>
    </row>
    <row r="45" customFormat="false" ht="15" hidden="false" customHeight="false" outlineLevel="0" collapsed="false">
      <c r="A45" s="7" t="n">
        <f aca="false">ROW()-1</f>
        <v>44</v>
      </c>
      <c r="B45" s="7" t="str">
        <f aca="false">IF(Raw_Nigeria!B45="",TRIM(Raw_Nigeria!C45),TRIM(Raw_Nigeria!B45))</f>
        <v>EPI, Immunization Coverage Survey, 1988</v>
      </c>
      <c r="C45" s="7" t="str">
        <f aca="false">IF(ISNUMBER(SEARCH("Demographic and Health",B45)),"DHS",IF(OR(ISNUMBER(SEARCH("Multiple Indicator Cluster",B45)),ISNUMBER(SEARCH("MICS",B45))),"MICS",IF(ISNUMBER(SEARCH("Immunization Coverage Survey",B45)),"Coverage survey",IF(ISNUMBER(SEARCH("Nutrition",B45)),"Nutrition survey","Other"))))</f>
        <v>Coverage survey</v>
      </c>
      <c r="D45" s="7" t="n">
        <f aca="false">VALUE(LEFT(Raw_Nigeria!D45,4))</f>
        <v>1988</v>
      </c>
      <c r="E45" s="7" t="str">
        <f aca="false">IF(VALUE(RIGHT(Raw_Nigeria!D45,2))&gt;12,"",VALUE(RIGHT(Raw_Nigeria!D45,2)))</f>
        <v/>
      </c>
      <c r="F45" s="7" t="n">
        <f aca="false">VALUE(LEFT(Raw_Nigeria!E45,4))</f>
        <v>1988</v>
      </c>
      <c r="G45" s="7" t="str">
        <f aca="false">IF(VALUE(RIGHT(Raw_Nigeria!E45,2))&gt;12,"",VALUE(RIGHT(Raw_Nigeria!E45,2)))</f>
        <v/>
      </c>
      <c r="H45" s="7" t="n">
        <f aca="false">Raw_Nigeria!F45</f>
        <v>1987</v>
      </c>
      <c r="I45" s="7" t="str">
        <f aca="false">UPPER(TRIM(Raw_Nigeria!G45))</f>
        <v>POL3</v>
      </c>
      <c r="J45" s="7" t="str">
        <f aca="false">Raw_Nigeria!H45</f>
        <v>Record</v>
      </c>
      <c r="K45" s="7" t="str">
        <f aca="false">Raw_Nigeria!L45</f>
        <v>12-23 m</v>
      </c>
      <c r="L45" s="7" t="str">
        <f aca="false">IF(Raw_Nigeria!K45="","n/a",Raw_Nigeria!K45)</f>
        <v>0-23 m</v>
      </c>
      <c r="M45" s="7" t="str">
        <f aca="false">IF(Raw_Nigeria!I45="","",Raw_Nigeria!I45)</f>
        <v/>
      </c>
      <c r="N45" s="7" t="n">
        <f aca="false">Raw_Nigeria!M45</f>
        <v>41.5</v>
      </c>
      <c r="O45" s="7" t="n">
        <f aca="false">IF(Raw_Nigeria!N45="","",Raw_Nigeria!N45)</f>
        <v>9240</v>
      </c>
      <c r="P45" s="7" t="str">
        <f aca="false">IF(K45="CBAW","Women of child-bearing age","Children")</f>
        <v>Children</v>
      </c>
      <c r="Q45" s="7" t="n">
        <f aca="false">IF(J45="NOT USED",1,0)</f>
        <v>0</v>
      </c>
      <c r="R45" s="7" t="n">
        <f aca="false">IF(AND(P45="Children",Q45=0),1,0)</f>
        <v>1</v>
      </c>
      <c r="S45" s="7" t="n">
        <f aca="false">IF(AND(R45=1,J45="Record or Recall",K45="12-23 m"),1,0)</f>
        <v>0</v>
      </c>
      <c r="T45" s="7" t="n">
        <f aca="false">IF(OR(I45="BCG",I45="DTP1",I45="DTP3",I45="POL3",I45="MCV1",I45="FULL"),1,0)</f>
        <v>1</v>
      </c>
      <c r="U45" s="7" t="n">
        <f aca="false">IF(OR(C45="DHS",C45="MICS"),1,0)</f>
        <v>0</v>
      </c>
      <c r="V45" s="7" t="n">
        <f aca="false">IF(O45="",1,0)</f>
        <v>0</v>
      </c>
      <c r="W45" s="7" t="n">
        <f aca="false">IF(M45="",1,0)</f>
        <v>1</v>
      </c>
      <c r="X45" s="7" t="n">
        <f aca="false">COUNTIFS($B$2:$B$1141,B45,$H$2:$H$1141,H45,$I$2:$I$1141,I45,$J$2:$J$1141,J45,$K$2:$K$1141,K45,$L$2:$L$1141,L45)</f>
        <v>1</v>
      </c>
    </row>
    <row r="46" customFormat="false" ht="15" hidden="false" customHeight="false" outlineLevel="0" collapsed="false">
      <c r="A46" s="7" t="n">
        <f aca="false">ROW()-1</f>
        <v>45</v>
      </c>
      <c r="B46" s="7" t="str">
        <f aca="false">IF(Raw_Nigeria!B46="",TRIM(Raw_Nigeria!C46),TRIM(Raw_Nigeria!B46))</f>
        <v>EPI, Immunization Coverage Survey, 1988</v>
      </c>
      <c r="C46" s="7" t="str">
        <f aca="false">IF(ISNUMBER(SEARCH("Demographic and Health",B46)),"DHS",IF(OR(ISNUMBER(SEARCH("Multiple Indicator Cluster",B46)),ISNUMBER(SEARCH("MICS",B46))),"MICS",IF(ISNUMBER(SEARCH("Immunization Coverage Survey",B46)),"Coverage survey",IF(ISNUMBER(SEARCH("Nutrition",B46)),"Nutrition survey","Other"))))</f>
        <v>Coverage survey</v>
      </c>
      <c r="D46" s="7" t="n">
        <f aca="false">VALUE(LEFT(Raw_Nigeria!D46,4))</f>
        <v>1988</v>
      </c>
      <c r="E46" s="7" t="str">
        <f aca="false">IF(VALUE(RIGHT(Raw_Nigeria!D46,2))&gt;12,"",VALUE(RIGHT(Raw_Nigeria!D46,2)))</f>
        <v/>
      </c>
      <c r="F46" s="7" t="n">
        <f aca="false">VALUE(LEFT(Raw_Nigeria!E46,4))</f>
        <v>1988</v>
      </c>
      <c r="G46" s="7" t="str">
        <f aca="false">IF(VALUE(RIGHT(Raw_Nigeria!E46,2))&gt;12,"",VALUE(RIGHT(Raw_Nigeria!E46,2)))</f>
        <v/>
      </c>
      <c r="H46" s="7" t="n">
        <f aca="false">Raw_Nigeria!F46</f>
        <v>1987</v>
      </c>
      <c r="I46" s="7" t="str">
        <f aca="false">UPPER(TRIM(Raw_Nigeria!G46))</f>
        <v>POL3</v>
      </c>
      <c r="J46" s="7" t="str">
        <f aca="false">Raw_Nigeria!H46</f>
        <v>Record or Recall</v>
      </c>
      <c r="K46" s="7" t="str">
        <f aca="false">Raw_Nigeria!L46</f>
        <v>12-23 m</v>
      </c>
      <c r="L46" s="7" t="str">
        <f aca="false">IF(Raw_Nigeria!K46="","n/a",Raw_Nigeria!K46)</f>
        <v>0-23 m</v>
      </c>
      <c r="M46" s="7" t="str">
        <f aca="false">IF(Raw_Nigeria!I46="","",Raw_Nigeria!I46)</f>
        <v/>
      </c>
      <c r="N46" s="7" t="n">
        <f aca="false">Raw_Nigeria!M46</f>
        <v>57</v>
      </c>
      <c r="O46" s="7" t="n">
        <f aca="false">IF(Raw_Nigeria!N46="","",Raw_Nigeria!N46)</f>
        <v>9240</v>
      </c>
      <c r="P46" s="7" t="str">
        <f aca="false">IF(K46="CBAW","Women of child-bearing age","Children")</f>
        <v>Children</v>
      </c>
      <c r="Q46" s="7" t="n">
        <f aca="false">IF(J46="NOT USED",1,0)</f>
        <v>0</v>
      </c>
      <c r="R46" s="7" t="n">
        <f aca="false">IF(AND(P46="Children",Q46=0),1,0)</f>
        <v>1</v>
      </c>
      <c r="S46" s="7" t="n">
        <f aca="false">IF(AND(R46=1,J46="Record or Recall",K46="12-23 m"),1,0)</f>
        <v>1</v>
      </c>
      <c r="T46" s="7" t="n">
        <f aca="false">IF(OR(I46="BCG",I46="DTP1",I46="DTP3",I46="POL3",I46="MCV1",I46="FULL"),1,0)</f>
        <v>1</v>
      </c>
      <c r="U46" s="7" t="n">
        <f aca="false">IF(OR(C46="DHS",C46="MICS"),1,0)</f>
        <v>0</v>
      </c>
      <c r="V46" s="7" t="n">
        <f aca="false">IF(O46="",1,0)</f>
        <v>0</v>
      </c>
      <c r="W46" s="7" t="n">
        <f aca="false">IF(M46="",1,0)</f>
        <v>1</v>
      </c>
      <c r="X46" s="7" t="n">
        <f aca="false">COUNTIFS($B$2:$B$1141,B46,$H$2:$H$1141,H46,$I$2:$I$1141,I46,$J$2:$J$1141,J46,$K$2:$K$1141,K46,$L$2:$L$1141,L46)</f>
        <v>1</v>
      </c>
    </row>
    <row r="47" customFormat="false" ht="15" hidden="false" customHeight="false" outlineLevel="0" collapsed="false">
      <c r="A47" s="7" t="n">
        <f aca="false">ROW()-1</f>
        <v>46</v>
      </c>
      <c r="B47" s="7" t="str">
        <f aca="false">IF(Raw_Nigeria!B47="",TRIM(Raw_Nigeria!C47),TRIM(Raw_Nigeria!B47))</f>
        <v>EPI, Immunization Coverage Survey, 1988</v>
      </c>
      <c r="C47" s="7" t="str">
        <f aca="false">IF(ISNUMBER(SEARCH("Demographic and Health",B47)),"DHS",IF(OR(ISNUMBER(SEARCH("Multiple Indicator Cluster",B47)),ISNUMBER(SEARCH("MICS",B47))),"MICS",IF(ISNUMBER(SEARCH("Immunization Coverage Survey",B47)),"Coverage survey",IF(ISNUMBER(SEARCH("Nutrition",B47)),"Nutrition survey","Other"))))</f>
        <v>Coverage survey</v>
      </c>
      <c r="D47" s="7" t="n">
        <f aca="false">VALUE(LEFT(Raw_Nigeria!D47,4))</f>
        <v>1988</v>
      </c>
      <c r="E47" s="7" t="str">
        <f aca="false">IF(VALUE(RIGHT(Raw_Nigeria!D47,2))&gt;12,"",VALUE(RIGHT(Raw_Nigeria!D47,2)))</f>
        <v/>
      </c>
      <c r="F47" s="7" t="n">
        <f aca="false">VALUE(LEFT(Raw_Nigeria!E47,4))</f>
        <v>1988</v>
      </c>
      <c r="G47" s="7" t="str">
        <f aca="false">IF(VALUE(RIGHT(Raw_Nigeria!E47,2))&gt;12,"",VALUE(RIGHT(Raw_Nigeria!E47,2)))</f>
        <v/>
      </c>
      <c r="H47" s="7" t="n">
        <f aca="false">Raw_Nigeria!F47</f>
        <v>1987</v>
      </c>
      <c r="I47" s="7" t="str">
        <f aca="false">UPPER(TRIM(Raw_Nigeria!G47))</f>
        <v>POL3</v>
      </c>
      <c r="J47" s="7" t="str">
        <f aca="false">Raw_Nigeria!H47</f>
        <v>Recall</v>
      </c>
      <c r="K47" s="7" t="str">
        <f aca="false">Raw_Nigeria!L47</f>
        <v>12-23 m</v>
      </c>
      <c r="L47" s="7" t="str">
        <f aca="false">IF(Raw_Nigeria!K47="","n/a",Raw_Nigeria!K47)</f>
        <v>0-23 m</v>
      </c>
      <c r="M47" s="7" t="str">
        <f aca="false">IF(Raw_Nigeria!I47="","",Raw_Nigeria!I47)</f>
        <v/>
      </c>
      <c r="N47" s="7" t="n">
        <f aca="false">Raw_Nigeria!M47</f>
        <v>15.5</v>
      </c>
      <c r="O47" s="7" t="n">
        <f aca="false">IF(Raw_Nigeria!N47="","",Raw_Nigeria!N47)</f>
        <v>9240</v>
      </c>
      <c r="P47" s="7" t="str">
        <f aca="false">IF(K47="CBAW","Women of child-bearing age","Children")</f>
        <v>Children</v>
      </c>
      <c r="Q47" s="7" t="n">
        <f aca="false">IF(J47="NOT USED",1,0)</f>
        <v>0</v>
      </c>
      <c r="R47" s="7" t="n">
        <f aca="false">IF(AND(P47="Children",Q47=0),1,0)</f>
        <v>1</v>
      </c>
      <c r="S47" s="7" t="n">
        <f aca="false">IF(AND(R47=1,J47="Record or Recall",K47="12-23 m"),1,0)</f>
        <v>0</v>
      </c>
      <c r="T47" s="7" t="n">
        <f aca="false">IF(OR(I47="BCG",I47="DTP1",I47="DTP3",I47="POL3",I47="MCV1",I47="FULL"),1,0)</f>
        <v>1</v>
      </c>
      <c r="U47" s="7" t="n">
        <f aca="false">IF(OR(C47="DHS",C47="MICS"),1,0)</f>
        <v>0</v>
      </c>
      <c r="V47" s="7" t="n">
        <f aca="false">IF(O47="",1,0)</f>
        <v>0</v>
      </c>
      <c r="W47" s="7" t="n">
        <f aca="false">IF(M47="",1,0)</f>
        <v>1</v>
      </c>
      <c r="X47" s="7" t="n">
        <f aca="false">COUNTIFS($B$2:$B$1141,B47,$H$2:$H$1141,H47,$I$2:$I$1141,I47,$J$2:$J$1141,J47,$K$2:$K$1141,K47,$L$2:$L$1141,L47)</f>
        <v>1</v>
      </c>
    </row>
    <row r="48" customFormat="false" ht="15" hidden="false" customHeight="false" outlineLevel="0" collapsed="false">
      <c r="A48" s="7" t="n">
        <f aca="false">ROW()-1</f>
        <v>47</v>
      </c>
      <c r="B48" s="7" t="str">
        <f aca="false">IF(Raw_Nigeria!B48="",TRIM(Raw_Nigeria!C48),TRIM(Raw_Nigeria!B48))</f>
        <v>Nigeria Demographic and Health Survey 1990, 1992</v>
      </c>
      <c r="C48" s="7" t="str">
        <f aca="false">IF(ISNUMBER(SEARCH("Demographic and Health",B48)),"DHS",IF(OR(ISNUMBER(SEARCH("Multiple Indicator Cluster",B48)),ISNUMBER(SEARCH("MICS",B48))),"MICS",IF(ISNUMBER(SEARCH("Immunization Coverage Survey",B48)),"Coverage survey",IF(ISNUMBER(SEARCH("Nutrition",B48)),"Nutrition survey","Other"))))</f>
        <v>DHS</v>
      </c>
      <c r="D48" s="7" t="n">
        <f aca="false">VALUE(LEFT(Raw_Nigeria!D48,4))</f>
        <v>1990</v>
      </c>
      <c r="E48" s="7" t="n">
        <f aca="false">IF(VALUE(RIGHT(Raw_Nigeria!D48,2))&gt;12,"",VALUE(RIGHT(Raw_Nigeria!D48,2)))</f>
        <v>4</v>
      </c>
      <c r="F48" s="7" t="n">
        <f aca="false">VALUE(LEFT(Raw_Nigeria!E48,4))</f>
        <v>1990</v>
      </c>
      <c r="G48" s="7" t="n">
        <f aca="false">IF(VALUE(RIGHT(Raw_Nigeria!E48,2))&gt;12,"",VALUE(RIGHT(Raw_Nigeria!E48,2)))</f>
        <v>10</v>
      </c>
      <c r="H48" s="7" t="n">
        <f aca="false">Raw_Nigeria!F48</f>
        <v>1987</v>
      </c>
      <c r="I48" s="7" t="str">
        <f aca="false">UPPER(TRIM(Raw_Nigeria!G48))</f>
        <v>POL3</v>
      </c>
      <c r="J48" s="7" t="str">
        <f aca="false">Raw_Nigeria!H48</f>
        <v>Record or Recall&lt;12m</v>
      </c>
      <c r="K48" s="7" t="str">
        <f aca="false">Raw_Nigeria!L48</f>
        <v>36-47 m</v>
      </c>
      <c r="L48" s="7" t="str">
        <f aca="false">IF(Raw_Nigeria!K48="","n/a",Raw_Nigeria!K48)</f>
        <v>0-12 m</v>
      </c>
      <c r="M48" s="7" t="str">
        <f aca="false">IF(Raw_Nigeria!I48="","",Raw_Nigeria!I48)</f>
        <v/>
      </c>
      <c r="N48" s="7" t="n">
        <f aca="false">Raw_Nigeria!M48</f>
        <v>22.6</v>
      </c>
      <c r="O48" s="7" t="n">
        <f aca="false">IF(Raw_Nigeria!N48="","",Raw_Nigeria!N48)</f>
        <v>1415</v>
      </c>
      <c r="P48" s="7" t="str">
        <f aca="false">IF(K48="CBAW","Women of child-bearing age","Children")</f>
        <v>Children</v>
      </c>
      <c r="Q48" s="7" t="n">
        <f aca="false">IF(J48="NOT USED",1,0)</f>
        <v>0</v>
      </c>
      <c r="R48" s="7" t="n">
        <f aca="false">IF(AND(P48="Children",Q48=0),1,0)</f>
        <v>1</v>
      </c>
      <c r="S48" s="7" t="n">
        <f aca="false">IF(AND(R48=1,J48="Record or Recall",K48="12-23 m"),1,0)</f>
        <v>0</v>
      </c>
      <c r="T48" s="7" t="n">
        <f aca="false">IF(OR(I48="BCG",I48="DTP1",I48="DTP3",I48="POL3",I48="MCV1",I48="FULL"),1,0)</f>
        <v>1</v>
      </c>
      <c r="U48" s="7" t="n">
        <f aca="false">IF(OR(C48="DHS",C48="MICS"),1,0)</f>
        <v>1</v>
      </c>
      <c r="V48" s="7" t="n">
        <f aca="false">IF(O48="",1,0)</f>
        <v>0</v>
      </c>
      <c r="W48" s="7" t="n">
        <f aca="false">IF(M48="",1,0)</f>
        <v>1</v>
      </c>
      <c r="X48" s="7" t="n">
        <f aca="false">COUNTIFS($B$2:$B$1141,B48,$H$2:$H$1141,H48,$I$2:$I$1141,I48,$J$2:$J$1141,J48,$K$2:$K$1141,K48,$L$2:$L$1141,L48)</f>
        <v>1</v>
      </c>
    </row>
    <row r="49" customFormat="false" ht="15" hidden="false" customHeight="false" outlineLevel="0" collapsed="false">
      <c r="A49" s="7" t="n">
        <f aca="false">ROW()-1</f>
        <v>48</v>
      </c>
      <c r="B49" s="7" t="str">
        <f aca="false">IF(Raw_Nigeria!B49="",TRIM(Raw_Nigeria!C49),TRIM(Raw_Nigeria!B49))</f>
        <v>WHO/EPI/CEIS/90.1</v>
      </c>
      <c r="C49" s="7" t="str">
        <f aca="false">IF(ISNUMBER(SEARCH("Demographic and Health",B49)),"DHS",IF(OR(ISNUMBER(SEARCH("Multiple Indicator Cluster",B49)),ISNUMBER(SEARCH("MICS",B49))),"MICS",IF(ISNUMBER(SEARCH("Immunization Coverage Survey",B49)),"Coverage survey",IF(ISNUMBER(SEARCH("Nutrition",B49)),"Nutrition survey","Other"))))</f>
        <v>Other</v>
      </c>
      <c r="D49" s="7" t="n">
        <f aca="false">VALUE(LEFT(Raw_Nigeria!D49,4))</f>
        <v>1988</v>
      </c>
      <c r="E49" s="7" t="str">
        <f aca="false">IF(VALUE(RIGHT(Raw_Nigeria!D49,2))&gt;12,"",VALUE(RIGHT(Raw_Nigeria!D49,2)))</f>
        <v/>
      </c>
      <c r="F49" s="7" t="n">
        <f aca="false">VALUE(LEFT(Raw_Nigeria!E49,4))</f>
        <v>1988</v>
      </c>
      <c r="G49" s="7" t="str">
        <f aca="false">IF(VALUE(RIGHT(Raw_Nigeria!E49,2))&gt;12,"",VALUE(RIGHT(Raw_Nigeria!E49,2)))</f>
        <v/>
      </c>
      <c r="H49" s="7" t="n">
        <f aca="false">Raw_Nigeria!F49</f>
        <v>1987</v>
      </c>
      <c r="I49" s="7" t="str">
        <f aca="false">UPPER(TRIM(Raw_Nigeria!G49))</f>
        <v>TT2+</v>
      </c>
      <c r="J49" s="7" t="str">
        <f aca="false">Raw_Nigeria!H49</f>
        <v>NOT USED</v>
      </c>
      <c r="K49" s="7" t="str">
        <f aca="false">Raw_Nigeria!L49</f>
        <v>CBAW</v>
      </c>
      <c r="L49" s="7" t="str">
        <f aca="false">IF(Raw_Nigeria!K49="","n/a",Raw_Nigeria!K49)</f>
        <v>n/a</v>
      </c>
      <c r="M49" s="7" t="str">
        <f aca="false">IF(Raw_Nigeria!I49="","",Raw_Nigeria!I49)</f>
        <v/>
      </c>
      <c r="N49" s="7" t="n">
        <f aca="false">Raw_Nigeria!M49</f>
        <v>16</v>
      </c>
      <c r="O49" s="7" t="str">
        <f aca="false">IF(Raw_Nigeria!N49="","",Raw_Nigeria!N49)</f>
        <v/>
      </c>
      <c r="P49" s="7" t="str">
        <f aca="false">IF(K49="CBAW","Women of child-bearing age","Children")</f>
        <v>Women of child-bearing age</v>
      </c>
      <c r="Q49" s="7" t="n">
        <f aca="false">IF(J49="NOT USED",1,0)</f>
        <v>1</v>
      </c>
      <c r="R49" s="7" t="n">
        <f aca="false">IF(AND(P49="Children",Q49=0),1,0)</f>
        <v>0</v>
      </c>
      <c r="S49" s="7" t="n">
        <f aca="false">IF(AND(R49=1,J49="Record or Recall",K49="12-23 m"),1,0)</f>
        <v>0</v>
      </c>
      <c r="T49" s="7" t="n">
        <f aca="false">IF(OR(I49="BCG",I49="DTP1",I49="DTP3",I49="POL3",I49="MCV1",I49="FULL"),1,0)</f>
        <v>0</v>
      </c>
      <c r="U49" s="7" t="n">
        <f aca="false">IF(OR(C49="DHS",C49="MICS"),1,0)</f>
        <v>0</v>
      </c>
      <c r="V49" s="7" t="n">
        <f aca="false">IF(O49="",1,0)</f>
        <v>1</v>
      </c>
      <c r="W49" s="7" t="n">
        <f aca="false">IF(M49="",1,0)</f>
        <v>1</v>
      </c>
      <c r="X49" s="7" t="n">
        <f aca="false">COUNTIFS($B$2:$B$1141,B49,$H$2:$H$1141,H49,$I$2:$I$1141,I49,$J$2:$J$1141,J49,$K$2:$K$1141,K49,$L$2:$L$1141,L49)</f>
        <v>1</v>
      </c>
    </row>
    <row r="50" customFormat="false" ht="15" hidden="false" customHeight="false" outlineLevel="0" collapsed="false">
      <c r="A50" s="7" t="n">
        <f aca="false">ROW()-1</f>
        <v>49</v>
      </c>
      <c r="B50" s="7" t="str">
        <f aca="false">IF(Raw_Nigeria!B50="",TRIM(Raw_Nigeria!C50),TRIM(Raw_Nigeria!B50))</f>
        <v>Nigeria Demographic and Health Survey 1990, 1992</v>
      </c>
      <c r="C50" s="7" t="str">
        <f aca="false">IF(ISNUMBER(SEARCH("Demographic and Health",B50)),"DHS",IF(OR(ISNUMBER(SEARCH("Multiple Indicator Cluster",B50)),ISNUMBER(SEARCH("MICS",B50))),"MICS",IF(ISNUMBER(SEARCH("Immunization Coverage Survey",B50)),"Coverage survey",IF(ISNUMBER(SEARCH("Nutrition",B50)),"Nutrition survey","Other"))))</f>
        <v>DHS</v>
      </c>
      <c r="D50" s="7" t="n">
        <f aca="false">VALUE(LEFT(Raw_Nigeria!D50,4))</f>
        <v>1990</v>
      </c>
      <c r="E50" s="7" t="n">
        <f aca="false">IF(VALUE(RIGHT(Raw_Nigeria!D50,2))&gt;12,"",VALUE(RIGHT(Raw_Nigeria!D50,2)))</f>
        <v>4</v>
      </c>
      <c r="F50" s="7" t="n">
        <f aca="false">VALUE(LEFT(Raw_Nigeria!E50,4))</f>
        <v>1990</v>
      </c>
      <c r="G50" s="7" t="n">
        <f aca="false">IF(VALUE(RIGHT(Raw_Nigeria!E50,2))&gt;12,"",VALUE(RIGHT(Raw_Nigeria!E50,2)))</f>
        <v>10</v>
      </c>
      <c r="H50" s="7" t="n">
        <f aca="false">Raw_Nigeria!F50</f>
        <v>1988</v>
      </c>
      <c r="I50" s="7" t="str">
        <f aca="false">UPPER(TRIM(Raw_Nigeria!G50))</f>
        <v>BCG</v>
      </c>
      <c r="J50" s="7" t="str">
        <f aca="false">Raw_Nigeria!H50</f>
        <v>Record or Recall&lt;12m</v>
      </c>
      <c r="K50" s="7" t="str">
        <f aca="false">Raw_Nigeria!L50</f>
        <v>24-35 m</v>
      </c>
      <c r="L50" s="7" t="str">
        <f aca="false">IF(Raw_Nigeria!K50="","n/a",Raw_Nigeria!K50)</f>
        <v>0-12 m</v>
      </c>
      <c r="M50" s="7" t="str">
        <f aca="false">IF(Raw_Nigeria!I50="","",Raw_Nigeria!I50)</f>
        <v/>
      </c>
      <c r="N50" s="7" t="n">
        <f aca="false">Raw_Nigeria!M50</f>
        <v>36</v>
      </c>
      <c r="O50" s="7" t="n">
        <f aca="false">IF(Raw_Nigeria!N50="","",Raw_Nigeria!N50)</f>
        <v>1320</v>
      </c>
      <c r="P50" s="7" t="str">
        <f aca="false">IF(K50="CBAW","Women of child-bearing age","Children")</f>
        <v>Children</v>
      </c>
      <c r="Q50" s="7" t="n">
        <f aca="false">IF(J50="NOT USED",1,0)</f>
        <v>0</v>
      </c>
      <c r="R50" s="7" t="n">
        <f aca="false">IF(AND(P50="Children",Q50=0),1,0)</f>
        <v>1</v>
      </c>
      <c r="S50" s="7" t="n">
        <f aca="false">IF(AND(R50=1,J50="Record or Recall",K50="12-23 m"),1,0)</f>
        <v>0</v>
      </c>
      <c r="T50" s="7" t="n">
        <f aca="false">IF(OR(I50="BCG",I50="DTP1",I50="DTP3",I50="POL3",I50="MCV1",I50="FULL"),1,0)</f>
        <v>1</v>
      </c>
      <c r="U50" s="7" t="n">
        <f aca="false">IF(OR(C50="DHS",C50="MICS"),1,0)</f>
        <v>1</v>
      </c>
      <c r="V50" s="7" t="n">
        <f aca="false">IF(O50="",1,0)</f>
        <v>0</v>
      </c>
      <c r="W50" s="7" t="n">
        <f aca="false">IF(M50="",1,0)</f>
        <v>1</v>
      </c>
      <c r="X50" s="7" t="n">
        <f aca="false">COUNTIFS($B$2:$B$1141,B50,$H$2:$H$1141,H50,$I$2:$I$1141,I50,$J$2:$J$1141,J50,$K$2:$K$1141,K50,$L$2:$L$1141,L50)</f>
        <v>1</v>
      </c>
    </row>
    <row r="51" customFormat="false" ht="15" hidden="false" customHeight="false" outlineLevel="0" collapsed="false">
      <c r="A51" s="7" t="n">
        <f aca="false">ROW()-1</f>
        <v>50</v>
      </c>
      <c r="B51" s="7" t="str">
        <f aca="false">IF(Raw_Nigeria!B51="",TRIM(Raw_Nigeria!C51),TRIM(Raw_Nigeria!B51))</f>
        <v>Nigeria Demographic and Health Survey 1990, 1992</v>
      </c>
      <c r="C51" s="7" t="str">
        <f aca="false">IF(ISNUMBER(SEARCH("Demographic and Health",B51)),"DHS",IF(OR(ISNUMBER(SEARCH("Multiple Indicator Cluster",B51)),ISNUMBER(SEARCH("MICS",B51))),"MICS",IF(ISNUMBER(SEARCH("Immunization Coverage Survey",B51)),"Coverage survey",IF(ISNUMBER(SEARCH("Nutrition",B51)),"Nutrition survey","Other"))))</f>
        <v>DHS</v>
      </c>
      <c r="D51" s="7" t="n">
        <f aca="false">VALUE(LEFT(Raw_Nigeria!D51,4))</f>
        <v>1990</v>
      </c>
      <c r="E51" s="7" t="n">
        <f aca="false">IF(VALUE(RIGHT(Raw_Nigeria!D51,2))&gt;12,"",VALUE(RIGHT(Raw_Nigeria!D51,2)))</f>
        <v>4</v>
      </c>
      <c r="F51" s="7" t="n">
        <f aca="false">VALUE(LEFT(Raw_Nigeria!E51,4))</f>
        <v>1990</v>
      </c>
      <c r="G51" s="7" t="n">
        <f aca="false">IF(VALUE(RIGHT(Raw_Nigeria!E51,2))&gt;12,"",VALUE(RIGHT(Raw_Nigeria!E51,2)))</f>
        <v>10</v>
      </c>
      <c r="H51" s="7" t="n">
        <f aca="false">Raw_Nigeria!F51</f>
        <v>1988</v>
      </c>
      <c r="I51" s="7" t="str">
        <f aca="false">UPPER(TRIM(Raw_Nigeria!G51))</f>
        <v>DTP1</v>
      </c>
      <c r="J51" s="7" t="str">
        <f aca="false">Raw_Nigeria!H51</f>
        <v>Record or Recall&lt;12m</v>
      </c>
      <c r="K51" s="7" t="str">
        <f aca="false">Raw_Nigeria!L51</f>
        <v>24-35 m</v>
      </c>
      <c r="L51" s="7" t="str">
        <f aca="false">IF(Raw_Nigeria!K51="","n/a",Raw_Nigeria!K51)</f>
        <v>0-12 m</v>
      </c>
      <c r="M51" s="7" t="str">
        <f aca="false">IF(Raw_Nigeria!I51="","",Raw_Nigeria!I51)</f>
        <v/>
      </c>
      <c r="N51" s="7" t="n">
        <f aca="false">Raw_Nigeria!M51</f>
        <v>34.2</v>
      </c>
      <c r="O51" s="7" t="n">
        <f aca="false">IF(Raw_Nigeria!N51="","",Raw_Nigeria!N51)</f>
        <v>1320</v>
      </c>
      <c r="P51" s="7" t="str">
        <f aca="false">IF(K51="CBAW","Women of child-bearing age","Children")</f>
        <v>Children</v>
      </c>
      <c r="Q51" s="7" t="n">
        <f aca="false">IF(J51="NOT USED",1,0)</f>
        <v>0</v>
      </c>
      <c r="R51" s="7" t="n">
        <f aca="false">IF(AND(P51="Children",Q51=0),1,0)</f>
        <v>1</v>
      </c>
      <c r="S51" s="7" t="n">
        <f aca="false">IF(AND(R51=1,J51="Record or Recall",K51="12-23 m"),1,0)</f>
        <v>0</v>
      </c>
      <c r="T51" s="7" t="n">
        <f aca="false">IF(OR(I51="BCG",I51="DTP1",I51="DTP3",I51="POL3",I51="MCV1",I51="FULL"),1,0)</f>
        <v>1</v>
      </c>
      <c r="U51" s="7" t="n">
        <f aca="false">IF(OR(C51="DHS",C51="MICS"),1,0)</f>
        <v>1</v>
      </c>
      <c r="V51" s="7" t="n">
        <f aca="false">IF(O51="",1,0)</f>
        <v>0</v>
      </c>
      <c r="W51" s="7" t="n">
        <f aca="false">IF(M51="",1,0)</f>
        <v>1</v>
      </c>
      <c r="X51" s="7" t="n">
        <f aca="false">COUNTIFS($B$2:$B$1141,B51,$H$2:$H$1141,H51,$I$2:$I$1141,I51,$J$2:$J$1141,J51,$K$2:$K$1141,K51,$L$2:$L$1141,L51)</f>
        <v>1</v>
      </c>
    </row>
    <row r="52" customFormat="false" ht="15" hidden="false" customHeight="false" outlineLevel="0" collapsed="false">
      <c r="A52" s="7" t="n">
        <f aca="false">ROW()-1</f>
        <v>51</v>
      </c>
      <c r="B52" s="7" t="str">
        <f aca="false">IF(Raw_Nigeria!B52="",TRIM(Raw_Nigeria!C52),TRIM(Raw_Nigeria!B52))</f>
        <v>Nigeria Demographic and Health Survey 1990, 1992</v>
      </c>
      <c r="C52" s="7" t="str">
        <f aca="false">IF(ISNUMBER(SEARCH("Demographic and Health",B52)),"DHS",IF(OR(ISNUMBER(SEARCH("Multiple Indicator Cluster",B52)),ISNUMBER(SEARCH("MICS",B52))),"MICS",IF(ISNUMBER(SEARCH("Immunization Coverage Survey",B52)),"Coverage survey",IF(ISNUMBER(SEARCH("Nutrition",B52)),"Nutrition survey","Other"))))</f>
        <v>DHS</v>
      </c>
      <c r="D52" s="7" t="n">
        <f aca="false">VALUE(LEFT(Raw_Nigeria!D52,4))</f>
        <v>1990</v>
      </c>
      <c r="E52" s="7" t="n">
        <f aca="false">IF(VALUE(RIGHT(Raw_Nigeria!D52,2))&gt;12,"",VALUE(RIGHT(Raw_Nigeria!D52,2)))</f>
        <v>4</v>
      </c>
      <c r="F52" s="7" t="n">
        <f aca="false">VALUE(LEFT(Raw_Nigeria!E52,4))</f>
        <v>1990</v>
      </c>
      <c r="G52" s="7" t="n">
        <f aca="false">IF(VALUE(RIGHT(Raw_Nigeria!E52,2))&gt;12,"",VALUE(RIGHT(Raw_Nigeria!E52,2)))</f>
        <v>10</v>
      </c>
      <c r="H52" s="7" t="n">
        <f aca="false">Raw_Nigeria!F52</f>
        <v>1988</v>
      </c>
      <c r="I52" s="7" t="str">
        <f aca="false">UPPER(TRIM(Raw_Nigeria!G52))</f>
        <v>DTP3</v>
      </c>
      <c r="J52" s="7" t="str">
        <f aca="false">Raw_Nigeria!H52</f>
        <v>Record or Recall&lt;12m</v>
      </c>
      <c r="K52" s="7" t="str">
        <f aca="false">Raw_Nigeria!L52</f>
        <v>24-35 m</v>
      </c>
      <c r="L52" s="7" t="str">
        <f aca="false">IF(Raw_Nigeria!K52="","n/a",Raw_Nigeria!K52)</f>
        <v>0-12 m</v>
      </c>
      <c r="M52" s="7" t="str">
        <f aca="false">IF(Raw_Nigeria!I52="","",Raw_Nigeria!I52)</f>
        <v/>
      </c>
      <c r="N52" s="7" t="n">
        <f aca="false">Raw_Nigeria!M52</f>
        <v>18.2</v>
      </c>
      <c r="O52" s="7" t="n">
        <f aca="false">IF(Raw_Nigeria!N52="","",Raw_Nigeria!N52)</f>
        <v>1320</v>
      </c>
      <c r="P52" s="7" t="str">
        <f aca="false">IF(K52="CBAW","Women of child-bearing age","Children")</f>
        <v>Children</v>
      </c>
      <c r="Q52" s="7" t="n">
        <f aca="false">IF(J52="NOT USED",1,0)</f>
        <v>0</v>
      </c>
      <c r="R52" s="7" t="n">
        <f aca="false">IF(AND(P52="Children",Q52=0),1,0)</f>
        <v>1</v>
      </c>
      <c r="S52" s="7" t="n">
        <f aca="false">IF(AND(R52=1,J52="Record or Recall",K52="12-23 m"),1,0)</f>
        <v>0</v>
      </c>
      <c r="T52" s="7" t="n">
        <f aca="false">IF(OR(I52="BCG",I52="DTP1",I52="DTP3",I52="POL3",I52="MCV1",I52="FULL"),1,0)</f>
        <v>1</v>
      </c>
      <c r="U52" s="7" t="n">
        <f aca="false">IF(OR(C52="DHS",C52="MICS"),1,0)</f>
        <v>1</v>
      </c>
      <c r="V52" s="7" t="n">
        <f aca="false">IF(O52="",1,0)</f>
        <v>0</v>
      </c>
      <c r="W52" s="7" t="n">
        <f aca="false">IF(M52="",1,0)</f>
        <v>1</v>
      </c>
      <c r="X52" s="7" t="n">
        <f aca="false">COUNTIFS($B$2:$B$1141,B52,$H$2:$H$1141,H52,$I$2:$I$1141,I52,$J$2:$J$1141,J52,$K$2:$K$1141,K52,$L$2:$L$1141,L52)</f>
        <v>1</v>
      </c>
    </row>
    <row r="53" customFormat="false" ht="15" hidden="false" customHeight="false" outlineLevel="0" collapsed="false">
      <c r="A53" s="7" t="n">
        <f aca="false">ROW()-1</f>
        <v>52</v>
      </c>
      <c r="B53" s="7" t="str">
        <f aca="false">IF(Raw_Nigeria!B53="",TRIM(Raw_Nigeria!C53),TRIM(Raw_Nigeria!B53))</f>
        <v>Nigeria Demographic and Health Survey 1990, 1992</v>
      </c>
      <c r="C53" s="7" t="str">
        <f aca="false">IF(ISNUMBER(SEARCH("Demographic and Health",B53)),"DHS",IF(OR(ISNUMBER(SEARCH("Multiple Indicator Cluster",B53)),ISNUMBER(SEARCH("MICS",B53))),"MICS",IF(ISNUMBER(SEARCH("Immunization Coverage Survey",B53)),"Coverage survey",IF(ISNUMBER(SEARCH("Nutrition",B53)),"Nutrition survey","Other"))))</f>
        <v>DHS</v>
      </c>
      <c r="D53" s="7" t="n">
        <f aca="false">VALUE(LEFT(Raw_Nigeria!D53,4))</f>
        <v>1990</v>
      </c>
      <c r="E53" s="7" t="n">
        <f aca="false">IF(VALUE(RIGHT(Raw_Nigeria!D53,2))&gt;12,"",VALUE(RIGHT(Raw_Nigeria!D53,2)))</f>
        <v>4</v>
      </c>
      <c r="F53" s="7" t="n">
        <f aca="false">VALUE(LEFT(Raw_Nigeria!E53,4))</f>
        <v>1990</v>
      </c>
      <c r="G53" s="7" t="n">
        <f aca="false">IF(VALUE(RIGHT(Raw_Nigeria!E53,2))&gt;12,"",VALUE(RIGHT(Raw_Nigeria!E53,2)))</f>
        <v>10</v>
      </c>
      <c r="H53" s="7" t="n">
        <f aca="false">Raw_Nigeria!F53</f>
        <v>1988</v>
      </c>
      <c r="I53" s="7" t="str">
        <f aca="false">UPPER(TRIM(Raw_Nigeria!G53))</f>
        <v>FULL</v>
      </c>
      <c r="J53" s="7" t="str">
        <f aca="false">Raw_Nigeria!H53</f>
        <v>Record or Recall&lt;12m</v>
      </c>
      <c r="K53" s="7" t="str">
        <f aca="false">Raw_Nigeria!L53</f>
        <v>24-35 m</v>
      </c>
      <c r="L53" s="7" t="str">
        <f aca="false">IF(Raw_Nigeria!K53="","n/a",Raw_Nigeria!K53)</f>
        <v>0-12 m</v>
      </c>
      <c r="M53" s="7" t="str">
        <f aca="false">IF(Raw_Nigeria!I53="","",Raw_Nigeria!I53)</f>
        <v/>
      </c>
      <c r="N53" s="7" t="n">
        <f aca="false">Raw_Nigeria!M53</f>
        <v>11.7</v>
      </c>
      <c r="O53" s="7" t="n">
        <f aca="false">IF(Raw_Nigeria!N53="","",Raw_Nigeria!N53)</f>
        <v>1320</v>
      </c>
      <c r="P53" s="7" t="str">
        <f aca="false">IF(K53="CBAW","Women of child-bearing age","Children")</f>
        <v>Children</v>
      </c>
      <c r="Q53" s="7" t="n">
        <f aca="false">IF(J53="NOT USED",1,0)</f>
        <v>0</v>
      </c>
      <c r="R53" s="7" t="n">
        <f aca="false">IF(AND(P53="Children",Q53=0),1,0)</f>
        <v>1</v>
      </c>
      <c r="S53" s="7" t="n">
        <f aca="false">IF(AND(R53=1,J53="Record or Recall",K53="12-23 m"),1,0)</f>
        <v>0</v>
      </c>
      <c r="T53" s="7" t="n">
        <f aca="false">IF(OR(I53="BCG",I53="DTP1",I53="DTP3",I53="POL3",I53="MCV1",I53="FULL"),1,0)</f>
        <v>1</v>
      </c>
      <c r="U53" s="7" t="n">
        <f aca="false">IF(OR(C53="DHS",C53="MICS"),1,0)</f>
        <v>1</v>
      </c>
      <c r="V53" s="7" t="n">
        <f aca="false">IF(O53="",1,0)</f>
        <v>0</v>
      </c>
      <c r="W53" s="7" t="n">
        <f aca="false">IF(M53="",1,0)</f>
        <v>1</v>
      </c>
      <c r="X53" s="7" t="n">
        <f aca="false">COUNTIFS($B$2:$B$1141,B53,$H$2:$H$1141,H53,$I$2:$I$1141,I53,$J$2:$J$1141,J53,$K$2:$K$1141,K53,$L$2:$L$1141,L53)</f>
        <v>1</v>
      </c>
    </row>
    <row r="54" customFormat="false" ht="15" hidden="false" customHeight="false" outlineLevel="0" collapsed="false">
      <c r="A54" s="7" t="n">
        <f aca="false">ROW()-1</f>
        <v>53</v>
      </c>
      <c r="B54" s="7" t="str">
        <f aca="false">IF(Raw_Nigeria!B54="",TRIM(Raw_Nigeria!C54),TRIM(Raw_Nigeria!B54))</f>
        <v>Nigeria Demographic and Health Survey 1990, 1992</v>
      </c>
      <c r="C54" s="7" t="str">
        <f aca="false">IF(ISNUMBER(SEARCH("Demographic and Health",B54)),"DHS",IF(OR(ISNUMBER(SEARCH("Multiple Indicator Cluster",B54)),ISNUMBER(SEARCH("MICS",B54))),"MICS",IF(ISNUMBER(SEARCH("Immunization Coverage Survey",B54)),"Coverage survey",IF(ISNUMBER(SEARCH("Nutrition",B54)),"Nutrition survey","Other"))))</f>
        <v>DHS</v>
      </c>
      <c r="D54" s="7" t="n">
        <f aca="false">VALUE(LEFT(Raw_Nigeria!D54,4))</f>
        <v>1990</v>
      </c>
      <c r="E54" s="7" t="n">
        <f aca="false">IF(VALUE(RIGHT(Raw_Nigeria!D54,2))&gt;12,"",VALUE(RIGHT(Raw_Nigeria!D54,2)))</f>
        <v>4</v>
      </c>
      <c r="F54" s="7" t="n">
        <f aca="false">VALUE(LEFT(Raw_Nigeria!E54,4))</f>
        <v>1990</v>
      </c>
      <c r="G54" s="7" t="n">
        <f aca="false">IF(VALUE(RIGHT(Raw_Nigeria!E54,2))&gt;12,"",VALUE(RIGHT(Raw_Nigeria!E54,2)))</f>
        <v>10</v>
      </c>
      <c r="H54" s="7" t="n">
        <f aca="false">Raw_Nigeria!F54</f>
        <v>1988</v>
      </c>
      <c r="I54" s="7" t="str">
        <f aca="false">UPPER(TRIM(Raw_Nigeria!G54))</f>
        <v>MCV1</v>
      </c>
      <c r="J54" s="7" t="str">
        <f aca="false">Raw_Nigeria!H54</f>
        <v>Record or Recall&lt;12m</v>
      </c>
      <c r="K54" s="7" t="str">
        <f aca="false">Raw_Nigeria!L54</f>
        <v>24-35 m</v>
      </c>
      <c r="L54" s="7" t="str">
        <f aca="false">IF(Raw_Nigeria!K54="","n/a",Raw_Nigeria!K54)</f>
        <v>0-12 m</v>
      </c>
      <c r="M54" s="7" t="str">
        <f aca="false">IF(Raw_Nigeria!I54="","",Raw_Nigeria!I54)</f>
        <v/>
      </c>
      <c r="N54" s="7" t="n">
        <f aca="false">Raw_Nigeria!M54</f>
        <v>18.8</v>
      </c>
      <c r="O54" s="7" t="n">
        <f aca="false">IF(Raw_Nigeria!N54="","",Raw_Nigeria!N54)</f>
        <v>1320</v>
      </c>
      <c r="P54" s="7" t="str">
        <f aca="false">IF(K54="CBAW","Women of child-bearing age","Children")</f>
        <v>Children</v>
      </c>
      <c r="Q54" s="7" t="n">
        <f aca="false">IF(J54="NOT USED",1,0)</f>
        <v>0</v>
      </c>
      <c r="R54" s="7" t="n">
        <f aca="false">IF(AND(P54="Children",Q54=0),1,0)</f>
        <v>1</v>
      </c>
      <c r="S54" s="7" t="n">
        <f aca="false">IF(AND(R54=1,J54="Record or Recall",K54="12-23 m"),1,0)</f>
        <v>0</v>
      </c>
      <c r="T54" s="7" t="n">
        <f aca="false">IF(OR(I54="BCG",I54="DTP1",I54="DTP3",I54="POL3",I54="MCV1",I54="FULL"),1,0)</f>
        <v>1</v>
      </c>
      <c r="U54" s="7" t="n">
        <f aca="false">IF(OR(C54="DHS",C54="MICS"),1,0)</f>
        <v>1</v>
      </c>
      <c r="V54" s="7" t="n">
        <f aca="false">IF(O54="",1,0)</f>
        <v>0</v>
      </c>
      <c r="W54" s="7" t="n">
        <f aca="false">IF(M54="",1,0)</f>
        <v>1</v>
      </c>
      <c r="X54" s="7" t="n">
        <f aca="false">COUNTIFS($B$2:$B$1141,B54,$H$2:$H$1141,H54,$I$2:$I$1141,I54,$J$2:$J$1141,J54,$K$2:$K$1141,K54,$L$2:$L$1141,L54)</f>
        <v>1</v>
      </c>
    </row>
    <row r="55" customFormat="false" ht="15" hidden="false" customHeight="false" outlineLevel="0" collapsed="false">
      <c r="A55" s="7" t="n">
        <f aca="false">ROW()-1</f>
        <v>54</v>
      </c>
      <c r="B55" s="7" t="str">
        <f aca="false">IF(Raw_Nigeria!B55="",TRIM(Raw_Nigeria!C55),TRIM(Raw_Nigeria!B55))</f>
        <v>Nigeria Demographic and Health Survey 1990, 1992</v>
      </c>
      <c r="C55" s="7" t="str">
        <f aca="false">IF(ISNUMBER(SEARCH("Demographic and Health",B55)),"DHS",IF(OR(ISNUMBER(SEARCH("Multiple Indicator Cluster",B55)),ISNUMBER(SEARCH("MICS",B55))),"MICS",IF(ISNUMBER(SEARCH("Immunization Coverage Survey",B55)),"Coverage survey",IF(ISNUMBER(SEARCH("Nutrition",B55)),"Nutrition survey","Other"))))</f>
        <v>DHS</v>
      </c>
      <c r="D55" s="7" t="n">
        <f aca="false">VALUE(LEFT(Raw_Nigeria!D55,4))</f>
        <v>1990</v>
      </c>
      <c r="E55" s="7" t="n">
        <f aca="false">IF(VALUE(RIGHT(Raw_Nigeria!D55,2))&gt;12,"",VALUE(RIGHT(Raw_Nigeria!D55,2)))</f>
        <v>4</v>
      </c>
      <c r="F55" s="7" t="n">
        <f aca="false">VALUE(LEFT(Raw_Nigeria!E55,4))</f>
        <v>1990</v>
      </c>
      <c r="G55" s="7" t="n">
        <f aca="false">IF(VALUE(RIGHT(Raw_Nigeria!E55,2))&gt;12,"",VALUE(RIGHT(Raw_Nigeria!E55,2)))</f>
        <v>10</v>
      </c>
      <c r="H55" s="7" t="n">
        <f aca="false">Raw_Nigeria!F55</f>
        <v>1988</v>
      </c>
      <c r="I55" s="7" t="str">
        <f aca="false">UPPER(TRIM(Raw_Nigeria!G55))</f>
        <v>POL1</v>
      </c>
      <c r="J55" s="7" t="str">
        <f aca="false">Raw_Nigeria!H55</f>
        <v>Record or Recall&lt;12m</v>
      </c>
      <c r="K55" s="7" t="str">
        <f aca="false">Raw_Nigeria!L55</f>
        <v>24-35 m</v>
      </c>
      <c r="L55" s="7" t="str">
        <f aca="false">IF(Raw_Nigeria!K55="","n/a",Raw_Nigeria!K55)</f>
        <v>0-12 m</v>
      </c>
      <c r="M55" s="7" t="str">
        <f aca="false">IF(Raw_Nigeria!I55="","",Raw_Nigeria!I55)</f>
        <v/>
      </c>
      <c r="N55" s="7" t="n">
        <f aca="false">Raw_Nigeria!M55</f>
        <v>34.1</v>
      </c>
      <c r="O55" s="7" t="n">
        <f aca="false">IF(Raw_Nigeria!N55="","",Raw_Nigeria!N55)</f>
        <v>1320</v>
      </c>
      <c r="P55" s="7" t="str">
        <f aca="false">IF(K55="CBAW","Women of child-bearing age","Children")</f>
        <v>Children</v>
      </c>
      <c r="Q55" s="7" t="n">
        <f aca="false">IF(J55="NOT USED",1,0)</f>
        <v>0</v>
      </c>
      <c r="R55" s="7" t="n">
        <f aca="false">IF(AND(P55="Children",Q55=0),1,0)</f>
        <v>1</v>
      </c>
      <c r="S55" s="7" t="n">
        <f aca="false">IF(AND(R55=1,J55="Record or Recall",K55="12-23 m"),1,0)</f>
        <v>0</v>
      </c>
      <c r="T55" s="7" t="n">
        <f aca="false">IF(OR(I55="BCG",I55="DTP1",I55="DTP3",I55="POL3",I55="MCV1",I55="FULL"),1,0)</f>
        <v>0</v>
      </c>
      <c r="U55" s="7" t="n">
        <f aca="false">IF(OR(C55="DHS",C55="MICS"),1,0)</f>
        <v>1</v>
      </c>
      <c r="V55" s="7" t="n">
        <f aca="false">IF(O55="",1,0)</f>
        <v>0</v>
      </c>
      <c r="W55" s="7" t="n">
        <f aca="false">IF(M55="",1,0)</f>
        <v>1</v>
      </c>
      <c r="X55" s="7" t="n">
        <f aca="false">COUNTIFS($B$2:$B$1141,B55,$H$2:$H$1141,H55,$I$2:$I$1141,I55,$J$2:$J$1141,J55,$K$2:$K$1141,K55,$L$2:$L$1141,L55)</f>
        <v>1</v>
      </c>
    </row>
    <row r="56" customFormat="false" ht="15" hidden="false" customHeight="false" outlineLevel="0" collapsed="false">
      <c r="A56" s="7" t="n">
        <f aca="false">ROW()-1</f>
        <v>55</v>
      </c>
      <c r="B56" s="7" t="str">
        <f aca="false">IF(Raw_Nigeria!B56="",TRIM(Raw_Nigeria!C56),TRIM(Raw_Nigeria!B56))</f>
        <v>Nigeria Demographic and Health Survey 1990, 1992</v>
      </c>
      <c r="C56" s="7" t="str">
        <f aca="false">IF(ISNUMBER(SEARCH("Demographic and Health",B56)),"DHS",IF(OR(ISNUMBER(SEARCH("Multiple Indicator Cluster",B56)),ISNUMBER(SEARCH("MICS",B56))),"MICS",IF(ISNUMBER(SEARCH("Immunization Coverage Survey",B56)),"Coverage survey",IF(ISNUMBER(SEARCH("Nutrition",B56)),"Nutrition survey","Other"))))</f>
        <v>DHS</v>
      </c>
      <c r="D56" s="7" t="n">
        <f aca="false">VALUE(LEFT(Raw_Nigeria!D56,4))</f>
        <v>1990</v>
      </c>
      <c r="E56" s="7" t="n">
        <f aca="false">IF(VALUE(RIGHT(Raw_Nigeria!D56,2))&gt;12,"",VALUE(RIGHT(Raw_Nigeria!D56,2)))</f>
        <v>4</v>
      </c>
      <c r="F56" s="7" t="n">
        <f aca="false">VALUE(LEFT(Raw_Nigeria!E56,4))</f>
        <v>1990</v>
      </c>
      <c r="G56" s="7" t="n">
        <f aca="false">IF(VALUE(RIGHT(Raw_Nigeria!E56,2))&gt;12,"",VALUE(RIGHT(Raw_Nigeria!E56,2)))</f>
        <v>10</v>
      </c>
      <c r="H56" s="7" t="n">
        <f aca="false">Raw_Nigeria!F56</f>
        <v>1988</v>
      </c>
      <c r="I56" s="7" t="str">
        <f aca="false">UPPER(TRIM(Raw_Nigeria!G56))</f>
        <v>POL3</v>
      </c>
      <c r="J56" s="7" t="str">
        <f aca="false">Raw_Nigeria!H56</f>
        <v>Record or Recall&lt;12m</v>
      </c>
      <c r="K56" s="7" t="str">
        <f aca="false">Raw_Nigeria!L56</f>
        <v>24-35 m</v>
      </c>
      <c r="L56" s="7" t="str">
        <f aca="false">IF(Raw_Nigeria!K56="","n/a",Raw_Nigeria!K56)</f>
        <v>0-12 m</v>
      </c>
      <c r="M56" s="7" t="str">
        <f aca="false">IF(Raw_Nigeria!I56="","",Raw_Nigeria!I56)</f>
        <v/>
      </c>
      <c r="N56" s="7" t="n">
        <f aca="false">Raw_Nigeria!M56</f>
        <v>18.2</v>
      </c>
      <c r="O56" s="7" t="n">
        <f aca="false">IF(Raw_Nigeria!N56="","",Raw_Nigeria!N56)</f>
        <v>1320</v>
      </c>
      <c r="P56" s="7" t="str">
        <f aca="false">IF(K56="CBAW","Women of child-bearing age","Children")</f>
        <v>Children</v>
      </c>
      <c r="Q56" s="7" t="n">
        <f aca="false">IF(J56="NOT USED",1,0)</f>
        <v>0</v>
      </c>
      <c r="R56" s="7" t="n">
        <f aca="false">IF(AND(P56="Children",Q56=0),1,0)</f>
        <v>1</v>
      </c>
      <c r="S56" s="7" t="n">
        <f aca="false">IF(AND(R56=1,J56="Record or Recall",K56="12-23 m"),1,0)</f>
        <v>0</v>
      </c>
      <c r="T56" s="7" t="n">
        <f aca="false">IF(OR(I56="BCG",I56="DTP1",I56="DTP3",I56="POL3",I56="MCV1",I56="FULL"),1,0)</f>
        <v>1</v>
      </c>
      <c r="U56" s="7" t="n">
        <f aca="false">IF(OR(C56="DHS",C56="MICS"),1,0)</f>
        <v>1</v>
      </c>
      <c r="V56" s="7" t="n">
        <f aca="false">IF(O56="",1,0)</f>
        <v>0</v>
      </c>
      <c r="W56" s="7" t="n">
        <f aca="false">IF(M56="",1,0)</f>
        <v>1</v>
      </c>
      <c r="X56" s="7" t="n">
        <f aca="false">COUNTIFS($B$2:$B$1141,B56,$H$2:$H$1141,H56,$I$2:$I$1141,I56,$J$2:$J$1141,J56,$K$2:$K$1141,K56,$L$2:$L$1141,L56)</f>
        <v>1</v>
      </c>
    </row>
    <row r="57" customFormat="false" ht="15" hidden="false" customHeight="false" outlineLevel="0" collapsed="false">
      <c r="A57" s="7" t="n">
        <f aca="false">ROW()-1</f>
        <v>56</v>
      </c>
      <c r="B57" s="7" t="str">
        <f aca="false">IF(Raw_Nigeria!B57="",TRIM(Raw_Nigeria!C57),TRIM(Raw_Nigeria!B57))</f>
        <v>Nigeria Demographic and Health Survey 1990, 1992</v>
      </c>
      <c r="C57" s="7" t="str">
        <f aca="false">IF(ISNUMBER(SEARCH("Demographic and Health",B57)),"DHS",IF(OR(ISNUMBER(SEARCH("Multiple Indicator Cluster",B57)),ISNUMBER(SEARCH("MICS",B57))),"MICS",IF(ISNUMBER(SEARCH("Immunization Coverage Survey",B57)),"Coverage survey",IF(ISNUMBER(SEARCH("Nutrition",B57)),"Nutrition survey","Other"))))</f>
        <v>DHS</v>
      </c>
      <c r="D57" s="7" t="n">
        <f aca="false">VALUE(LEFT(Raw_Nigeria!D57,4))</f>
        <v>1990</v>
      </c>
      <c r="E57" s="7" t="n">
        <f aca="false">IF(VALUE(RIGHT(Raw_Nigeria!D57,2))&gt;12,"",VALUE(RIGHT(Raw_Nigeria!D57,2)))</f>
        <v>4</v>
      </c>
      <c r="F57" s="7" t="n">
        <f aca="false">VALUE(LEFT(Raw_Nigeria!E57,4))</f>
        <v>1990</v>
      </c>
      <c r="G57" s="7" t="n">
        <f aca="false">IF(VALUE(RIGHT(Raw_Nigeria!E57,2))&gt;12,"",VALUE(RIGHT(Raw_Nigeria!E57,2)))</f>
        <v>10</v>
      </c>
      <c r="H57" s="7" t="n">
        <f aca="false">Raw_Nigeria!F57</f>
        <v>1989</v>
      </c>
      <c r="I57" s="7" t="str">
        <f aca="false">UPPER(TRIM(Raw_Nigeria!G57))</f>
        <v>BCG</v>
      </c>
      <c r="J57" s="7" t="str">
        <f aca="false">Raw_Nigeria!H57</f>
        <v>Record or Recall&lt;12m</v>
      </c>
      <c r="K57" s="7" t="str">
        <f aca="false">Raw_Nigeria!L57</f>
        <v>12-23 m</v>
      </c>
      <c r="L57" s="7" t="str">
        <f aca="false">IF(Raw_Nigeria!K57="","n/a",Raw_Nigeria!K57)</f>
        <v>0-12 m</v>
      </c>
      <c r="M57" s="7" t="n">
        <f aca="false">IF(Raw_Nigeria!I57="","",Raw_Nigeria!I57)</f>
        <v>34.7</v>
      </c>
      <c r="N57" s="7" t="n">
        <f aca="false">Raw_Nigeria!M57</f>
        <v>48.3</v>
      </c>
      <c r="O57" s="7" t="n">
        <f aca="false">IF(Raw_Nigeria!N57="","",Raw_Nigeria!N57)</f>
        <v>1380</v>
      </c>
      <c r="P57" s="7" t="str">
        <f aca="false">IF(K57="CBAW","Women of child-bearing age","Children")</f>
        <v>Children</v>
      </c>
      <c r="Q57" s="7" t="n">
        <f aca="false">IF(J57="NOT USED",1,0)</f>
        <v>0</v>
      </c>
      <c r="R57" s="7" t="n">
        <f aca="false">IF(AND(P57="Children",Q57=0),1,0)</f>
        <v>1</v>
      </c>
      <c r="S57" s="7" t="n">
        <f aca="false">IF(AND(R57=1,J57="Record or Recall",K57="12-23 m"),1,0)</f>
        <v>0</v>
      </c>
      <c r="T57" s="7" t="n">
        <f aca="false">IF(OR(I57="BCG",I57="DTP1",I57="DTP3",I57="POL3",I57="MCV1",I57="FULL"),1,0)</f>
        <v>1</v>
      </c>
      <c r="U57" s="7" t="n">
        <f aca="false">IF(OR(C57="DHS",C57="MICS"),1,0)</f>
        <v>1</v>
      </c>
      <c r="V57" s="7" t="n">
        <f aca="false">IF(O57="",1,0)</f>
        <v>0</v>
      </c>
      <c r="W57" s="7" t="n">
        <f aca="false">IF(M57="",1,0)</f>
        <v>0</v>
      </c>
      <c r="X57" s="7" t="n">
        <f aca="false">COUNTIFS($B$2:$B$1141,B57,$H$2:$H$1141,H57,$I$2:$I$1141,I57,$J$2:$J$1141,J57,$K$2:$K$1141,K57,$L$2:$L$1141,L57)</f>
        <v>1</v>
      </c>
    </row>
    <row r="58" customFormat="false" ht="15" hidden="false" customHeight="false" outlineLevel="0" collapsed="false">
      <c r="A58" s="7" t="n">
        <f aca="false">ROW()-1</f>
        <v>57</v>
      </c>
      <c r="B58" s="7" t="str">
        <f aca="false">IF(Raw_Nigeria!B58="",TRIM(Raw_Nigeria!C58),TRIM(Raw_Nigeria!B58))</f>
        <v>Nigeria Demographic and Health Survey 1990, 1992</v>
      </c>
      <c r="C58" s="7" t="str">
        <f aca="false">IF(ISNUMBER(SEARCH("Demographic and Health",B58)),"DHS",IF(OR(ISNUMBER(SEARCH("Multiple Indicator Cluster",B58)),ISNUMBER(SEARCH("MICS",B58))),"MICS",IF(ISNUMBER(SEARCH("Immunization Coverage Survey",B58)),"Coverage survey",IF(ISNUMBER(SEARCH("Nutrition",B58)),"Nutrition survey","Other"))))</f>
        <v>DHS</v>
      </c>
      <c r="D58" s="7" t="n">
        <f aca="false">VALUE(LEFT(Raw_Nigeria!D58,4))</f>
        <v>1990</v>
      </c>
      <c r="E58" s="7" t="n">
        <f aca="false">IF(VALUE(RIGHT(Raw_Nigeria!D58,2))&gt;12,"",VALUE(RIGHT(Raw_Nigeria!D58,2)))</f>
        <v>4</v>
      </c>
      <c r="F58" s="7" t="n">
        <f aca="false">VALUE(LEFT(Raw_Nigeria!E58,4))</f>
        <v>1990</v>
      </c>
      <c r="G58" s="7" t="n">
        <f aca="false">IF(VALUE(RIGHT(Raw_Nigeria!E58,2))&gt;12,"",VALUE(RIGHT(Raw_Nigeria!E58,2)))</f>
        <v>10</v>
      </c>
      <c r="H58" s="7" t="n">
        <f aca="false">Raw_Nigeria!F58</f>
        <v>1989</v>
      </c>
      <c r="I58" s="7" t="str">
        <f aca="false">UPPER(TRIM(Raw_Nigeria!G58))</f>
        <v>BCG</v>
      </c>
      <c r="J58" s="7" t="str">
        <f aca="false">Raw_Nigeria!H58</f>
        <v>Record</v>
      </c>
      <c r="K58" s="7" t="str">
        <f aca="false">Raw_Nigeria!L58</f>
        <v>12-23 m</v>
      </c>
      <c r="L58" s="7" t="str">
        <f aca="false">IF(Raw_Nigeria!K58="","n/a",Raw_Nigeria!K58)</f>
        <v>0-23 m</v>
      </c>
      <c r="M58" s="7" t="n">
        <f aca="false">IF(Raw_Nigeria!I58="","",Raw_Nigeria!I58)</f>
        <v>34.7</v>
      </c>
      <c r="N58" s="7" t="n">
        <f aca="false">Raw_Nigeria!M58</f>
        <v>34.2</v>
      </c>
      <c r="O58" s="7" t="n">
        <f aca="false">IF(Raw_Nigeria!N58="","",Raw_Nigeria!N58)</f>
        <v>1380</v>
      </c>
      <c r="P58" s="7" t="str">
        <f aca="false">IF(K58="CBAW","Women of child-bearing age","Children")</f>
        <v>Children</v>
      </c>
      <c r="Q58" s="7" t="n">
        <f aca="false">IF(J58="NOT USED",1,0)</f>
        <v>0</v>
      </c>
      <c r="R58" s="7" t="n">
        <f aca="false">IF(AND(P58="Children",Q58=0),1,0)</f>
        <v>1</v>
      </c>
      <c r="S58" s="7" t="n">
        <f aca="false">IF(AND(R58=1,J58="Record or Recall",K58="12-23 m"),1,0)</f>
        <v>0</v>
      </c>
      <c r="T58" s="7" t="n">
        <f aca="false">IF(OR(I58="BCG",I58="DTP1",I58="DTP3",I58="POL3",I58="MCV1",I58="FULL"),1,0)</f>
        <v>1</v>
      </c>
      <c r="U58" s="7" t="n">
        <f aca="false">IF(OR(C58="DHS",C58="MICS"),1,0)</f>
        <v>1</v>
      </c>
      <c r="V58" s="7" t="n">
        <f aca="false">IF(O58="",1,0)</f>
        <v>0</v>
      </c>
      <c r="W58" s="7" t="n">
        <f aca="false">IF(M58="",1,0)</f>
        <v>0</v>
      </c>
      <c r="X58" s="7" t="n">
        <f aca="false">COUNTIFS($B$2:$B$1141,B58,$H$2:$H$1141,H58,$I$2:$I$1141,I58,$J$2:$J$1141,J58,$K$2:$K$1141,K58,$L$2:$L$1141,L58)</f>
        <v>1</v>
      </c>
    </row>
    <row r="59" customFormat="false" ht="15" hidden="false" customHeight="false" outlineLevel="0" collapsed="false">
      <c r="A59" s="7" t="n">
        <f aca="false">ROW()-1</f>
        <v>58</v>
      </c>
      <c r="B59" s="7" t="str">
        <f aca="false">IF(Raw_Nigeria!B59="",TRIM(Raw_Nigeria!C59),TRIM(Raw_Nigeria!B59))</f>
        <v>Nigeria Demographic and Health Survey 1990, 1992</v>
      </c>
      <c r="C59" s="7" t="str">
        <f aca="false">IF(ISNUMBER(SEARCH("Demographic and Health",B59)),"DHS",IF(OR(ISNUMBER(SEARCH("Multiple Indicator Cluster",B59)),ISNUMBER(SEARCH("MICS",B59))),"MICS",IF(ISNUMBER(SEARCH("Immunization Coverage Survey",B59)),"Coverage survey",IF(ISNUMBER(SEARCH("Nutrition",B59)),"Nutrition survey","Other"))))</f>
        <v>DHS</v>
      </c>
      <c r="D59" s="7" t="n">
        <f aca="false">VALUE(LEFT(Raw_Nigeria!D59,4))</f>
        <v>1990</v>
      </c>
      <c r="E59" s="7" t="n">
        <f aca="false">IF(VALUE(RIGHT(Raw_Nigeria!D59,2))&gt;12,"",VALUE(RIGHT(Raw_Nigeria!D59,2)))</f>
        <v>4</v>
      </c>
      <c r="F59" s="7" t="n">
        <f aca="false">VALUE(LEFT(Raw_Nigeria!E59,4))</f>
        <v>1990</v>
      </c>
      <c r="G59" s="7" t="n">
        <f aca="false">IF(VALUE(RIGHT(Raw_Nigeria!E59,2))&gt;12,"",VALUE(RIGHT(Raw_Nigeria!E59,2)))</f>
        <v>10</v>
      </c>
      <c r="H59" s="7" t="n">
        <f aca="false">Raw_Nigeria!F59</f>
        <v>1989</v>
      </c>
      <c r="I59" s="7" t="str">
        <f aca="false">UPPER(TRIM(Raw_Nigeria!G59))</f>
        <v>BCG</v>
      </c>
      <c r="J59" s="7" t="str">
        <f aca="false">Raw_Nigeria!H59</f>
        <v>Record&lt;12m</v>
      </c>
      <c r="K59" s="7" t="str">
        <f aca="false">Raw_Nigeria!L59</f>
        <v>12-23 m</v>
      </c>
      <c r="L59" s="7" t="str">
        <f aca="false">IF(Raw_Nigeria!K59="","n/a",Raw_Nigeria!K59)</f>
        <v>0-12 m</v>
      </c>
      <c r="M59" s="7" t="n">
        <f aca="false">IF(Raw_Nigeria!I59="","",Raw_Nigeria!I59)</f>
        <v>34.7</v>
      </c>
      <c r="N59" s="7" t="n">
        <f aca="false">Raw_Nigeria!M59</f>
        <v>27.2</v>
      </c>
      <c r="O59" s="7" t="n">
        <f aca="false">IF(Raw_Nigeria!N59="","",Raw_Nigeria!N59)</f>
        <v>1380</v>
      </c>
      <c r="P59" s="7" t="str">
        <f aca="false">IF(K59="CBAW","Women of child-bearing age","Children")</f>
        <v>Children</v>
      </c>
      <c r="Q59" s="7" t="n">
        <f aca="false">IF(J59="NOT USED",1,0)</f>
        <v>0</v>
      </c>
      <c r="R59" s="7" t="n">
        <f aca="false">IF(AND(P59="Children",Q59=0),1,0)</f>
        <v>1</v>
      </c>
      <c r="S59" s="7" t="n">
        <f aca="false">IF(AND(R59=1,J59="Record or Recall",K59="12-23 m"),1,0)</f>
        <v>0</v>
      </c>
      <c r="T59" s="7" t="n">
        <f aca="false">IF(OR(I59="BCG",I59="DTP1",I59="DTP3",I59="POL3",I59="MCV1",I59="FULL"),1,0)</f>
        <v>1</v>
      </c>
      <c r="U59" s="7" t="n">
        <f aca="false">IF(OR(C59="DHS",C59="MICS"),1,0)</f>
        <v>1</v>
      </c>
      <c r="V59" s="7" t="n">
        <f aca="false">IF(O59="",1,0)</f>
        <v>0</v>
      </c>
      <c r="W59" s="7" t="n">
        <f aca="false">IF(M59="",1,0)</f>
        <v>0</v>
      </c>
      <c r="X59" s="7" t="n">
        <f aca="false">COUNTIFS($B$2:$B$1141,B59,$H$2:$H$1141,H59,$I$2:$I$1141,I59,$J$2:$J$1141,J59,$K$2:$K$1141,K59,$L$2:$L$1141,L59)</f>
        <v>1</v>
      </c>
    </row>
    <row r="60" customFormat="false" ht="15" hidden="false" customHeight="false" outlineLevel="0" collapsed="false">
      <c r="A60" s="7" t="n">
        <f aca="false">ROW()-1</f>
        <v>59</v>
      </c>
      <c r="B60" s="7" t="str">
        <f aca="false">IF(Raw_Nigeria!B60="",TRIM(Raw_Nigeria!C60),TRIM(Raw_Nigeria!B60))</f>
        <v>Nigeria Demographic and Health Survey 1990, 1992</v>
      </c>
      <c r="C60" s="7" t="str">
        <f aca="false">IF(ISNUMBER(SEARCH("Demographic and Health",B60)),"DHS",IF(OR(ISNUMBER(SEARCH("Multiple Indicator Cluster",B60)),ISNUMBER(SEARCH("MICS",B60))),"MICS",IF(ISNUMBER(SEARCH("Immunization Coverage Survey",B60)),"Coverage survey",IF(ISNUMBER(SEARCH("Nutrition",B60)),"Nutrition survey","Other"))))</f>
        <v>DHS</v>
      </c>
      <c r="D60" s="7" t="n">
        <f aca="false">VALUE(LEFT(Raw_Nigeria!D60,4))</f>
        <v>1990</v>
      </c>
      <c r="E60" s="7" t="n">
        <f aca="false">IF(VALUE(RIGHT(Raw_Nigeria!D60,2))&gt;12,"",VALUE(RIGHT(Raw_Nigeria!D60,2)))</f>
        <v>4</v>
      </c>
      <c r="F60" s="7" t="n">
        <f aca="false">VALUE(LEFT(Raw_Nigeria!E60,4))</f>
        <v>1990</v>
      </c>
      <c r="G60" s="7" t="n">
        <f aca="false">IF(VALUE(RIGHT(Raw_Nigeria!E60,2))&gt;12,"",VALUE(RIGHT(Raw_Nigeria!E60,2)))</f>
        <v>10</v>
      </c>
      <c r="H60" s="7" t="n">
        <f aca="false">Raw_Nigeria!F60</f>
        <v>1989</v>
      </c>
      <c r="I60" s="7" t="str">
        <f aca="false">UPPER(TRIM(Raw_Nigeria!G60))</f>
        <v>BCG</v>
      </c>
      <c r="J60" s="7" t="str">
        <f aca="false">Raw_Nigeria!H60</f>
        <v>Record or Recall</v>
      </c>
      <c r="K60" s="7" t="str">
        <f aca="false">Raw_Nigeria!L60</f>
        <v>12-23 m</v>
      </c>
      <c r="L60" s="7" t="str">
        <f aca="false">IF(Raw_Nigeria!K60="","n/a",Raw_Nigeria!K60)</f>
        <v>0-23 m</v>
      </c>
      <c r="M60" s="7" t="n">
        <f aca="false">IF(Raw_Nigeria!I60="","",Raw_Nigeria!I60)</f>
        <v>34.7</v>
      </c>
      <c r="N60" s="7" t="n">
        <f aca="false">Raw_Nigeria!M60</f>
        <v>60.7</v>
      </c>
      <c r="O60" s="7" t="n">
        <f aca="false">IF(Raw_Nigeria!N60="","",Raw_Nigeria!N60)</f>
        <v>1380</v>
      </c>
      <c r="P60" s="7" t="str">
        <f aca="false">IF(K60="CBAW","Women of child-bearing age","Children")</f>
        <v>Children</v>
      </c>
      <c r="Q60" s="7" t="n">
        <f aca="false">IF(J60="NOT USED",1,0)</f>
        <v>0</v>
      </c>
      <c r="R60" s="7" t="n">
        <f aca="false">IF(AND(P60="Children",Q60=0),1,0)</f>
        <v>1</v>
      </c>
      <c r="S60" s="7" t="n">
        <f aca="false">IF(AND(R60=1,J60="Record or Recall",K60="12-23 m"),1,0)</f>
        <v>1</v>
      </c>
      <c r="T60" s="7" t="n">
        <f aca="false">IF(OR(I60="BCG",I60="DTP1",I60="DTP3",I60="POL3",I60="MCV1",I60="FULL"),1,0)</f>
        <v>1</v>
      </c>
      <c r="U60" s="7" t="n">
        <f aca="false">IF(OR(C60="DHS",C60="MICS"),1,0)</f>
        <v>1</v>
      </c>
      <c r="V60" s="7" t="n">
        <f aca="false">IF(O60="",1,0)</f>
        <v>0</v>
      </c>
      <c r="W60" s="7" t="n">
        <f aca="false">IF(M60="",1,0)</f>
        <v>0</v>
      </c>
      <c r="X60" s="7" t="n">
        <f aca="false">COUNTIFS($B$2:$B$1141,B60,$H$2:$H$1141,H60,$I$2:$I$1141,I60,$J$2:$J$1141,J60,$K$2:$K$1141,K60,$L$2:$L$1141,L60)</f>
        <v>1</v>
      </c>
    </row>
    <row r="61" customFormat="false" ht="15" hidden="false" customHeight="false" outlineLevel="0" collapsed="false">
      <c r="A61" s="7" t="n">
        <f aca="false">ROW()-1</f>
        <v>60</v>
      </c>
      <c r="B61" s="7" t="str">
        <f aca="false">IF(Raw_Nigeria!B61="",TRIM(Raw_Nigeria!C61),TRIM(Raw_Nigeria!B61))</f>
        <v>Nigeria Demographic and Health Survey 1990, 1992</v>
      </c>
      <c r="C61" s="7" t="str">
        <f aca="false">IF(ISNUMBER(SEARCH("Demographic and Health",B61)),"DHS",IF(OR(ISNUMBER(SEARCH("Multiple Indicator Cluster",B61)),ISNUMBER(SEARCH("MICS",B61))),"MICS",IF(ISNUMBER(SEARCH("Immunization Coverage Survey",B61)),"Coverage survey",IF(ISNUMBER(SEARCH("Nutrition",B61)),"Nutrition survey","Other"))))</f>
        <v>DHS</v>
      </c>
      <c r="D61" s="7" t="n">
        <f aca="false">VALUE(LEFT(Raw_Nigeria!D61,4))</f>
        <v>1990</v>
      </c>
      <c r="E61" s="7" t="n">
        <f aca="false">IF(VALUE(RIGHT(Raw_Nigeria!D61,2))&gt;12,"",VALUE(RIGHT(Raw_Nigeria!D61,2)))</f>
        <v>4</v>
      </c>
      <c r="F61" s="7" t="n">
        <f aca="false">VALUE(LEFT(Raw_Nigeria!E61,4))</f>
        <v>1990</v>
      </c>
      <c r="G61" s="7" t="n">
        <f aca="false">IF(VALUE(RIGHT(Raw_Nigeria!E61,2))&gt;12,"",VALUE(RIGHT(Raw_Nigeria!E61,2)))</f>
        <v>10</v>
      </c>
      <c r="H61" s="7" t="n">
        <f aca="false">Raw_Nigeria!F61</f>
        <v>1989</v>
      </c>
      <c r="I61" s="7" t="str">
        <f aca="false">UPPER(TRIM(Raw_Nigeria!G61))</f>
        <v>BCG</v>
      </c>
      <c r="J61" s="7" t="str">
        <f aca="false">Raw_Nigeria!H61</f>
        <v>Recall</v>
      </c>
      <c r="K61" s="7" t="str">
        <f aca="false">Raw_Nigeria!L61</f>
        <v>12-23 m</v>
      </c>
      <c r="L61" s="7" t="str">
        <f aca="false">IF(Raw_Nigeria!K61="","n/a",Raw_Nigeria!K61)</f>
        <v>0-23 m</v>
      </c>
      <c r="M61" s="7" t="n">
        <f aca="false">IF(Raw_Nigeria!I61="","",Raw_Nigeria!I61)</f>
        <v>34.7</v>
      </c>
      <c r="N61" s="7" t="n">
        <f aca="false">Raw_Nigeria!M61</f>
        <v>26.5</v>
      </c>
      <c r="O61" s="7" t="n">
        <f aca="false">IF(Raw_Nigeria!N61="","",Raw_Nigeria!N61)</f>
        <v>1380</v>
      </c>
      <c r="P61" s="7" t="str">
        <f aca="false">IF(K61="CBAW","Women of child-bearing age","Children")</f>
        <v>Children</v>
      </c>
      <c r="Q61" s="7" t="n">
        <f aca="false">IF(J61="NOT USED",1,0)</f>
        <v>0</v>
      </c>
      <c r="R61" s="7" t="n">
        <f aca="false">IF(AND(P61="Children",Q61=0),1,0)</f>
        <v>1</v>
      </c>
      <c r="S61" s="7" t="n">
        <f aca="false">IF(AND(R61=1,J61="Record or Recall",K61="12-23 m"),1,0)</f>
        <v>0</v>
      </c>
      <c r="T61" s="7" t="n">
        <f aca="false">IF(OR(I61="BCG",I61="DTP1",I61="DTP3",I61="POL3",I61="MCV1",I61="FULL"),1,0)</f>
        <v>1</v>
      </c>
      <c r="U61" s="7" t="n">
        <f aca="false">IF(OR(C61="DHS",C61="MICS"),1,0)</f>
        <v>1</v>
      </c>
      <c r="V61" s="7" t="n">
        <f aca="false">IF(O61="",1,0)</f>
        <v>0</v>
      </c>
      <c r="W61" s="7" t="n">
        <f aca="false">IF(M61="",1,0)</f>
        <v>0</v>
      </c>
      <c r="X61" s="7" t="n">
        <f aca="false">COUNTIFS($B$2:$B$1141,B61,$H$2:$H$1141,H61,$I$2:$I$1141,I61,$J$2:$J$1141,J61,$K$2:$K$1141,K61,$L$2:$L$1141,L61)</f>
        <v>1</v>
      </c>
    </row>
    <row r="62" customFormat="false" ht="15" hidden="false" customHeight="false" outlineLevel="0" collapsed="false">
      <c r="A62" s="7" t="n">
        <f aca="false">ROW()-1</f>
        <v>61</v>
      </c>
      <c r="B62" s="7" t="str">
        <f aca="false">IF(Raw_Nigeria!B62="",TRIM(Raw_Nigeria!C62),TRIM(Raw_Nigeria!B62))</f>
        <v>Nigeria Demographic and Health Survey 1990, 1992</v>
      </c>
      <c r="C62" s="7" t="str">
        <f aca="false">IF(ISNUMBER(SEARCH("Demographic and Health",B62)),"DHS",IF(OR(ISNUMBER(SEARCH("Multiple Indicator Cluster",B62)),ISNUMBER(SEARCH("MICS",B62))),"MICS",IF(ISNUMBER(SEARCH("Immunization Coverage Survey",B62)),"Coverage survey",IF(ISNUMBER(SEARCH("Nutrition",B62)),"Nutrition survey","Other"))))</f>
        <v>DHS</v>
      </c>
      <c r="D62" s="7" t="n">
        <f aca="false">VALUE(LEFT(Raw_Nigeria!D62,4))</f>
        <v>1990</v>
      </c>
      <c r="E62" s="7" t="n">
        <f aca="false">IF(VALUE(RIGHT(Raw_Nigeria!D62,2))&gt;12,"",VALUE(RIGHT(Raw_Nigeria!D62,2)))</f>
        <v>4</v>
      </c>
      <c r="F62" s="7" t="n">
        <f aca="false">VALUE(LEFT(Raw_Nigeria!E62,4))</f>
        <v>1990</v>
      </c>
      <c r="G62" s="7" t="n">
        <f aca="false">IF(VALUE(RIGHT(Raw_Nigeria!E62,2))&gt;12,"",VALUE(RIGHT(Raw_Nigeria!E62,2)))</f>
        <v>10</v>
      </c>
      <c r="H62" s="7" t="n">
        <f aca="false">Raw_Nigeria!F62</f>
        <v>1989</v>
      </c>
      <c r="I62" s="7" t="str">
        <f aca="false">UPPER(TRIM(Raw_Nigeria!G62))</f>
        <v>DTP1</v>
      </c>
      <c r="J62" s="7" t="str">
        <f aca="false">Raw_Nigeria!H62</f>
        <v>Record or Recall&lt;12m</v>
      </c>
      <c r="K62" s="7" t="str">
        <f aca="false">Raw_Nigeria!L62</f>
        <v>12-23 m</v>
      </c>
      <c r="L62" s="7" t="str">
        <f aca="false">IF(Raw_Nigeria!K62="","n/a",Raw_Nigeria!K62)</f>
        <v>0-12 m</v>
      </c>
      <c r="M62" s="7" t="n">
        <f aca="false">IF(Raw_Nigeria!I62="","",Raw_Nigeria!I62)</f>
        <v>34.7</v>
      </c>
      <c r="N62" s="7" t="n">
        <f aca="false">Raw_Nigeria!M62</f>
        <v>47.5</v>
      </c>
      <c r="O62" s="7" t="n">
        <f aca="false">IF(Raw_Nigeria!N62="","",Raw_Nigeria!N62)</f>
        <v>1380</v>
      </c>
      <c r="P62" s="7" t="str">
        <f aca="false">IF(K62="CBAW","Women of child-bearing age","Children")</f>
        <v>Children</v>
      </c>
      <c r="Q62" s="7" t="n">
        <f aca="false">IF(J62="NOT USED",1,0)</f>
        <v>0</v>
      </c>
      <c r="R62" s="7" t="n">
        <f aca="false">IF(AND(P62="Children",Q62=0),1,0)</f>
        <v>1</v>
      </c>
      <c r="S62" s="7" t="n">
        <f aca="false">IF(AND(R62=1,J62="Record or Recall",K62="12-23 m"),1,0)</f>
        <v>0</v>
      </c>
      <c r="T62" s="7" t="n">
        <f aca="false">IF(OR(I62="BCG",I62="DTP1",I62="DTP3",I62="POL3",I62="MCV1",I62="FULL"),1,0)</f>
        <v>1</v>
      </c>
      <c r="U62" s="7" t="n">
        <f aca="false">IF(OR(C62="DHS",C62="MICS"),1,0)</f>
        <v>1</v>
      </c>
      <c r="V62" s="7" t="n">
        <f aca="false">IF(O62="",1,0)</f>
        <v>0</v>
      </c>
      <c r="W62" s="7" t="n">
        <f aca="false">IF(M62="",1,0)</f>
        <v>0</v>
      </c>
      <c r="X62" s="7" t="n">
        <f aca="false">COUNTIFS($B$2:$B$1141,B62,$H$2:$H$1141,H62,$I$2:$I$1141,I62,$J$2:$J$1141,J62,$K$2:$K$1141,K62,$L$2:$L$1141,L62)</f>
        <v>1</v>
      </c>
    </row>
    <row r="63" customFormat="false" ht="15" hidden="false" customHeight="false" outlineLevel="0" collapsed="false">
      <c r="A63" s="7" t="n">
        <f aca="false">ROW()-1</f>
        <v>62</v>
      </c>
      <c r="B63" s="7" t="str">
        <f aca="false">IF(Raw_Nigeria!B63="",TRIM(Raw_Nigeria!C63),TRIM(Raw_Nigeria!B63))</f>
        <v>Nigeria Demographic and Health Survey 1990, 1992</v>
      </c>
      <c r="C63" s="7" t="str">
        <f aca="false">IF(ISNUMBER(SEARCH("Demographic and Health",B63)),"DHS",IF(OR(ISNUMBER(SEARCH("Multiple Indicator Cluster",B63)),ISNUMBER(SEARCH("MICS",B63))),"MICS",IF(ISNUMBER(SEARCH("Immunization Coverage Survey",B63)),"Coverage survey",IF(ISNUMBER(SEARCH("Nutrition",B63)),"Nutrition survey","Other"))))</f>
        <v>DHS</v>
      </c>
      <c r="D63" s="7" t="n">
        <f aca="false">VALUE(LEFT(Raw_Nigeria!D63,4))</f>
        <v>1990</v>
      </c>
      <c r="E63" s="7" t="n">
        <f aca="false">IF(VALUE(RIGHT(Raw_Nigeria!D63,2))&gt;12,"",VALUE(RIGHT(Raw_Nigeria!D63,2)))</f>
        <v>4</v>
      </c>
      <c r="F63" s="7" t="n">
        <f aca="false">VALUE(LEFT(Raw_Nigeria!E63,4))</f>
        <v>1990</v>
      </c>
      <c r="G63" s="7" t="n">
        <f aca="false">IF(VALUE(RIGHT(Raw_Nigeria!E63,2))&gt;12,"",VALUE(RIGHT(Raw_Nigeria!E63,2)))</f>
        <v>10</v>
      </c>
      <c r="H63" s="7" t="n">
        <f aca="false">Raw_Nigeria!F63</f>
        <v>1989</v>
      </c>
      <c r="I63" s="7" t="str">
        <f aca="false">UPPER(TRIM(Raw_Nigeria!G63))</f>
        <v>DTP1</v>
      </c>
      <c r="J63" s="7" t="str">
        <f aca="false">Raw_Nigeria!H63</f>
        <v>Record</v>
      </c>
      <c r="K63" s="7" t="str">
        <f aca="false">Raw_Nigeria!L63</f>
        <v>12-23 m</v>
      </c>
      <c r="L63" s="7" t="str">
        <f aca="false">IF(Raw_Nigeria!K63="","n/a",Raw_Nigeria!K63)</f>
        <v>0-23 m</v>
      </c>
      <c r="M63" s="7" t="n">
        <f aca="false">IF(Raw_Nigeria!I63="","",Raw_Nigeria!I63)</f>
        <v>34.7</v>
      </c>
      <c r="N63" s="7" t="n">
        <f aca="false">Raw_Nigeria!M63</f>
        <v>33.2</v>
      </c>
      <c r="O63" s="7" t="n">
        <f aca="false">IF(Raw_Nigeria!N63="","",Raw_Nigeria!N63)</f>
        <v>1380</v>
      </c>
      <c r="P63" s="7" t="str">
        <f aca="false">IF(K63="CBAW","Women of child-bearing age","Children")</f>
        <v>Children</v>
      </c>
      <c r="Q63" s="7" t="n">
        <f aca="false">IF(J63="NOT USED",1,0)</f>
        <v>0</v>
      </c>
      <c r="R63" s="7" t="n">
        <f aca="false">IF(AND(P63="Children",Q63=0),1,0)</f>
        <v>1</v>
      </c>
      <c r="S63" s="7" t="n">
        <f aca="false">IF(AND(R63=1,J63="Record or Recall",K63="12-23 m"),1,0)</f>
        <v>0</v>
      </c>
      <c r="T63" s="7" t="n">
        <f aca="false">IF(OR(I63="BCG",I63="DTP1",I63="DTP3",I63="POL3",I63="MCV1",I63="FULL"),1,0)</f>
        <v>1</v>
      </c>
      <c r="U63" s="7" t="n">
        <f aca="false">IF(OR(C63="DHS",C63="MICS"),1,0)</f>
        <v>1</v>
      </c>
      <c r="V63" s="7" t="n">
        <f aca="false">IF(O63="",1,0)</f>
        <v>0</v>
      </c>
      <c r="W63" s="7" t="n">
        <f aca="false">IF(M63="",1,0)</f>
        <v>0</v>
      </c>
      <c r="X63" s="7" t="n">
        <f aca="false">COUNTIFS($B$2:$B$1141,B63,$H$2:$H$1141,H63,$I$2:$I$1141,I63,$J$2:$J$1141,J63,$K$2:$K$1141,K63,$L$2:$L$1141,L63)</f>
        <v>1</v>
      </c>
    </row>
    <row r="64" customFormat="false" ht="15" hidden="false" customHeight="false" outlineLevel="0" collapsed="false">
      <c r="A64" s="7" t="n">
        <f aca="false">ROW()-1</f>
        <v>63</v>
      </c>
      <c r="B64" s="7" t="str">
        <f aca="false">IF(Raw_Nigeria!B64="",TRIM(Raw_Nigeria!C64),TRIM(Raw_Nigeria!B64))</f>
        <v>Nigeria Demographic and Health Survey 1990, 1992</v>
      </c>
      <c r="C64" s="7" t="str">
        <f aca="false">IF(ISNUMBER(SEARCH("Demographic and Health",B64)),"DHS",IF(OR(ISNUMBER(SEARCH("Multiple Indicator Cluster",B64)),ISNUMBER(SEARCH("MICS",B64))),"MICS",IF(ISNUMBER(SEARCH("Immunization Coverage Survey",B64)),"Coverage survey",IF(ISNUMBER(SEARCH("Nutrition",B64)),"Nutrition survey","Other"))))</f>
        <v>DHS</v>
      </c>
      <c r="D64" s="7" t="n">
        <f aca="false">VALUE(LEFT(Raw_Nigeria!D64,4))</f>
        <v>1990</v>
      </c>
      <c r="E64" s="7" t="n">
        <f aca="false">IF(VALUE(RIGHT(Raw_Nigeria!D64,2))&gt;12,"",VALUE(RIGHT(Raw_Nigeria!D64,2)))</f>
        <v>4</v>
      </c>
      <c r="F64" s="7" t="n">
        <f aca="false">VALUE(LEFT(Raw_Nigeria!E64,4))</f>
        <v>1990</v>
      </c>
      <c r="G64" s="7" t="n">
        <f aca="false">IF(VALUE(RIGHT(Raw_Nigeria!E64,2))&gt;12,"",VALUE(RIGHT(Raw_Nigeria!E64,2)))</f>
        <v>10</v>
      </c>
      <c r="H64" s="7" t="n">
        <f aca="false">Raw_Nigeria!F64</f>
        <v>1989</v>
      </c>
      <c r="I64" s="7" t="str">
        <f aca="false">UPPER(TRIM(Raw_Nigeria!G64))</f>
        <v>DTP1</v>
      </c>
      <c r="J64" s="7" t="str">
        <f aca="false">Raw_Nigeria!H64</f>
        <v>Record&lt;12m</v>
      </c>
      <c r="K64" s="7" t="str">
        <f aca="false">Raw_Nigeria!L64</f>
        <v>12-23 m</v>
      </c>
      <c r="L64" s="7" t="str">
        <f aca="false">IF(Raw_Nigeria!K64="","n/a",Raw_Nigeria!K64)</f>
        <v>0-12 m</v>
      </c>
      <c r="M64" s="7" t="n">
        <f aca="false">IF(Raw_Nigeria!I64="","",Raw_Nigeria!I64)</f>
        <v>34.7</v>
      </c>
      <c r="N64" s="7" t="n">
        <f aca="false">Raw_Nigeria!M64</f>
        <v>26.6</v>
      </c>
      <c r="O64" s="7" t="n">
        <f aca="false">IF(Raw_Nigeria!N64="","",Raw_Nigeria!N64)</f>
        <v>1380</v>
      </c>
      <c r="P64" s="7" t="str">
        <f aca="false">IF(K64="CBAW","Women of child-bearing age","Children")</f>
        <v>Children</v>
      </c>
      <c r="Q64" s="7" t="n">
        <f aca="false">IF(J64="NOT USED",1,0)</f>
        <v>0</v>
      </c>
      <c r="R64" s="7" t="n">
        <f aca="false">IF(AND(P64="Children",Q64=0),1,0)</f>
        <v>1</v>
      </c>
      <c r="S64" s="7" t="n">
        <f aca="false">IF(AND(R64=1,J64="Record or Recall",K64="12-23 m"),1,0)</f>
        <v>0</v>
      </c>
      <c r="T64" s="7" t="n">
        <f aca="false">IF(OR(I64="BCG",I64="DTP1",I64="DTP3",I64="POL3",I64="MCV1",I64="FULL"),1,0)</f>
        <v>1</v>
      </c>
      <c r="U64" s="7" t="n">
        <f aca="false">IF(OR(C64="DHS",C64="MICS"),1,0)</f>
        <v>1</v>
      </c>
      <c r="V64" s="7" t="n">
        <f aca="false">IF(O64="",1,0)</f>
        <v>0</v>
      </c>
      <c r="W64" s="7" t="n">
        <f aca="false">IF(M64="",1,0)</f>
        <v>0</v>
      </c>
      <c r="X64" s="7" t="n">
        <f aca="false">COUNTIFS($B$2:$B$1141,B64,$H$2:$H$1141,H64,$I$2:$I$1141,I64,$J$2:$J$1141,J64,$K$2:$K$1141,K64,$L$2:$L$1141,L64)</f>
        <v>1</v>
      </c>
    </row>
    <row r="65" customFormat="false" ht="15" hidden="false" customHeight="false" outlineLevel="0" collapsed="false">
      <c r="A65" s="7" t="n">
        <f aca="false">ROW()-1</f>
        <v>64</v>
      </c>
      <c r="B65" s="7" t="str">
        <f aca="false">IF(Raw_Nigeria!B65="",TRIM(Raw_Nigeria!C65),TRIM(Raw_Nigeria!B65))</f>
        <v>Nigeria Demographic and Health Survey 1990, 1992</v>
      </c>
      <c r="C65" s="7" t="str">
        <f aca="false">IF(ISNUMBER(SEARCH("Demographic and Health",B65)),"DHS",IF(OR(ISNUMBER(SEARCH("Multiple Indicator Cluster",B65)),ISNUMBER(SEARCH("MICS",B65))),"MICS",IF(ISNUMBER(SEARCH("Immunization Coverage Survey",B65)),"Coverage survey",IF(ISNUMBER(SEARCH("Nutrition",B65)),"Nutrition survey","Other"))))</f>
        <v>DHS</v>
      </c>
      <c r="D65" s="7" t="n">
        <f aca="false">VALUE(LEFT(Raw_Nigeria!D65,4))</f>
        <v>1990</v>
      </c>
      <c r="E65" s="7" t="n">
        <f aca="false">IF(VALUE(RIGHT(Raw_Nigeria!D65,2))&gt;12,"",VALUE(RIGHT(Raw_Nigeria!D65,2)))</f>
        <v>4</v>
      </c>
      <c r="F65" s="7" t="n">
        <f aca="false">VALUE(LEFT(Raw_Nigeria!E65,4))</f>
        <v>1990</v>
      </c>
      <c r="G65" s="7" t="n">
        <f aca="false">IF(VALUE(RIGHT(Raw_Nigeria!E65,2))&gt;12,"",VALUE(RIGHT(Raw_Nigeria!E65,2)))</f>
        <v>10</v>
      </c>
      <c r="H65" s="7" t="n">
        <f aca="false">Raw_Nigeria!F65</f>
        <v>1989</v>
      </c>
      <c r="I65" s="7" t="str">
        <f aca="false">UPPER(TRIM(Raw_Nigeria!G65))</f>
        <v>DTP1</v>
      </c>
      <c r="J65" s="7" t="str">
        <f aca="false">Raw_Nigeria!H65</f>
        <v>Record or Recall</v>
      </c>
      <c r="K65" s="7" t="str">
        <f aca="false">Raw_Nigeria!L65</f>
        <v>12-23 m</v>
      </c>
      <c r="L65" s="7" t="str">
        <f aca="false">IF(Raw_Nigeria!K65="","n/a",Raw_Nigeria!K65)</f>
        <v>0-23 m</v>
      </c>
      <c r="M65" s="7" t="n">
        <f aca="false">IF(Raw_Nigeria!I65="","",Raw_Nigeria!I65)</f>
        <v>34.7</v>
      </c>
      <c r="N65" s="7" t="n">
        <f aca="false">Raw_Nigeria!M65</f>
        <v>59.2</v>
      </c>
      <c r="O65" s="7" t="n">
        <f aca="false">IF(Raw_Nigeria!N65="","",Raw_Nigeria!N65)</f>
        <v>1380</v>
      </c>
      <c r="P65" s="7" t="str">
        <f aca="false">IF(K65="CBAW","Women of child-bearing age","Children")</f>
        <v>Children</v>
      </c>
      <c r="Q65" s="7" t="n">
        <f aca="false">IF(J65="NOT USED",1,0)</f>
        <v>0</v>
      </c>
      <c r="R65" s="7" t="n">
        <f aca="false">IF(AND(P65="Children",Q65=0),1,0)</f>
        <v>1</v>
      </c>
      <c r="S65" s="7" t="n">
        <f aca="false">IF(AND(R65=1,J65="Record or Recall",K65="12-23 m"),1,0)</f>
        <v>1</v>
      </c>
      <c r="T65" s="7" t="n">
        <f aca="false">IF(OR(I65="BCG",I65="DTP1",I65="DTP3",I65="POL3",I65="MCV1",I65="FULL"),1,0)</f>
        <v>1</v>
      </c>
      <c r="U65" s="7" t="n">
        <f aca="false">IF(OR(C65="DHS",C65="MICS"),1,0)</f>
        <v>1</v>
      </c>
      <c r="V65" s="7" t="n">
        <f aca="false">IF(O65="",1,0)</f>
        <v>0</v>
      </c>
      <c r="W65" s="7" t="n">
        <f aca="false">IF(M65="",1,0)</f>
        <v>0</v>
      </c>
      <c r="X65" s="7" t="n">
        <f aca="false">COUNTIFS($B$2:$B$1141,B65,$H$2:$H$1141,H65,$I$2:$I$1141,I65,$J$2:$J$1141,J65,$K$2:$K$1141,K65,$L$2:$L$1141,L65)</f>
        <v>1</v>
      </c>
    </row>
    <row r="66" customFormat="false" ht="15" hidden="false" customHeight="false" outlineLevel="0" collapsed="false">
      <c r="A66" s="7" t="n">
        <f aca="false">ROW()-1</f>
        <v>65</v>
      </c>
      <c r="B66" s="7" t="str">
        <f aca="false">IF(Raw_Nigeria!B66="",TRIM(Raw_Nigeria!C66),TRIM(Raw_Nigeria!B66))</f>
        <v>Nigeria Demographic and Health Survey 1990, 1992</v>
      </c>
      <c r="C66" s="7" t="str">
        <f aca="false">IF(ISNUMBER(SEARCH("Demographic and Health",B66)),"DHS",IF(OR(ISNUMBER(SEARCH("Multiple Indicator Cluster",B66)),ISNUMBER(SEARCH("MICS",B66))),"MICS",IF(ISNUMBER(SEARCH("Immunization Coverage Survey",B66)),"Coverage survey",IF(ISNUMBER(SEARCH("Nutrition",B66)),"Nutrition survey","Other"))))</f>
        <v>DHS</v>
      </c>
      <c r="D66" s="7" t="n">
        <f aca="false">VALUE(LEFT(Raw_Nigeria!D66,4))</f>
        <v>1990</v>
      </c>
      <c r="E66" s="7" t="n">
        <f aca="false">IF(VALUE(RIGHT(Raw_Nigeria!D66,2))&gt;12,"",VALUE(RIGHT(Raw_Nigeria!D66,2)))</f>
        <v>4</v>
      </c>
      <c r="F66" s="7" t="n">
        <f aca="false">VALUE(LEFT(Raw_Nigeria!E66,4))</f>
        <v>1990</v>
      </c>
      <c r="G66" s="7" t="n">
        <f aca="false">IF(VALUE(RIGHT(Raw_Nigeria!E66,2))&gt;12,"",VALUE(RIGHT(Raw_Nigeria!E66,2)))</f>
        <v>10</v>
      </c>
      <c r="H66" s="7" t="n">
        <f aca="false">Raw_Nigeria!F66</f>
        <v>1989</v>
      </c>
      <c r="I66" s="7" t="str">
        <f aca="false">UPPER(TRIM(Raw_Nigeria!G66))</f>
        <v>DTP1</v>
      </c>
      <c r="J66" s="7" t="str">
        <f aca="false">Raw_Nigeria!H66</f>
        <v>Recall</v>
      </c>
      <c r="K66" s="7" t="str">
        <f aca="false">Raw_Nigeria!L66</f>
        <v>12-23 m</v>
      </c>
      <c r="L66" s="7" t="str">
        <f aca="false">IF(Raw_Nigeria!K66="","n/a",Raw_Nigeria!K66)</f>
        <v>0-23 m</v>
      </c>
      <c r="M66" s="7" t="n">
        <f aca="false">IF(Raw_Nigeria!I66="","",Raw_Nigeria!I66)</f>
        <v>34.7</v>
      </c>
      <c r="N66" s="7" t="n">
        <f aca="false">Raw_Nigeria!M66</f>
        <v>26</v>
      </c>
      <c r="O66" s="7" t="n">
        <f aca="false">IF(Raw_Nigeria!N66="","",Raw_Nigeria!N66)</f>
        <v>1380</v>
      </c>
      <c r="P66" s="7" t="str">
        <f aca="false">IF(K66="CBAW","Women of child-bearing age","Children")</f>
        <v>Children</v>
      </c>
      <c r="Q66" s="7" t="n">
        <f aca="false">IF(J66="NOT USED",1,0)</f>
        <v>0</v>
      </c>
      <c r="R66" s="7" t="n">
        <f aca="false">IF(AND(P66="Children",Q66=0),1,0)</f>
        <v>1</v>
      </c>
      <c r="S66" s="7" t="n">
        <f aca="false">IF(AND(R66=1,J66="Record or Recall",K66="12-23 m"),1,0)</f>
        <v>0</v>
      </c>
      <c r="T66" s="7" t="n">
        <f aca="false">IF(OR(I66="BCG",I66="DTP1",I66="DTP3",I66="POL3",I66="MCV1",I66="FULL"),1,0)</f>
        <v>1</v>
      </c>
      <c r="U66" s="7" t="n">
        <f aca="false">IF(OR(C66="DHS",C66="MICS"),1,0)</f>
        <v>1</v>
      </c>
      <c r="V66" s="7" t="n">
        <f aca="false">IF(O66="",1,0)</f>
        <v>0</v>
      </c>
      <c r="W66" s="7" t="n">
        <f aca="false">IF(M66="",1,0)</f>
        <v>0</v>
      </c>
      <c r="X66" s="7" t="n">
        <f aca="false">COUNTIFS($B$2:$B$1141,B66,$H$2:$H$1141,H66,$I$2:$I$1141,I66,$J$2:$J$1141,J66,$K$2:$K$1141,K66,$L$2:$L$1141,L66)</f>
        <v>1</v>
      </c>
    </row>
    <row r="67" customFormat="false" ht="15" hidden="false" customHeight="false" outlineLevel="0" collapsed="false">
      <c r="A67" s="7" t="n">
        <f aca="false">ROW()-1</f>
        <v>66</v>
      </c>
      <c r="B67" s="7" t="str">
        <f aca="false">IF(Raw_Nigeria!B67="",TRIM(Raw_Nigeria!C67),TRIM(Raw_Nigeria!B67))</f>
        <v>Nigeria Demographic and Health Survey 1990, 1992</v>
      </c>
      <c r="C67" s="7" t="str">
        <f aca="false">IF(ISNUMBER(SEARCH("Demographic and Health",B67)),"DHS",IF(OR(ISNUMBER(SEARCH("Multiple Indicator Cluster",B67)),ISNUMBER(SEARCH("MICS",B67))),"MICS",IF(ISNUMBER(SEARCH("Immunization Coverage Survey",B67)),"Coverage survey",IF(ISNUMBER(SEARCH("Nutrition",B67)),"Nutrition survey","Other"))))</f>
        <v>DHS</v>
      </c>
      <c r="D67" s="7" t="n">
        <f aca="false">VALUE(LEFT(Raw_Nigeria!D67,4))</f>
        <v>1990</v>
      </c>
      <c r="E67" s="7" t="n">
        <f aca="false">IF(VALUE(RIGHT(Raw_Nigeria!D67,2))&gt;12,"",VALUE(RIGHT(Raw_Nigeria!D67,2)))</f>
        <v>4</v>
      </c>
      <c r="F67" s="7" t="n">
        <f aca="false">VALUE(LEFT(Raw_Nigeria!E67,4))</f>
        <v>1990</v>
      </c>
      <c r="G67" s="7" t="n">
        <f aca="false">IF(VALUE(RIGHT(Raw_Nigeria!E67,2))&gt;12,"",VALUE(RIGHT(Raw_Nigeria!E67,2)))</f>
        <v>10</v>
      </c>
      <c r="H67" s="7" t="n">
        <f aca="false">Raw_Nigeria!F67</f>
        <v>1989</v>
      </c>
      <c r="I67" s="7" t="str">
        <f aca="false">UPPER(TRIM(Raw_Nigeria!G67))</f>
        <v>DTP3</v>
      </c>
      <c r="J67" s="7" t="str">
        <f aca="false">Raw_Nigeria!H67</f>
        <v>Record or Recall&lt;12m</v>
      </c>
      <c r="K67" s="7" t="str">
        <f aca="false">Raw_Nigeria!L67</f>
        <v>12-23 m</v>
      </c>
      <c r="L67" s="7" t="str">
        <f aca="false">IF(Raw_Nigeria!K67="","n/a",Raw_Nigeria!K67)</f>
        <v>0-12 m</v>
      </c>
      <c r="M67" s="7" t="n">
        <f aca="false">IF(Raw_Nigeria!I67="","",Raw_Nigeria!I67)</f>
        <v>34.7</v>
      </c>
      <c r="N67" s="7" t="n">
        <f aca="false">Raw_Nigeria!M67</f>
        <v>25.4</v>
      </c>
      <c r="O67" s="7" t="n">
        <f aca="false">IF(Raw_Nigeria!N67="","",Raw_Nigeria!N67)</f>
        <v>1380</v>
      </c>
      <c r="P67" s="7" t="str">
        <f aca="false">IF(K67="CBAW","Women of child-bearing age","Children")</f>
        <v>Children</v>
      </c>
      <c r="Q67" s="7" t="n">
        <f aca="false">IF(J67="NOT USED",1,0)</f>
        <v>0</v>
      </c>
      <c r="R67" s="7" t="n">
        <f aca="false">IF(AND(P67="Children",Q67=0),1,0)</f>
        <v>1</v>
      </c>
      <c r="S67" s="7" t="n">
        <f aca="false">IF(AND(R67=1,J67="Record or Recall",K67="12-23 m"),1,0)</f>
        <v>0</v>
      </c>
      <c r="T67" s="7" t="n">
        <f aca="false">IF(OR(I67="BCG",I67="DTP1",I67="DTP3",I67="POL3",I67="MCV1",I67="FULL"),1,0)</f>
        <v>1</v>
      </c>
      <c r="U67" s="7" t="n">
        <f aca="false">IF(OR(C67="DHS",C67="MICS"),1,0)</f>
        <v>1</v>
      </c>
      <c r="V67" s="7" t="n">
        <f aca="false">IF(O67="",1,0)</f>
        <v>0</v>
      </c>
      <c r="W67" s="7" t="n">
        <f aca="false">IF(M67="",1,0)</f>
        <v>0</v>
      </c>
      <c r="X67" s="7" t="n">
        <f aca="false">COUNTIFS($B$2:$B$1141,B67,$H$2:$H$1141,H67,$I$2:$I$1141,I67,$J$2:$J$1141,J67,$K$2:$K$1141,K67,$L$2:$L$1141,L67)</f>
        <v>1</v>
      </c>
    </row>
    <row r="68" customFormat="false" ht="15" hidden="false" customHeight="false" outlineLevel="0" collapsed="false">
      <c r="A68" s="7" t="n">
        <f aca="false">ROW()-1</f>
        <v>67</v>
      </c>
      <c r="B68" s="7" t="str">
        <f aca="false">IF(Raw_Nigeria!B68="",TRIM(Raw_Nigeria!C68),TRIM(Raw_Nigeria!B68))</f>
        <v>Nigeria Demographic and Health Survey 1990, 1992</v>
      </c>
      <c r="C68" s="7" t="str">
        <f aca="false">IF(ISNUMBER(SEARCH("Demographic and Health",B68)),"DHS",IF(OR(ISNUMBER(SEARCH("Multiple Indicator Cluster",B68)),ISNUMBER(SEARCH("MICS",B68))),"MICS",IF(ISNUMBER(SEARCH("Immunization Coverage Survey",B68)),"Coverage survey",IF(ISNUMBER(SEARCH("Nutrition",B68)),"Nutrition survey","Other"))))</f>
        <v>DHS</v>
      </c>
      <c r="D68" s="7" t="n">
        <f aca="false">VALUE(LEFT(Raw_Nigeria!D68,4))</f>
        <v>1990</v>
      </c>
      <c r="E68" s="7" t="n">
        <f aca="false">IF(VALUE(RIGHT(Raw_Nigeria!D68,2))&gt;12,"",VALUE(RIGHT(Raw_Nigeria!D68,2)))</f>
        <v>4</v>
      </c>
      <c r="F68" s="7" t="n">
        <f aca="false">VALUE(LEFT(Raw_Nigeria!E68,4))</f>
        <v>1990</v>
      </c>
      <c r="G68" s="7" t="n">
        <f aca="false">IF(VALUE(RIGHT(Raw_Nigeria!E68,2))&gt;12,"",VALUE(RIGHT(Raw_Nigeria!E68,2)))</f>
        <v>10</v>
      </c>
      <c r="H68" s="7" t="n">
        <f aca="false">Raw_Nigeria!F68</f>
        <v>1989</v>
      </c>
      <c r="I68" s="7" t="str">
        <f aca="false">UPPER(TRIM(Raw_Nigeria!G68))</f>
        <v>DTP3</v>
      </c>
      <c r="J68" s="7" t="str">
        <f aca="false">Raw_Nigeria!H68</f>
        <v>Record</v>
      </c>
      <c r="K68" s="7" t="str">
        <f aca="false">Raw_Nigeria!L68</f>
        <v>12-23 m</v>
      </c>
      <c r="L68" s="7" t="str">
        <f aca="false">IF(Raw_Nigeria!K68="","n/a",Raw_Nigeria!K68)</f>
        <v>0-23 m</v>
      </c>
      <c r="M68" s="7" t="n">
        <f aca="false">IF(Raw_Nigeria!I68="","",Raw_Nigeria!I68)</f>
        <v>34.7</v>
      </c>
      <c r="N68" s="7" t="n">
        <f aca="false">Raw_Nigeria!M68</f>
        <v>20</v>
      </c>
      <c r="O68" s="7" t="n">
        <f aca="false">IF(Raw_Nigeria!N68="","",Raw_Nigeria!N68)</f>
        <v>1380</v>
      </c>
      <c r="P68" s="7" t="str">
        <f aca="false">IF(K68="CBAW","Women of child-bearing age","Children")</f>
        <v>Children</v>
      </c>
      <c r="Q68" s="7" t="n">
        <f aca="false">IF(J68="NOT USED",1,0)</f>
        <v>0</v>
      </c>
      <c r="R68" s="7" t="n">
        <f aca="false">IF(AND(P68="Children",Q68=0),1,0)</f>
        <v>1</v>
      </c>
      <c r="S68" s="7" t="n">
        <f aca="false">IF(AND(R68=1,J68="Record or Recall",K68="12-23 m"),1,0)</f>
        <v>0</v>
      </c>
      <c r="T68" s="7" t="n">
        <f aca="false">IF(OR(I68="BCG",I68="DTP1",I68="DTP3",I68="POL3",I68="MCV1",I68="FULL"),1,0)</f>
        <v>1</v>
      </c>
      <c r="U68" s="7" t="n">
        <f aca="false">IF(OR(C68="DHS",C68="MICS"),1,0)</f>
        <v>1</v>
      </c>
      <c r="V68" s="7" t="n">
        <f aca="false">IF(O68="",1,0)</f>
        <v>0</v>
      </c>
      <c r="W68" s="7" t="n">
        <f aca="false">IF(M68="",1,0)</f>
        <v>0</v>
      </c>
      <c r="X68" s="7" t="n">
        <f aca="false">COUNTIFS($B$2:$B$1141,B68,$H$2:$H$1141,H68,$I$2:$I$1141,I68,$J$2:$J$1141,J68,$K$2:$K$1141,K68,$L$2:$L$1141,L68)</f>
        <v>1</v>
      </c>
    </row>
    <row r="69" customFormat="false" ht="15" hidden="false" customHeight="false" outlineLevel="0" collapsed="false">
      <c r="A69" s="7" t="n">
        <f aca="false">ROW()-1</f>
        <v>68</v>
      </c>
      <c r="B69" s="7" t="str">
        <f aca="false">IF(Raw_Nigeria!B69="",TRIM(Raw_Nigeria!C69),TRIM(Raw_Nigeria!B69))</f>
        <v>Nigeria Demographic and Health Survey 1990, 1992</v>
      </c>
      <c r="C69" s="7" t="str">
        <f aca="false">IF(ISNUMBER(SEARCH("Demographic and Health",B69)),"DHS",IF(OR(ISNUMBER(SEARCH("Multiple Indicator Cluster",B69)),ISNUMBER(SEARCH("MICS",B69))),"MICS",IF(ISNUMBER(SEARCH("Immunization Coverage Survey",B69)),"Coverage survey",IF(ISNUMBER(SEARCH("Nutrition",B69)),"Nutrition survey","Other"))))</f>
        <v>DHS</v>
      </c>
      <c r="D69" s="7" t="n">
        <f aca="false">VALUE(LEFT(Raw_Nigeria!D69,4))</f>
        <v>1990</v>
      </c>
      <c r="E69" s="7" t="n">
        <f aca="false">IF(VALUE(RIGHT(Raw_Nigeria!D69,2))&gt;12,"",VALUE(RIGHT(Raw_Nigeria!D69,2)))</f>
        <v>4</v>
      </c>
      <c r="F69" s="7" t="n">
        <f aca="false">VALUE(LEFT(Raw_Nigeria!E69,4))</f>
        <v>1990</v>
      </c>
      <c r="G69" s="7" t="n">
        <f aca="false">IF(VALUE(RIGHT(Raw_Nigeria!E69,2))&gt;12,"",VALUE(RIGHT(Raw_Nigeria!E69,2)))</f>
        <v>10</v>
      </c>
      <c r="H69" s="7" t="n">
        <f aca="false">Raw_Nigeria!F69</f>
        <v>1989</v>
      </c>
      <c r="I69" s="7" t="str">
        <f aca="false">UPPER(TRIM(Raw_Nigeria!G69))</f>
        <v>DTP3</v>
      </c>
      <c r="J69" s="7" t="str">
        <f aca="false">Raw_Nigeria!H69</f>
        <v>Record&lt;12m</v>
      </c>
      <c r="K69" s="7" t="str">
        <f aca="false">Raw_Nigeria!L69</f>
        <v>12-23 m</v>
      </c>
      <c r="L69" s="7" t="str">
        <f aca="false">IF(Raw_Nigeria!K69="","n/a",Raw_Nigeria!K69)</f>
        <v>0-12 m</v>
      </c>
      <c r="M69" s="7" t="n">
        <f aca="false">IF(Raw_Nigeria!I69="","",Raw_Nigeria!I69)</f>
        <v>34.7</v>
      </c>
      <c r="N69" s="7" t="n">
        <f aca="false">Raw_Nigeria!M69</f>
        <v>15.3</v>
      </c>
      <c r="O69" s="7" t="n">
        <f aca="false">IF(Raw_Nigeria!N69="","",Raw_Nigeria!N69)</f>
        <v>1380</v>
      </c>
      <c r="P69" s="7" t="str">
        <f aca="false">IF(K69="CBAW","Women of child-bearing age","Children")</f>
        <v>Children</v>
      </c>
      <c r="Q69" s="7" t="n">
        <f aca="false">IF(J69="NOT USED",1,0)</f>
        <v>0</v>
      </c>
      <c r="R69" s="7" t="n">
        <f aca="false">IF(AND(P69="Children",Q69=0),1,0)</f>
        <v>1</v>
      </c>
      <c r="S69" s="7" t="n">
        <f aca="false">IF(AND(R69=1,J69="Record or Recall",K69="12-23 m"),1,0)</f>
        <v>0</v>
      </c>
      <c r="T69" s="7" t="n">
        <f aca="false">IF(OR(I69="BCG",I69="DTP1",I69="DTP3",I69="POL3",I69="MCV1",I69="FULL"),1,0)</f>
        <v>1</v>
      </c>
      <c r="U69" s="7" t="n">
        <f aca="false">IF(OR(C69="DHS",C69="MICS"),1,0)</f>
        <v>1</v>
      </c>
      <c r="V69" s="7" t="n">
        <f aca="false">IF(O69="",1,0)</f>
        <v>0</v>
      </c>
      <c r="W69" s="7" t="n">
        <f aca="false">IF(M69="",1,0)</f>
        <v>0</v>
      </c>
      <c r="X69" s="7" t="n">
        <f aca="false">COUNTIFS($B$2:$B$1141,B69,$H$2:$H$1141,H69,$I$2:$I$1141,I69,$J$2:$J$1141,J69,$K$2:$K$1141,K69,$L$2:$L$1141,L69)</f>
        <v>1</v>
      </c>
    </row>
    <row r="70" customFormat="false" ht="15" hidden="false" customHeight="false" outlineLevel="0" collapsed="false">
      <c r="A70" s="7" t="n">
        <f aca="false">ROW()-1</f>
        <v>69</v>
      </c>
      <c r="B70" s="7" t="str">
        <f aca="false">IF(Raw_Nigeria!B70="",TRIM(Raw_Nigeria!C70),TRIM(Raw_Nigeria!B70))</f>
        <v>Nigeria Demographic and Health Survey 1990, 1992</v>
      </c>
      <c r="C70" s="7" t="str">
        <f aca="false">IF(ISNUMBER(SEARCH("Demographic and Health",B70)),"DHS",IF(OR(ISNUMBER(SEARCH("Multiple Indicator Cluster",B70)),ISNUMBER(SEARCH("MICS",B70))),"MICS",IF(ISNUMBER(SEARCH("Immunization Coverage Survey",B70)),"Coverage survey",IF(ISNUMBER(SEARCH("Nutrition",B70)),"Nutrition survey","Other"))))</f>
        <v>DHS</v>
      </c>
      <c r="D70" s="7" t="n">
        <f aca="false">VALUE(LEFT(Raw_Nigeria!D70,4))</f>
        <v>1990</v>
      </c>
      <c r="E70" s="7" t="n">
        <f aca="false">IF(VALUE(RIGHT(Raw_Nigeria!D70,2))&gt;12,"",VALUE(RIGHT(Raw_Nigeria!D70,2)))</f>
        <v>4</v>
      </c>
      <c r="F70" s="7" t="n">
        <f aca="false">VALUE(LEFT(Raw_Nigeria!E70,4))</f>
        <v>1990</v>
      </c>
      <c r="G70" s="7" t="n">
        <f aca="false">IF(VALUE(RIGHT(Raw_Nigeria!E70,2))&gt;12,"",VALUE(RIGHT(Raw_Nigeria!E70,2)))</f>
        <v>10</v>
      </c>
      <c r="H70" s="7" t="n">
        <f aca="false">Raw_Nigeria!F70</f>
        <v>1989</v>
      </c>
      <c r="I70" s="7" t="str">
        <f aca="false">UPPER(TRIM(Raw_Nigeria!G70))</f>
        <v>DTP3</v>
      </c>
      <c r="J70" s="7" t="str">
        <f aca="false">Raw_Nigeria!H70</f>
        <v>Record or Recall</v>
      </c>
      <c r="K70" s="7" t="str">
        <f aca="false">Raw_Nigeria!L70</f>
        <v>12-23 m</v>
      </c>
      <c r="L70" s="7" t="str">
        <f aca="false">IF(Raw_Nigeria!K70="","n/a",Raw_Nigeria!K70)</f>
        <v>0-23 m</v>
      </c>
      <c r="M70" s="7" t="n">
        <f aca="false">IF(Raw_Nigeria!I70="","",Raw_Nigeria!I70)</f>
        <v>34.7</v>
      </c>
      <c r="N70" s="7" t="n">
        <f aca="false">Raw_Nigeria!M70</f>
        <v>33.3</v>
      </c>
      <c r="O70" s="7" t="n">
        <f aca="false">IF(Raw_Nigeria!N70="","",Raw_Nigeria!N70)</f>
        <v>1380</v>
      </c>
      <c r="P70" s="7" t="str">
        <f aca="false">IF(K70="CBAW","Women of child-bearing age","Children")</f>
        <v>Children</v>
      </c>
      <c r="Q70" s="7" t="n">
        <f aca="false">IF(J70="NOT USED",1,0)</f>
        <v>0</v>
      </c>
      <c r="R70" s="7" t="n">
        <f aca="false">IF(AND(P70="Children",Q70=0),1,0)</f>
        <v>1</v>
      </c>
      <c r="S70" s="7" t="n">
        <f aca="false">IF(AND(R70=1,J70="Record or Recall",K70="12-23 m"),1,0)</f>
        <v>1</v>
      </c>
      <c r="T70" s="7" t="n">
        <f aca="false">IF(OR(I70="BCG",I70="DTP1",I70="DTP3",I70="POL3",I70="MCV1",I70="FULL"),1,0)</f>
        <v>1</v>
      </c>
      <c r="U70" s="7" t="n">
        <f aca="false">IF(OR(C70="DHS",C70="MICS"),1,0)</f>
        <v>1</v>
      </c>
      <c r="V70" s="7" t="n">
        <f aca="false">IF(O70="",1,0)</f>
        <v>0</v>
      </c>
      <c r="W70" s="7" t="n">
        <f aca="false">IF(M70="",1,0)</f>
        <v>0</v>
      </c>
      <c r="X70" s="7" t="n">
        <f aca="false">COUNTIFS($B$2:$B$1141,B70,$H$2:$H$1141,H70,$I$2:$I$1141,I70,$J$2:$J$1141,J70,$K$2:$K$1141,K70,$L$2:$L$1141,L70)</f>
        <v>1</v>
      </c>
    </row>
    <row r="71" customFormat="false" ht="15" hidden="false" customHeight="false" outlineLevel="0" collapsed="false">
      <c r="A71" s="7" t="n">
        <f aca="false">ROW()-1</f>
        <v>70</v>
      </c>
      <c r="B71" s="7" t="str">
        <f aca="false">IF(Raw_Nigeria!B71="",TRIM(Raw_Nigeria!C71),TRIM(Raw_Nigeria!B71))</f>
        <v>Nigeria Demographic and Health Survey 1990, 1992</v>
      </c>
      <c r="C71" s="7" t="str">
        <f aca="false">IF(ISNUMBER(SEARCH("Demographic and Health",B71)),"DHS",IF(OR(ISNUMBER(SEARCH("Multiple Indicator Cluster",B71)),ISNUMBER(SEARCH("MICS",B71))),"MICS",IF(ISNUMBER(SEARCH("Immunization Coverage Survey",B71)),"Coverage survey",IF(ISNUMBER(SEARCH("Nutrition",B71)),"Nutrition survey","Other"))))</f>
        <v>DHS</v>
      </c>
      <c r="D71" s="7" t="n">
        <f aca="false">VALUE(LEFT(Raw_Nigeria!D71,4))</f>
        <v>1990</v>
      </c>
      <c r="E71" s="7" t="n">
        <f aca="false">IF(VALUE(RIGHT(Raw_Nigeria!D71,2))&gt;12,"",VALUE(RIGHT(Raw_Nigeria!D71,2)))</f>
        <v>4</v>
      </c>
      <c r="F71" s="7" t="n">
        <f aca="false">VALUE(LEFT(Raw_Nigeria!E71,4))</f>
        <v>1990</v>
      </c>
      <c r="G71" s="7" t="n">
        <f aca="false">IF(VALUE(RIGHT(Raw_Nigeria!E71,2))&gt;12,"",VALUE(RIGHT(Raw_Nigeria!E71,2)))</f>
        <v>10</v>
      </c>
      <c r="H71" s="7" t="n">
        <f aca="false">Raw_Nigeria!F71</f>
        <v>1989</v>
      </c>
      <c r="I71" s="7" t="str">
        <f aca="false">UPPER(TRIM(Raw_Nigeria!G71))</f>
        <v>DTP3</v>
      </c>
      <c r="J71" s="7" t="str">
        <f aca="false">Raw_Nigeria!H71</f>
        <v>Recall</v>
      </c>
      <c r="K71" s="7" t="str">
        <f aca="false">Raw_Nigeria!L71</f>
        <v>12-23 m</v>
      </c>
      <c r="L71" s="7" t="str">
        <f aca="false">IF(Raw_Nigeria!K71="","n/a",Raw_Nigeria!K71)</f>
        <v>0-23 m</v>
      </c>
      <c r="M71" s="7" t="n">
        <f aca="false">IF(Raw_Nigeria!I71="","",Raw_Nigeria!I71)</f>
        <v>34.7</v>
      </c>
      <c r="N71" s="7" t="n">
        <f aca="false">Raw_Nigeria!M71</f>
        <v>13.3</v>
      </c>
      <c r="O71" s="7" t="n">
        <f aca="false">IF(Raw_Nigeria!N71="","",Raw_Nigeria!N71)</f>
        <v>1380</v>
      </c>
      <c r="P71" s="7" t="str">
        <f aca="false">IF(K71="CBAW","Women of child-bearing age","Children")</f>
        <v>Children</v>
      </c>
      <c r="Q71" s="7" t="n">
        <f aca="false">IF(J71="NOT USED",1,0)</f>
        <v>0</v>
      </c>
      <c r="R71" s="7" t="n">
        <f aca="false">IF(AND(P71="Children",Q71=0),1,0)</f>
        <v>1</v>
      </c>
      <c r="S71" s="7" t="n">
        <f aca="false">IF(AND(R71=1,J71="Record or Recall",K71="12-23 m"),1,0)</f>
        <v>0</v>
      </c>
      <c r="T71" s="7" t="n">
        <f aca="false">IF(OR(I71="BCG",I71="DTP1",I71="DTP3",I71="POL3",I71="MCV1",I71="FULL"),1,0)</f>
        <v>1</v>
      </c>
      <c r="U71" s="7" t="n">
        <f aca="false">IF(OR(C71="DHS",C71="MICS"),1,0)</f>
        <v>1</v>
      </c>
      <c r="V71" s="7" t="n">
        <f aca="false">IF(O71="",1,0)</f>
        <v>0</v>
      </c>
      <c r="W71" s="7" t="n">
        <f aca="false">IF(M71="",1,0)</f>
        <v>0</v>
      </c>
      <c r="X71" s="7" t="n">
        <f aca="false">COUNTIFS($B$2:$B$1141,B71,$H$2:$H$1141,H71,$I$2:$I$1141,I71,$J$2:$J$1141,J71,$K$2:$K$1141,K71,$L$2:$L$1141,L71)</f>
        <v>1</v>
      </c>
    </row>
    <row r="72" customFormat="false" ht="15" hidden="false" customHeight="false" outlineLevel="0" collapsed="false">
      <c r="A72" s="7" t="n">
        <f aca="false">ROW()-1</f>
        <v>71</v>
      </c>
      <c r="B72" s="7" t="str">
        <f aca="false">IF(Raw_Nigeria!B72="",TRIM(Raw_Nigeria!C72),TRIM(Raw_Nigeria!B72))</f>
        <v>Nigeria Demographic and Health Survey 1990, 1992</v>
      </c>
      <c r="C72" s="7" t="str">
        <f aca="false">IF(ISNUMBER(SEARCH("Demographic and Health",B72)),"DHS",IF(OR(ISNUMBER(SEARCH("Multiple Indicator Cluster",B72)),ISNUMBER(SEARCH("MICS",B72))),"MICS",IF(ISNUMBER(SEARCH("Immunization Coverage Survey",B72)),"Coverage survey",IF(ISNUMBER(SEARCH("Nutrition",B72)),"Nutrition survey","Other"))))</f>
        <v>DHS</v>
      </c>
      <c r="D72" s="7" t="n">
        <f aca="false">VALUE(LEFT(Raw_Nigeria!D72,4))</f>
        <v>1990</v>
      </c>
      <c r="E72" s="7" t="n">
        <f aca="false">IF(VALUE(RIGHT(Raw_Nigeria!D72,2))&gt;12,"",VALUE(RIGHT(Raw_Nigeria!D72,2)))</f>
        <v>4</v>
      </c>
      <c r="F72" s="7" t="n">
        <f aca="false">VALUE(LEFT(Raw_Nigeria!E72,4))</f>
        <v>1990</v>
      </c>
      <c r="G72" s="7" t="n">
        <f aca="false">IF(VALUE(RIGHT(Raw_Nigeria!E72,2))&gt;12,"",VALUE(RIGHT(Raw_Nigeria!E72,2)))</f>
        <v>10</v>
      </c>
      <c r="H72" s="7" t="n">
        <f aca="false">Raw_Nigeria!F72</f>
        <v>1989</v>
      </c>
      <c r="I72" s="7" t="str">
        <f aca="false">UPPER(TRIM(Raw_Nigeria!G72))</f>
        <v>FULL</v>
      </c>
      <c r="J72" s="7" t="str">
        <f aca="false">Raw_Nigeria!H72</f>
        <v>Record or Recall&lt;12m</v>
      </c>
      <c r="K72" s="7" t="str">
        <f aca="false">Raw_Nigeria!L72</f>
        <v>12-23 m</v>
      </c>
      <c r="L72" s="7" t="str">
        <f aca="false">IF(Raw_Nigeria!K72="","n/a",Raw_Nigeria!K72)</f>
        <v>0-12 m</v>
      </c>
      <c r="M72" s="7" t="n">
        <f aca="false">IF(Raw_Nigeria!I72="","",Raw_Nigeria!I72)</f>
        <v>34.7</v>
      </c>
      <c r="N72" s="7" t="n">
        <f aca="false">Raw_Nigeria!M72</f>
        <v>18.3</v>
      </c>
      <c r="O72" s="7" t="n">
        <f aca="false">IF(Raw_Nigeria!N72="","",Raw_Nigeria!N72)</f>
        <v>1380</v>
      </c>
      <c r="P72" s="7" t="str">
        <f aca="false">IF(K72="CBAW","Women of child-bearing age","Children")</f>
        <v>Children</v>
      </c>
      <c r="Q72" s="7" t="n">
        <f aca="false">IF(J72="NOT USED",1,0)</f>
        <v>0</v>
      </c>
      <c r="R72" s="7" t="n">
        <f aca="false">IF(AND(P72="Children",Q72=0),1,0)</f>
        <v>1</v>
      </c>
      <c r="S72" s="7" t="n">
        <f aca="false">IF(AND(R72=1,J72="Record or Recall",K72="12-23 m"),1,0)</f>
        <v>0</v>
      </c>
      <c r="T72" s="7" t="n">
        <f aca="false">IF(OR(I72="BCG",I72="DTP1",I72="DTP3",I72="POL3",I72="MCV1",I72="FULL"),1,0)</f>
        <v>1</v>
      </c>
      <c r="U72" s="7" t="n">
        <f aca="false">IF(OR(C72="DHS",C72="MICS"),1,0)</f>
        <v>1</v>
      </c>
      <c r="V72" s="7" t="n">
        <f aca="false">IF(O72="",1,0)</f>
        <v>0</v>
      </c>
      <c r="W72" s="7" t="n">
        <f aca="false">IF(M72="",1,0)</f>
        <v>0</v>
      </c>
      <c r="X72" s="7" t="n">
        <f aca="false">COUNTIFS($B$2:$B$1141,B72,$H$2:$H$1141,H72,$I$2:$I$1141,I72,$J$2:$J$1141,J72,$K$2:$K$1141,K72,$L$2:$L$1141,L72)</f>
        <v>1</v>
      </c>
    </row>
    <row r="73" customFormat="false" ht="15" hidden="false" customHeight="false" outlineLevel="0" collapsed="false">
      <c r="A73" s="7" t="n">
        <f aca="false">ROW()-1</f>
        <v>72</v>
      </c>
      <c r="B73" s="7" t="str">
        <f aca="false">IF(Raw_Nigeria!B73="",TRIM(Raw_Nigeria!C73),TRIM(Raw_Nigeria!B73))</f>
        <v>Nigeria Demographic and Health Survey 1990, 1992</v>
      </c>
      <c r="C73" s="7" t="str">
        <f aca="false">IF(ISNUMBER(SEARCH("Demographic and Health",B73)),"DHS",IF(OR(ISNUMBER(SEARCH("Multiple Indicator Cluster",B73)),ISNUMBER(SEARCH("MICS",B73))),"MICS",IF(ISNUMBER(SEARCH("Immunization Coverage Survey",B73)),"Coverage survey",IF(ISNUMBER(SEARCH("Nutrition",B73)),"Nutrition survey","Other"))))</f>
        <v>DHS</v>
      </c>
      <c r="D73" s="7" t="n">
        <f aca="false">VALUE(LEFT(Raw_Nigeria!D73,4))</f>
        <v>1990</v>
      </c>
      <c r="E73" s="7" t="n">
        <f aca="false">IF(VALUE(RIGHT(Raw_Nigeria!D73,2))&gt;12,"",VALUE(RIGHT(Raw_Nigeria!D73,2)))</f>
        <v>4</v>
      </c>
      <c r="F73" s="7" t="n">
        <f aca="false">VALUE(LEFT(Raw_Nigeria!E73,4))</f>
        <v>1990</v>
      </c>
      <c r="G73" s="7" t="n">
        <f aca="false">IF(VALUE(RIGHT(Raw_Nigeria!E73,2))&gt;12,"",VALUE(RIGHT(Raw_Nigeria!E73,2)))</f>
        <v>10</v>
      </c>
      <c r="H73" s="7" t="n">
        <f aca="false">Raw_Nigeria!F73</f>
        <v>1989</v>
      </c>
      <c r="I73" s="7" t="str">
        <f aca="false">UPPER(TRIM(Raw_Nigeria!G73))</f>
        <v>FULL</v>
      </c>
      <c r="J73" s="7" t="str">
        <f aca="false">Raw_Nigeria!H73</f>
        <v>Record</v>
      </c>
      <c r="K73" s="7" t="str">
        <f aca="false">Raw_Nigeria!L73</f>
        <v>12-23 m</v>
      </c>
      <c r="L73" s="7" t="str">
        <f aca="false">IF(Raw_Nigeria!K73="","n/a",Raw_Nigeria!K73)</f>
        <v>0-23 m</v>
      </c>
      <c r="M73" s="7" t="n">
        <f aca="false">IF(Raw_Nigeria!I73="","",Raw_Nigeria!I73)</f>
        <v>34.7</v>
      </c>
      <c r="N73" s="7" t="n">
        <f aca="false">Raw_Nigeria!M73</f>
        <v>18</v>
      </c>
      <c r="O73" s="7" t="n">
        <f aca="false">IF(Raw_Nigeria!N73="","",Raw_Nigeria!N73)</f>
        <v>1380</v>
      </c>
      <c r="P73" s="7" t="str">
        <f aca="false">IF(K73="CBAW","Women of child-bearing age","Children")</f>
        <v>Children</v>
      </c>
      <c r="Q73" s="7" t="n">
        <f aca="false">IF(J73="NOT USED",1,0)</f>
        <v>0</v>
      </c>
      <c r="R73" s="7" t="n">
        <f aca="false">IF(AND(P73="Children",Q73=0),1,0)</f>
        <v>1</v>
      </c>
      <c r="S73" s="7" t="n">
        <f aca="false">IF(AND(R73=1,J73="Record or Recall",K73="12-23 m"),1,0)</f>
        <v>0</v>
      </c>
      <c r="T73" s="7" t="n">
        <f aca="false">IF(OR(I73="BCG",I73="DTP1",I73="DTP3",I73="POL3",I73="MCV1",I73="FULL"),1,0)</f>
        <v>1</v>
      </c>
      <c r="U73" s="7" t="n">
        <f aca="false">IF(OR(C73="DHS",C73="MICS"),1,0)</f>
        <v>1</v>
      </c>
      <c r="V73" s="7" t="n">
        <f aca="false">IF(O73="",1,0)</f>
        <v>0</v>
      </c>
      <c r="W73" s="7" t="n">
        <f aca="false">IF(M73="",1,0)</f>
        <v>0</v>
      </c>
      <c r="X73" s="7" t="n">
        <f aca="false">COUNTIFS($B$2:$B$1141,B73,$H$2:$H$1141,H73,$I$2:$I$1141,I73,$J$2:$J$1141,J73,$K$2:$K$1141,K73,$L$2:$L$1141,L73)</f>
        <v>1</v>
      </c>
    </row>
    <row r="74" customFormat="false" ht="15" hidden="false" customHeight="false" outlineLevel="0" collapsed="false">
      <c r="A74" s="7" t="n">
        <f aca="false">ROW()-1</f>
        <v>73</v>
      </c>
      <c r="B74" s="7" t="str">
        <f aca="false">IF(Raw_Nigeria!B74="",TRIM(Raw_Nigeria!C74),TRIM(Raw_Nigeria!B74))</f>
        <v>Nigeria Demographic and Health Survey 1990, 1992</v>
      </c>
      <c r="C74" s="7" t="str">
        <f aca="false">IF(ISNUMBER(SEARCH("Demographic and Health",B74)),"DHS",IF(OR(ISNUMBER(SEARCH("Multiple Indicator Cluster",B74)),ISNUMBER(SEARCH("MICS",B74))),"MICS",IF(ISNUMBER(SEARCH("Immunization Coverage Survey",B74)),"Coverage survey",IF(ISNUMBER(SEARCH("Nutrition",B74)),"Nutrition survey","Other"))))</f>
        <v>DHS</v>
      </c>
      <c r="D74" s="7" t="n">
        <f aca="false">VALUE(LEFT(Raw_Nigeria!D74,4))</f>
        <v>1990</v>
      </c>
      <c r="E74" s="7" t="n">
        <f aca="false">IF(VALUE(RIGHT(Raw_Nigeria!D74,2))&gt;12,"",VALUE(RIGHT(Raw_Nigeria!D74,2)))</f>
        <v>4</v>
      </c>
      <c r="F74" s="7" t="n">
        <f aca="false">VALUE(LEFT(Raw_Nigeria!E74,4))</f>
        <v>1990</v>
      </c>
      <c r="G74" s="7" t="n">
        <f aca="false">IF(VALUE(RIGHT(Raw_Nigeria!E74,2))&gt;12,"",VALUE(RIGHT(Raw_Nigeria!E74,2)))</f>
        <v>10</v>
      </c>
      <c r="H74" s="7" t="n">
        <f aca="false">Raw_Nigeria!F74</f>
        <v>1989</v>
      </c>
      <c r="I74" s="7" t="str">
        <f aca="false">UPPER(TRIM(Raw_Nigeria!G74))</f>
        <v>FULL</v>
      </c>
      <c r="J74" s="7" t="str">
        <f aca="false">Raw_Nigeria!H74</f>
        <v>Record&lt;12m</v>
      </c>
      <c r="K74" s="7" t="str">
        <f aca="false">Raw_Nigeria!L74</f>
        <v>12-23 m</v>
      </c>
      <c r="L74" s="7" t="str">
        <f aca="false">IF(Raw_Nigeria!K74="","n/a",Raw_Nigeria!K74)</f>
        <v>0-12 m</v>
      </c>
      <c r="M74" s="7" t="n">
        <f aca="false">IF(Raw_Nigeria!I74="","",Raw_Nigeria!I74)</f>
        <v>34.7</v>
      </c>
      <c r="N74" s="7" t="n">
        <f aca="false">Raw_Nigeria!M74</f>
        <v>11.1</v>
      </c>
      <c r="O74" s="7" t="n">
        <f aca="false">IF(Raw_Nigeria!N74="","",Raw_Nigeria!N74)</f>
        <v>1380</v>
      </c>
      <c r="P74" s="7" t="str">
        <f aca="false">IF(K74="CBAW","Women of child-bearing age","Children")</f>
        <v>Children</v>
      </c>
      <c r="Q74" s="7" t="n">
        <f aca="false">IF(J74="NOT USED",1,0)</f>
        <v>0</v>
      </c>
      <c r="R74" s="7" t="n">
        <f aca="false">IF(AND(P74="Children",Q74=0),1,0)</f>
        <v>1</v>
      </c>
      <c r="S74" s="7" t="n">
        <f aca="false">IF(AND(R74=1,J74="Record or Recall",K74="12-23 m"),1,0)</f>
        <v>0</v>
      </c>
      <c r="T74" s="7" t="n">
        <f aca="false">IF(OR(I74="BCG",I74="DTP1",I74="DTP3",I74="POL3",I74="MCV1",I74="FULL"),1,0)</f>
        <v>1</v>
      </c>
      <c r="U74" s="7" t="n">
        <f aca="false">IF(OR(C74="DHS",C74="MICS"),1,0)</f>
        <v>1</v>
      </c>
      <c r="V74" s="7" t="n">
        <f aca="false">IF(O74="",1,0)</f>
        <v>0</v>
      </c>
      <c r="W74" s="7" t="n">
        <f aca="false">IF(M74="",1,0)</f>
        <v>0</v>
      </c>
      <c r="X74" s="7" t="n">
        <f aca="false">COUNTIFS($B$2:$B$1141,B74,$H$2:$H$1141,H74,$I$2:$I$1141,I74,$J$2:$J$1141,J74,$K$2:$K$1141,K74,$L$2:$L$1141,L74)</f>
        <v>1</v>
      </c>
    </row>
    <row r="75" customFormat="false" ht="15" hidden="false" customHeight="false" outlineLevel="0" collapsed="false">
      <c r="A75" s="7" t="n">
        <f aca="false">ROW()-1</f>
        <v>74</v>
      </c>
      <c r="B75" s="7" t="str">
        <f aca="false">IF(Raw_Nigeria!B75="",TRIM(Raw_Nigeria!C75),TRIM(Raw_Nigeria!B75))</f>
        <v>Nigeria Demographic and Health Survey 1990, 1992</v>
      </c>
      <c r="C75" s="7" t="str">
        <f aca="false">IF(ISNUMBER(SEARCH("Demographic and Health",B75)),"DHS",IF(OR(ISNUMBER(SEARCH("Multiple Indicator Cluster",B75)),ISNUMBER(SEARCH("MICS",B75))),"MICS",IF(ISNUMBER(SEARCH("Immunization Coverage Survey",B75)),"Coverage survey",IF(ISNUMBER(SEARCH("Nutrition",B75)),"Nutrition survey","Other"))))</f>
        <v>DHS</v>
      </c>
      <c r="D75" s="7" t="n">
        <f aca="false">VALUE(LEFT(Raw_Nigeria!D75,4))</f>
        <v>1990</v>
      </c>
      <c r="E75" s="7" t="n">
        <f aca="false">IF(VALUE(RIGHT(Raw_Nigeria!D75,2))&gt;12,"",VALUE(RIGHT(Raw_Nigeria!D75,2)))</f>
        <v>4</v>
      </c>
      <c r="F75" s="7" t="n">
        <f aca="false">VALUE(LEFT(Raw_Nigeria!E75,4))</f>
        <v>1990</v>
      </c>
      <c r="G75" s="7" t="n">
        <f aca="false">IF(VALUE(RIGHT(Raw_Nigeria!E75,2))&gt;12,"",VALUE(RIGHT(Raw_Nigeria!E75,2)))</f>
        <v>10</v>
      </c>
      <c r="H75" s="7" t="n">
        <f aca="false">Raw_Nigeria!F75</f>
        <v>1989</v>
      </c>
      <c r="I75" s="7" t="str">
        <f aca="false">UPPER(TRIM(Raw_Nigeria!G75))</f>
        <v>FULL</v>
      </c>
      <c r="J75" s="7" t="str">
        <f aca="false">Raw_Nigeria!H75</f>
        <v>Record or Recall</v>
      </c>
      <c r="K75" s="7" t="str">
        <f aca="false">Raw_Nigeria!L75</f>
        <v>12-23 m</v>
      </c>
      <c r="L75" s="7" t="str">
        <f aca="false">IF(Raw_Nigeria!K75="","n/a",Raw_Nigeria!K75)</f>
        <v>0-23 m</v>
      </c>
      <c r="M75" s="7" t="n">
        <f aca="false">IF(Raw_Nigeria!I75="","",Raw_Nigeria!I75)</f>
        <v>34.7</v>
      </c>
      <c r="N75" s="7" t="n">
        <f aca="false">Raw_Nigeria!M75</f>
        <v>29.6</v>
      </c>
      <c r="O75" s="7" t="n">
        <f aca="false">IF(Raw_Nigeria!N75="","",Raw_Nigeria!N75)</f>
        <v>1380</v>
      </c>
      <c r="P75" s="7" t="str">
        <f aca="false">IF(K75="CBAW","Women of child-bearing age","Children")</f>
        <v>Children</v>
      </c>
      <c r="Q75" s="7" t="n">
        <f aca="false">IF(J75="NOT USED",1,0)</f>
        <v>0</v>
      </c>
      <c r="R75" s="7" t="n">
        <f aca="false">IF(AND(P75="Children",Q75=0),1,0)</f>
        <v>1</v>
      </c>
      <c r="S75" s="7" t="n">
        <f aca="false">IF(AND(R75=1,J75="Record or Recall",K75="12-23 m"),1,0)</f>
        <v>1</v>
      </c>
      <c r="T75" s="7" t="n">
        <f aca="false">IF(OR(I75="BCG",I75="DTP1",I75="DTP3",I75="POL3",I75="MCV1",I75="FULL"),1,0)</f>
        <v>1</v>
      </c>
      <c r="U75" s="7" t="n">
        <f aca="false">IF(OR(C75="DHS",C75="MICS"),1,0)</f>
        <v>1</v>
      </c>
      <c r="V75" s="7" t="n">
        <f aca="false">IF(O75="",1,0)</f>
        <v>0</v>
      </c>
      <c r="W75" s="7" t="n">
        <f aca="false">IF(M75="",1,0)</f>
        <v>0</v>
      </c>
      <c r="X75" s="7" t="n">
        <f aca="false">COUNTIFS($B$2:$B$1141,B75,$H$2:$H$1141,H75,$I$2:$I$1141,I75,$J$2:$J$1141,J75,$K$2:$K$1141,K75,$L$2:$L$1141,L75)</f>
        <v>1</v>
      </c>
    </row>
    <row r="76" customFormat="false" ht="15" hidden="false" customHeight="false" outlineLevel="0" collapsed="false">
      <c r="A76" s="7" t="n">
        <f aca="false">ROW()-1</f>
        <v>75</v>
      </c>
      <c r="B76" s="7" t="str">
        <f aca="false">IF(Raw_Nigeria!B76="",TRIM(Raw_Nigeria!C76),TRIM(Raw_Nigeria!B76))</f>
        <v>Nigeria Demographic and Health Survey 1990, 1992</v>
      </c>
      <c r="C76" s="7" t="str">
        <f aca="false">IF(ISNUMBER(SEARCH("Demographic and Health",B76)),"DHS",IF(OR(ISNUMBER(SEARCH("Multiple Indicator Cluster",B76)),ISNUMBER(SEARCH("MICS",B76))),"MICS",IF(ISNUMBER(SEARCH("Immunization Coverage Survey",B76)),"Coverage survey",IF(ISNUMBER(SEARCH("Nutrition",B76)),"Nutrition survey","Other"))))</f>
        <v>DHS</v>
      </c>
      <c r="D76" s="7" t="n">
        <f aca="false">VALUE(LEFT(Raw_Nigeria!D76,4))</f>
        <v>1990</v>
      </c>
      <c r="E76" s="7" t="n">
        <f aca="false">IF(VALUE(RIGHT(Raw_Nigeria!D76,2))&gt;12,"",VALUE(RIGHT(Raw_Nigeria!D76,2)))</f>
        <v>4</v>
      </c>
      <c r="F76" s="7" t="n">
        <f aca="false">VALUE(LEFT(Raw_Nigeria!E76,4))</f>
        <v>1990</v>
      </c>
      <c r="G76" s="7" t="n">
        <f aca="false">IF(VALUE(RIGHT(Raw_Nigeria!E76,2))&gt;12,"",VALUE(RIGHT(Raw_Nigeria!E76,2)))</f>
        <v>10</v>
      </c>
      <c r="H76" s="7" t="n">
        <f aca="false">Raw_Nigeria!F76</f>
        <v>1989</v>
      </c>
      <c r="I76" s="7" t="str">
        <f aca="false">UPPER(TRIM(Raw_Nigeria!G76))</f>
        <v>FULL</v>
      </c>
      <c r="J76" s="7" t="str">
        <f aca="false">Raw_Nigeria!H76</f>
        <v>Recall</v>
      </c>
      <c r="K76" s="7" t="str">
        <f aca="false">Raw_Nigeria!L76</f>
        <v>12-23 m</v>
      </c>
      <c r="L76" s="7" t="str">
        <f aca="false">IF(Raw_Nigeria!K76="","n/a",Raw_Nigeria!K76)</f>
        <v>0-23 m</v>
      </c>
      <c r="M76" s="7" t="n">
        <f aca="false">IF(Raw_Nigeria!I76="","",Raw_Nigeria!I76)</f>
        <v>34.7</v>
      </c>
      <c r="N76" s="7" t="n">
        <f aca="false">Raw_Nigeria!M76</f>
        <v>11.6</v>
      </c>
      <c r="O76" s="7" t="n">
        <f aca="false">IF(Raw_Nigeria!N76="","",Raw_Nigeria!N76)</f>
        <v>1380</v>
      </c>
      <c r="P76" s="7" t="str">
        <f aca="false">IF(K76="CBAW","Women of child-bearing age","Children")</f>
        <v>Children</v>
      </c>
      <c r="Q76" s="7" t="n">
        <f aca="false">IF(J76="NOT USED",1,0)</f>
        <v>0</v>
      </c>
      <c r="R76" s="7" t="n">
        <f aca="false">IF(AND(P76="Children",Q76=0),1,0)</f>
        <v>1</v>
      </c>
      <c r="S76" s="7" t="n">
        <f aca="false">IF(AND(R76=1,J76="Record or Recall",K76="12-23 m"),1,0)</f>
        <v>0</v>
      </c>
      <c r="T76" s="7" t="n">
        <f aca="false">IF(OR(I76="BCG",I76="DTP1",I76="DTP3",I76="POL3",I76="MCV1",I76="FULL"),1,0)</f>
        <v>1</v>
      </c>
      <c r="U76" s="7" t="n">
        <f aca="false">IF(OR(C76="DHS",C76="MICS"),1,0)</f>
        <v>1</v>
      </c>
      <c r="V76" s="7" t="n">
        <f aca="false">IF(O76="",1,0)</f>
        <v>0</v>
      </c>
      <c r="W76" s="7" t="n">
        <f aca="false">IF(M76="",1,0)</f>
        <v>0</v>
      </c>
      <c r="X76" s="7" t="n">
        <f aca="false">COUNTIFS($B$2:$B$1141,B76,$H$2:$H$1141,H76,$I$2:$I$1141,I76,$J$2:$J$1141,J76,$K$2:$K$1141,K76,$L$2:$L$1141,L76)</f>
        <v>1</v>
      </c>
    </row>
    <row r="77" customFormat="false" ht="15" hidden="false" customHeight="false" outlineLevel="0" collapsed="false">
      <c r="A77" s="7" t="n">
        <f aca="false">ROW()-1</f>
        <v>76</v>
      </c>
      <c r="B77" s="7" t="str">
        <f aca="false">IF(Raw_Nigeria!B77="",TRIM(Raw_Nigeria!C77),TRIM(Raw_Nigeria!B77))</f>
        <v>Nigeria Demographic and Health Survey 1990, 1992</v>
      </c>
      <c r="C77" s="7" t="str">
        <f aca="false">IF(ISNUMBER(SEARCH("Demographic and Health",B77)),"DHS",IF(OR(ISNUMBER(SEARCH("Multiple Indicator Cluster",B77)),ISNUMBER(SEARCH("MICS",B77))),"MICS",IF(ISNUMBER(SEARCH("Immunization Coverage Survey",B77)),"Coverage survey",IF(ISNUMBER(SEARCH("Nutrition",B77)),"Nutrition survey","Other"))))</f>
        <v>DHS</v>
      </c>
      <c r="D77" s="7" t="n">
        <f aca="false">VALUE(LEFT(Raw_Nigeria!D77,4))</f>
        <v>1990</v>
      </c>
      <c r="E77" s="7" t="n">
        <f aca="false">IF(VALUE(RIGHT(Raw_Nigeria!D77,2))&gt;12,"",VALUE(RIGHT(Raw_Nigeria!D77,2)))</f>
        <v>4</v>
      </c>
      <c r="F77" s="7" t="n">
        <f aca="false">VALUE(LEFT(Raw_Nigeria!E77,4))</f>
        <v>1990</v>
      </c>
      <c r="G77" s="7" t="n">
        <f aca="false">IF(VALUE(RIGHT(Raw_Nigeria!E77,2))&gt;12,"",VALUE(RIGHT(Raw_Nigeria!E77,2)))</f>
        <v>10</v>
      </c>
      <c r="H77" s="7" t="n">
        <f aca="false">Raw_Nigeria!F77</f>
        <v>1989</v>
      </c>
      <c r="I77" s="7" t="str">
        <f aca="false">UPPER(TRIM(Raw_Nigeria!G77))</f>
        <v>MCV1</v>
      </c>
      <c r="J77" s="7" t="str">
        <f aca="false">Raw_Nigeria!H77</f>
        <v>Record or Recall&lt;12m</v>
      </c>
      <c r="K77" s="7" t="str">
        <f aca="false">Raw_Nigeria!L77</f>
        <v>12-23 m</v>
      </c>
      <c r="L77" s="7" t="str">
        <f aca="false">IF(Raw_Nigeria!K77="","n/a",Raw_Nigeria!K77)</f>
        <v>0-12 m</v>
      </c>
      <c r="M77" s="7" t="n">
        <f aca="false">IF(Raw_Nigeria!I77="","",Raw_Nigeria!I77)</f>
        <v>34.7</v>
      </c>
      <c r="N77" s="7" t="n">
        <f aca="false">Raw_Nigeria!M77</f>
        <v>28.1</v>
      </c>
      <c r="O77" s="7" t="n">
        <f aca="false">IF(Raw_Nigeria!N77="","",Raw_Nigeria!N77)</f>
        <v>1380</v>
      </c>
      <c r="P77" s="7" t="str">
        <f aca="false">IF(K77="CBAW","Women of child-bearing age","Children")</f>
        <v>Children</v>
      </c>
      <c r="Q77" s="7" t="n">
        <f aca="false">IF(J77="NOT USED",1,0)</f>
        <v>0</v>
      </c>
      <c r="R77" s="7" t="n">
        <f aca="false">IF(AND(P77="Children",Q77=0),1,0)</f>
        <v>1</v>
      </c>
      <c r="S77" s="7" t="n">
        <f aca="false">IF(AND(R77=1,J77="Record or Recall",K77="12-23 m"),1,0)</f>
        <v>0</v>
      </c>
      <c r="T77" s="7" t="n">
        <f aca="false">IF(OR(I77="BCG",I77="DTP1",I77="DTP3",I77="POL3",I77="MCV1",I77="FULL"),1,0)</f>
        <v>1</v>
      </c>
      <c r="U77" s="7" t="n">
        <f aca="false">IF(OR(C77="DHS",C77="MICS"),1,0)</f>
        <v>1</v>
      </c>
      <c r="V77" s="7" t="n">
        <f aca="false">IF(O77="",1,0)</f>
        <v>0</v>
      </c>
      <c r="W77" s="7" t="n">
        <f aca="false">IF(M77="",1,0)</f>
        <v>0</v>
      </c>
      <c r="X77" s="7" t="n">
        <f aca="false">COUNTIFS($B$2:$B$1141,B77,$H$2:$H$1141,H77,$I$2:$I$1141,I77,$J$2:$J$1141,J77,$K$2:$K$1141,K77,$L$2:$L$1141,L77)</f>
        <v>1</v>
      </c>
    </row>
    <row r="78" customFormat="false" ht="15" hidden="false" customHeight="false" outlineLevel="0" collapsed="false">
      <c r="A78" s="7" t="n">
        <f aca="false">ROW()-1</f>
        <v>77</v>
      </c>
      <c r="B78" s="7" t="str">
        <f aca="false">IF(Raw_Nigeria!B78="",TRIM(Raw_Nigeria!C78),TRIM(Raw_Nigeria!B78))</f>
        <v>Nigeria Demographic and Health Survey 1990, 1992</v>
      </c>
      <c r="C78" s="7" t="str">
        <f aca="false">IF(ISNUMBER(SEARCH("Demographic and Health",B78)),"DHS",IF(OR(ISNUMBER(SEARCH("Multiple Indicator Cluster",B78)),ISNUMBER(SEARCH("MICS",B78))),"MICS",IF(ISNUMBER(SEARCH("Immunization Coverage Survey",B78)),"Coverage survey",IF(ISNUMBER(SEARCH("Nutrition",B78)),"Nutrition survey","Other"))))</f>
        <v>DHS</v>
      </c>
      <c r="D78" s="7" t="n">
        <f aca="false">VALUE(LEFT(Raw_Nigeria!D78,4))</f>
        <v>1990</v>
      </c>
      <c r="E78" s="7" t="n">
        <f aca="false">IF(VALUE(RIGHT(Raw_Nigeria!D78,2))&gt;12,"",VALUE(RIGHT(Raw_Nigeria!D78,2)))</f>
        <v>4</v>
      </c>
      <c r="F78" s="7" t="n">
        <f aca="false">VALUE(LEFT(Raw_Nigeria!E78,4))</f>
        <v>1990</v>
      </c>
      <c r="G78" s="7" t="n">
        <f aca="false">IF(VALUE(RIGHT(Raw_Nigeria!E78,2))&gt;12,"",VALUE(RIGHT(Raw_Nigeria!E78,2)))</f>
        <v>10</v>
      </c>
      <c r="H78" s="7" t="n">
        <f aca="false">Raw_Nigeria!F78</f>
        <v>1989</v>
      </c>
      <c r="I78" s="7" t="str">
        <f aca="false">UPPER(TRIM(Raw_Nigeria!G78))</f>
        <v>MCV1</v>
      </c>
      <c r="J78" s="7" t="str">
        <f aca="false">Raw_Nigeria!H78</f>
        <v>Record</v>
      </c>
      <c r="K78" s="7" t="str">
        <f aca="false">Raw_Nigeria!L78</f>
        <v>12-23 m</v>
      </c>
      <c r="L78" s="7" t="str">
        <f aca="false">IF(Raw_Nigeria!K78="","n/a",Raw_Nigeria!K78)</f>
        <v>0-23 m</v>
      </c>
      <c r="M78" s="7" t="n">
        <f aca="false">IF(Raw_Nigeria!I78="","",Raw_Nigeria!I78)</f>
        <v>34.7</v>
      </c>
      <c r="N78" s="7" t="n">
        <f aca="false">Raw_Nigeria!M78</f>
        <v>23.9</v>
      </c>
      <c r="O78" s="7" t="n">
        <f aca="false">IF(Raw_Nigeria!N78="","",Raw_Nigeria!N78)</f>
        <v>1380</v>
      </c>
      <c r="P78" s="7" t="str">
        <f aca="false">IF(K78="CBAW","Women of child-bearing age","Children")</f>
        <v>Children</v>
      </c>
      <c r="Q78" s="7" t="n">
        <f aca="false">IF(J78="NOT USED",1,0)</f>
        <v>0</v>
      </c>
      <c r="R78" s="7" t="n">
        <f aca="false">IF(AND(P78="Children",Q78=0),1,0)</f>
        <v>1</v>
      </c>
      <c r="S78" s="7" t="n">
        <f aca="false">IF(AND(R78=1,J78="Record or Recall",K78="12-23 m"),1,0)</f>
        <v>0</v>
      </c>
      <c r="T78" s="7" t="n">
        <f aca="false">IF(OR(I78="BCG",I78="DTP1",I78="DTP3",I78="POL3",I78="MCV1",I78="FULL"),1,0)</f>
        <v>1</v>
      </c>
      <c r="U78" s="7" t="n">
        <f aca="false">IF(OR(C78="DHS",C78="MICS"),1,0)</f>
        <v>1</v>
      </c>
      <c r="V78" s="7" t="n">
        <f aca="false">IF(O78="",1,0)</f>
        <v>0</v>
      </c>
      <c r="W78" s="7" t="n">
        <f aca="false">IF(M78="",1,0)</f>
        <v>0</v>
      </c>
      <c r="X78" s="7" t="n">
        <f aca="false">COUNTIFS($B$2:$B$1141,B78,$H$2:$H$1141,H78,$I$2:$I$1141,I78,$J$2:$J$1141,J78,$K$2:$K$1141,K78,$L$2:$L$1141,L78)</f>
        <v>1</v>
      </c>
    </row>
    <row r="79" customFormat="false" ht="15" hidden="false" customHeight="false" outlineLevel="0" collapsed="false">
      <c r="A79" s="7" t="n">
        <f aca="false">ROW()-1</f>
        <v>78</v>
      </c>
      <c r="B79" s="7" t="str">
        <f aca="false">IF(Raw_Nigeria!B79="",TRIM(Raw_Nigeria!C79),TRIM(Raw_Nigeria!B79))</f>
        <v>Nigeria Demographic and Health Survey 1990, 1992</v>
      </c>
      <c r="C79" s="7" t="str">
        <f aca="false">IF(ISNUMBER(SEARCH("Demographic and Health",B79)),"DHS",IF(OR(ISNUMBER(SEARCH("Multiple Indicator Cluster",B79)),ISNUMBER(SEARCH("MICS",B79))),"MICS",IF(ISNUMBER(SEARCH("Immunization Coverage Survey",B79)),"Coverage survey",IF(ISNUMBER(SEARCH("Nutrition",B79)),"Nutrition survey","Other"))))</f>
        <v>DHS</v>
      </c>
      <c r="D79" s="7" t="n">
        <f aca="false">VALUE(LEFT(Raw_Nigeria!D79,4))</f>
        <v>1990</v>
      </c>
      <c r="E79" s="7" t="n">
        <f aca="false">IF(VALUE(RIGHT(Raw_Nigeria!D79,2))&gt;12,"",VALUE(RIGHT(Raw_Nigeria!D79,2)))</f>
        <v>4</v>
      </c>
      <c r="F79" s="7" t="n">
        <f aca="false">VALUE(LEFT(Raw_Nigeria!E79,4))</f>
        <v>1990</v>
      </c>
      <c r="G79" s="7" t="n">
        <f aca="false">IF(VALUE(RIGHT(Raw_Nigeria!E79,2))&gt;12,"",VALUE(RIGHT(Raw_Nigeria!E79,2)))</f>
        <v>10</v>
      </c>
      <c r="H79" s="7" t="n">
        <f aca="false">Raw_Nigeria!F79</f>
        <v>1989</v>
      </c>
      <c r="I79" s="7" t="str">
        <f aca="false">UPPER(TRIM(Raw_Nigeria!G79))</f>
        <v>MCV1</v>
      </c>
      <c r="J79" s="7" t="str">
        <f aca="false">Raw_Nigeria!H79</f>
        <v>Record&lt;12m</v>
      </c>
      <c r="K79" s="7" t="str">
        <f aca="false">Raw_Nigeria!L79</f>
        <v>12-23 m</v>
      </c>
      <c r="L79" s="7" t="str">
        <f aca="false">IF(Raw_Nigeria!K79="","n/a",Raw_Nigeria!K79)</f>
        <v>0-12 m</v>
      </c>
      <c r="M79" s="7" t="n">
        <f aca="false">IF(Raw_Nigeria!I79="","",Raw_Nigeria!I79)</f>
        <v>34.7</v>
      </c>
      <c r="N79" s="7" t="n">
        <f aca="false">Raw_Nigeria!M79</f>
        <v>14.6</v>
      </c>
      <c r="O79" s="7" t="n">
        <f aca="false">IF(Raw_Nigeria!N79="","",Raw_Nigeria!N79)</f>
        <v>1380</v>
      </c>
      <c r="P79" s="7" t="str">
        <f aca="false">IF(K79="CBAW","Women of child-bearing age","Children")</f>
        <v>Children</v>
      </c>
      <c r="Q79" s="7" t="n">
        <f aca="false">IF(J79="NOT USED",1,0)</f>
        <v>0</v>
      </c>
      <c r="R79" s="7" t="n">
        <f aca="false">IF(AND(P79="Children",Q79=0),1,0)</f>
        <v>1</v>
      </c>
      <c r="S79" s="7" t="n">
        <f aca="false">IF(AND(R79=1,J79="Record or Recall",K79="12-23 m"),1,0)</f>
        <v>0</v>
      </c>
      <c r="T79" s="7" t="n">
        <f aca="false">IF(OR(I79="BCG",I79="DTP1",I79="DTP3",I79="POL3",I79="MCV1",I79="FULL"),1,0)</f>
        <v>1</v>
      </c>
      <c r="U79" s="7" t="n">
        <f aca="false">IF(OR(C79="DHS",C79="MICS"),1,0)</f>
        <v>1</v>
      </c>
      <c r="V79" s="7" t="n">
        <f aca="false">IF(O79="",1,0)</f>
        <v>0</v>
      </c>
      <c r="W79" s="7" t="n">
        <f aca="false">IF(M79="",1,0)</f>
        <v>0</v>
      </c>
      <c r="X79" s="7" t="n">
        <f aca="false">COUNTIFS($B$2:$B$1141,B79,$H$2:$H$1141,H79,$I$2:$I$1141,I79,$J$2:$J$1141,J79,$K$2:$K$1141,K79,$L$2:$L$1141,L79)</f>
        <v>1</v>
      </c>
    </row>
    <row r="80" customFormat="false" ht="15" hidden="false" customHeight="false" outlineLevel="0" collapsed="false">
      <c r="A80" s="7" t="n">
        <f aca="false">ROW()-1</f>
        <v>79</v>
      </c>
      <c r="B80" s="7" t="str">
        <f aca="false">IF(Raw_Nigeria!B80="",TRIM(Raw_Nigeria!C80),TRIM(Raw_Nigeria!B80))</f>
        <v>Nigeria Demographic and Health Survey 1990, 1992</v>
      </c>
      <c r="C80" s="7" t="str">
        <f aca="false">IF(ISNUMBER(SEARCH("Demographic and Health",B80)),"DHS",IF(OR(ISNUMBER(SEARCH("Multiple Indicator Cluster",B80)),ISNUMBER(SEARCH("MICS",B80))),"MICS",IF(ISNUMBER(SEARCH("Immunization Coverage Survey",B80)),"Coverage survey",IF(ISNUMBER(SEARCH("Nutrition",B80)),"Nutrition survey","Other"))))</f>
        <v>DHS</v>
      </c>
      <c r="D80" s="7" t="n">
        <f aca="false">VALUE(LEFT(Raw_Nigeria!D80,4))</f>
        <v>1990</v>
      </c>
      <c r="E80" s="7" t="n">
        <f aca="false">IF(VALUE(RIGHT(Raw_Nigeria!D80,2))&gt;12,"",VALUE(RIGHT(Raw_Nigeria!D80,2)))</f>
        <v>4</v>
      </c>
      <c r="F80" s="7" t="n">
        <f aca="false">VALUE(LEFT(Raw_Nigeria!E80,4))</f>
        <v>1990</v>
      </c>
      <c r="G80" s="7" t="n">
        <f aca="false">IF(VALUE(RIGHT(Raw_Nigeria!E80,2))&gt;12,"",VALUE(RIGHT(Raw_Nigeria!E80,2)))</f>
        <v>10</v>
      </c>
      <c r="H80" s="7" t="n">
        <f aca="false">Raw_Nigeria!F80</f>
        <v>1989</v>
      </c>
      <c r="I80" s="7" t="str">
        <f aca="false">UPPER(TRIM(Raw_Nigeria!G80))</f>
        <v>MCV1</v>
      </c>
      <c r="J80" s="7" t="str">
        <f aca="false">Raw_Nigeria!H80</f>
        <v>Record or Recall</v>
      </c>
      <c r="K80" s="7" t="str">
        <f aca="false">Raw_Nigeria!L80</f>
        <v>12-23 m</v>
      </c>
      <c r="L80" s="7" t="str">
        <f aca="false">IF(Raw_Nigeria!K80="","n/a",Raw_Nigeria!K80)</f>
        <v>0-23 m</v>
      </c>
      <c r="M80" s="7" t="n">
        <f aca="false">IF(Raw_Nigeria!I80="","",Raw_Nigeria!I80)</f>
        <v>34.7</v>
      </c>
      <c r="N80" s="7" t="n">
        <f aca="false">Raw_Nigeria!M80</f>
        <v>46</v>
      </c>
      <c r="O80" s="7" t="n">
        <f aca="false">IF(Raw_Nigeria!N80="","",Raw_Nigeria!N80)</f>
        <v>1380</v>
      </c>
      <c r="P80" s="7" t="str">
        <f aca="false">IF(K80="CBAW","Women of child-bearing age","Children")</f>
        <v>Children</v>
      </c>
      <c r="Q80" s="7" t="n">
        <f aca="false">IF(J80="NOT USED",1,0)</f>
        <v>0</v>
      </c>
      <c r="R80" s="7" t="n">
        <f aca="false">IF(AND(P80="Children",Q80=0),1,0)</f>
        <v>1</v>
      </c>
      <c r="S80" s="7" t="n">
        <f aca="false">IF(AND(R80=1,J80="Record or Recall",K80="12-23 m"),1,0)</f>
        <v>1</v>
      </c>
      <c r="T80" s="7" t="n">
        <f aca="false">IF(OR(I80="BCG",I80="DTP1",I80="DTP3",I80="POL3",I80="MCV1",I80="FULL"),1,0)</f>
        <v>1</v>
      </c>
      <c r="U80" s="7" t="n">
        <f aca="false">IF(OR(C80="DHS",C80="MICS"),1,0)</f>
        <v>1</v>
      </c>
      <c r="V80" s="7" t="n">
        <f aca="false">IF(O80="",1,0)</f>
        <v>0</v>
      </c>
      <c r="W80" s="7" t="n">
        <f aca="false">IF(M80="",1,0)</f>
        <v>0</v>
      </c>
      <c r="X80" s="7" t="n">
        <f aca="false">COUNTIFS($B$2:$B$1141,B80,$H$2:$H$1141,H80,$I$2:$I$1141,I80,$J$2:$J$1141,J80,$K$2:$K$1141,K80,$L$2:$L$1141,L80)</f>
        <v>1</v>
      </c>
    </row>
    <row r="81" customFormat="false" ht="15" hidden="false" customHeight="false" outlineLevel="0" collapsed="false">
      <c r="A81" s="7" t="n">
        <f aca="false">ROW()-1</f>
        <v>80</v>
      </c>
      <c r="B81" s="7" t="str">
        <f aca="false">IF(Raw_Nigeria!B81="",TRIM(Raw_Nigeria!C81),TRIM(Raw_Nigeria!B81))</f>
        <v>Nigeria Demographic and Health Survey 1990, 1992</v>
      </c>
      <c r="C81" s="7" t="str">
        <f aca="false">IF(ISNUMBER(SEARCH("Demographic and Health",B81)),"DHS",IF(OR(ISNUMBER(SEARCH("Multiple Indicator Cluster",B81)),ISNUMBER(SEARCH("MICS",B81))),"MICS",IF(ISNUMBER(SEARCH("Immunization Coverage Survey",B81)),"Coverage survey",IF(ISNUMBER(SEARCH("Nutrition",B81)),"Nutrition survey","Other"))))</f>
        <v>DHS</v>
      </c>
      <c r="D81" s="7" t="n">
        <f aca="false">VALUE(LEFT(Raw_Nigeria!D81,4))</f>
        <v>1990</v>
      </c>
      <c r="E81" s="7" t="n">
        <f aca="false">IF(VALUE(RIGHT(Raw_Nigeria!D81,2))&gt;12,"",VALUE(RIGHT(Raw_Nigeria!D81,2)))</f>
        <v>4</v>
      </c>
      <c r="F81" s="7" t="n">
        <f aca="false">VALUE(LEFT(Raw_Nigeria!E81,4))</f>
        <v>1990</v>
      </c>
      <c r="G81" s="7" t="n">
        <f aca="false">IF(VALUE(RIGHT(Raw_Nigeria!E81,2))&gt;12,"",VALUE(RIGHT(Raw_Nigeria!E81,2)))</f>
        <v>10</v>
      </c>
      <c r="H81" s="7" t="n">
        <f aca="false">Raw_Nigeria!F81</f>
        <v>1989</v>
      </c>
      <c r="I81" s="7" t="str">
        <f aca="false">UPPER(TRIM(Raw_Nigeria!G81))</f>
        <v>MCV1</v>
      </c>
      <c r="J81" s="7" t="str">
        <f aca="false">Raw_Nigeria!H81</f>
        <v>Recall</v>
      </c>
      <c r="K81" s="7" t="str">
        <f aca="false">Raw_Nigeria!L81</f>
        <v>12-23 m</v>
      </c>
      <c r="L81" s="7" t="str">
        <f aca="false">IF(Raw_Nigeria!K81="","n/a",Raw_Nigeria!K81)</f>
        <v>0-23 m</v>
      </c>
      <c r="M81" s="7" t="n">
        <f aca="false">IF(Raw_Nigeria!I81="","",Raw_Nigeria!I81)</f>
        <v>34.7</v>
      </c>
      <c r="N81" s="7" t="n">
        <f aca="false">Raw_Nigeria!M81</f>
        <v>22.1</v>
      </c>
      <c r="O81" s="7" t="n">
        <f aca="false">IF(Raw_Nigeria!N81="","",Raw_Nigeria!N81)</f>
        <v>1380</v>
      </c>
      <c r="P81" s="7" t="str">
        <f aca="false">IF(K81="CBAW","Women of child-bearing age","Children")</f>
        <v>Children</v>
      </c>
      <c r="Q81" s="7" t="n">
        <f aca="false">IF(J81="NOT USED",1,0)</f>
        <v>0</v>
      </c>
      <c r="R81" s="7" t="n">
        <f aca="false">IF(AND(P81="Children",Q81=0),1,0)</f>
        <v>1</v>
      </c>
      <c r="S81" s="7" t="n">
        <f aca="false">IF(AND(R81=1,J81="Record or Recall",K81="12-23 m"),1,0)</f>
        <v>0</v>
      </c>
      <c r="T81" s="7" t="n">
        <f aca="false">IF(OR(I81="BCG",I81="DTP1",I81="DTP3",I81="POL3",I81="MCV1",I81="FULL"),1,0)</f>
        <v>1</v>
      </c>
      <c r="U81" s="7" t="n">
        <f aca="false">IF(OR(C81="DHS",C81="MICS"),1,0)</f>
        <v>1</v>
      </c>
      <c r="V81" s="7" t="n">
        <f aca="false">IF(O81="",1,0)</f>
        <v>0</v>
      </c>
      <c r="W81" s="7" t="n">
        <f aca="false">IF(M81="",1,0)</f>
        <v>0</v>
      </c>
      <c r="X81" s="7" t="n">
        <f aca="false">COUNTIFS($B$2:$B$1141,B81,$H$2:$H$1141,H81,$I$2:$I$1141,I81,$J$2:$J$1141,J81,$K$2:$K$1141,K81,$L$2:$L$1141,L81)</f>
        <v>1</v>
      </c>
    </row>
    <row r="82" customFormat="false" ht="15" hidden="false" customHeight="false" outlineLevel="0" collapsed="false">
      <c r="A82" s="7" t="n">
        <f aca="false">ROW()-1</f>
        <v>81</v>
      </c>
      <c r="B82" s="7" t="str">
        <f aca="false">IF(Raw_Nigeria!B82="",TRIM(Raw_Nigeria!C82),TRIM(Raw_Nigeria!B82))</f>
        <v>Nigeria Demographic and Health Survey 1990, 1992</v>
      </c>
      <c r="C82" s="7" t="str">
        <f aca="false">IF(ISNUMBER(SEARCH("Demographic and Health",B82)),"DHS",IF(OR(ISNUMBER(SEARCH("Multiple Indicator Cluster",B82)),ISNUMBER(SEARCH("MICS",B82))),"MICS",IF(ISNUMBER(SEARCH("Immunization Coverage Survey",B82)),"Coverage survey",IF(ISNUMBER(SEARCH("Nutrition",B82)),"Nutrition survey","Other"))))</f>
        <v>DHS</v>
      </c>
      <c r="D82" s="7" t="n">
        <f aca="false">VALUE(LEFT(Raw_Nigeria!D82,4))</f>
        <v>1990</v>
      </c>
      <c r="E82" s="7" t="n">
        <f aca="false">IF(VALUE(RIGHT(Raw_Nigeria!D82,2))&gt;12,"",VALUE(RIGHT(Raw_Nigeria!D82,2)))</f>
        <v>4</v>
      </c>
      <c r="F82" s="7" t="n">
        <f aca="false">VALUE(LEFT(Raw_Nigeria!E82,4))</f>
        <v>1990</v>
      </c>
      <c r="G82" s="7" t="n">
        <f aca="false">IF(VALUE(RIGHT(Raw_Nigeria!E82,2))&gt;12,"",VALUE(RIGHT(Raw_Nigeria!E82,2)))</f>
        <v>10</v>
      </c>
      <c r="H82" s="7" t="n">
        <f aca="false">Raw_Nigeria!F82</f>
        <v>1989</v>
      </c>
      <c r="I82" s="7" t="str">
        <f aca="false">UPPER(TRIM(Raw_Nigeria!G82))</f>
        <v>POL1</v>
      </c>
      <c r="J82" s="7" t="str">
        <f aca="false">Raw_Nigeria!H82</f>
        <v>Record or Recall&lt;12m</v>
      </c>
      <c r="K82" s="7" t="str">
        <f aca="false">Raw_Nigeria!L82</f>
        <v>12-23 m</v>
      </c>
      <c r="L82" s="7" t="str">
        <f aca="false">IF(Raw_Nigeria!K82="","n/a",Raw_Nigeria!K82)</f>
        <v>0-12 m</v>
      </c>
      <c r="M82" s="7" t="n">
        <f aca="false">IF(Raw_Nigeria!I82="","",Raw_Nigeria!I82)</f>
        <v>34.7</v>
      </c>
      <c r="N82" s="7" t="n">
        <f aca="false">Raw_Nigeria!M82</f>
        <v>47.8</v>
      </c>
      <c r="O82" s="7" t="n">
        <f aca="false">IF(Raw_Nigeria!N82="","",Raw_Nigeria!N82)</f>
        <v>1380</v>
      </c>
      <c r="P82" s="7" t="str">
        <f aca="false">IF(K82="CBAW","Women of child-bearing age","Children")</f>
        <v>Children</v>
      </c>
      <c r="Q82" s="7" t="n">
        <f aca="false">IF(J82="NOT USED",1,0)</f>
        <v>0</v>
      </c>
      <c r="R82" s="7" t="n">
        <f aca="false">IF(AND(P82="Children",Q82=0),1,0)</f>
        <v>1</v>
      </c>
      <c r="S82" s="7" t="n">
        <f aca="false">IF(AND(R82=1,J82="Record or Recall",K82="12-23 m"),1,0)</f>
        <v>0</v>
      </c>
      <c r="T82" s="7" t="n">
        <f aca="false">IF(OR(I82="BCG",I82="DTP1",I82="DTP3",I82="POL3",I82="MCV1",I82="FULL"),1,0)</f>
        <v>0</v>
      </c>
      <c r="U82" s="7" t="n">
        <f aca="false">IF(OR(C82="DHS",C82="MICS"),1,0)</f>
        <v>1</v>
      </c>
      <c r="V82" s="7" t="n">
        <f aca="false">IF(O82="",1,0)</f>
        <v>0</v>
      </c>
      <c r="W82" s="7" t="n">
        <f aca="false">IF(M82="",1,0)</f>
        <v>0</v>
      </c>
      <c r="X82" s="7" t="n">
        <f aca="false">COUNTIFS($B$2:$B$1141,B82,$H$2:$H$1141,H82,$I$2:$I$1141,I82,$J$2:$J$1141,J82,$K$2:$K$1141,K82,$L$2:$L$1141,L82)</f>
        <v>1</v>
      </c>
    </row>
    <row r="83" customFormat="false" ht="15" hidden="false" customHeight="false" outlineLevel="0" collapsed="false">
      <c r="A83" s="7" t="n">
        <f aca="false">ROW()-1</f>
        <v>82</v>
      </c>
      <c r="B83" s="7" t="str">
        <f aca="false">IF(Raw_Nigeria!B83="",TRIM(Raw_Nigeria!C83),TRIM(Raw_Nigeria!B83))</f>
        <v>Nigeria Demographic and Health Survey 1990, 1992</v>
      </c>
      <c r="C83" s="7" t="str">
        <f aca="false">IF(ISNUMBER(SEARCH("Demographic and Health",B83)),"DHS",IF(OR(ISNUMBER(SEARCH("Multiple Indicator Cluster",B83)),ISNUMBER(SEARCH("MICS",B83))),"MICS",IF(ISNUMBER(SEARCH("Immunization Coverage Survey",B83)),"Coverage survey",IF(ISNUMBER(SEARCH("Nutrition",B83)),"Nutrition survey","Other"))))</f>
        <v>DHS</v>
      </c>
      <c r="D83" s="7" t="n">
        <f aca="false">VALUE(LEFT(Raw_Nigeria!D83,4))</f>
        <v>1990</v>
      </c>
      <c r="E83" s="7" t="n">
        <f aca="false">IF(VALUE(RIGHT(Raw_Nigeria!D83,2))&gt;12,"",VALUE(RIGHT(Raw_Nigeria!D83,2)))</f>
        <v>4</v>
      </c>
      <c r="F83" s="7" t="n">
        <f aca="false">VALUE(LEFT(Raw_Nigeria!E83,4))</f>
        <v>1990</v>
      </c>
      <c r="G83" s="7" t="n">
        <f aca="false">IF(VALUE(RIGHT(Raw_Nigeria!E83,2))&gt;12,"",VALUE(RIGHT(Raw_Nigeria!E83,2)))</f>
        <v>10</v>
      </c>
      <c r="H83" s="7" t="n">
        <f aca="false">Raw_Nigeria!F83</f>
        <v>1989</v>
      </c>
      <c r="I83" s="7" t="str">
        <f aca="false">UPPER(TRIM(Raw_Nigeria!G83))</f>
        <v>POL1</v>
      </c>
      <c r="J83" s="7" t="str">
        <f aca="false">Raw_Nigeria!H83</f>
        <v>Record</v>
      </c>
      <c r="K83" s="7" t="str">
        <f aca="false">Raw_Nigeria!L83</f>
        <v>12-23 m</v>
      </c>
      <c r="L83" s="7" t="str">
        <f aca="false">IF(Raw_Nigeria!K83="","n/a",Raw_Nigeria!K83)</f>
        <v>0-23 m</v>
      </c>
      <c r="M83" s="7" t="n">
        <f aca="false">IF(Raw_Nigeria!I83="","",Raw_Nigeria!I83)</f>
        <v>34.7</v>
      </c>
      <c r="N83" s="7" t="n">
        <f aca="false">Raw_Nigeria!M83</f>
        <v>33.7</v>
      </c>
      <c r="O83" s="7" t="n">
        <f aca="false">IF(Raw_Nigeria!N83="","",Raw_Nigeria!N83)</f>
        <v>1380</v>
      </c>
      <c r="P83" s="7" t="str">
        <f aca="false">IF(K83="CBAW","Women of child-bearing age","Children")</f>
        <v>Children</v>
      </c>
      <c r="Q83" s="7" t="n">
        <f aca="false">IF(J83="NOT USED",1,0)</f>
        <v>0</v>
      </c>
      <c r="R83" s="7" t="n">
        <f aca="false">IF(AND(P83="Children",Q83=0),1,0)</f>
        <v>1</v>
      </c>
      <c r="S83" s="7" t="n">
        <f aca="false">IF(AND(R83=1,J83="Record or Recall",K83="12-23 m"),1,0)</f>
        <v>0</v>
      </c>
      <c r="T83" s="7" t="n">
        <f aca="false">IF(OR(I83="BCG",I83="DTP1",I83="DTP3",I83="POL3",I83="MCV1",I83="FULL"),1,0)</f>
        <v>0</v>
      </c>
      <c r="U83" s="7" t="n">
        <f aca="false">IF(OR(C83="DHS",C83="MICS"),1,0)</f>
        <v>1</v>
      </c>
      <c r="V83" s="7" t="n">
        <f aca="false">IF(O83="",1,0)</f>
        <v>0</v>
      </c>
      <c r="W83" s="7" t="n">
        <f aca="false">IF(M83="",1,0)</f>
        <v>0</v>
      </c>
      <c r="X83" s="7" t="n">
        <f aca="false">COUNTIFS($B$2:$B$1141,B83,$H$2:$H$1141,H83,$I$2:$I$1141,I83,$J$2:$J$1141,J83,$K$2:$K$1141,K83,$L$2:$L$1141,L83)</f>
        <v>1</v>
      </c>
    </row>
    <row r="84" customFormat="false" ht="15" hidden="false" customHeight="false" outlineLevel="0" collapsed="false">
      <c r="A84" s="7" t="n">
        <f aca="false">ROW()-1</f>
        <v>83</v>
      </c>
      <c r="B84" s="7" t="str">
        <f aca="false">IF(Raw_Nigeria!B84="",TRIM(Raw_Nigeria!C84),TRIM(Raw_Nigeria!B84))</f>
        <v>Nigeria Demographic and Health Survey 1990, 1992</v>
      </c>
      <c r="C84" s="7" t="str">
        <f aca="false">IF(ISNUMBER(SEARCH("Demographic and Health",B84)),"DHS",IF(OR(ISNUMBER(SEARCH("Multiple Indicator Cluster",B84)),ISNUMBER(SEARCH("MICS",B84))),"MICS",IF(ISNUMBER(SEARCH("Immunization Coverage Survey",B84)),"Coverage survey",IF(ISNUMBER(SEARCH("Nutrition",B84)),"Nutrition survey","Other"))))</f>
        <v>DHS</v>
      </c>
      <c r="D84" s="7" t="n">
        <f aca="false">VALUE(LEFT(Raw_Nigeria!D84,4))</f>
        <v>1990</v>
      </c>
      <c r="E84" s="7" t="n">
        <f aca="false">IF(VALUE(RIGHT(Raw_Nigeria!D84,2))&gt;12,"",VALUE(RIGHT(Raw_Nigeria!D84,2)))</f>
        <v>4</v>
      </c>
      <c r="F84" s="7" t="n">
        <f aca="false">VALUE(LEFT(Raw_Nigeria!E84,4))</f>
        <v>1990</v>
      </c>
      <c r="G84" s="7" t="n">
        <f aca="false">IF(VALUE(RIGHT(Raw_Nigeria!E84,2))&gt;12,"",VALUE(RIGHT(Raw_Nigeria!E84,2)))</f>
        <v>10</v>
      </c>
      <c r="H84" s="7" t="n">
        <f aca="false">Raw_Nigeria!F84</f>
        <v>1989</v>
      </c>
      <c r="I84" s="7" t="str">
        <f aca="false">UPPER(TRIM(Raw_Nigeria!G84))</f>
        <v>POL1</v>
      </c>
      <c r="J84" s="7" t="str">
        <f aca="false">Raw_Nigeria!H84</f>
        <v>Record&lt;12m</v>
      </c>
      <c r="K84" s="7" t="str">
        <f aca="false">Raw_Nigeria!L84</f>
        <v>12-23 m</v>
      </c>
      <c r="L84" s="7" t="str">
        <f aca="false">IF(Raw_Nigeria!K84="","n/a",Raw_Nigeria!K84)</f>
        <v>0-12 m</v>
      </c>
      <c r="M84" s="7" t="n">
        <f aca="false">IF(Raw_Nigeria!I84="","",Raw_Nigeria!I84)</f>
        <v>34.7</v>
      </c>
      <c r="N84" s="7" t="n">
        <f aca="false">Raw_Nigeria!M84</f>
        <v>27</v>
      </c>
      <c r="O84" s="7" t="n">
        <f aca="false">IF(Raw_Nigeria!N84="","",Raw_Nigeria!N84)</f>
        <v>1380</v>
      </c>
      <c r="P84" s="7" t="str">
        <f aca="false">IF(K84="CBAW","Women of child-bearing age","Children")</f>
        <v>Children</v>
      </c>
      <c r="Q84" s="7" t="n">
        <f aca="false">IF(J84="NOT USED",1,0)</f>
        <v>0</v>
      </c>
      <c r="R84" s="7" t="n">
        <f aca="false">IF(AND(P84="Children",Q84=0),1,0)</f>
        <v>1</v>
      </c>
      <c r="S84" s="7" t="n">
        <f aca="false">IF(AND(R84=1,J84="Record or Recall",K84="12-23 m"),1,0)</f>
        <v>0</v>
      </c>
      <c r="T84" s="7" t="n">
        <f aca="false">IF(OR(I84="BCG",I84="DTP1",I84="DTP3",I84="POL3",I84="MCV1",I84="FULL"),1,0)</f>
        <v>0</v>
      </c>
      <c r="U84" s="7" t="n">
        <f aca="false">IF(OR(C84="DHS",C84="MICS"),1,0)</f>
        <v>1</v>
      </c>
      <c r="V84" s="7" t="n">
        <f aca="false">IF(O84="",1,0)</f>
        <v>0</v>
      </c>
      <c r="W84" s="7" t="n">
        <f aca="false">IF(M84="",1,0)</f>
        <v>0</v>
      </c>
      <c r="X84" s="7" t="n">
        <f aca="false">COUNTIFS($B$2:$B$1141,B84,$H$2:$H$1141,H84,$I$2:$I$1141,I84,$J$2:$J$1141,J84,$K$2:$K$1141,K84,$L$2:$L$1141,L84)</f>
        <v>1</v>
      </c>
    </row>
    <row r="85" customFormat="false" ht="15" hidden="false" customHeight="false" outlineLevel="0" collapsed="false">
      <c r="A85" s="7" t="n">
        <f aca="false">ROW()-1</f>
        <v>84</v>
      </c>
      <c r="B85" s="7" t="str">
        <f aca="false">IF(Raw_Nigeria!B85="",TRIM(Raw_Nigeria!C85),TRIM(Raw_Nigeria!B85))</f>
        <v>Nigeria Demographic and Health Survey 1990, 1992</v>
      </c>
      <c r="C85" s="7" t="str">
        <f aca="false">IF(ISNUMBER(SEARCH("Demographic and Health",B85)),"DHS",IF(OR(ISNUMBER(SEARCH("Multiple Indicator Cluster",B85)),ISNUMBER(SEARCH("MICS",B85))),"MICS",IF(ISNUMBER(SEARCH("Immunization Coverage Survey",B85)),"Coverage survey",IF(ISNUMBER(SEARCH("Nutrition",B85)),"Nutrition survey","Other"))))</f>
        <v>DHS</v>
      </c>
      <c r="D85" s="7" t="n">
        <f aca="false">VALUE(LEFT(Raw_Nigeria!D85,4))</f>
        <v>1990</v>
      </c>
      <c r="E85" s="7" t="n">
        <f aca="false">IF(VALUE(RIGHT(Raw_Nigeria!D85,2))&gt;12,"",VALUE(RIGHT(Raw_Nigeria!D85,2)))</f>
        <v>4</v>
      </c>
      <c r="F85" s="7" t="n">
        <f aca="false">VALUE(LEFT(Raw_Nigeria!E85,4))</f>
        <v>1990</v>
      </c>
      <c r="G85" s="7" t="n">
        <f aca="false">IF(VALUE(RIGHT(Raw_Nigeria!E85,2))&gt;12,"",VALUE(RIGHT(Raw_Nigeria!E85,2)))</f>
        <v>10</v>
      </c>
      <c r="H85" s="7" t="n">
        <f aca="false">Raw_Nigeria!F85</f>
        <v>1989</v>
      </c>
      <c r="I85" s="7" t="str">
        <f aca="false">UPPER(TRIM(Raw_Nigeria!G85))</f>
        <v>POL1</v>
      </c>
      <c r="J85" s="7" t="str">
        <f aca="false">Raw_Nigeria!H85</f>
        <v>Record or Recall</v>
      </c>
      <c r="K85" s="7" t="str">
        <f aca="false">Raw_Nigeria!L85</f>
        <v>12-23 m</v>
      </c>
      <c r="L85" s="7" t="str">
        <f aca="false">IF(Raw_Nigeria!K85="","n/a",Raw_Nigeria!K85)</f>
        <v>0-23 m</v>
      </c>
      <c r="M85" s="7" t="n">
        <f aca="false">IF(Raw_Nigeria!I85="","",Raw_Nigeria!I85)</f>
        <v>34.7</v>
      </c>
      <c r="N85" s="7" t="n">
        <f aca="false">Raw_Nigeria!M85</f>
        <v>59.7</v>
      </c>
      <c r="O85" s="7" t="n">
        <f aca="false">IF(Raw_Nigeria!N85="","",Raw_Nigeria!N85)</f>
        <v>1380</v>
      </c>
      <c r="P85" s="7" t="str">
        <f aca="false">IF(K85="CBAW","Women of child-bearing age","Children")</f>
        <v>Children</v>
      </c>
      <c r="Q85" s="7" t="n">
        <f aca="false">IF(J85="NOT USED",1,0)</f>
        <v>0</v>
      </c>
      <c r="R85" s="7" t="n">
        <f aca="false">IF(AND(P85="Children",Q85=0),1,0)</f>
        <v>1</v>
      </c>
      <c r="S85" s="7" t="n">
        <f aca="false">IF(AND(R85=1,J85="Record or Recall",K85="12-23 m"),1,0)</f>
        <v>1</v>
      </c>
      <c r="T85" s="7" t="n">
        <f aca="false">IF(OR(I85="BCG",I85="DTP1",I85="DTP3",I85="POL3",I85="MCV1",I85="FULL"),1,0)</f>
        <v>0</v>
      </c>
      <c r="U85" s="7" t="n">
        <f aca="false">IF(OR(C85="DHS",C85="MICS"),1,0)</f>
        <v>1</v>
      </c>
      <c r="V85" s="7" t="n">
        <f aca="false">IF(O85="",1,0)</f>
        <v>0</v>
      </c>
      <c r="W85" s="7" t="n">
        <f aca="false">IF(M85="",1,0)</f>
        <v>0</v>
      </c>
      <c r="X85" s="7" t="n">
        <f aca="false">COUNTIFS($B$2:$B$1141,B85,$H$2:$H$1141,H85,$I$2:$I$1141,I85,$J$2:$J$1141,J85,$K$2:$K$1141,K85,$L$2:$L$1141,L85)</f>
        <v>1</v>
      </c>
    </row>
    <row r="86" customFormat="false" ht="15" hidden="false" customHeight="false" outlineLevel="0" collapsed="false">
      <c r="A86" s="7" t="n">
        <f aca="false">ROW()-1</f>
        <v>85</v>
      </c>
      <c r="B86" s="7" t="str">
        <f aca="false">IF(Raw_Nigeria!B86="",TRIM(Raw_Nigeria!C86),TRIM(Raw_Nigeria!B86))</f>
        <v>Nigeria Demographic and Health Survey 1990, 1992</v>
      </c>
      <c r="C86" s="7" t="str">
        <f aca="false">IF(ISNUMBER(SEARCH("Demographic and Health",B86)),"DHS",IF(OR(ISNUMBER(SEARCH("Multiple Indicator Cluster",B86)),ISNUMBER(SEARCH("MICS",B86))),"MICS",IF(ISNUMBER(SEARCH("Immunization Coverage Survey",B86)),"Coverage survey",IF(ISNUMBER(SEARCH("Nutrition",B86)),"Nutrition survey","Other"))))</f>
        <v>DHS</v>
      </c>
      <c r="D86" s="7" t="n">
        <f aca="false">VALUE(LEFT(Raw_Nigeria!D86,4))</f>
        <v>1990</v>
      </c>
      <c r="E86" s="7" t="n">
        <f aca="false">IF(VALUE(RIGHT(Raw_Nigeria!D86,2))&gt;12,"",VALUE(RIGHT(Raw_Nigeria!D86,2)))</f>
        <v>4</v>
      </c>
      <c r="F86" s="7" t="n">
        <f aca="false">VALUE(LEFT(Raw_Nigeria!E86,4))</f>
        <v>1990</v>
      </c>
      <c r="G86" s="7" t="n">
        <f aca="false">IF(VALUE(RIGHT(Raw_Nigeria!E86,2))&gt;12,"",VALUE(RIGHT(Raw_Nigeria!E86,2)))</f>
        <v>10</v>
      </c>
      <c r="H86" s="7" t="n">
        <f aca="false">Raw_Nigeria!F86</f>
        <v>1989</v>
      </c>
      <c r="I86" s="7" t="str">
        <f aca="false">UPPER(TRIM(Raw_Nigeria!G86))</f>
        <v>POL1</v>
      </c>
      <c r="J86" s="7" t="str">
        <f aca="false">Raw_Nigeria!H86</f>
        <v>Recall</v>
      </c>
      <c r="K86" s="7" t="str">
        <f aca="false">Raw_Nigeria!L86</f>
        <v>12-23 m</v>
      </c>
      <c r="L86" s="7" t="str">
        <f aca="false">IF(Raw_Nigeria!K86="","n/a",Raw_Nigeria!K86)</f>
        <v>0-23 m</v>
      </c>
      <c r="M86" s="7" t="n">
        <f aca="false">IF(Raw_Nigeria!I86="","",Raw_Nigeria!I86)</f>
        <v>34.7</v>
      </c>
      <c r="N86" s="7" t="n">
        <f aca="false">Raw_Nigeria!M86</f>
        <v>26</v>
      </c>
      <c r="O86" s="7" t="n">
        <f aca="false">IF(Raw_Nigeria!N86="","",Raw_Nigeria!N86)</f>
        <v>1380</v>
      </c>
      <c r="P86" s="7" t="str">
        <f aca="false">IF(K86="CBAW","Women of child-bearing age","Children")</f>
        <v>Children</v>
      </c>
      <c r="Q86" s="7" t="n">
        <f aca="false">IF(J86="NOT USED",1,0)</f>
        <v>0</v>
      </c>
      <c r="R86" s="7" t="n">
        <f aca="false">IF(AND(P86="Children",Q86=0),1,0)</f>
        <v>1</v>
      </c>
      <c r="S86" s="7" t="n">
        <f aca="false">IF(AND(R86=1,J86="Record or Recall",K86="12-23 m"),1,0)</f>
        <v>0</v>
      </c>
      <c r="T86" s="7" t="n">
        <f aca="false">IF(OR(I86="BCG",I86="DTP1",I86="DTP3",I86="POL3",I86="MCV1",I86="FULL"),1,0)</f>
        <v>0</v>
      </c>
      <c r="U86" s="7" t="n">
        <f aca="false">IF(OR(C86="DHS",C86="MICS"),1,0)</f>
        <v>1</v>
      </c>
      <c r="V86" s="7" t="n">
        <f aca="false">IF(O86="",1,0)</f>
        <v>0</v>
      </c>
      <c r="W86" s="7" t="n">
        <f aca="false">IF(M86="",1,0)</f>
        <v>0</v>
      </c>
      <c r="X86" s="7" t="n">
        <f aca="false">COUNTIFS($B$2:$B$1141,B86,$H$2:$H$1141,H86,$I$2:$I$1141,I86,$J$2:$J$1141,J86,$K$2:$K$1141,K86,$L$2:$L$1141,L86)</f>
        <v>1</v>
      </c>
    </row>
    <row r="87" customFormat="false" ht="15" hidden="false" customHeight="false" outlineLevel="0" collapsed="false">
      <c r="A87" s="7" t="n">
        <f aca="false">ROW()-1</f>
        <v>86</v>
      </c>
      <c r="B87" s="7" t="str">
        <f aca="false">IF(Raw_Nigeria!B87="",TRIM(Raw_Nigeria!C87),TRIM(Raw_Nigeria!B87))</f>
        <v>Nigeria Demographic and Health Survey 1990, 1992</v>
      </c>
      <c r="C87" s="7" t="str">
        <f aca="false">IF(ISNUMBER(SEARCH("Demographic and Health",B87)),"DHS",IF(OR(ISNUMBER(SEARCH("Multiple Indicator Cluster",B87)),ISNUMBER(SEARCH("MICS",B87))),"MICS",IF(ISNUMBER(SEARCH("Immunization Coverage Survey",B87)),"Coverage survey",IF(ISNUMBER(SEARCH("Nutrition",B87)),"Nutrition survey","Other"))))</f>
        <v>DHS</v>
      </c>
      <c r="D87" s="7" t="n">
        <f aca="false">VALUE(LEFT(Raw_Nigeria!D87,4))</f>
        <v>1990</v>
      </c>
      <c r="E87" s="7" t="n">
        <f aca="false">IF(VALUE(RIGHT(Raw_Nigeria!D87,2))&gt;12,"",VALUE(RIGHT(Raw_Nigeria!D87,2)))</f>
        <v>4</v>
      </c>
      <c r="F87" s="7" t="n">
        <f aca="false">VALUE(LEFT(Raw_Nigeria!E87,4))</f>
        <v>1990</v>
      </c>
      <c r="G87" s="7" t="n">
        <f aca="false">IF(VALUE(RIGHT(Raw_Nigeria!E87,2))&gt;12,"",VALUE(RIGHT(Raw_Nigeria!E87,2)))</f>
        <v>10</v>
      </c>
      <c r="H87" s="7" t="n">
        <f aca="false">Raw_Nigeria!F87</f>
        <v>1989</v>
      </c>
      <c r="I87" s="7" t="str">
        <f aca="false">UPPER(TRIM(Raw_Nigeria!G87))</f>
        <v>POL3</v>
      </c>
      <c r="J87" s="7" t="str">
        <f aca="false">Raw_Nigeria!H87</f>
        <v>Record or Recall&lt;12m</v>
      </c>
      <c r="K87" s="7" t="str">
        <f aca="false">Raw_Nigeria!L87</f>
        <v>12-23 m</v>
      </c>
      <c r="L87" s="7" t="str">
        <f aca="false">IF(Raw_Nigeria!K87="","n/a",Raw_Nigeria!K87)</f>
        <v>0-12 m</v>
      </c>
      <c r="M87" s="7" t="n">
        <f aca="false">IF(Raw_Nigeria!I87="","",Raw_Nigeria!I87)</f>
        <v>34.7</v>
      </c>
      <c r="N87" s="7" t="n">
        <f aca="false">Raw_Nigeria!M87</f>
        <v>25.4</v>
      </c>
      <c r="O87" s="7" t="n">
        <f aca="false">IF(Raw_Nigeria!N87="","",Raw_Nigeria!N87)</f>
        <v>1380</v>
      </c>
      <c r="P87" s="7" t="str">
        <f aca="false">IF(K87="CBAW","Women of child-bearing age","Children")</f>
        <v>Children</v>
      </c>
      <c r="Q87" s="7" t="n">
        <f aca="false">IF(J87="NOT USED",1,0)</f>
        <v>0</v>
      </c>
      <c r="R87" s="7" t="n">
        <f aca="false">IF(AND(P87="Children",Q87=0),1,0)</f>
        <v>1</v>
      </c>
      <c r="S87" s="7" t="n">
        <f aca="false">IF(AND(R87=1,J87="Record or Recall",K87="12-23 m"),1,0)</f>
        <v>0</v>
      </c>
      <c r="T87" s="7" t="n">
        <f aca="false">IF(OR(I87="BCG",I87="DTP1",I87="DTP3",I87="POL3",I87="MCV1",I87="FULL"),1,0)</f>
        <v>1</v>
      </c>
      <c r="U87" s="7" t="n">
        <f aca="false">IF(OR(C87="DHS",C87="MICS"),1,0)</f>
        <v>1</v>
      </c>
      <c r="V87" s="7" t="n">
        <f aca="false">IF(O87="",1,0)</f>
        <v>0</v>
      </c>
      <c r="W87" s="7" t="n">
        <f aca="false">IF(M87="",1,0)</f>
        <v>0</v>
      </c>
      <c r="X87" s="7" t="n">
        <f aca="false">COUNTIFS($B$2:$B$1141,B87,$H$2:$H$1141,H87,$I$2:$I$1141,I87,$J$2:$J$1141,J87,$K$2:$K$1141,K87,$L$2:$L$1141,L87)</f>
        <v>1</v>
      </c>
    </row>
    <row r="88" customFormat="false" ht="15" hidden="false" customHeight="false" outlineLevel="0" collapsed="false">
      <c r="A88" s="7" t="n">
        <f aca="false">ROW()-1</f>
        <v>87</v>
      </c>
      <c r="B88" s="7" t="str">
        <f aca="false">IF(Raw_Nigeria!B88="",TRIM(Raw_Nigeria!C88),TRIM(Raw_Nigeria!B88))</f>
        <v>Nigeria Demographic and Health Survey 1990, 1992</v>
      </c>
      <c r="C88" s="7" t="str">
        <f aca="false">IF(ISNUMBER(SEARCH("Demographic and Health",B88)),"DHS",IF(OR(ISNUMBER(SEARCH("Multiple Indicator Cluster",B88)),ISNUMBER(SEARCH("MICS",B88))),"MICS",IF(ISNUMBER(SEARCH("Immunization Coverage Survey",B88)),"Coverage survey",IF(ISNUMBER(SEARCH("Nutrition",B88)),"Nutrition survey","Other"))))</f>
        <v>DHS</v>
      </c>
      <c r="D88" s="7" t="n">
        <f aca="false">VALUE(LEFT(Raw_Nigeria!D88,4))</f>
        <v>1990</v>
      </c>
      <c r="E88" s="7" t="n">
        <f aca="false">IF(VALUE(RIGHT(Raw_Nigeria!D88,2))&gt;12,"",VALUE(RIGHT(Raw_Nigeria!D88,2)))</f>
        <v>4</v>
      </c>
      <c r="F88" s="7" t="n">
        <f aca="false">VALUE(LEFT(Raw_Nigeria!E88,4))</f>
        <v>1990</v>
      </c>
      <c r="G88" s="7" t="n">
        <f aca="false">IF(VALUE(RIGHT(Raw_Nigeria!E88,2))&gt;12,"",VALUE(RIGHT(Raw_Nigeria!E88,2)))</f>
        <v>10</v>
      </c>
      <c r="H88" s="7" t="n">
        <f aca="false">Raw_Nigeria!F88</f>
        <v>1989</v>
      </c>
      <c r="I88" s="7" t="str">
        <f aca="false">UPPER(TRIM(Raw_Nigeria!G88))</f>
        <v>POL3</v>
      </c>
      <c r="J88" s="7" t="str">
        <f aca="false">Raw_Nigeria!H88</f>
        <v>Record</v>
      </c>
      <c r="K88" s="7" t="str">
        <f aca="false">Raw_Nigeria!L88</f>
        <v>12-23 m</v>
      </c>
      <c r="L88" s="7" t="str">
        <f aca="false">IF(Raw_Nigeria!K88="","n/a",Raw_Nigeria!K88)</f>
        <v>0-23 m</v>
      </c>
      <c r="M88" s="7" t="n">
        <f aca="false">IF(Raw_Nigeria!I88="","",Raw_Nigeria!I88)</f>
        <v>34.7</v>
      </c>
      <c r="N88" s="7" t="n">
        <f aca="false">Raw_Nigeria!M88</f>
        <v>20.1</v>
      </c>
      <c r="O88" s="7" t="n">
        <f aca="false">IF(Raw_Nigeria!N88="","",Raw_Nigeria!N88)</f>
        <v>1380</v>
      </c>
      <c r="P88" s="7" t="str">
        <f aca="false">IF(K88="CBAW","Women of child-bearing age","Children")</f>
        <v>Children</v>
      </c>
      <c r="Q88" s="7" t="n">
        <f aca="false">IF(J88="NOT USED",1,0)</f>
        <v>0</v>
      </c>
      <c r="R88" s="7" t="n">
        <f aca="false">IF(AND(P88="Children",Q88=0),1,0)</f>
        <v>1</v>
      </c>
      <c r="S88" s="7" t="n">
        <f aca="false">IF(AND(R88=1,J88="Record or Recall",K88="12-23 m"),1,0)</f>
        <v>0</v>
      </c>
      <c r="T88" s="7" t="n">
        <f aca="false">IF(OR(I88="BCG",I88="DTP1",I88="DTP3",I88="POL3",I88="MCV1",I88="FULL"),1,0)</f>
        <v>1</v>
      </c>
      <c r="U88" s="7" t="n">
        <f aca="false">IF(OR(C88="DHS",C88="MICS"),1,0)</f>
        <v>1</v>
      </c>
      <c r="V88" s="7" t="n">
        <f aca="false">IF(O88="",1,0)</f>
        <v>0</v>
      </c>
      <c r="W88" s="7" t="n">
        <f aca="false">IF(M88="",1,0)</f>
        <v>0</v>
      </c>
      <c r="X88" s="7" t="n">
        <f aca="false">COUNTIFS($B$2:$B$1141,B88,$H$2:$H$1141,H88,$I$2:$I$1141,I88,$J$2:$J$1141,J88,$K$2:$K$1141,K88,$L$2:$L$1141,L88)</f>
        <v>1</v>
      </c>
    </row>
    <row r="89" customFormat="false" ht="15" hidden="false" customHeight="false" outlineLevel="0" collapsed="false">
      <c r="A89" s="7" t="n">
        <f aca="false">ROW()-1</f>
        <v>88</v>
      </c>
      <c r="B89" s="7" t="str">
        <f aca="false">IF(Raw_Nigeria!B89="",TRIM(Raw_Nigeria!C89),TRIM(Raw_Nigeria!B89))</f>
        <v>Nigeria Demographic and Health Survey 1990, 1992</v>
      </c>
      <c r="C89" s="7" t="str">
        <f aca="false">IF(ISNUMBER(SEARCH("Demographic and Health",B89)),"DHS",IF(OR(ISNUMBER(SEARCH("Multiple Indicator Cluster",B89)),ISNUMBER(SEARCH("MICS",B89))),"MICS",IF(ISNUMBER(SEARCH("Immunization Coverage Survey",B89)),"Coverage survey",IF(ISNUMBER(SEARCH("Nutrition",B89)),"Nutrition survey","Other"))))</f>
        <v>DHS</v>
      </c>
      <c r="D89" s="7" t="n">
        <f aca="false">VALUE(LEFT(Raw_Nigeria!D89,4))</f>
        <v>1990</v>
      </c>
      <c r="E89" s="7" t="n">
        <f aca="false">IF(VALUE(RIGHT(Raw_Nigeria!D89,2))&gt;12,"",VALUE(RIGHT(Raw_Nigeria!D89,2)))</f>
        <v>4</v>
      </c>
      <c r="F89" s="7" t="n">
        <f aca="false">VALUE(LEFT(Raw_Nigeria!E89,4))</f>
        <v>1990</v>
      </c>
      <c r="G89" s="7" t="n">
        <f aca="false">IF(VALUE(RIGHT(Raw_Nigeria!E89,2))&gt;12,"",VALUE(RIGHT(Raw_Nigeria!E89,2)))</f>
        <v>10</v>
      </c>
      <c r="H89" s="7" t="n">
        <f aca="false">Raw_Nigeria!F89</f>
        <v>1989</v>
      </c>
      <c r="I89" s="7" t="str">
        <f aca="false">UPPER(TRIM(Raw_Nigeria!G89))</f>
        <v>POL3</v>
      </c>
      <c r="J89" s="7" t="str">
        <f aca="false">Raw_Nigeria!H89</f>
        <v>Record&lt;12m</v>
      </c>
      <c r="K89" s="7" t="str">
        <f aca="false">Raw_Nigeria!L89</f>
        <v>12-23 m</v>
      </c>
      <c r="L89" s="7" t="str">
        <f aca="false">IF(Raw_Nigeria!K89="","n/a",Raw_Nigeria!K89)</f>
        <v>0-12 m</v>
      </c>
      <c r="M89" s="7" t="n">
        <f aca="false">IF(Raw_Nigeria!I89="","",Raw_Nigeria!I89)</f>
        <v>34.7</v>
      </c>
      <c r="N89" s="7" t="n">
        <f aca="false">Raw_Nigeria!M89</f>
        <v>15.3</v>
      </c>
      <c r="O89" s="7" t="n">
        <f aca="false">IF(Raw_Nigeria!N89="","",Raw_Nigeria!N89)</f>
        <v>1380</v>
      </c>
      <c r="P89" s="7" t="str">
        <f aca="false">IF(K89="CBAW","Women of child-bearing age","Children")</f>
        <v>Children</v>
      </c>
      <c r="Q89" s="7" t="n">
        <f aca="false">IF(J89="NOT USED",1,0)</f>
        <v>0</v>
      </c>
      <c r="R89" s="7" t="n">
        <f aca="false">IF(AND(P89="Children",Q89=0),1,0)</f>
        <v>1</v>
      </c>
      <c r="S89" s="7" t="n">
        <f aca="false">IF(AND(R89=1,J89="Record or Recall",K89="12-23 m"),1,0)</f>
        <v>0</v>
      </c>
      <c r="T89" s="7" t="n">
        <f aca="false">IF(OR(I89="BCG",I89="DTP1",I89="DTP3",I89="POL3",I89="MCV1",I89="FULL"),1,0)</f>
        <v>1</v>
      </c>
      <c r="U89" s="7" t="n">
        <f aca="false">IF(OR(C89="DHS",C89="MICS"),1,0)</f>
        <v>1</v>
      </c>
      <c r="V89" s="7" t="n">
        <f aca="false">IF(O89="",1,0)</f>
        <v>0</v>
      </c>
      <c r="W89" s="7" t="n">
        <f aca="false">IF(M89="",1,0)</f>
        <v>0</v>
      </c>
      <c r="X89" s="7" t="n">
        <f aca="false">COUNTIFS($B$2:$B$1141,B89,$H$2:$H$1141,H89,$I$2:$I$1141,I89,$J$2:$J$1141,J89,$K$2:$K$1141,K89,$L$2:$L$1141,L89)</f>
        <v>1</v>
      </c>
    </row>
    <row r="90" customFormat="false" ht="15" hidden="false" customHeight="false" outlineLevel="0" collapsed="false">
      <c r="A90" s="7" t="n">
        <f aca="false">ROW()-1</f>
        <v>89</v>
      </c>
      <c r="B90" s="7" t="str">
        <f aca="false">IF(Raw_Nigeria!B90="",TRIM(Raw_Nigeria!C90),TRIM(Raw_Nigeria!B90))</f>
        <v>Nigeria Demographic and Health Survey 1990, 1992</v>
      </c>
      <c r="C90" s="7" t="str">
        <f aca="false">IF(ISNUMBER(SEARCH("Demographic and Health",B90)),"DHS",IF(OR(ISNUMBER(SEARCH("Multiple Indicator Cluster",B90)),ISNUMBER(SEARCH("MICS",B90))),"MICS",IF(ISNUMBER(SEARCH("Immunization Coverage Survey",B90)),"Coverage survey",IF(ISNUMBER(SEARCH("Nutrition",B90)),"Nutrition survey","Other"))))</f>
        <v>DHS</v>
      </c>
      <c r="D90" s="7" t="n">
        <f aca="false">VALUE(LEFT(Raw_Nigeria!D90,4))</f>
        <v>1990</v>
      </c>
      <c r="E90" s="7" t="n">
        <f aca="false">IF(VALUE(RIGHT(Raw_Nigeria!D90,2))&gt;12,"",VALUE(RIGHT(Raw_Nigeria!D90,2)))</f>
        <v>4</v>
      </c>
      <c r="F90" s="7" t="n">
        <f aca="false">VALUE(LEFT(Raw_Nigeria!E90,4))</f>
        <v>1990</v>
      </c>
      <c r="G90" s="7" t="n">
        <f aca="false">IF(VALUE(RIGHT(Raw_Nigeria!E90,2))&gt;12,"",VALUE(RIGHT(Raw_Nigeria!E90,2)))</f>
        <v>10</v>
      </c>
      <c r="H90" s="7" t="n">
        <f aca="false">Raw_Nigeria!F90</f>
        <v>1989</v>
      </c>
      <c r="I90" s="7" t="str">
        <f aca="false">UPPER(TRIM(Raw_Nigeria!G90))</f>
        <v>POL3</v>
      </c>
      <c r="J90" s="7" t="str">
        <f aca="false">Raw_Nigeria!H90</f>
        <v>Record or Recall</v>
      </c>
      <c r="K90" s="7" t="str">
        <f aca="false">Raw_Nigeria!L90</f>
        <v>12-23 m</v>
      </c>
      <c r="L90" s="7" t="str">
        <f aca="false">IF(Raw_Nigeria!K90="","n/a",Raw_Nigeria!K90)</f>
        <v>0-23 m</v>
      </c>
      <c r="M90" s="7" t="n">
        <f aca="false">IF(Raw_Nigeria!I90="","",Raw_Nigeria!I90)</f>
        <v>34.7</v>
      </c>
      <c r="N90" s="7" t="n">
        <f aca="false">Raw_Nigeria!M90</f>
        <v>33.4</v>
      </c>
      <c r="O90" s="7" t="n">
        <f aca="false">IF(Raw_Nigeria!N90="","",Raw_Nigeria!N90)</f>
        <v>1380</v>
      </c>
      <c r="P90" s="7" t="str">
        <f aca="false">IF(K90="CBAW","Women of child-bearing age","Children")</f>
        <v>Children</v>
      </c>
      <c r="Q90" s="7" t="n">
        <f aca="false">IF(J90="NOT USED",1,0)</f>
        <v>0</v>
      </c>
      <c r="R90" s="7" t="n">
        <f aca="false">IF(AND(P90="Children",Q90=0),1,0)</f>
        <v>1</v>
      </c>
      <c r="S90" s="7" t="n">
        <f aca="false">IF(AND(R90=1,J90="Record or Recall",K90="12-23 m"),1,0)</f>
        <v>1</v>
      </c>
      <c r="T90" s="7" t="n">
        <f aca="false">IF(OR(I90="BCG",I90="DTP1",I90="DTP3",I90="POL3",I90="MCV1",I90="FULL"),1,0)</f>
        <v>1</v>
      </c>
      <c r="U90" s="7" t="n">
        <f aca="false">IF(OR(C90="DHS",C90="MICS"),1,0)</f>
        <v>1</v>
      </c>
      <c r="V90" s="7" t="n">
        <f aca="false">IF(O90="",1,0)</f>
        <v>0</v>
      </c>
      <c r="W90" s="7" t="n">
        <f aca="false">IF(M90="",1,0)</f>
        <v>0</v>
      </c>
      <c r="X90" s="7" t="n">
        <f aca="false">COUNTIFS($B$2:$B$1141,B90,$H$2:$H$1141,H90,$I$2:$I$1141,I90,$J$2:$J$1141,J90,$K$2:$K$1141,K90,$L$2:$L$1141,L90)</f>
        <v>1</v>
      </c>
    </row>
    <row r="91" customFormat="false" ht="15" hidden="false" customHeight="false" outlineLevel="0" collapsed="false">
      <c r="A91" s="7" t="n">
        <f aca="false">ROW()-1</f>
        <v>90</v>
      </c>
      <c r="B91" s="7" t="str">
        <f aca="false">IF(Raw_Nigeria!B91="",TRIM(Raw_Nigeria!C91),TRIM(Raw_Nigeria!B91))</f>
        <v>Nigeria Demographic and Health Survey 1990, 1992</v>
      </c>
      <c r="C91" s="7" t="str">
        <f aca="false">IF(ISNUMBER(SEARCH("Demographic and Health",B91)),"DHS",IF(OR(ISNUMBER(SEARCH("Multiple Indicator Cluster",B91)),ISNUMBER(SEARCH("MICS",B91))),"MICS",IF(ISNUMBER(SEARCH("Immunization Coverage Survey",B91)),"Coverage survey",IF(ISNUMBER(SEARCH("Nutrition",B91)),"Nutrition survey","Other"))))</f>
        <v>DHS</v>
      </c>
      <c r="D91" s="7" t="n">
        <f aca="false">VALUE(LEFT(Raw_Nigeria!D91,4))</f>
        <v>1990</v>
      </c>
      <c r="E91" s="7" t="n">
        <f aca="false">IF(VALUE(RIGHT(Raw_Nigeria!D91,2))&gt;12,"",VALUE(RIGHT(Raw_Nigeria!D91,2)))</f>
        <v>4</v>
      </c>
      <c r="F91" s="7" t="n">
        <f aca="false">VALUE(LEFT(Raw_Nigeria!E91,4))</f>
        <v>1990</v>
      </c>
      <c r="G91" s="7" t="n">
        <f aca="false">IF(VALUE(RIGHT(Raw_Nigeria!E91,2))&gt;12,"",VALUE(RIGHT(Raw_Nigeria!E91,2)))</f>
        <v>10</v>
      </c>
      <c r="H91" s="7" t="n">
        <f aca="false">Raw_Nigeria!F91</f>
        <v>1989</v>
      </c>
      <c r="I91" s="7" t="str">
        <f aca="false">UPPER(TRIM(Raw_Nigeria!G91))</f>
        <v>POL3</v>
      </c>
      <c r="J91" s="7" t="str">
        <f aca="false">Raw_Nigeria!H91</f>
        <v>Recall</v>
      </c>
      <c r="K91" s="7" t="str">
        <f aca="false">Raw_Nigeria!L91</f>
        <v>12-23 m</v>
      </c>
      <c r="L91" s="7" t="str">
        <f aca="false">IF(Raw_Nigeria!K91="","n/a",Raw_Nigeria!K91)</f>
        <v>0-23 m</v>
      </c>
      <c r="M91" s="7" t="n">
        <f aca="false">IF(Raw_Nigeria!I91="","",Raw_Nigeria!I91)</f>
        <v>34.7</v>
      </c>
      <c r="N91" s="7" t="n">
        <f aca="false">Raw_Nigeria!M91</f>
        <v>13.3</v>
      </c>
      <c r="O91" s="7" t="n">
        <f aca="false">IF(Raw_Nigeria!N91="","",Raw_Nigeria!N91)</f>
        <v>1380</v>
      </c>
      <c r="P91" s="7" t="str">
        <f aca="false">IF(K91="CBAW","Women of child-bearing age","Children")</f>
        <v>Children</v>
      </c>
      <c r="Q91" s="7" t="n">
        <f aca="false">IF(J91="NOT USED",1,0)</f>
        <v>0</v>
      </c>
      <c r="R91" s="7" t="n">
        <f aca="false">IF(AND(P91="Children",Q91=0),1,0)</f>
        <v>1</v>
      </c>
      <c r="S91" s="7" t="n">
        <f aca="false">IF(AND(R91=1,J91="Record or Recall",K91="12-23 m"),1,0)</f>
        <v>0</v>
      </c>
      <c r="T91" s="7" t="n">
        <f aca="false">IF(OR(I91="BCG",I91="DTP1",I91="DTP3",I91="POL3",I91="MCV1",I91="FULL"),1,0)</f>
        <v>1</v>
      </c>
      <c r="U91" s="7" t="n">
        <f aca="false">IF(OR(C91="DHS",C91="MICS"),1,0)</f>
        <v>1</v>
      </c>
      <c r="V91" s="7" t="n">
        <f aca="false">IF(O91="",1,0)</f>
        <v>0</v>
      </c>
      <c r="W91" s="7" t="n">
        <f aca="false">IF(M91="",1,0)</f>
        <v>0</v>
      </c>
      <c r="X91" s="7" t="n">
        <f aca="false">COUNTIFS($B$2:$B$1141,B91,$H$2:$H$1141,H91,$I$2:$I$1141,I91,$J$2:$J$1141,J91,$K$2:$K$1141,K91,$L$2:$L$1141,L91)</f>
        <v>1</v>
      </c>
    </row>
    <row r="92" customFormat="false" ht="15" hidden="false" customHeight="false" outlineLevel="0" collapsed="false">
      <c r="A92" s="7" t="n">
        <f aca="false">ROW()-1</f>
        <v>91</v>
      </c>
      <c r="B92" s="7" t="str">
        <f aca="false">IF(Raw_Nigeria!B92="",TRIM(Raw_Nigeria!C92),TRIM(Raw_Nigeria!B92))</f>
        <v>Nigeria Demographic and Health Survey 1990, 1992</v>
      </c>
      <c r="C92" s="7" t="str">
        <f aca="false">IF(ISNUMBER(SEARCH("Demographic and Health",B92)),"DHS",IF(OR(ISNUMBER(SEARCH("Multiple Indicator Cluster",B92)),ISNUMBER(SEARCH("MICS",B92))),"MICS",IF(ISNUMBER(SEARCH("Immunization Coverage Survey",B92)),"Coverage survey",IF(ISNUMBER(SEARCH("Nutrition",B92)),"Nutrition survey","Other"))))</f>
        <v>DHS</v>
      </c>
      <c r="D92" s="7" t="n">
        <f aca="false">VALUE(LEFT(Raw_Nigeria!D92,4))</f>
        <v>1990</v>
      </c>
      <c r="E92" s="7" t="n">
        <f aca="false">IF(VALUE(RIGHT(Raw_Nigeria!D92,2))&gt;12,"",VALUE(RIGHT(Raw_Nigeria!D92,2)))</f>
        <v>4</v>
      </c>
      <c r="F92" s="7" t="n">
        <f aca="false">VALUE(LEFT(Raw_Nigeria!E92,4))</f>
        <v>1990</v>
      </c>
      <c r="G92" s="7" t="n">
        <f aca="false">IF(VALUE(RIGHT(Raw_Nigeria!E92,2))&gt;12,"",VALUE(RIGHT(Raw_Nigeria!E92,2)))</f>
        <v>10</v>
      </c>
      <c r="H92" s="7" t="n">
        <f aca="false">Raw_Nigeria!F92</f>
        <v>1989</v>
      </c>
      <c r="I92" s="7" t="str">
        <f aca="false">UPPER(TRIM(Raw_Nigeria!G92))</f>
        <v>TT2+</v>
      </c>
      <c r="J92" s="7" t="str">
        <f aca="false">Raw_Nigeria!H92</f>
        <v>Record or Recall</v>
      </c>
      <c r="K92" s="7" t="str">
        <f aca="false">Raw_Nigeria!L92</f>
        <v>CBAW</v>
      </c>
      <c r="L92" s="7" t="str">
        <f aca="false">IF(Raw_Nigeria!K92="","n/a",Raw_Nigeria!K92)</f>
        <v>n/a</v>
      </c>
      <c r="M92" s="7" t="str">
        <f aca="false">IF(Raw_Nigeria!I92="","",Raw_Nigeria!I92)</f>
        <v/>
      </c>
      <c r="N92" s="7" t="n">
        <f aca="false">Raw_Nigeria!M92</f>
        <v>40.9</v>
      </c>
      <c r="O92" s="7" t="str">
        <f aca="false">IF(Raw_Nigeria!N92="","",Raw_Nigeria!N92)</f>
        <v/>
      </c>
      <c r="P92" s="7" t="str">
        <f aca="false">IF(K92="CBAW","Women of child-bearing age","Children")</f>
        <v>Women of child-bearing age</v>
      </c>
      <c r="Q92" s="7" t="n">
        <f aca="false">IF(J92="NOT USED",1,0)</f>
        <v>0</v>
      </c>
      <c r="R92" s="7" t="n">
        <f aca="false">IF(AND(P92="Children",Q92=0),1,0)</f>
        <v>0</v>
      </c>
      <c r="S92" s="7" t="n">
        <f aca="false">IF(AND(R92=1,J92="Record or Recall",K92="12-23 m"),1,0)</f>
        <v>0</v>
      </c>
      <c r="T92" s="7" t="n">
        <f aca="false">IF(OR(I92="BCG",I92="DTP1",I92="DTP3",I92="POL3",I92="MCV1",I92="FULL"),1,0)</f>
        <v>0</v>
      </c>
      <c r="U92" s="7" t="n">
        <f aca="false">IF(OR(C92="DHS",C92="MICS"),1,0)</f>
        <v>1</v>
      </c>
      <c r="V92" s="7" t="n">
        <f aca="false">IF(O92="",1,0)</f>
        <v>1</v>
      </c>
      <c r="W92" s="7" t="n">
        <f aca="false">IF(M92="",1,0)</f>
        <v>1</v>
      </c>
      <c r="X92" s="7" t="n">
        <f aca="false">COUNTIFS($B$2:$B$1141,B92,$H$2:$H$1141,H92,$I$2:$I$1141,I92,$J$2:$J$1141,J92,$K$2:$K$1141,K92,$L$2:$L$1141,L92)</f>
        <v>1</v>
      </c>
    </row>
    <row r="93" customFormat="false" ht="15" hidden="false" customHeight="false" outlineLevel="0" collapsed="false">
      <c r="A93" s="7" t="n">
        <f aca="false">ROW()-1</f>
        <v>92</v>
      </c>
      <c r="B93" s="7" t="str">
        <f aca="false">IF(Raw_Nigeria!B93="",TRIM(Raw_Nigeria!C93),TRIM(Raw_Nigeria!B93))</f>
        <v>FR of Nigeria Multiple Indicator Cluster Survey 1995</v>
      </c>
      <c r="C93" s="7" t="str">
        <f aca="false">IF(ISNUMBER(SEARCH("Demographic and Health",B93)),"DHS",IF(OR(ISNUMBER(SEARCH("Multiple Indicator Cluster",B93)),ISNUMBER(SEARCH("MICS",B93))),"MICS",IF(ISNUMBER(SEARCH("Immunization Coverage Survey",B93)),"Coverage survey",IF(ISNUMBER(SEARCH("Nutrition",B93)),"Nutrition survey","Other"))))</f>
        <v>MICS</v>
      </c>
      <c r="D93" s="7" t="n">
        <f aca="false">VALUE(LEFT(Raw_Nigeria!D93,4))</f>
        <v>1995</v>
      </c>
      <c r="E93" s="7" t="n">
        <f aca="false">IF(VALUE(RIGHT(Raw_Nigeria!D93,2))&gt;12,"",VALUE(RIGHT(Raw_Nigeria!D93,2)))</f>
        <v>3</v>
      </c>
      <c r="F93" s="7" t="n">
        <f aca="false">VALUE(LEFT(Raw_Nigeria!E93,4))</f>
        <v>1995</v>
      </c>
      <c r="G93" s="7" t="n">
        <f aca="false">IF(VALUE(RIGHT(Raw_Nigeria!E93,2))&gt;12,"",VALUE(RIGHT(Raw_Nigeria!E93,2)))</f>
        <v>4</v>
      </c>
      <c r="H93" s="7" t="n">
        <f aca="false">Raw_Nigeria!F93</f>
        <v>1993</v>
      </c>
      <c r="I93" s="7" t="str">
        <f aca="false">UPPER(TRIM(Raw_Nigeria!G93))</f>
        <v>TT2+</v>
      </c>
      <c r="J93" s="7" t="str">
        <f aca="false">Raw_Nigeria!H93</f>
        <v>Record or Recall</v>
      </c>
      <c r="K93" s="7" t="str">
        <f aca="false">Raw_Nigeria!L93</f>
        <v>CBAW</v>
      </c>
      <c r="L93" s="7" t="str">
        <f aca="false">IF(Raw_Nigeria!K93="","n/a",Raw_Nigeria!K93)</f>
        <v>n/a</v>
      </c>
      <c r="M93" s="7" t="str">
        <f aca="false">IF(Raw_Nigeria!I93="","",Raw_Nigeria!I93)</f>
        <v/>
      </c>
      <c r="N93" s="7" t="n">
        <f aca="false">Raw_Nigeria!M93</f>
        <v>20.8</v>
      </c>
      <c r="O93" s="7" t="str">
        <f aca="false">IF(Raw_Nigeria!N93="","",Raw_Nigeria!N93)</f>
        <v/>
      </c>
      <c r="P93" s="7" t="str">
        <f aca="false">IF(K93="CBAW","Women of child-bearing age","Children")</f>
        <v>Women of child-bearing age</v>
      </c>
      <c r="Q93" s="7" t="n">
        <f aca="false">IF(J93="NOT USED",1,0)</f>
        <v>0</v>
      </c>
      <c r="R93" s="7" t="n">
        <f aca="false">IF(AND(P93="Children",Q93=0),1,0)</f>
        <v>0</v>
      </c>
      <c r="S93" s="7" t="n">
        <f aca="false">IF(AND(R93=1,J93="Record or Recall",K93="12-23 m"),1,0)</f>
        <v>0</v>
      </c>
      <c r="T93" s="7" t="n">
        <f aca="false">IF(OR(I93="BCG",I93="DTP1",I93="DTP3",I93="POL3",I93="MCV1",I93="FULL"),1,0)</f>
        <v>0</v>
      </c>
      <c r="U93" s="7" t="n">
        <f aca="false">IF(OR(C93="DHS",C93="MICS"),1,0)</f>
        <v>1</v>
      </c>
      <c r="V93" s="7" t="n">
        <f aca="false">IF(O93="",1,0)</f>
        <v>1</v>
      </c>
      <c r="W93" s="7" t="n">
        <f aca="false">IF(M93="",1,0)</f>
        <v>1</v>
      </c>
      <c r="X93" s="7" t="n">
        <f aca="false">COUNTIFS($B$2:$B$1141,B93,$H$2:$H$1141,H93,$I$2:$I$1141,I93,$J$2:$J$1141,J93,$K$2:$K$1141,K93,$L$2:$L$1141,L93)</f>
        <v>1</v>
      </c>
    </row>
    <row r="94" customFormat="false" ht="15" hidden="false" customHeight="false" outlineLevel="0" collapsed="false">
      <c r="A94" s="7" t="n">
        <f aca="false">ROW()-1</f>
        <v>93</v>
      </c>
      <c r="B94" s="7" t="str">
        <f aca="false">IF(Raw_Nigeria!B94="",TRIM(Raw_Nigeria!C94),TRIM(Raw_Nigeria!B94))</f>
        <v>FR of Nigeria Multiple Indicator Cluster Survey 1995</v>
      </c>
      <c r="C94" s="7" t="str">
        <f aca="false">IF(ISNUMBER(SEARCH("Demographic and Health",B94)),"DHS",IF(OR(ISNUMBER(SEARCH("Multiple Indicator Cluster",B94)),ISNUMBER(SEARCH("MICS",B94))),"MICS",IF(ISNUMBER(SEARCH("Immunization Coverage Survey",B94)),"Coverage survey",IF(ISNUMBER(SEARCH("Nutrition",B94)),"Nutrition survey","Other"))))</f>
        <v>MICS</v>
      </c>
      <c r="D94" s="7" t="n">
        <f aca="false">VALUE(LEFT(Raw_Nigeria!D94,4))</f>
        <v>1995</v>
      </c>
      <c r="E94" s="7" t="n">
        <f aca="false">IF(VALUE(RIGHT(Raw_Nigeria!D94,2))&gt;12,"",VALUE(RIGHT(Raw_Nigeria!D94,2)))</f>
        <v>3</v>
      </c>
      <c r="F94" s="7" t="n">
        <f aca="false">VALUE(LEFT(Raw_Nigeria!E94,4))</f>
        <v>1995</v>
      </c>
      <c r="G94" s="7" t="n">
        <f aca="false">IF(VALUE(RIGHT(Raw_Nigeria!E94,2))&gt;12,"",VALUE(RIGHT(Raw_Nigeria!E94,2)))</f>
        <v>4</v>
      </c>
      <c r="H94" s="7" t="n">
        <f aca="false">Raw_Nigeria!F94</f>
        <v>1994</v>
      </c>
      <c r="I94" s="7" t="str">
        <f aca="false">UPPER(TRIM(Raw_Nigeria!G94))</f>
        <v>BCG</v>
      </c>
      <c r="J94" s="7" t="str">
        <f aca="false">Raw_Nigeria!H94</f>
        <v>Record</v>
      </c>
      <c r="K94" s="7" t="str">
        <f aca="false">Raw_Nigeria!L94</f>
        <v>12-23 m</v>
      </c>
      <c r="L94" s="7" t="str">
        <f aca="false">IF(Raw_Nigeria!K94="","n/a",Raw_Nigeria!K94)</f>
        <v>0-23 m</v>
      </c>
      <c r="M94" s="7" t="n">
        <f aca="false">IF(Raw_Nigeria!I94="","",Raw_Nigeria!I94)</f>
        <v>18.7</v>
      </c>
      <c r="N94" s="7" t="n">
        <f aca="false">Raw_Nigeria!M94</f>
        <v>18.5</v>
      </c>
      <c r="O94" s="7" t="n">
        <f aca="false">IF(Raw_Nigeria!N94="","",Raw_Nigeria!N94)</f>
        <v>1743</v>
      </c>
      <c r="P94" s="7" t="str">
        <f aca="false">IF(K94="CBAW","Women of child-bearing age","Children")</f>
        <v>Children</v>
      </c>
      <c r="Q94" s="7" t="n">
        <f aca="false">IF(J94="NOT USED",1,0)</f>
        <v>0</v>
      </c>
      <c r="R94" s="7" t="n">
        <f aca="false">IF(AND(P94="Children",Q94=0),1,0)</f>
        <v>1</v>
      </c>
      <c r="S94" s="7" t="n">
        <f aca="false">IF(AND(R94=1,J94="Record or Recall",K94="12-23 m"),1,0)</f>
        <v>0</v>
      </c>
      <c r="T94" s="7" t="n">
        <f aca="false">IF(OR(I94="BCG",I94="DTP1",I94="DTP3",I94="POL3",I94="MCV1",I94="FULL"),1,0)</f>
        <v>1</v>
      </c>
      <c r="U94" s="7" t="n">
        <f aca="false">IF(OR(C94="DHS",C94="MICS"),1,0)</f>
        <v>1</v>
      </c>
      <c r="V94" s="7" t="n">
        <f aca="false">IF(O94="",1,0)</f>
        <v>0</v>
      </c>
      <c r="W94" s="7" t="n">
        <f aca="false">IF(M94="",1,0)</f>
        <v>0</v>
      </c>
      <c r="X94" s="7" t="n">
        <f aca="false">COUNTIFS($B$2:$B$1141,B94,$H$2:$H$1141,H94,$I$2:$I$1141,I94,$J$2:$J$1141,J94,$K$2:$K$1141,K94,$L$2:$L$1141,L94)</f>
        <v>1</v>
      </c>
    </row>
    <row r="95" customFormat="false" ht="15" hidden="false" customHeight="false" outlineLevel="0" collapsed="false">
      <c r="A95" s="7" t="n">
        <f aca="false">ROW()-1</f>
        <v>94</v>
      </c>
      <c r="B95" s="7" t="str">
        <f aca="false">IF(Raw_Nigeria!B95="",TRIM(Raw_Nigeria!C95),TRIM(Raw_Nigeria!B95))</f>
        <v>FR of Nigeria Multiple Indicator Cluster Survey 1995</v>
      </c>
      <c r="C95" s="7" t="str">
        <f aca="false">IF(ISNUMBER(SEARCH("Demographic and Health",B95)),"DHS",IF(OR(ISNUMBER(SEARCH("Multiple Indicator Cluster",B95)),ISNUMBER(SEARCH("MICS",B95))),"MICS",IF(ISNUMBER(SEARCH("Immunization Coverage Survey",B95)),"Coverage survey",IF(ISNUMBER(SEARCH("Nutrition",B95)),"Nutrition survey","Other"))))</f>
        <v>MICS</v>
      </c>
      <c r="D95" s="7" t="n">
        <f aca="false">VALUE(LEFT(Raw_Nigeria!D95,4))</f>
        <v>1995</v>
      </c>
      <c r="E95" s="7" t="n">
        <f aca="false">IF(VALUE(RIGHT(Raw_Nigeria!D95,2))&gt;12,"",VALUE(RIGHT(Raw_Nigeria!D95,2)))</f>
        <v>3</v>
      </c>
      <c r="F95" s="7" t="n">
        <f aca="false">VALUE(LEFT(Raw_Nigeria!E95,4))</f>
        <v>1995</v>
      </c>
      <c r="G95" s="7" t="n">
        <f aca="false">IF(VALUE(RIGHT(Raw_Nigeria!E95,2))&gt;12,"",VALUE(RIGHT(Raw_Nigeria!E95,2)))</f>
        <v>4</v>
      </c>
      <c r="H95" s="7" t="n">
        <f aca="false">Raw_Nigeria!F95</f>
        <v>1994</v>
      </c>
      <c r="I95" s="7" t="str">
        <f aca="false">UPPER(TRIM(Raw_Nigeria!G95))</f>
        <v>BCG</v>
      </c>
      <c r="J95" s="7" t="str">
        <f aca="false">Raw_Nigeria!H95</f>
        <v>Record or Recall</v>
      </c>
      <c r="K95" s="7" t="str">
        <f aca="false">Raw_Nigeria!L95</f>
        <v>12-23 m</v>
      </c>
      <c r="L95" s="7" t="str">
        <f aca="false">IF(Raw_Nigeria!K95="","n/a",Raw_Nigeria!K95)</f>
        <v>0-23 m</v>
      </c>
      <c r="M95" s="7" t="n">
        <f aca="false">IF(Raw_Nigeria!I95="","",Raw_Nigeria!I95)</f>
        <v>18.7</v>
      </c>
      <c r="N95" s="7" t="n">
        <f aca="false">Raw_Nigeria!M95</f>
        <v>52</v>
      </c>
      <c r="O95" s="7" t="n">
        <f aca="false">IF(Raw_Nigeria!N95="","",Raw_Nigeria!N95)</f>
        <v>1743</v>
      </c>
      <c r="P95" s="7" t="str">
        <f aca="false">IF(K95="CBAW","Women of child-bearing age","Children")</f>
        <v>Children</v>
      </c>
      <c r="Q95" s="7" t="n">
        <f aca="false">IF(J95="NOT USED",1,0)</f>
        <v>0</v>
      </c>
      <c r="R95" s="7" t="n">
        <f aca="false">IF(AND(P95="Children",Q95=0),1,0)</f>
        <v>1</v>
      </c>
      <c r="S95" s="7" t="n">
        <f aca="false">IF(AND(R95=1,J95="Record or Recall",K95="12-23 m"),1,0)</f>
        <v>1</v>
      </c>
      <c r="T95" s="7" t="n">
        <f aca="false">IF(OR(I95="BCG",I95="DTP1",I95="DTP3",I95="POL3",I95="MCV1",I95="FULL"),1,0)</f>
        <v>1</v>
      </c>
      <c r="U95" s="7" t="n">
        <f aca="false">IF(OR(C95="DHS",C95="MICS"),1,0)</f>
        <v>1</v>
      </c>
      <c r="V95" s="7" t="n">
        <f aca="false">IF(O95="",1,0)</f>
        <v>0</v>
      </c>
      <c r="W95" s="7" t="n">
        <f aca="false">IF(M95="",1,0)</f>
        <v>0</v>
      </c>
      <c r="X95" s="7" t="n">
        <f aca="false">COUNTIFS($B$2:$B$1141,B95,$H$2:$H$1141,H95,$I$2:$I$1141,I95,$J$2:$J$1141,J95,$K$2:$K$1141,K95,$L$2:$L$1141,L95)</f>
        <v>1</v>
      </c>
    </row>
    <row r="96" customFormat="false" ht="15" hidden="false" customHeight="false" outlineLevel="0" collapsed="false">
      <c r="A96" s="7" t="n">
        <f aca="false">ROW()-1</f>
        <v>95</v>
      </c>
      <c r="B96" s="7" t="str">
        <f aca="false">IF(Raw_Nigeria!B96="",TRIM(Raw_Nigeria!C96),TRIM(Raw_Nigeria!B96))</f>
        <v>FR of Nigeria Multiple Indicator Cluster Survey 1995</v>
      </c>
      <c r="C96" s="7" t="str">
        <f aca="false">IF(ISNUMBER(SEARCH("Demographic and Health",B96)),"DHS",IF(OR(ISNUMBER(SEARCH("Multiple Indicator Cluster",B96)),ISNUMBER(SEARCH("MICS",B96))),"MICS",IF(ISNUMBER(SEARCH("Immunization Coverage Survey",B96)),"Coverage survey",IF(ISNUMBER(SEARCH("Nutrition",B96)),"Nutrition survey","Other"))))</f>
        <v>MICS</v>
      </c>
      <c r="D96" s="7" t="n">
        <f aca="false">VALUE(LEFT(Raw_Nigeria!D96,4))</f>
        <v>1995</v>
      </c>
      <c r="E96" s="7" t="n">
        <f aca="false">IF(VALUE(RIGHT(Raw_Nigeria!D96,2))&gt;12,"",VALUE(RIGHT(Raw_Nigeria!D96,2)))</f>
        <v>3</v>
      </c>
      <c r="F96" s="7" t="n">
        <f aca="false">VALUE(LEFT(Raw_Nigeria!E96,4))</f>
        <v>1995</v>
      </c>
      <c r="G96" s="7" t="n">
        <f aca="false">IF(VALUE(RIGHT(Raw_Nigeria!E96,2))&gt;12,"",VALUE(RIGHT(Raw_Nigeria!E96,2)))</f>
        <v>4</v>
      </c>
      <c r="H96" s="7" t="n">
        <f aca="false">Raw_Nigeria!F96</f>
        <v>1994</v>
      </c>
      <c r="I96" s="7" t="str">
        <f aca="false">UPPER(TRIM(Raw_Nigeria!G96))</f>
        <v>BCG</v>
      </c>
      <c r="J96" s="7" t="str">
        <f aca="false">Raw_Nigeria!H96</f>
        <v>Recall</v>
      </c>
      <c r="K96" s="7" t="str">
        <f aca="false">Raw_Nigeria!L96</f>
        <v>12-23 m</v>
      </c>
      <c r="L96" s="7" t="str">
        <f aca="false">IF(Raw_Nigeria!K96="","n/a",Raw_Nigeria!K96)</f>
        <v>0-23 m</v>
      </c>
      <c r="M96" s="7" t="n">
        <f aca="false">IF(Raw_Nigeria!I96="","",Raw_Nigeria!I96)</f>
        <v>18.7</v>
      </c>
      <c r="N96" s="7" t="n">
        <f aca="false">Raw_Nigeria!M96</f>
        <v>33.5</v>
      </c>
      <c r="O96" s="7" t="n">
        <f aca="false">IF(Raw_Nigeria!N96="","",Raw_Nigeria!N96)</f>
        <v>1743</v>
      </c>
      <c r="P96" s="7" t="str">
        <f aca="false">IF(K96="CBAW","Women of child-bearing age","Children")</f>
        <v>Children</v>
      </c>
      <c r="Q96" s="7" t="n">
        <f aca="false">IF(J96="NOT USED",1,0)</f>
        <v>0</v>
      </c>
      <c r="R96" s="7" t="n">
        <f aca="false">IF(AND(P96="Children",Q96=0),1,0)</f>
        <v>1</v>
      </c>
      <c r="S96" s="7" t="n">
        <f aca="false">IF(AND(R96=1,J96="Record or Recall",K96="12-23 m"),1,0)</f>
        <v>0</v>
      </c>
      <c r="T96" s="7" t="n">
        <f aca="false">IF(OR(I96="BCG",I96="DTP1",I96="DTP3",I96="POL3",I96="MCV1",I96="FULL"),1,0)</f>
        <v>1</v>
      </c>
      <c r="U96" s="7" t="n">
        <f aca="false">IF(OR(C96="DHS",C96="MICS"),1,0)</f>
        <v>1</v>
      </c>
      <c r="V96" s="7" t="n">
        <f aca="false">IF(O96="",1,0)</f>
        <v>0</v>
      </c>
      <c r="W96" s="7" t="n">
        <f aca="false">IF(M96="",1,0)</f>
        <v>0</v>
      </c>
      <c r="X96" s="7" t="n">
        <f aca="false">COUNTIFS($B$2:$B$1141,B96,$H$2:$H$1141,H96,$I$2:$I$1141,I96,$J$2:$J$1141,J96,$K$2:$K$1141,K96,$L$2:$L$1141,L96)</f>
        <v>1</v>
      </c>
    </row>
    <row r="97" customFormat="false" ht="15" hidden="false" customHeight="false" outlineLevel="0" collapsed="false">
      <c r="A97" s="7" t="n">
        <f aca="false">ROW()-1</f>
        <v>96</v>
      </c>
      <c r="B97" s="7" t="str">
        <f aca="false">IF(Raw_Nigeria!B97="",TRIM(Raw_Nigeria!C97),TRIM(Raw_Nigeria!B97))</f>
        <v>FR of Nigeria Multiple Indicator Cluster Survey 1995</v>
      </c>
      <c r="C97" s="7" t="str">
        <f aca="false">IF(ISNUMBER(SEARCH("Demographic and Health",B97)),"DHS",IF(OR(ISNUMBER(SEARCH("Multiple Indicator Cluster",B97)),ISNUMBER(SEARCH("MICS",B97))),"MICS",IF(ISNUMBER(SEARCH("Immunization Coverage Survey",B97)),"Coverage survey",IF(ISNUMBER(SEARCH("Nutrition",B97)),"Nutrition survey","Other"))))</f>
        <v>MICS</v>
      </c>
      <c r="D97" s="7" t="n">
        <f aca="false">VALUE(LEFT(Raw_Nigeria!D97,4))</f>
        <v>1995</v>
      </c>
      <c r="E97" s="7" t="n">
        <f aca="false">IF(VALUE(RIGHT(Raw_Nigeria!D97,2))&gt;12,"",VALUE(RIGHT(Raw_Nigeria!D97,2)))</f>
        <v>3</v>
      </c>
      <c r="F97" s="7" t="n">
        <f aca="false">VALUE(LEFT(Raw_Nigeria!E97,4))</f>
        <v>1995</v>
      </c>
      <c r="G97" s="7" t="n">
        <f aca="false">IF(VALUE(RIGHT(Raw_Nigeria!E97,2))&gt;12,"",VALUE(RIGHT(Raw_Nigeria!E97,2)))</f>
        <v>4</v>
      </c>
      <c r="H97" s="7" t="n">
        <f aca="false">Raw_Nigeria!F97</f>
        <v>1994</v>
      </c>
      <c r="I97" s="7" t="str">
        <f aca="false">UPPER(TRIM(Raw_Nigeria!G97))</f>
        <v>DTP3</v>
      </c>
      <c r="J97" s="7" t="str">
        <f aca="false">Raw_Nigeria!H97</f>
        <v>Record</v>
      </c>
      <c r="K97" s="7" t="str">
        <f aca="false">Raw_Nigeria!L97</f>
        <v>12-23 m</v>
      </c>
      <c r="L97" s="7" t="str">
        <f aca="false">IF(Raw_Nigeria!K97="","n/a",Raw_Nigeria!K97)</f>
        <v>0-23 m</v>
      </c>
      <c r="M97" s="7" t="n">
        <f aca="false">IF(Raw_Nigeria!I97="","",Raw_Nigeria!I97)</f>
        <v>18.7</v>
      </c>
      <c r="N97" s="7" t="n">
        <f aca="false">Raw_Nigeria!M97</f>
        <v>12.1</v>
      </c>
      <c r="O97" s="7" t="n">
        <f aca="false">IF(Raw_Nigeria!N97="","",Raw_Nigeria!N97)</f>
        <v>1743</v>
      </c>
      <c r="P97" s="7" t="str">
        <f aca="false">IF(K97="CBAW","Women of child-bearing age","Children")</f>
        <v>Children</v>
      </c>
      <c r="Q97" s="7" t="n">
        <f aca="false">IF(J97="NOT USED",1,0)</f>
        <v>0</v>
      </c>
      <c r="R97" s="7" t="n">
        <f aca="false">IF(AND(P97="Children",Q97=0),1,0)</f>
        <v>1</v>
      </c>
      <c r="S97" s="7" t="n">
        <f aca="false">IF(AND(R97=1,J97="Record or Recall",K97="12-23 m"),1,0)</f>
        <v>0</v>
      </c>
      <c r="T97" s="7" t="n">
        <f aca="false">IF(OR(I97="BCG",I97="DTP1",I97="DTP3",I97="POL3",I97="MCV1",I97="FULL"),1,0)</f>
        <v>1</v>
      </c>
      <c r="U97" s="7" t="n">
        <f aca="false">IF(OR(C97="DHS",C97="MICS"),1,0)</f>
        <v>1</v>
      </c>
      <c r="V97" s="7" t="n">
        <f aca="false">IF(O97="",1,0)</f>
        <v>0</v>
      </c>
      <c r="W97" s="7" t="n">
        <f aca="false">IF(M97="",1,0)</f>
        <v>0</v>
      </c>
      <c r="X97" s="7" t="n">
        <f aca="false">COUNTIFS($B$2:$B$1141,B97,$H$2:$H$1141,H97,$I$2:$I$1141,I97,$J$2:$J$1141,J97,$K$2:$K$1141,K97,$L$2:$L$1141,L97)</f>
        <v>1</v>
      </c>
    </row>
    <row r="98" customFormat="false" ht="15" hidden="false" customHeight="false" outlineLevel="0" collapsed="false">
      <c r="A98" s="7" t="n">
        <f aca="false">ROW()-1</f>
        <v>97</v>
      </c>
      <c r="B98" s="7" t="str">
        <f aca="false">IF(Raw_Nigeria!B98="",TRIM(Raw_Nigeria!C98),TRIM(Raw_Nigeria!B98))</f>
        <v>FR of Nigeria Multiple Indicator Cluster Survey 1995</v>
      </c>
      <c r="C98" s="7" t="str">
        <f aca="false">IF(ISNUMBER(SEARCH("Demographic and Health",B98)),"DHS",IF(OR(ISNUMBER(SEARCH("Multiple Indicator Cluster",B98)),ISNUMBER(SEARCH("MICS",B98))),"MICS",IF(ISNUMBER(SEARCH("Immunization Coverage Survey",B98)),"Coverage survey",IF(ISNUMBER(SEARCH("Nutrition",B98)),"Nutrition survey","Other"))))</f>
        <v>MICS</v>
      </c>
      <c r="D98" s="7" t="n">
        <f aca="false">VALUE(LEFT(Raw_Nigeria!D98,4))</f>
        <v>1995</v>
      </c>
      <c r="E98" s="7" t="n">
        <f aca="false">IF(VALUE(RIGHT(Raw_Nigeria!D98,2))&gt;12,"",VALUE(RIGHT(Raw_Nigeria!D98,2)))</f>
        <v>3</v>
      </c>
      <c r="F98" s="7" t="n">
        <f aca="false">VALUE(LEFT(Raw_Nigeria!E98,4))</f>
        <v>1995</v>
      </c>
      <c r="G98" s="7" t="n">
        <f aca="false">IF(VALUE(RIGHT(Raw_Nigeria!E98,2))&gt;12,"",VALUE(RIGHT(Raw_Nigeria!E98,2)))</f>
        <v>4</v>
      </c>
      <c r="H98" s="7" t="n">
        <f aca="false">Raw_Nigeria!F98</f>
        <v>1994</v>
      </c>
      <c r="I98" s="7" t="str">
        <f aca="false">UPPER(TRIM(Raw_Nigeria!G98))</f>
        <v>DTP3</v>
      </c>
      <c r="J98" s="7" t="str">
        <f aca="false">Raw_Nigeria!H98</f>
        <v>Record or Recall</v>
      </c>
      <c r="K98" s="7" t="str">
        <f aca="false">Raw_Nigeria!L98</f>
        <v>12-23 m</v>
      </c>
      <c r="L98" s="7" t="str">
        <f aca="false">IF(Raw_Nigeria!K98="","n/a",Raw_Nigeria!K98)</f>
        <v>0-23 m</v>
      </c>
      <c r="M98" s="7" t="n">
        <f aca="false">IF(Raw_Nigeria!I98="","",Raw_Nigeria!I98)</f>
        <v>18.7</v>
      </c>
      <c r="N98" s="7" t="n">
        <f aca="false">Raw_Nigeria!M98</f>
        <v>27.5</v>
      </c>
      <c r="O98" s="7" t="n">
        <f aca="false">IF(Raw_Nigeria!N98="","",Raw_Nigeria!N98)</f>
        <v>1743</v>
      </c>
      <c r="P98" s="7" t="str">
        <f aca="false">IF(K98="CBAW","Women of child-bearing age","Children")</f>
        <v>Children</v>
      </c>
      <c r="Q98" s="7" t="n">
        <f aca="false">IF(J98="NOT USED",1,0)</f>
        <v>0</v>
      </c>
      <c r="R98" s="7" t="n">
        <f aca="false">IF(AND(P98="Children",Q98=0),1,0)</f>
        <v>1</v>
      </c>
      <c r="S98" s="7" t="n">
        <f aca="false">IF(AND(R98=1,J98="Record or Recall",K98="12-23 m"),1,0)</f>
        <v>1</v>
      </c>
      <c r="T98" s="7" t="n">
        <f aca="false">IF(OR(I98="BCG",I98="DTP1",I98="DTP3",I98="POL3",I98="MCV1",I98="FULL"),1,0)</f>
        <v>1</v>
      </c>
      <c r="U98" s="7" t="n">
        <f aca="false">IF(OR(C98="DHS",C98="MICS"),1,0)</f>
        <v>1</v>
      </c>
      <c r="V98" s="7" t="n">
        <f aca="false">IF(O98="",1,0)</f>
        <v>0</v>
      </c>
      <c r="W98" s="7" t="n">
        <f aca="false">IF(M98="",1,0)</f>
        <v>0</v>
      </c>
      <c r="X98" s="7" t="n">
        <f aca="false">COUNTIFS($B$2:$B$1141,B98,$H$2:$H$1141,H98,$I$2:$I$1141,I98,$J$2:$J$1141,J98,$K$2:$K$1141,K98,$L$2:$L$1141,L98)</f>
        <v>1</v>
      </c>
    </row>
    <row r="99" customFormat="false" ht="15" hidden="false" customHeight="false" outlineLevel="0" collapsed="false">
      <c r="A99" s="7" t="n">
        <f aca="false">ROW()-1</f>
        <v>98</v>
      </c>
      <c r="B99" s="7" t="str">
        <f aca="false">IF(Raw_Nigeria!B99="",TRIM(Raw_Nigeria!C99),TRIM(Raw_Nigeria!B99))</f>
        <v>FR of Nigeria Multiple Indicator Cluster Survey 1995</v>
      </c>
      <c r="C99" s="7" t="str">
        <f aca="false">IF(ISNUMBER(SEARCH("Demographic and Health",B99)),"DHS",IF(OR(ISNUMBER(SEARCH("Multiple Indicator Cluster",B99)),ISNUMBER(SEARCH("MICS",B99))),"MICS",IF(ISNUMBER(SEARCH("Immunization Coverage Survey",B99)),"Coverage survey",IF(ISNUMBER(SEARCH("Nutrition",B99)),"Nutrition survey","Other"))))</f>
        <v>MICS</v>
      </c>
      <c r="D99" s="7" t="n">
        <f aca="false">VALUE(LEFT(Raw_Nigeria!D99,4))</f>
        <v>1995</v>
      </c>
      <c r="E99" s="7" t="n">
        <f aca="false">IF(VALUE(RIGHT(Raw_Nigeria!D99,2))&gt;12,"",VALUE(RIGHT(Raw_Nigeria!D99,2)))</f>
        <v>3</v>
      </c>
      <c r="F99" s="7" t="n">
        <f aca="false">VALUE(LEFT(Raw_Nigeria!E99,4))</f>
        <v>1995</v>
      </c>
      <c r="G99" s="7" t="n">
        <f aca="false">IF(VALUE(RIGHT(Raw_Nigeria!E99,2))&gt;12,"",VALUE(RIGHT(Raw_Nigeria!E99,2)))</f>
        <v>4</v>
      </c>
      <c r="H99" s="7" t="n">
        <f aca="false">Raw_Nigeria!F99</f>
        <v>1994</v>
      </c>
      <c r="I99" s="7" t="str">
        <f aca="false">UPPER(TRIM(Raw_Nigeria!G99))</f>
        <v>DTP3</v>
      </c>
      <c r="J99" s="7" t="str">
        <f aca="false">Raw_Nigeria!H99</f>
        <v>Recall</v>
      </c>
      <c r="K99" s="7" t="str">
        <f aca="false">Raw_Nigeria!L99</f>
        <v>12-23 m</v>
      </c>
      <c r="L99" s="7" t="str">
        <f aca="false">IF(Raw_Nigeria!K99="","n/a",Raw_Nigeria!K99)</f>
        <v>0-23 m</v>
      </c>
      <c r="M99" s="7" t="n">
        <f aca="false">IF(Raw_Nigeria!I99="","",Raw_Nigeria!I99)</f>
        <v>18.7</v>
      </c>
      <c r="N99" s="7" t="n">
        <f aca="false">Raw_Nigeria!M99</f>
        <v>15.4</v>
      </c>
      <c r="O99" s="7" t="n">
        <f aca="false">IF(Raw_Nigeria!N99="","",Raw_Nigeria!N99)</f>
        <v>1743</v>
      </c>
      <c r="P99" s="7" t="str">
        <f aca="false">IF(K99="CBAW","Women of child-bearing age","Children")</f>
        <v>Children</v>
      </c>
      <c r="Q99" s="7" t="n">
        <f aca="false">IF(J99="NOT USED",1,0)</f>
        <v>0</v>
      </c>
      <c r="R99" s="7" t="n">
        <f aca="false">IF(AND(P99="Children",Q99=0),1,0)</f>
        <v>1</v>
      </c>
      <c r="S99" s="7" t="n">
        <f aca="false">IF(AND(R99=1,J99="Record or Recall",K99="12-23 m"),1,0)</f>
        <v>0</v>
      </c>
      <c r="T99" s="7" t="n">
        <f aca="false">IF(OR(I99="BCG",I99="DTP1",I99="DTP3",I99="POL3",I99="MCV1",I99="FULL"),1,0)</f>
        <v>1</v>
      </c>
      <c r="U99" s="7" t="n">
        <f aca="false">IF(OR(C99="DHS",C99="MICS"),1,0)</f>
        <v>1</v>
      </c>
      <c r="V99" s="7" t="n">
        <f aca="false">IF(O99="",1,0)</f>
        <v>0</v>
      </c>
      <c r="W99" s="7" t="n">
        <f aca="false">IF(M99="",1,0)</f>
        <v>0</v>
      </c>
      <c r="X99" s="7" t="n">
        <f aca="false">COUNTIFS($B$2:$B$1141,B99,$H$2:$H$1141,H99,$I$2:$I$1141,I99,$J$2:$J$1141,J99,$K$2:$K$1141,K99,$L$2:$L$1141,L99)</f>
        <v>1</v>
      </c>
    </row>
    <row r="100" customFormat="false" ht="15" hidden="false" customHeight="false" outlineLevel="0" collapsed="false">
      <c r="A100" s="7" t="n">
        <f aca="false">ROW()-1</f>
        <v>99</v>
      </c>
      <c r="B100" s="7" t="str">
        <f aca="false">IF(Raw_Nigeria!B100="",TRIM(Raw_Nigeria!C100),TRIM(Raw_Nigeria!B100))</f>
        <v>FR of Nigeria Multiple Indicator Cluster Survey 1995</v>
      </c>
      <c r="C100" s="7" t="str">
        <f aca="false">IF(ISNUMBER(SEARCH("Demographic and Health",B100)),"DHS",IF(OR(ISNUMBER(SEARCH("Multiple Indicator Cluster",B100)),ISNUMBER(SEARCH("MICS",B100))),"MICS",IF(ISNUMBER(SEARCH("Immunization Coverage Survey",B100)),"Coverage survey",IF(ISNUMBER(SEARCH("Nutrition",B100)),"Nutrition survey","Other"))))</f>
        <v>MICS</v>
      </c>
      <c r="D100" s="7" t="n">
        <f aca="false">VALUE(LEFT(Raw_Nigeria!D100,4))</f>
        <v>1995</v>
      </c>
      <c r="E100" s="7" t="n">
        <f aca="false">IF(VALUE(RIGHT(Raw_Nigeria!D100,2))&gt;12,"",VALUE(RIGHT(Raw_Nigeria!D100,2)))</f>
        <v>3</v>
      </c>
      <c r="F100" s="7" t="n">
        <f aca="false">VALUE(LEFT(Raw_Nigeria!E100,4))</f>
        <v>1995</v>
      </c>
      <c r="G100" s="7" t="n">
        <f aca="false">IF(VALUE(RIGHT(Raw_Nigeria!E100,2))&gt;12,"",VALUE(RIGHT(Raw_Nigeria!E100,2)))</f>
        <v>4</v>
      </c>
      <c r="H100" s="7" t="n">
        <f aca="false">Raw_Nigeria!F100</f>
        <v>1994</v>
      </c>
      <c r="I100" s="7" t="str">
        <f aca="false">UPPER(TRIM(Raw_Nigeria!G100))</f>
        <v>FULL</v>
      </c>
      <c r="J100" s="7" t="str">
        <f aca="false">Raw_Nigeria!H100</f>
        <v>Record</v>
      </c>
      <c r="K100" s="7" t="str">
        <f aca="false">Raw_Nigeria!L100</f>
        <v>12-23 m</v>
      </c>
      <c r="L100" s="7" t="str">
        <f aca="false">IF(Raw_Nigeria!K100="","n/a",Raw_Nigeria!K100)</f>
        <v>0-23 m</v>
      </c>
      <c r="M100" s="7" t="n">
        <f aca="false">IF(Raw_Nigeria!I100="","",Raw_Nigeria!I100)</f>
        <v>18.7</v>
      </c>
      <c r="N100" s="7" t="n">
        <f aca="false">Raw_Nigeria!M100</f>
        <v>8</v>
      </c>
      <c r="O100" s="7" t="n">
        <f aca="false">IF(Raw_Nigeria!N100="","",Raw_Nigeria!N100)</f>
        <v>1743</v>
      </c>
      <c r="P100" s="7" t="str">
        <f aca="false">IF(K100="CBAW","Women of child-bearing age","Children")</f>
        <v>Children</v>
      </c>
      <c r="Q100" s="7" t="n">
        <f aca="false">IF(J100="NOT USED",1,0)</f>
        <v>0</v>
      </c>
      <c r="R100" s="7" t="n">
        <f aca="false">IF(AND(P100="Children",Q100=0),1,0)</f>
        <v>1</v>
      </c>
      <c r="S100" s="7" t="n">
        <f aca="false">IF(AND(R100=1,J100="Record or Recall",K100="12-23 m"),1,0)</f>
        <v>0</v>
      </c>
      <c r="T100" s="7" t="n">
        <f aca="false">IF(OR(I100="BCG",I100="DTP1",I100="DTP3",I100="POL3",I100="MCV1",I100="FULL"),1,0)</f>
        <v>1</v>
      </c>
      <c r="U100" s="7" t="n">
        <f aca="false">IF(OR(C100="DHS",C100="MICS"),1,0)</f>
        <v>1</v>
      </c>
      <c r="V100" s="7" t="n">
        <f aca="false">IF(O100="",1,0)</f>
        <v>0</v>
      </c>
      <c r="W100" s="7" t="n">
        <f aca="false">IF(M100="",1,0)</f>
        <v>0</v>
      </c>
      <c r="X100" s="7" t="n">
        <f aca="false">COUNTIFS($B$2:$B$1141,B100,$H$2:$H$1141,H100,$I$2:$I$1141,I100,$J$2:$J$1141,J100,$K$2:$K$1141,K100,$L$2:$L$1141,L100)</f>
        <v>1</v>
      </c>
    </row>
    <row r="101" customFormat="false" ht="15" hidden="false" customHeight="false" outlineLevel="0" collapsed="false">
      <c r="A101" s="7" t="n">
        <f aca="false">ROW()-1</f>
        <v>100</v>
      </c>
      <c r="B101" s="7" t="str">
        <f aca="false">IF(Raw_Nigeria!B101="",TRIM(Raw_Nigeria!C101),TRIM(Raw_Nigeria!B101))</f>
        <v>FR of Nigeria Multiple Indicator Cluster Survey 1995</v>
      </c>
      <c r="C101" s="7" t="str">
        <f aca="false">IF(ISNUMBER(SEARCH("Demographic and Health",B101)),"DHS",IF(OR(ISNUMBER(SEARCH("Multiple Indicator Cluster",B101)),ISNUMBER(SEARCH("MICS",B101))),"MICS",IF(ISNUMBER(SEARCH("Immunization Coverage Survey",B101)),"Coverage survey",IF(ISNUMBER(SEARCH("Nutrition",B101)),"Nutrition survey","Other"))))</f>
        <v>MICS</v>
      </c>
      <c r="D101" s="7" t="n">
        <f aca="false">VALUE(LEFT(Raw_Nigeria!D101,4))</f>
        <v>1995</v>
      </c>
      <c r="E101" s="7" t="n">
        <f aca="false">IF(VALUE(RIGHT(Raw_Nigeria!D101,2))&gt;12,"",VALUE(RIGHT(Raw_Nigeria!D101,2)))</f>
        <v>3</v>
      </c>
      <c r="F101" s="7" t="n">
        <f aca="false">VALUE(LEFT(Raw_Nigeria!E101,4))</f>
        <v>1995</v>
      </c>
      <c r="G101" s="7" t="n">
        <f aca="false">IF(VALUE(RIGHT(Raw_Nigeria!E101,2))&gt;12,"",VALUE(RIGHT(Raw_Nigeria!E101,2)))</f>
        <v>4</v>
      </c>
      <c r="H101" s="7" t="n">
        <f aca="false">Raw_Nigeria!F101</f>
        <v>1994</v>
      </c>
      <c r="I101" s="7" t="str">
        <f aca="false">UPPER(TRIM(Raw_Nigeria!G101))</f>
        <v>FULL</v>
      </c>
      <c r="J101" s="7" t="str">
        <f aca="false">Raw_Nigeria!H101</f>
        <v>Record or Recall</v>
      </c>
      <c r="K101" s="7" t="str">
        <f aca="false">Raw_Nigeria!L101</f>
        <v>12-23 m</v>
      </c>
      <c r="L101" s="7" t="str">
        <f aca="false">IF(Raw_Nigeria!K101="","n/a",Raw_Nigeria!K101)</f>
        <v>0-23 m</v>
      </c>
      <c r="M101" s="7" t="n">
        <f aca="false">IF(Raw_Nigeria!I101="","",Raw_Nigeria!I101)</f>
        <v>18.7</v>
      </c>
      <c r="N101" s="7" t="n">
        <f aca="false">Raw_Nigeria!M101</f>
        <v>22</v>
      </c>
      <c r="O101" s="7" t="n">
        <f aca="false">IF(Raw_Nigeria!N101="","",Raw_Nigeria!N101)</f>
        <v>1743</v>
      </c>
      <c r="P101" s="7" t="str">
        <f aca="false">IF(K101="CBAW","Women of child-bearing age","Children")</f>
        <v>Children</v>
      </c>
      <c r="Q101" s="7" t="n">
        <f aca="false">IF(J101="NOT USED",1,0)</f>
        <v>0</v>
      </c>
      <c r="R101" s="7" t="n">
        <f aca="false">IF(AND(P101="Children",Q101=0),1,0)</f>
        <v>1</v>
      </c>
      <c r="S101" s="7" t="n">
        <f aca="false">IF(AND(R101=1,J101="Record or Recall",K101="12-23 m"),1,0)</f>
        <v>1</v>
      </c>
      <c r="T101" s="7" t="n">
        <f aca="false">IF(OR(I101="BCG",I101="DTP1",I101="DTP3",I101="POL3",I101="MCV1",I101="FULL"),1,0)</f>
        <v>1</v>
      </c>
      <c r="U101" s="7" t="n">
        <f aca="false">IF(OR(C101="DHS",C101="MICS"),1,0)</f>
        <v>1</v>
      </c>
      <c r="V101" s="7" t="n">
        <f aca="false">IF(O101="",1,0)</f>
        <v>0</v>
      </c>
      <c r="W101" s="7" t="n">
        <f aca="false">IF(M101="",1,0)</f>
        <v>0</v>
      </c>
      <c r="X101" s="7" t="n">
        <f aca="false">COUNTIFS($B$2:$B$1141,B101,$H$2:$H$1141,H101,$I$2:$I$1141,I101,$J$2:$J$1141,J101,$K$2:$K$1141,K101,$L$2:$L$1141,L101)</f>
        <v>1</v>
      </c>
    </row>
    <row r="102" customFormat="false" ht="15" hidden="false" customHeight="false" outlineLevel="0" collapsed="false">
      <c r="A102" s="7" t="n">
        <f aca="false">ROW()-1</f>
        <v>101</v>
      </c>
      <c r="B102" s="7" t="str">
        <f aca="false">IF(Raw_Nigeria!B102="",TRIM(Raw_Nigeria!C102),TRIM(Raw_Nigeria!B102))</f>
        <v>FR of Nigeria Multiple Indicator Cluster Survey 1995</v>
      </c>
      <c r="C102" s="7" t="str">
        <f aca="false">IF(ISNUMBER(SEARCH("Demographic and Health",B102)),"DHS",IF(OR(ISNUMBER(SEARCH("Multiple Indicator Cluster",B102)),ISNUMBER(SEARCH("MICS",B102))),"MICS",IF(ISNUMBER(SEARCH("Immunization Coverage Survey",B102)),"Coverage survey",IF(ISNUMBER(SEARCH("Nutrition",B102)),"Nutrition survey","Other"))))</f>
        <v>MICS</v>
      </c>
      <c r="D102" s="7" t="n">
        <f aca="false">VALUE(LEFT(Raw_Nigeria!D102,4))</f>
        <v>1995</v>
      </c>
      <c r="E102" s="7" t="n">
        <f aca="false">IF(VALUE(RIGHT(Raw_Nigeria!D102,2))&gt;12,"",VALUE(RIGHT(Raw_Nigeria!D102,2)))</f>
        <v>3</v>
      </c>
      <c r="F102" s="7" t="n">
        <f aca="false">VALUE(LEFT(Raw_Nigeria!E102,4))</f>
        <v>1995</v>
      </c>
      <c r="G102" s="7" t="n">
        <f aca="false">IF(VALUE(RIGHT(Raw_Nigeria!E102,2))&gt;12,"",VALUE(RIGHT(Raw_Nigeria!E102,2)))</f>
        <v>4</v>
      </c>
      <c r="H102" s="7" t="n">
        <f aca="false">Raw_Nigeria!F102</f>
        <v>1994</v>
      </c>
      <c r="I102" s="7" t="str">
        <f aca="false">UPPER(TRIM(Raw_Nigeria!G102))</f>
        <v>MCV1</v>
      </c>
      <c r="J102" s="7" t="str">
        <f aca="false">Raw_Nigeria!H102</f>
        <v>Record</v>
      </c>
      <c r="K102" s="7" t="str">
        <f aca="false">Raw_Nigeria!L102</f>
        <v>12-23 m</v>
      </c>
      <c r="L102" s="7" t="str">
        <f aca="false">IF(Raw_Nigeria!K102="","n/a",Raw_Nigeria!K102)</f>
        <v>0-23 m</v>
      </c>
      <c r="M102" s="7" t="n">
        <f aca="false">IF(Raw_Nigeria!I102="","",Raw_Nigeria!I102)</f>
        <v>18.7</v>
      </c>
      <c r="N102" s="7" t="n">
        <f aca="false">Raw_Nigeria!M102</f>
        <v>11</v>
      </c>
      <c r="O102" s="7" t="n">
        <f aca="false">IF(Raw_Nigeria!N102="","",Raw_Nigeria!N102)</f>
        <v>1743</v>
      </c>
      <c r="P102" s="7" t="str">
        <f aca="false">IF(K102="CBAW","Women of child-bearing age","Children")</f>
        <v>Children</v>
      </c>
      <c r="Q102" s="7" t="n">
        <f aca="false">IF(J102="NOT USED",1,0)</f>
        <v>0</v>
      </c>
      <c r="R102" s="7" t="n">
        <f aca="false">IF(AND(P102="Children",Q102=0),1,0)</f>
        <v>1</v>
      </c>
      <c r="S102" s="7" t="n">
        <f aca="false">IF(AND(R102=1,J102="Record or Recall",K102="12-23 m"),1,0)</f>
        <v>0</v>
      </c>
      <c r="T102" s="7" t="n">
        <f aca="false">IF(OR(I102="BCG",I102="DTP1",I102="DTP3",I102="POL3",I102="MCV1",I102="FULL"),1,0)</f>
        <v>1</v>
      </c>
      <c r="U102" s="7" t="n">
        <f aca="false">IF(OR(C102="DHS",C102="MICS"),1,0)</f>
        <v>1</v>
      </c>
      <c r="V102" s="7" t="n">
        <f aca="false">IF(O102="",1,0)</f>
        <v>0</v>
      </c>
      <c r="W102" s="7" t="n">
        <f aca="false">IF(M102="",1,0)</f>
        <v>0</v>
      </c>
      <c r="X102" s="7" t="n">
        <f aca="false">COUNTIFS($B$2:$B$1141,B102,$H$2:$H$1141,H102,$I$2:$I$1141,I102,$J$2:$J$1141,J102,$K$2:$K$1141,K102,$L$2:$L$1141,L102)</f>
        <v>1</v>
      </c>
    </row>
    <row r="103" customFormat="false" ht="15" hidden="false" customHeight="false" outlineLevel="0" collapsed="false">
      <c r="A103" s="7" t="n">
        <f aca="false">ROW()-1</f>
        <v>102</v>
      </c>
      <c r="B103" s="7" t="str">
        <f aca="false">IF(Raw_Nigeria!B103="",TRIM(Raw_Nigeria!C103),TRIM(Raw_Nigeria!B103))</f>
        <v>FR of Nigeria Multiple Indicator Cluster Survey 1995</v>
      </c>
      <c r="C103" s="7" t="str">
        <f aca="false">IF(ISNUMBER(SEARCH("Demographic and Health",B103)),"DHS",IF(OR(ISNUMBER(SEARCH("Multiple Indicator Cluster",B103)),ISNUMBER(SEARCH("MICS",B103))),"MICS",IF(ISNUMBER(SEARCH("Immunization Coverage Survey",B103)),"Coverage survey",IF(ISNUMBER(SEARCH("Nutrition",B103)),"Nutrition survey","Other"))))</f>
        <v>MICS</v>
      </c>
      <c r="D103" s="7" t="n">
        <f aca="false">VALUE(LEFT(Raw_Nigeria!D103,4))</f>
        <v>1995</v>
      </c>
      <c r="E103" s="7" t="n">
        <f aca="false">IF(VALUE(RIGHT(Raw_Nigeria!D103,2))&gt;12,"",VALUE(RIGHT(Raw_Nigeria!D103,2)))</f>
        <v>3</v>
      </c>
      <c r="F103" s="7" t="n">
        <f aca="false">VALUE(LEFT(Raw_Nigeria!E103,4))</f>
        <v>1995</v>
      </c>
      <c r="G103" s="7" t="n">
        <f aca="false">IF(VALUE(RIGHT(Raw_Nigeria!E103,2))&gt;12,"",VALUE(RIGHT(Raw_Nigeria!E103,2)))</f>
        <v>4</v>
      </c>
      <c r="H103" s="7" t="n">
        <f aca="false">Raw_Nigeria!F103</f>
        <v>1994</v>
      </c>
      <c r="I103" s="7" t="str">
        <f aca="false">UPPER(TRIM(Raw_Nigeria!G103))</f>
        <v>MCV1</v>
      </c>
      <c r="J103" s="7" t="str">
        <f aca="false">Raw_Nigeria!H103</f>
        <v>Record or Recall</v>
      </c>
      <c r="K103" s="7" t="str">
        <f aca="false">Raw_Nigeria!L103</f>
        <v>12-23 m</v>
      </c>
      <c r="L103" s="7" t="str">
        <f aca="false">IF(Raw_Nigeria!K103="","n/a",Raw_Nigeria!K103)</f>
        <v>0-23 m</v>
      </c>
      <c r="M103" s="7" t="n">
        <f aca="false">IF(Raw_Nigeria!I103="","",Raw_Nigeria!I103)</f>
        <v>18.7</v>
      </c>
      <c r="N103" s="7" t="n">
        <f aca="false">Raw_Nigeria!M103</f>
        <v>39.9</v>
      </c>
      <c r="O103" s="7" t="n">
        <f aca="false">IF(Raw_Nigeria!N103="","",Raw_Nigeria!N103)</f>
        <v>1743</v>
      </c>
      <c r="P103" s="7" t="str">
        <f aca="false">IF(K103="CBAW","Women of child-bearing age","Children")</f>
        <v>Children</v>
      </c>
      <c r="Q103" s="7" t="n">
        <f aca="false">IF(J103="NOT USED",1,0)</f>
        <v>0</v>
      </c>
      <c r="R103" s="7" t="n">
        <f aca="false">IF(AND(P103="Children",Q103=0),1,0)</f>
        <v>1</v>
      </c>
      <c r="S103" s="7" t="n">
        <f aca="false">IF(AND(R103=1,J103="Record or Recall",K103="12-23 m"),1,0)</f>
        <v>1</v>
      </c>
      <c r="T103" s="7" t="n">
        <f aca="false">IF(OR(I103="BCG",I103="DTP1",I103="DTP3",I103="POL3",I103="MCV1",I103="FULL"),1,0)</f>
        <v>1</v>
      </c>
      <c r="U103" s="7" t="n">
        <f aca="false">IF(OR(C103="DHS",C103="MICS"),1,0)</f>
        <v>1</v>
      </c>
      <c r="V103" s="7" t="n">
        <f aca="false">IF(O103="",1,0)</f>
        <v>0</v>
      </c>
      <c r="W103" s="7" t="n">
        <f aca="false">IF(M103="",1,0)</f>
        <v>0</v>
      </c>
      <c r="X103" s="7" t="n">
        <f aca="false">COUNTIFS($B$2:$B$1141,B103,$H$2:$H$1141,H103,$I$2:$I$1141,I103,$J$2:$J$1141,J103,$K$2:$K$1141,K103,$L$2:$L$1141,L103)</f>
        <v>1</v>
      </c>
    </row>
    <row r="104" customFormat="false" ht="15" hidden="false" customHeight="false" outlineLevel="0" collapsed="false">
      <c r="A104" s="7" t="n">
        <f aca="false">ROW()-1</f>
        <v>103</v>
      </c>
      <c r="B104" s="7" t="str">
        <f aca="false">IF(Raw_Nigeria!B104="",TRIM(Raw_Nigeria!C104),TRIM(Raw_Nigeria!B104))</f>
        <v>FR of Nigeria Multiple Indicator Cluster Survey 1995</v>
      </c>
      <c r="C104" s="7" t="str">
        <f aca="false">IF(ISNUMBER(SEARCH("Demographic and Health",B104)),"DHS",IF(OR(ISNUMBER(SEARCH("Multiple Indicator Cluster",B104)),ISNUMBER(SEARCH("MICS",B104))),"MICS",IF(ISNUMBER(SEARCH("Immunization Coverage Survey",B104)),"Coverage survey",IF(ISNUMBER(SEARCH("Nutrition",B104)),"Nutrition survey","Other"))))</f>
        <v>MICS</v>
      </c>
      <c r="D104" s="7" t="n">
        <f aca="false">VALUE(LEFT(Raw_Nigeria!D104,4))</f>
        <v>1995</v>
      </c>
      <c r="E104" s="7" t="n">
        <f aca="false">IF(VALUE(RIGHT(Raw_Nigeria!D104,2))&gt;12,"",VALUE(RIGHT(Raw_Nigeria!D104,2)))</f>
        <v>3</v>
      </c>
      <c r="F104" s="7" t="n">
        <f aca="false">VALUE(LEFT(Raw_Nigeria!E104,4))</f>
        <v>1995</v>
      </c>
      <c r="G104" s="7" t="n">
        <f aca="false">IF(VALUE(RIGHT(Raw_Nigeria!E104,2))&gt;12,"",VALUE(RIGHT(Raw_Nigeria!E104,2)))</f>
        <v>4</v>
      </c>
      <c r="H104" s="7" t="n">
        <f aca="false">Raw_Nigeria!F104</f>
        <v>1994</v>
      </c>
      <c r="I104" s="7" t="str">
        <f aca="false">UPPER(TRIM(Raw_Nigeria!G104))</f>
        <v>MCV1</v>
      </c>
      <c r="J104" s="7" t="str">
        <f aca="false">Raw_Nigeria!H104</f>
        <v>Recall</v>
      </c>
      <c r="K104" s="7" t="str">
        <f aca="false">Raw_Nigeria!L104</f>
        <v>12-23 m</v>
      </c>
      <c r="L104" s="7" t="str">
        <f aca="false">IF(Raw_Nigeria!K104="","n/a",Raw_Nigeria!K104)</f>
        <v>0-23 m</v>
      </c>
      <c r="M104" s="7" t="n">
        <f aca="false">IF(Raw_Nigeria!I104="","",Raw_Nigeria!I104)</f>
        <v>18.7</v>
      </c>
      <c r="N104" s="7" t="n">
        <f aca="false">Raw_Nigeria!M104</f>
        <v>28.9</v>
      </c>
      <c r="O104" s="7" t="n">
        <f aca="false">IF(Raw_Nigeria!N104="","",Raw_Nigeria!N104)</f>
        <v>1743</v>
      </c>
      <c r="P104" s="7" t="str">
        <f aca="false">IF(K104="CBAW","Women of child-bearing age","Children")</f>
        <v>Children</v>
      </c>
      <c r="Q104" s="7" t="n">
        <f aca="false">IF(J104="NOT USED",1,0)</f>
        <v>0</v>
      </c>
      <c r="R104" s="7" t="n">
        <f aca="false">IF(AND(P104="Children",Q104=0),1,0)</f>
        <v>1</v>
      </c>
      <c r="S104" s="7" t="n">
        <f aca="false">IF(AND(R104=1,J104="Record or Recall",K104="12-23 m"),1,0)</f>
        <v>0</v>
      </c>
      <c r="T104" s="7" t="n">
        <f aca="false">IF(OR(I104="BCG",I104="DTP1",I104="DTP3",I104="POL3",I104="MCV1",I104="FULL"),1,0)</f>
        <v>1</v>
      </c>
      <c r="U104" s="7" t="n">
        <f aca="false">IF(OR(C104="DHS",C104="MICS"),1,0)</f>
        <v>1</v>
      </c>
      <c r="V104" s="7" t="n">
        <f aca="false">IF(O104="",1,0)</f>
        <v>0</v>
      </c>
      <c r="W104" s="7" t="n">
        <f aca="false">IF(M104="",1,0)</f>
        <v>0</v>
      </c>
      <c r="X104" s="7" t="n">
        <f aca="false">COUNTIFS($B$2:$B$1141,B104,$H$2:$H$1141,H104,$I$2:$I$1141,I104,$J$2:$J$1141,J104,$K$2:$K$1141,K104,$L$2:$L$1141,L104)</f>
        <v>1</v>
      </c>
    </row>
    <row r="105" customFormat="false" ht="15" hidden="false" customHeight="false" outlineLevel="0" collapsed="false">
      <c r="A105" s="7" t="n">
        <f aca="false">ROW()-1</f>
        <v>104</v>
      </c>
      <c r="B105" s="7" t="str">
        <f aca="false">IF(Raw_Nigeria!B105="",TRIM(Raw_Nigeria!C105),TRIM(Raw_Nigeria!B105))</f>
        <v>FR of Nigeria Multiple Indicator Cluster Survey 1995</v>
      </c>
      <c r="C105" s="7" t="str">
        <f aca="false">IF(ISNUMBER(SEARCH("Demographic and Health",B105)),"DHS",IF(OR(ISNUMBER(SEARCH("Multiple Indicator Cluster",B105)),ISNUMBER(SEARCH("MICS",B105))),"MICS",IF(ISNUMBER(SEARCH("Immunization Coverage Survey",B105)),"Coverage survey",IF(ISNUMBER(SEARCH("Nutrition",B105)),"Nutrition survey","Other"))))</f>
        <v>MICS</v>
      </c>
      <c r="D105" s="7" t="n">
        <f aca="false">VALUE(LEFT(Raw_Nigeria!D105,4))</f>
        <v>1995</v>
      </c>
      <c r="E105" s="7" t="n">
        <f aca="false">IF(VALUE(RIGHT(Raw_Nigeria!D105,2))&gt;12,"",VALUE(RIGHT(Raw_Nigeria!D105,2)))</f>
        <v>3</v>
      </c>
      <c r="F105" s="7" t="n">
        <f aca="false">VALUE(LEFT(Raw_Nigeria!E105,4))</f>
        <v>1995</v>
      </c>
      <c r="G105" s="7" t="n">
        <f aca="false">IF(VALUE(RIGHT(Raw_Nigeria!E105,2))&gt;12,"",VALUE(RIGHT(Raw_Nigeria!E105,2)))</f>
        <v>4</v>
      </c>
      <c r="H105" s="7" t="n">
        <f aca="false">Raw_Nigeria!F105</f>
        <v>1994</v>
      </c>
      <c r="I105" s="7" t="str">
        <f aca="false">UPPER(TRIM(Raw_Nigeria!G105))</f>
        <v>POL3</v>
      </c>
      <c r="J105" s="7" t="str">
        <f aca="false">Raw_Nigeria!H105</f>
        <v>Record</v>
      </c>
      <c r="K105" s="7" t="str">
        <f aca="false">Raw_Nigeria!L105</f>
        <v>12-23 m</v>
      </c>
      <c r="L105" s="7" t="str">
        <f aca="false">IF(Raw_Nigeria!K105="","n/a",Raw_Nigeria!K105)</f>
        <v>0-23 m</v>
      </c>
      <c r="M105" s="7" t="n">
        <f aca="false">IF(Raw_Nigeria!I105="","",Raw_Nigeria!I105)</f>
        <v>18.7</v>
      </c>
      <c r="N105" s="7" t="n">
        <f aca="false">Raw_Nigeria!M105</f>
        <v>10.6</v>
      </c>
      <c r="O105" s="7" t="n">
        <f aca="false">IF(Raw_Nigeria!N105="","",Raw_Nigeria!N105)</f>
        <v>1743</v>
      </c>
      <c r="P105" s="7" t="str">
        <f aca="false">IF(K105="CBAW","Women of child-bearing age","Children")</f>
        <v>Children</v>
      </c>
      <c r="Q105" s="7" t="n">
        <f aca="false">IF(J105="NOT USED",1,0)</f>
        <v>0</v>
      </c>
      <c r="R105" s="7" t="n">
        <f aca="false">IF(AND(P105="Children",Q105=0),1,0)</f>
        <v>1</v>
      </c>
      <c r="S105" s="7" t="n">
        <f aca="false">IF(AND(R105=1,J105="Record or Recall",K105="12-23 m"),1,0)</f>
        <v>0</v>
      </c>
      <c r="T105" s="7" t="n">
        <f aca="false">IF(OR(I105="BCG",I105="DTP1",I105="DTP3",I105="POL3",I105="MCV1",I105="FULL"),1,0)</f>
        <v>1</v>
      </c>
      <c r="U105" s="7" t="n">
        <f aca="false">IF(OR(C105="DHS",C105="MICS"),1,0)</f>
        <v>1</v>
      </c>
      <c r="V105" s="7" t="n">
        <f aca="false">IF(O105="",1,0)</f>
        <v>0</v>
      </c>
      <c r="W105" s="7" t="n">
        <f aca="false">IF(M105="",1,0)</f>
        <v>0</v>
      </c>
      <c r="X105" s="7" t="n">
        <f aca="false">COUNTIFS($B$2:$B$1141,B105,$H$2:$H$1141,H105,$I$2:$I$1141,I105,$J$2:$J$1141,J105,$K$2:$K$1141,K105,$L$2:$L$1141,L105)</f>
        <v>1</v>
      </c>
    </row>
    <row r="106" customFormat="false" ht="15" hidden="false" customHeight="false" outlineLevel="0" collapsed="false">
      <c r="A106" s="7" t="n">
        <f aca="false">ROW()-1</f>
        <v>105</v>
      </c>
      <c r="B106" s="7" t="str">
        <f aca="false">IF(Raw_Nigeria!B106="",TRIM(Raw_Nigeria!C106),TRIM(Raw_Nigeria!B106))</f>
        <v>FR of Nigeria Multiple Indicator Cluster Survey 1995</v>
      </c>
      <c r="C106" s="7" t="str">
        <f aca="false">IF(ISNUMBER(SEARCH("Demographic and Health",B106)),"DHS",IF(OR(ISNUMBER(SEARCH("Multiple Indicator Cluster",B106)),ISNUMBER(SEARCH("MICS",B106))),"MICS",IF(ISNUMBER(SEARCH("Immunization Coverage Survey",B106)),"Coverage survey",IF(ISNUMBER(SEARCH("Nutrition",B106)),"Nutrition survey","Other"))))</f>
        <v>MICS</v>
      </c>
      <c r="D106" s="7" t="n">
        <f aca="false">VALUE(LEFT(Raw_Nigeria!D106,4))</f>
        <v>1995</v>
      </c>
      <c r="E106" s="7" t="n">
        <f aca="false">IF(VALUE(RIGHT(Raw_Nigeria!D106,2))&gt;12,"",VALUE(RIGHT(Raw_Nigeria!D106,2)))</f>
        <v>3</v>
      </c>
      <c r="F106" s="7" t="n">
        <f aca="false">VALUE(LEFT(Raw_Nigeria!E106,4))</f>
        <v>1995</v>
      </c>
      <c r="G106" s="7" t="n">
        <f aca="false">IF(VALUE(RIGHT(Raw_Nigeria!E106,2))&gt;12,"",VALUE(RIGHT(Raw_Nigeria!E106,2)))</f>
        <v>4</v>
      </c>
      <c r="H106" s="7" t="n">
        <f aca="false">Raw_Nigeria!F106</f>
        <v>1994</v>
      </c>
      <c r="I106" s="7" t="str">
        <f aca="false">UPPER(TRIM(Raw_Nigeria!G106))</f>
        <v>POL3</v>
      </c>
      <c r="J106" s="7" t="str">
        <f aca="false">Raw_Nigeria!H106</f>
        <v>Record or Recall</v>
      </c>
      <c r="K106" s="7" t="str">
        <f aca="false">Raw_Nigeria!L106</f>
        <v>12-23 m</v>
      </c>
      <c r="L106" s="7" t="str">
        <f aca="false">IF(Raw_Nigeria!K106="","n/a",Raw_Nigeria!K106)</f>
        <v>0-23 m</v>
      </c>
      <c r="M106" s="7" t="n">
        <f aca="false">IF(Raw_Nigeria!I106="","",Raw_Nigeria!I106)</f>
        <v>18.7</v>
      </c>
      <c r="N106" s="7" t="n">
        <f aca="false">Raw_Nigeria!M106</f>
        <v>27.5</v>
      </c>
      <c r="O106" s="7" t="n">
        <f aca="false">IF(Raw_Nigeria!N106="","",Raw_Nigeria!N106)</f>
        <v>1743</v>
      </c>
      <c r="P106" s="7" t="str">
        <f aca="false">IF(K106="CBAW","Women of child-bearing age","Children")</f>
        <v>Children</v>
      </c>
      <c r="Q106" s="7" t="n">
        <f aca="false">IF(J106="NOT USED",1,0)</f>
        <v>0</v>
      </c>
      <c r="R106" s="7" t="n">
        <f aca="false">IF(AND(P106="Children",Q106=0),1,0)</f>
        <v>1</v>
      </c>
      <c r="S106" s="7" t="n">
        <f aca="false">IF(AND(R106=1,J106="Record or Recall",K106="12-23 m"),1,0)</f>
        <v>1</v>
      </c>
      <c r="T106" s="7" t="n">
        <f aca="false">IF(OR(I106="BCG",I106="DTP1",I106="DTP3",I106="POL3",I106="MCV1",I106="FULL"),1,0)</f>
        <v>1</v>
      </c>
      <c r="U106" s="7" t="n">
        <f aca="false">IF(OR(C106="DHS",C106="MICS"),1,0)</f>
        <v>1</v>
      </c>
      <c r="V106" s="7" t="n">
        <f aca="false">IF(O106="",1,0)</f>
        <v>0</v>
      </c>
      <c r="W106" s="7" t="n">
        <f aca="false">IF(M106="",1,0)</f>
        <v>0</v>
      </c>
      <c r="X106" s="7" t="n">
        <f aca="false">COUNTIFS($B$2:$B$1141,B106,$H$2:$H$1141,H106,$I$2:$I$1141,I106,$J$2:$J$1141,J106,$K$2:$K$1141,K106,$L$2:$L$1141,L106)</f>
        <v>1</v>
      </c>
    </row>
    <row r="107" customFormat="false" ht="15" hidden="false" customHeight="false" outlineLevel="0" collapsed="false">
      <c r="A107" s="7" t="n">
        <f aca="false">ROW()-1</f>
        <v>106</v>
      </c>
      <c r="B107" s="7" t="str">
        <f aca="false">IF(Raw_Nigeria!B107="",TRIM(Raw_Nigeria!C107),TRIM(Raw_Nigeria!B107))</f>
        <v>FR of Nigeria Multiple Indicator Cluster Survey 1995</v>
      </c>
      <c r="C107" s="7" t="str">
        <f aca="false">IF(ISNUMBER(SEARCH("Demographic and Health",B107)),"DHS",IF(OR(ISNUMBER(SEARCH("Multiple Indicator Cluster",B107)),ISNUMBER(SEARCH("MICS",B107))),"MICS",IF(ISNUMBER(SEARCH("Immunization Coverage Survey",B107)),"Coverage survey",IF(ISNUMBER(SEARCH("Nutrition",B107)),"Nutrition survey","Other"))))</f>
        <v>MICS</v>
      </c>
      <c r="D107" s="7" t="n">
        <f aca="false">VALUE(LEFT(Raw_Nigeria!D107,4))</f>
        <v>1995</v>
      </c>
      <c r="E107" s="7" t="n">
        <f aca="false">IF(VALUE(RIGHT(Raw_Nigeria!D107,2))&gt;12,"",VALUE(RIGHT(Raw_Nigeria!D107,2)))</f>
        <v>3</v>
      </c>
      <c r="F107" s="7" t="n">
        <f aca="false">VALUE(LEFT(Raw_Nigeria!E107,4))</f>
        <v>1995</v>
      </c>
      <c r="G107" s="7" t="n">
        <f aca="false">IF(VALUE(RIGHT(Raw_Nigeria!E107,2))&gt;12,"",VALUE(RIGHT(Raw_Nigeria!E107,2)))</f>
        <v>4</v>
      </c>
      <c r="H107" s="7" t="n">
        <f aca="false">Raw_Nigeria!F107</f>
        <v>1994</v>
      </c>
      <c r="I107" s="7" t="str">
        <f aca="false">UPPER(TRIM(Raw_Nigeria!G107))</f>
        <v>POL3</v>
      </c>
      <c r="J107" s="7" t="str">
        <f aca="false">Raw_Nigeria!H107</f>
        <v>Recall</v>
      </c>
      <c r="K107" s="7" t="str">
        <f aca="false">Raw_Nigeria!L107</f>
        <v>12-23 m</v>
      </c>
      <c r="L107" s="7" t="str">
        <f aca="false">IF(Raw_Nigeria!K107="","n/a",Raw_Nigeria!K107)</f>
        <v>0-23 m</v>
      </c>
      <c r="M107" s="7" t="n">
        <f aca="false">IF(Raw_Nigeria!I107="","",Raw_Nigeria!I107)</f>
        <v>18.7</v>
      </c>
      <c r="N107" s="7" t="n">
        <f aca="false">Raw_Nigeria!M107</f>
        <v>16.9</v>
      </c>
      <c r="O107" s="7" t="n">
        <f aca="false">IF(Raw_Nigeria!N107="","",Raw_Nigeria!N107)</f>
        <v>1743</v>
      </c>
      <c r="P107" s="7" t="str">
        <f aca="false">IF(K107="CBAW","Women of child-bearing age","Children")</f>
        <v>Children</v>
      </c>
      <c r="Q107" s="7" t="n">
        <f aca="false">IF(J107="NOT USED",1,0)</f>
        <v>0</v>
      </c>
      <c r="R107" s="7" t="n">
        <f aca="false">IF(AND(P107="Children",Q107=0),1,0)</f>
        <v>1</v>
      </c>
      <c r="S107" s="7" t="n">
        <f aca="false">IF(AND(R107=1,J107="Record or Recall",K107="12-23 m"),1,0)</f>
        <v>0</v>
      </c>
      <c r="T107" s="7" t="n">
        <f aca="false">IF(OR(I107="BCG",I107="DTP1",I107="DTP3",I107="POL3",I107="MCV1",I107="FULL"),1,0)</f>
        <v>1</v>
      </c>
      <c r="U107" s="7" t="n">
        <f aca="false">IF(OR(C107="DHS",C107="MICS"),1,0)</f>
        <v>1</v>
      </c>
      <c r="V107" s="7" t="n">
        <f aca="false">IF(O107="",1,0)</f>
        <v>0</v>
      </c>
      <c r="W107" s="7" t="n">
        <f aca="false">IF(M107="",1,0)</f>
        <v>0</v>
      </c>
      <c r="X107" s="7" t="n">
        <f aca="false">COUNTIFS($B$2:$B$1141,B107,$H$2:$H$1141,H107,$I$2:$I$1141,I107,$J$2:$J$1141,J107,$K$2:$K$1141,K107,$L$2:$L$1141,L107)</f>
        <v>1</v>
      </c>
    </row>
    <row r="108" customFormat="false" ht="15" hidden="false" customHeight="false" outlineLevel="0" collapsed="false">
      <c r="A108" s="7" t="n">
        <f aca="false">ROW()-1</f>
        <v>107</v>
      </c>
      <c r="B108" s="7" t="str">
        <f aca="false">IF(Raw_Nigeria!B108="",TRIM(Raw_Nigeria!C108),TRIM(Raw_Nigeria!B108))</f>
        <v>Nigeria Demographic and Health Survey 1999, 2000</v>
      </c>
      <c r="C108" s="7" t="str">
        <f aca="false">IF(ISNUMBER(SEARCH("Demographic and Health",B108)),"DHS",IF(OR(ISNUMBER(SEARCH("Multiple Indicator Cluster",B108)),ISNUMBER(SEARCH("MICS",B108))),"MICS",IF(ISNUMBER(SEARCH("Immunization Coverage Survey",B108)),"Coverage survey",IF(ISNUMBER(SEARCH("Nutrition",B108)),"Nutrition survey","Other"))))</f>
        <v>DHS</v>
      </c>
      <c r="D108" s="7" t="n">
        <f aca="false">VALUE(LEFT(Raw_Nigeria!D108,4))</f>
        <v>1999</v>
      </c>
      <c r="E108" s="7" t="n">
        <f aca="false">IF(VALUE(RIGHT(Raw_Nigeria!D108,2))&gt;12,"",VALUE(RIGHT(Raw_Nigeria!D108,2)))</f>
        <v>3</v>
      </c>
      <c r="F108" s="7" t="n">
        <f aca="false">VALUE(LEFT(Raw_Nigeria!E108,4))</f>
        <v>1999</v>
      </c>
      <c r="G108" s="7" t="n">
        <f aca="false">IF(VALUE(RIGHT(Raw_Nigeria!E108,2))&gt;12,"",VALUE(RIGHT(Raw_Nigeria!E108,2)))</f>
        <v>5</v>
      </c>
      <c r="H108" s="7" t="n">
        <f aca="false">Raw_Nigeria!F108</f>
        <v>1998</v>
      </c>
      <c r="I108" s="7" t="str">
        <f aca="false">UPPER(TRIM(Raw_Nigeria!G108))</f>
        <v>BCG</v>
      </c>
      <c r="J108" s="7" t="str">
        <f aca="false">Raw_Nigeria!H108</f>
        <v>Record or Recall&lt;12m</v>
      </c>
      <c r="K108" s="7" t="str">
        <f aca="false">Raw_Nigeria!L108</f>
        <v>12-23 m</v>
      </c>
      <c r="L108" s="7" t="str">
        <f aca="false">IF(Raw_Nigeria!K108="","n/a",Raw_Nigeria!K108)</f>
        <v>0-12 m</v>
      </c>
      <c r="M108" s="7" t="str">
        <f aca="false">IF(Raw_Nigeria!I108="","",Raw_Nigeria!I108)</f>
        <v/>
      </c>
      <c r="N108" s="7" t="n">
        <f aca="false">Raw_Nigeria!M108</f>
        <v>52</v>
      </c>
      <c r="O108" s="7" t="n">
        <f aca="false">IF(Raw_Nigeria!N108="","",Raw_Nigeria!N108)</f>
        <v>1161</v>
      </c>
      <c r="P108" s="7" t="str">
        <f aca="false">IF(K108="CBAW","Women of child-bearing age","Children")</f>
        <v>Children</v>
      </c>
      <c r="Q108" s="7" t="n">
        <f aca="false">IF(J108="NOT USED",1,0)</f>
        <v>0</v>
      </c>
      <c r="R108" s="7" t="n">
        <f aca="false">IF(AND(P108="Children",Q108=0),1,0)</f>
        <v>1</v>
      </c>
      <c r="S108" s="7" t="n">
        <f aca="false">IF(AND(R108=1,J108="Record or Recall",K108="12-23 m"),1,0)</f>
        <v>0</v>
      </c>
      <c r="T108" s="7" t="n">
        <f aca="false">IF(OR(I108="BCG",I108="DTP1",I108="DTP3",I108="POL3",I108="MCV1",I108="FULL"),1,0)</f>
        <v>1</v>
      </c>
      <c r="U108" s="7" t="n">
        <f aca="false">IF(OR(C108="DHS",C108="MICS"),1,0)</f>
        <v>1</v>
      </c>
      <c r="V108" s="7" t="n">
        <f aca="false">IF(O108="",1,0)</f>
        <v>0</v>
      </c>
      <c r="W108" s="7" t="n">
        <f aca="false">IF(M108="",1,0)</f>
        <v>1</v>
      </c>
      <c r="X108" s="7" t="n">
        <f aca="false">COUNTIFS($B$2:$B$1141,B108,$H$2:$H$1141,H108,$I$2:$I$1141,I108,$J$2:$J$1141,J108,$K$2:$K$1141,K108,$L$2:$L$1141,L108)</f>
        <v>1</v>
      </c>
    </row>
    <row r="109" customFormat="false" ht="15" hidden="false" customHeight="false" outlineLevel="0" collapsed="false">
      <c r="A109" s="7" t="n">
        <f aca="false">ROW()-1</f>
        <v>108</v>
      </c>
      <c r="B109" s="7" t="str">
        <f aca="false">IF(Raw_Nigeria!B109="",TRIM(Raw_Nigeria!C109),TRIM(Raw_Nigeria!B109))</f>
        <v>Nigeria Demographic and Health Survey 1999, 2000</v>
      </c>
      <c r="C109" s="7" t="str">
        <f aca="false">IF(ISNUMBER(SEARCH("Demographic and Health",B109)),"DHS",IF(OR(ISNUMBER(SEARCH("Multiple Indicator Cluster",B109)),ISNUMBER(SEARCH("MICS",B109))),"MICS",IF(ISNUMBER(SEARCH("Immunization Coverage Survey",B109)),"Coverage survey",IF(ISNUMBER(SEARCH("Nutrition",B109)),"Nutrition survey","Other"))))</f>
        <v>DHS</v>
      </c>
      <c r="D109" s="7" t="n">
        <f aca="false">VALUE(LEFT(Raw_Nigeria!D109,4))</f>
        <v>1999</v>
      </c>
      <c r="E109" s="7" t="n">
        <f aca="false">IF(VALUE(RIGHT(Raw_Nigeria!D109,2))&gt;12,"",VALUE(RIGHT(Raw_Nigeria!D109,2)))</f>
        <v>3</v>
      </c>
      <c r="F109" s="7" t="n">
        <f aca="false">VALUE(LEFT(Raw_Nigeria!E109,4))</f>
        <v>1999</v>
      </c>
      <c r="G109" s="7" t="n">
        <f aca="false">IF(VALUE(RIGHT(Raw_Nigeria!E109,2))&gt;12,"",VALUE(RIGHT(Raw_Nigeria!E109,2)))</f>
        <v>5</v>
      </c>
      <c r="H109" s="7" t="n">
        <f aca="false">Raw_Nigeria!F109</f>
        <v>1998</v>
      </c>
      <c r="I109" s="7" t="str">
        <f aca="false">UPPER(TRIM(Raw_Nigeria!G109))</f>
        <v>BCG</v>
      </c>
      <c r="J109" s="7" t="str">
        <f aca="false">Raw_Nigeria!H109</f>
        <v>Record</v>
      </c>
      <c r="K109" s="7" t="str">
        <f aca="false">Raw_Nigeria!L109</f>
        <v>12-23 m</v>
      </c>
      <c r="L109" s="7" t="str">
        <f aca="false">IF(Raw_Nigeria!K109="","n/a",Raw_Nigeria!K109)</f>
        <v>0-23 m</v>
      </c>
      <c r="M109" s="7" t="str">
        <f aca="false">IF(Raw_Nigeria!I109="","",Raw_Nigeria!I109)</f>
        <v/>
      </c>
      <c r="N109" s="7" t="n">
        <f aca="false">Raw_Nigeria!M109</f>
        <v>18.7</v>
      </c>
      <c r="O109" s="7" t="n">
        <f aca="false">IF(Raw_Nigeria!N109="","",Raw_Nigeria!N109)</f>
        <v>1161</v>
      </c>
      <c r="P109" s="7" t="str">
        <f aca="false">IF(K109="CBAW","Women of child-bearing age","Children")</f>
        <v>Children</v>
      </c>
      <c r="Q109" s="7" t="n">
        <f aca="false">IF(J109="NOT USED",1,0)</f>
        <v>0</v>
      </c>
      <c r="R109" s="7" t="n">
        <f aca="false">IF(AND(P109="Children",Q109=0),1,0)</f>
        <v>1</v>
      </c>
      <c r="S109" s="7" t="n">
        <f aca="false">IF(AND(R109=1,J109="Record or Recall",K109="12-23 m"),1,0)</f>
        <v>0</v>
      </c>
      <c r="T109" s="7" t="n">
        <f aca="false">IF(OR(I109="BCG",I109="DTP1",I109="DTP3",I109="POL3",I109="MCV1",I109="FULL"),1,0)</f>
        <v>1</v>
      </c>
      <c r="U109" s="7" t="n">
        <f aca="false">IF(OR(C109="DHS",C109="MICS"),1,0)</f>
        <v>1</v>
      </c>
      <c r="V109" s="7" t="n">
        <f aca="false">IF(O109="",1,0)</f>
        <v>0</v>
      </c>
      <c r="W109" s="7" t="n">
        <f aca="false">IF(M109="",1,0)</f>
        <v>1</v>
      </c>
      <c r="X109" s="7" t="n">
        <f aca="false">COUNTIFS($B$2:$B$1141,B109,$H$2:$H$1141,H109,$I$2:$I$1141,I109,$J$2:$J$1141,J109,$K$2:$K$1141,K109,$L$2:$L$1141,L109)</f>
        <v>1</v>
      </c>
    </row>
    <row r="110" customFormat="false" ht="15" hidden="false" customHeight="false" outlineLevel="0" collapsed="false">
      <c r="A110" s="7" t="n">
        <f aca="false">ROW()-1</f>
        <v>109</v>
      </c>
      <c r="B110" s="7" t="str">
        <f aca="false">IF(Raw_Nigeria!B110="",TRIM(Raw_Nigeria!C110),TRIM(Raw_Nigeria!B110))</f>
        <v>Nigeria Demographic and Health Survey 1999, 2000</v>
      </c>
      <c r="C110" s="7" t="str">
        <f aca="false">IF(ISNUMBER(SEARCH("Demographic and Health",B110)),"DHS",IF(OR(ISNUMBER(SEARCH("Multiple Indicator Cluster",B110)),ISNUMBER(SEARCH("MICS",B110))),"MICS",IF(ISNUMBER(SEARCH("Immunization Coverage Survey",B110)),"Coverage survey",IF(ISNUMBER(SEARCH("Nutrition",B110)),"Nutrition survey","Other"))))</f>
        <v>DHS</v>
      </c>
      <c r="D110" s="7" t="n">
        <f aca="false">VALUE(LEFT(Raw_Nigeria!D110,4))</f>
        <v>1999</v>
      </c>
      <c r="E110" s="7" t="n">
        <f aca="false">IF(VALUE(RIGHT(Raw_Nigeria!D110,2))&gt;12,"",VALUE(RIGHT(Raw_Nigeria!D110,2)))</f>
        <v>3</v>
      </c>
      <c r="F110" s="7" t="n">
        <f aca="false">VALUE(LEFT(Raw_Nigeria!E110,4))</f>
        <v>1999</v>
      </c>
      <c r="G110" s="7" t="n">
        <f aca="false">IF(VALUE(RIGHT(Raw_Nigeria!E110,2))&gt;12,"",VALUE(RIGHT(Raw_Nigeria!E110,2)))</f>
        <v>5</v>
      </c>
      <c r="H110" s="7" t="n">
        <f aca="false">Raw_Nigeria!F110</f>
        <v>1998</v>
      </c>
      <c r="I110" s="7" t="str">
        <f aca="false">UPPER(TRIM(Raw_Nigeria!G110))</f>
        <v>BCG</v>
      </c>
      <c r="J110" s="7" t="str">
        <f aca="false">Raw_Nigeria!H110</f>
        <v>Record or Recall</v>
      </c>
      <c r="K110" s="7" t="str">
        <f aca="false">Raw_Nigeria!L110</f>
        <v>12-23 m</v>
      </c>
      <c r="L110" s="7" t="str">
        <f aca="false">IF(Raw_Nigeria!K110="","n/a",Raw_Nigeria!K110)</f>
        <v>0-23 m</v>
      </c>
      <c r="M110" s="7" t="str">
        <f aca="false">IF(Raw_Nigeria!I110="","",Raw_Nigeria!I110)</f>
        <v/>
      </c>
      <c r="N110" s="7" t="n">
        <f aca="false">Raw_Nigeria!M110</f>
        <v>53.8</v>
      </c>
      <c r="O110" s="7" t="n">
        <f aca="false">IF(Raw_Nigeria!N110="","",Raw_Nigeria!N110)</f>
        <v>1161</v>
      </c>
      <c r="P110" s="7" t="str">
        <f aca="false">IF(K110="CBAW","Women of child-bearing age","Children")</f>
        <v>Children</v>
      </c>
      <c r="Q110" s="7" t="n">
        <f aca="false">IF(J110="NOT USED",1,0)</f>
        <v>0</v>
      </c>
      <c r="R110" s="7" t="n">
        <f aca="false">IF(AND(P110="Children",Q110=0),1,0)</f>
        <v>1</v>
      </c>
      <c r="S110" s="7" t="n">
        <f aca="false">IF(AND(R110=1,J110="Record or Recall",K110="12-23 m"),1,0)</f>
        <v>1</v>
      </c>
      <c r="T110" s="7" t="n">
        <f aca="false">IF(OR(I110="BCG",I110="DTP1",I110="DTP3",I110="POL3",I110="MCV1",I110="FULL"),1,0)</f>
        <v>1</v>
      </c>
      <c r="U110" s="7" t="n">
        <f aca="false">IF(OR(C110="DHS",C110="MICS"),1,0)</f>
        <v>1</v>
      </c>
      <c r="V110" s="7" t="n">
        <f aca="false">IF(O110="",1,0)</f>
        <v>0</v>
      </c>
      <c r="W110" s="7" t="n">
        <f aca="false">IF(M110="",1,0)</f>
        <v>1</v>
      </c>
      <c r="X110" s="7" t="n">
        <f aca="false">COUNTIFS($B$2:$B$1141,B110,$H$2:$H$1141,H110,$I$2:$I$1141,I110,$J$2:$J$1141,J110,$K$2:$K$1141,K110,$L$2:$L$1141,L110)</f>
        <v>1</v>
      </c>
    </row>
    <row r="111" customFormat="false" ht="15" hidden="false" customHeight="false" outlineLevel="0" collapsed="false">
      <c r="A111" s="7" t="n">
        <f aca="false">ROW()-1</f>
        <v>110</v>
      </c>
      <c r="B111" s="7" t="str">
        <f aca="false">IF(Raw_Nigeria!B111="",TRIM(Raw_Nigeria!C111),TRIM(Raw_Nigeria!B111))</f>
        <v>Nigeria Demographic and Health Survey 1999, 2000</v>
      </c>
      <c r="C111" s="7" t="str">
        <f aca="false">IF(ISNUMBER(SEARCH("Demographic and Health",B111)),"DHS",IF(OR(ISNUMBER(SEARCH("Multiple Indicator Cluster",B111)),ISNUMBER(SEARCH("MICS",B111))),"MICS",IF(ISNUMBER(SEARCH("Immunization Coverage Survey",B111)),"Coverage survey",IF(ISNUMBER(SEARCH("Nutrition",B111)),"Nutrition survey","Other"))))</f>
        <v>DHS</v>
      </c>
      <c r="D111" s="7" t="n">
        <f aca="false">VALUE(LEFT(Raw_Nigeria!D111,4))</f>
        <v>1999</v>
      </c>
      <c r="E111" s="7" t="n">
        <f aca="false">IF(VALUE(RIGHT(Raw_Nigeria!D111,2))&gt;12,"",VALUE(RIGHT(Raw_Nigeria!D111,2)))</f>
        <v>3</v>
      </c>
      <c r="F111" s="7" t="n">
        <f aca="false">VALUE(LEFT(Raw_Nigeria!E111,4))</f>
        <v>1999</v>
      </c>
      <c r="G111" s="7" t="n">
        <f aca="false">IF(VALUE(RIGHT(Raw_Nigeria!E111,2))&gt;12,"",VALUE(RIGHT(Raw_Nigeria!E111,2)))</f>
        <v>5</v>
      </c>
      <c r="H111" s="7" t="n">
        <f aca="false">Raw_Nigeria!F111</f>
        <v>1998</v>
      </c>
      <c r="I111" s="7" t="str">
        <f aca="false">UPPER(TRIM(Raw_Nigeria!G111))</f>
        <v>BCG</v>
      </c>
      <c r="J111" s="7" t="str">
        <f aca="false">Raw_Nigeria!H111</f>
        <v>Recall</v>
      </c>
      <c r="K111" s="7" t="str">
        <f aca="false">Raw_Nigeria!L111</f>
        <v>12-23 m</v>
      </c>
      <c r="L111" s="7" t="str">
        <f aca="false">IF(Raw_Nigeria!K111="","n/a",Raw_Nigeria!K111)</f>
        <v>0-23 m</v>
      </c>
      <c r="M111" s="7" t="str">
        <f aca="false">IF(Raw_Nigeria!I111="","",Raw_Nigeria!I111)</f>
        <v/>
      </c>
      <c r="N111" s="7" t="n">
        <f aca="false">Raw_Nigeria!M111</f>
        <v>35.1</v>
      </c>
      <c r="O111" s="7" t="n">
        <f aca="false">IF(Raw_Nigeria!N111="","",Raw_Nigeria!N111)</f>
        <v>1161</v>
      </c>
      <c r="P111" s="7" t="str">
        <f aca="false">IF(K111="CBAW","Women of child-bearing age","Children")</f>
        <v>Children</v>
      </c>
      <c r="Q111" s="7" t="n">
        <f aca="false">IF(J111="NOT USED",1,0)</f>
        <v>0</v>
      </c>
      <c r="R111" s="7" t="n">
        <f aca="false">IF(AND(P111="Children",Q111=0),1,0)</f>
        <v>1</v>
      </c>
      <c r="S111" s="7" t="n">
        <f aca="false">IF(AND(R111=1,J111="Record or Recall",K111="12-23 m"),1,0)</f>
        <v>0</v>
      </c>
      <c r="T111" s="7" t="n">
        <f aca="false">IF(OR(I111="BCG",I111="DTP1",I111="DTP3",I111="POL3",I111="MCV1",I111="FULL"),1,0)</f>
        <v>1</v>
      </c>
      <c r="U111" s="7" t="n">
        <f aca="false">IF(OR(C111="DHS",C111="MICS"),1,0)</f>
        <v>1</v>
      </c>
      <c r="V111" s="7" t="n">
        <f aca="false">IF(O111="",1,0)</f>
        <v>0</v>
      </c>
      <c r="W111" s="7" t="n">
        <f aca="false">IF(M111="",1,0)</f>
        <v>1</v>
      </c>
      <c r="X111" s="7" t="n">
        <f aca="false">COUNTIFS($B$2:$B$1141,B111,$H$2:$H$1141,H111,$I$2:$I$1141,I111,$J$2:$J$1141,J111,$K$2:$K$1141,K111,$L$2:$L$1141,L111)</f>
        <v>1</v>
      </c>
    </row>
    <row r="112" customFormat="false" ht="15" hidden="false" customHeight="false" outlineLevel="0" collapsed="false">
      <c r="A112" s="7" t="n">
        <f aca="false">ROW()-1</f>
        <v>111</v>
      </c>
      <c r="B112" s="7" t="str">
        <f aca="false">IF(Raw_Nigeria!B112="",TRIM(Raw_Nigeria!C112),TRIM(Raw_Nigeria!B112))</f>
        <v>Nigeria Demographic and Health Survey 1999, 2000</v>
      </c>
      <c r="C112" s="7" t="str">
        <f aca="false">IF(ISNUMBER(SEARCH("Demographic and Health",B112)),"DHS",IF(OR(ISNUMBER(SEARCH("Multiple Indicator Cluster",B112)),ISNUMBER(SEARCH("MICS",B112))),"MICS",IF(ISNUMBER(SEARCH("Immunization Coverage Survey",B112)),"Coverage survey",IF(ISNUMBER(SEARCH("Nutrition",B112)),"Nutrition survey","Other"))))</f>
        <v>DHS</v>
      </c>
      <c r="D112" s="7" t="n">
        <f aca="false">VALUE(LEFT(Raw_Nigeria!D112,4))</f>
        <v>1999</v>
      </c>
      <c r="E112" s="7" t="n">
        <f aca="false">IF(VALUE(RIGHT(Raw_Nigeria!D112,2))&gt;12,"",VALUE(RIGHT(Raw_Nigeria!D112,2)))</f>
        <v>3</v>
      </c>
      <c r="F112" s="7" t="n">
        <f aca="false">VALUE(LEFT(Raw_Nigeria!E112,4))</f>
        <v>1999</v>
      </c>
      <c r="G112" s="7" t="n">
        <f aca="false">IF(VALUE(RIGHT(Raw_Nigeria!E112,2))&gt;12,"",VALUE(RIGHT(Raw_Nigeria!E112,2)))</f>
        <v>5</v>
      </c>
      <c r="H112" s="7" t="n">
        <f aca="false">Raw_Nigeria!F112</f>
        <v>1998</v>
      </c>
      <c r="I112" s="7" t="str">
        <f aca="false">UPPER(TRIM(Raw_Nigeria!G112))</f>
        <v>DTP1</v>
      </c>
      <c r="J112" s="7" t="str">
        <f aca="false">Raw_Nigeria!H112</f>
        <v>Record or Recall&lt;12m</v>
      </c>
      <c r="K112" s="7" t="str">
        <f aca="false">Raw_Nigeria!L112</f>
        <v>12-23 m</v>
      </c>
      <c r="L112" s="7" t="str">
        <f aca="false">IF(Raw_Nigeria!K112="","n/a",Raw_Nigeria!K112)</f>
        <v>0-12 m</v>
      </c>
      <c r="M112" s="7" t="str">
        <f aca="false">IF(Raw_Nigeria!I112="","",Raw_Nigeria!I112)</f>
        <v/>
      </c>
      <c r="N112" s="7" t="n">
        <f aca="false">Raw_Nigeria!M112</f>
        <v>45.7</v>
      </c>
      <c r="O112" s="7" t="n">
        <f aca="false">IF(Raw_Nigeria!N112="","",Raw_Nigeria!N112)</f>
        <v>1161</v>
      </c>
      <c r="P112" s="7" t="str">
        <f aca="false">IF(K112="CBAW","Women of child-bearing age","Children")</f>
        <v>Children</v>
      </c>
      <c r="Q112" s="7" t="n">
        <f aca="false">IF(J112="NOT USED",1,0)</f>
        <v>0</v>
      </c>
      <c r="R112" s="7" t="n">
        <f aca="false">IF(AND(P112="Children",Q112=0),1,0)</f>
        <v>1</v>
      </c>
      <c r="S112" s="7" t="n">
        <f aca="false">IF(AND(R112=1,J112="Record or Recall",K112="12-23 m"),1,0)</f>
        <v>0</v>
      </c>
      <c r="T112" s="7" t="n">
        <f aca="false">IF(OR(I112="BCG",I112="DTP1",I112="DTP3",I112="POL3",I112="MCV1",I112="FULL"),1,0)</f>
        <v>1</v>
      </c>
      <c r="U112" s="7" t="n">
        <f aca="false">IF(OR(C112="DHS",C112="MICS"),1,0)</f>
        <v>1</v>
      </c>
      <c r="V112" s="7" t="n">
        <f aca="false">IF(O112="",1,0)</f>
        <v>0</v>
      </c>
      <c r="W112" s="7" t="n">
        <f aca="false">IF(M112="",1,0)</f>
        <v>1</v>
      </c>
      <c r="X112" s="7" t="n">
        <f aca="false">COUNTIFS($B$2:$B$1141,B112,$H$2:$H$1141,H112,$I$2:$I$1141,I112,$J$2:$J$1141,J112,$K$2:$K$1141,K112,$L$2:$L$1141,L112)</f>
        <v>1</v>
      </c>
    </row>
    <row r="113" customFormat="false" ht="15" hidden="false" customHeight="false" outlineLevel="0" collapsed="false">
      <c r="A113" s="7" t="n">
        <f aca="false">ROW()-1</f>
        <v>112</v>
      </c>
      <c r="B113" s="7" t="str">
        <f aca="false">IF(Raw_Nigeria!B113="",TRIM(Raw_Nigeria!C113),TRIM(Raw_Nigeria!B113))</f>
        <v>Nigeria Demographic and Health Survey 1999, 2000</v>
      </c>
      <c r="C113" s="7" t="str">
        <f aca="false">IF(ISNUMBER(SEARCH("Demographic and Health",B113)),"DHS",IF(OR(ISNUMBER(SEARCH("Multiple Indicator Cluster",B113)),ISNUMBER(SEARCH("MICS",B113))),"MICS",IF(ISNUMBER(SEARCH("Immunization Coverage Survey",B113)),"Coverage survey",IF(ISNUMBER(SEARCH("Nutrition",B113)),"Nutrition survey","Other"))))</f>
        <v>DHS</v>
      </c>
      <c r="D113" s="7" t="n">
        <f aca="false">VALUE(LEFT(Raw_Nigeria!D113,4))</f>
        <v>1999</v>
      </c>
      <c r="E113" s="7" t="n">
        <f aca="false">IF(VALUE(RIGHT(Raw_Nigeria!D113,2))&gt;12,"",VALUE(RIGHT(Raw_Nigeria!D113,2)))</f>
        <v>3</v>
      </c>
      <c r="F113" s="7" t="n">
        <f aca="false">VALUE(LEFT(Raw_Nigeria!E113,4))</f>
        <v>1999</v>
      </c>
      <c r="G113" s="7" t="n">
        <f aca="false">IF(VALUE(RIGHT(Raw_Nigeria!E113,2))&gt;12,"",VALUE(RIGHT(Raw_Nigeria!E113,2)))</f>
        <v>5</v>
      </c>
      <c r="H113" s="7" t="n">
        <f aca="false">Raw_Nigeria!F113</f>
        <v>1998</v>
      </c>
      <c r="I113" s="7" t="str">
        <f aca="false">UPPER(TRIM(Raw_Nigeria!G113))</f>
        <v>DTP1</v>
      </c>
      <c r="J113" s="7" t="str">
        <f aca="false">Raw_Nigeria!H113</f>
        <v>Record</v>
      </c>
      <c r="K113" s="7" t="str">
        <f aca="false">Raw_Nigeria!L113</f>
        <v>12-23 m</v>
      </c>
      <c r="L113" s="7" t="str">
        <f aca="false">IF(Raw_Nigeria!K113="","n/a",Raw_Nigeria!K113)</f>
        <v>0-23 m</v>
      </c>
      <c r="M113" s="7" t="str">
        <f aca="false">IF(Raw_Nigeria!I113="","",Raw_Nigeria!I113)</f>
        <v/>
      </c>
      <c r="N113" s="7" t="n">
        <f aca="false">Raw_Nigeria!M113</f>
        <v>16.4</v>
      </c>
      <c r="O113" s="7" t="n">
        <f aca="false">IF(Raw_Nigeria!N113="","",Raw_Nigeria!N113)</f>
        <v>1161</v>
      </c>
      <c r="P113" s="7" t="str">
        <f aca="false">IF(K113="CBAW","Women of child-bearing age","Children")</f>
        <v>Children</v>
      </c>
      <c r="Q113" s="7" t="n">
        <f aca="false">IF(J113="NOT USED",1,0)</f>
        <v>0</v>
      </c>
      <c r="R113" s="7" t="n">
        <f aca="false">IF(AND(P113="Children",Q113=0),1,0)</f>
        <v>1</v>
      </c>
      <c r="S113" s="7" t="n">
        <f aca="false">IF(AND(R113=1,J113="Record or Recall",K113="12-23 m"),1,0)</f>
        <v>0</v>
      </c>
      <c r="T113" s="7" t="n">
        <f aca="false">IF(OR(I113="BCG",I113="DTP1",I113="DTP3",I113="POL3",I113="MCV1",I113="FULL"),1,0)</f>
        <v>1</v>
      </c>
      <c r="U113" s="7" t="n">
        <f aca="false">IF(OR(C113="DHS",C113="MICS"),1,0)</f>
        <v>1</v>
      </c>
      <c r="V113" s="7" t="n">
        <f aca="false">IF(O113="",1,0)</f>
        <v>0</v>
      </c>
      <c r="W113" s="7" t="n">
        <f aca="false">IF(M113="",1,0)</f>
        <v>1</v>
      </c>
      <c r="X113" s="7" t="n">
        <f aca="false">COUNTIFS($B$2:$B$1141,B113,$H$2:$H$1141,H113,$I$2:$I$1141,I113,$J$2:$J$1141,J113,$K$2:$K$1141,K113,$L$2:$L$1141,L113)</f>
        <v>1</v>
      </c>
    </row>
    <row r="114" customFormat="false" ht="15" hidden="false" customHeight="false" outlineLevel="0" collapsed="false">
      <c r="A114" s="7" t="n">
        <f aca="false">ROW()-1</f>
        <v>113</v>
      </c>
      <c r="B114" s="7" t="str">
        <f aca="false">IF(Raw_Nigeria!B114="",TRIM(Raw_Nigeria!C114),TRIM(Raw_Nigeria!B114))</f>
        <v>Nigeria Demographic and Health Survey 1999, 2000</v>
      </c>
      <c r="C114" s="7" t="str">
        <f aca="false">IF(ISNUMBER(SEARCH("Demographic and Health",B114)),"DHS",IF(OR(ISNUMBER(SEARCH("Multiple Indicator Cluster",B114)),ISNUMBER(SEARCH("MICS",B114))),"MICS",IF(ISNUMBER(SEARCH("Immunization Coverage Survey",B114)),"Coverage survey",IF(ISNUMBER(SEARCH("Nutrition",B114)),"Nutrition survey","Other"))))</f>
        <v>DHS</v>
      </c>
      <c r="D114" s="7" t="n">
        <f aca="false">VALUE(LEFT(Raw_Nigeria!D114,4))</f>
        <v>1999</v>
      </c>
      <c r="E114" s="7" t="n">
        <f aca="false">IF(VALUE(RIGHT(Raw_Nigeria!D114,2))&gt;12,"",VALUE(RIGHT(Raw_Nigeria!D114,2)))</f>
        <v>3</v>
      </c>
      <c r="F114" s="7" t="n">
        <f aca="false">VALUE(LEFT(Raw_Nigeria!E114,4))</f>
        <v>1999</v>
      </c>
      <c r="G114" s="7" t="n">
        <f aca="false">IF(VALUE(RIGHT(Raw_Nigeria!E114,2))&gt;12,"",VALUE(RIGHT(Raw_Nigeria!E114,2)))</f>
        <v>5</v>
      </c>
      <c r="H114" s="7" t="n">
        <f aca="false">Raw_Nigeria!F114</f>
        <v>1998</v>
      </c>
      <c r="I114" s="7" t="str">
        <f aca="false">UPPER(TRIM(Raw_Nigeria!G114))</f>
        <v>DTP1</v>
      </c>
      <c r="J114" s="7" t="str">
        <f aca="false">Raw_Nigeria!H114</f>
        <v>Record or Recall</v>
      </c>
      <c r="K114" s="7" t="str">
        <f aca="false">Raw_Nigeria!L114</f>
        <v>12-23 m</v>
      </c>
      <c r="L114" s="7" t="str">
        <f aca="false">IF(Raw_Nigeria!K114="","n/a",Raw_Nigeria!K114)</f>
        <v>0-23 m</v>
      </c>
      <c r="M114" s="7" t="str">
        <f aca="false">IF(Raw_Nigeria!I114="","",Raw_Nigeria!I114)</f>
        <v/>
      </c>
      <c r="N114" s="7" t="n">
        <f aca="false">Raw_Nigeria!M114</f>
        <v>47.4</v>
      </c>
      <c r="O114" s="7" t="n">
        <f aca="false">IF(Raw_Nigeria!N114="","",Raw_Nigeria!N114)</f>
        <v>1161</v>
      </c>
      <c r="P114" s="7" t="str">
        <f aca="false">IF(K114="CBAW","Women of child-bearing age","Children")</f>
        <v>Children</v>
      </c>
      <c r="Q114" s="7" t="n">
        <f aca="false">IF(J114="NOT USED",1,0)</f>
        <v>0</v>
      </c>
      <c r="R114" s="7" t="n">
        <f aca="false">IF(AND(P114="Children",Q114=0),1,0)</f>
        <v>1</v>
      </c>
      <c r="S114" s="7" t="n">
        <f aca="false">IF(AND(R114=1,J114="Record or Recall",K114="12-23 m"),1,0)</f>
        <v>1</v>
      </c>
      <c r="T114" s="7" t="n">
        <f aca="false">IF(OR(I114="BCG",I114="DTP1",I114="DTP3",I114="POL3",I114="MCV1",I114="FULL"),1,0)</f>
        <v>1</v>
      </c>
      <c r="U114" s="7" t="n">
        <f aca="false">IF(OR(C114="DHS",C114="MICS"),1,0)</f>
        <v>1</v>
      </c>
      <c r="V114" s="7" t="n">
        <f aca="false">IF(O114="",1,0)</f>
        <v>0</v>
      </c>
      <c r="W114" s="7" t="n">
        <f aca="false">IF(M114="",1,0)</f>
        <v>1</v>
      </c>
      <c r="X114" s="7" t="n">
        <f aca="false">COUNTIFS($B$2:$B$1141,B114,$H$2:$H$1141,H114,$I$2:$I$1141,I114,$J$2:$J$1141,J114,$K$2:$K$1141,K114,$L$2:$L$1141,L114)</f>
        <v>1</v>
      </c>
    </row>
    <row r="115" customFormat="false" ht="15" hidden="false" customHeight="false" outlineLevel="0" collapsed="false">
      <c r="A115" s="7" t="n">
        <f aca="false">ROW()-1</f>
        <v>114</v>
      </c>
      <c r="B115" s="7" t="str">
        <f aca="false">IF(Raw_Nigeria!B115="",TRIM(Raw_Nigeria!C115),TRIM(Raw_Nigeria!B115))</f>
        <v>Nigeria Demographic and Health Survey 1999, 2000</v>
      </c>
      <c r="C115" s="7" t="str">
        <f aca="false">IF(ISNUMBER(SEARCH("Demographic and Health",B115)),"DHS",IF(OR(ISNUMBER(SEARCH("Multiple Indicator Cluster",B115)),ISNUMBER(SEARCH("MICS",B115))),"MICS",IF(ISNUMBER(SEARCH("Immunization Coverage Survey",B115)),"Coverage survey",IF(ISNUMBER(SEARCH("Nutrition",B115)),"Nutrition survey","Other"))))</f>
        <v>DHS</v>
      </c>
      <c r="D115" s="7" t="n">
        <f aca="false">VALUE(LEFT(Raw_Nigeria!D115,4))</f>
        <v>1999</v>
      </c>
      <c r="E115" s="7" t="n">
        <f aca="false">IF(VALUE(RIGHT(Raw_Nigeria!D115,2))&gt;12,"",VALUE(RIGHT(Raw_Nigeria!D115,2)))</f>
        <v>3</v>
      </c>
      <c r="F115" s="7" t="n">
        <f aca="false">VALUE(LEFT(Raw_Nigeria!E115,4))</f>
        <v>1999</v>
      </c>
      <c r="G115" s="7" t="n">
        <f aca="false">IF(VALUE(RIGHT(Raw_Nigeria!E115,2))&gt;12,"",VALUE(RIGHT(Raw_Nigeria!E115,2)))</f>
        <v>5</v>
      </c>
      <c r="H115" s="7" t="n">
        <f aca="false">Raw_Nigeria!F115</f>
        <v>1998</v>
      </c>
      <c r="I115" s="7" t="str">
        <f aca="false">UPPER(TRIM(Raw_Nigeria!G115))</f>
        <v>DTP1</v>
      </c>
      <c r="J115" s="7" t="str">
        <f aca="false">Raw_Nigeria!H115</f>
        <v>Recall</v>
      </c>
      <c r="K115" s="7" t="str">
        <f aca="false">Raw_Nigeria!L115</f>
        <v>12-23 m</v>
      </c>
      <c r="L115" s="7" t="str">
        <f aca="false">IF(Raw_Nigeria!K115="","n/a",Raw_Nigeria!K115)</f>
        <v>0-23 m</v>
      </c>
      <c r="M115" s="7" t="str">
        <f aca="false">IF(Raw_Nigeria!I115="","",Raw_Nigeria!I115)</f>
        <v/>
      </c>
      <c r="N115" s="7" t="n">
        <f aca="false">Raw_Nigeria!M115</f>
        <v>31</v>
      </c>
      <c r="O115" s="7" t="n">
        <f aca="false">IF(Raw_Nigeria!N115="","",Raw_Nigeria!N115)</f>
        <v>1161</v>
      </c>
      <c r="P115" s="7" t="str">
        <f aca="false">IF(K115="CBAW","Women of child-bearing age","Children")</f>
        <v>Children</v>
      </c>
      <c r="Q115" s="7" t="n">
        <f aca="false">IF(J115="NOT USED",1,0)</f>
        <v>0</v>
      </c>
      <c r="R115" s="7" t="n">
        <f aca="false">IF(AND(P115="Children",Q115=0),1,0)</f>
        <v>1</v>
      </c>
      <c r="S115" s="7" t="n">
        <f aca="false">IF(AND(R115=1,J115="Record or Recall",K115="12-23 m"),1,0)</f>
        <v>0</v>
      </c>
      <c r="T115" s="7" t="n">
        <f aca="false">IF(OR(I115="BCG",I115="DTP1",I115="DTP3",I115="POL3",I115="MCV1",I115="FULL"),1,0)</f>
        <v>1</v>
      </c>
      <c r="U115" s="7" t="n">
        <f aca="false">IF(OR(C115="DHS",C115="MICS"),1,0)</f>
        <v>1</v>
      </c>
      <c r="V115" s="7" t="n">
        <f aca="false">IF(O115="",1,0)</f>
        <v>0</v>
      </c>
      <c r="W115" s="7" t="n">
        <f aca="false">IF(M115="",1,0)</f>
        <v>1</v>
      </c>
      <c r="X115" s="7" t="n">
        <f aca="false">COUNTIFS($B$2:$B$1141,B115,$H$2:$H$1141,H115,$I$2:$I$1141,I115,$J$2:$J$1141,J115,$K$2:$K$1141,K115,$L$2:$L$1141,L115)</f>
        <v>1</v>
      </c>
    </row>
    <row r="116" customFormat="false" ht="15" hidden="false" customHeight="false" outlineLevel="0" collapsed="false">
      <c r="A116" s="7" t="n">
        <f aca="false">ROW()-1</f>
        <v>115</v>
      </c>
      <c r="B116" s="7" t="str">
        <f aca="false">IF(Raw_Nigeria!B116="",TRIM(Raw_Nigeria!C116),TRIM(Raw_Nigeria!B116))</f>
        <v>Nigeria Demographic and Health Survey 1999, 2000</v>
      </c>
      <c r="C116" s="7" t="str">
        <f aca="false">IF(ISNUMBER(SEARCH("Demographic and Health",B116)),"DHS",IF(OR(ISNUMBER(SEARCH("Multiple Indicator Cluster",B116)),ISNUMBER(SEARCH("MICS",B116))),"MICS",IF(ISNUMBER(SEARCH("Immunization Coverage Survey",B116)),"Coverage survey",IF(ISNUMBER(SEARCH("Nutrition",B116)),"Nutrition survey","Other"))))</f>
        <v>DHS</v>
      </c>
      <c r="D116" s="7" t="n">
        <f aca="false">VALUE(LEFT(Raw_Nigeria!D116,4))</f>
        <v>1999</v>
      </c>
      <c r="E116" s="7" t="n">
        <f aca="false">IF(VALUE(RIGHT(Raw_Nigeria!D116,2))&gt;12,"",VALUE(RIGHT(Raw_Nigeria!D116,2)))</f>
        <v>3</v>
      </c>
      <c r="F116" s="7" t="n">
        <f aca="false">VALUE(LEFT(Raw_Nigeria!E116,4))</f>
        <v>1999</v>
      </c>
      <c r="G116" s="7" t="n">
        <f aca="false">IF(VALUE(RIGHT(Raw_Nigeria!E116,2))&gt;12,"",VALUE(RIGHT(Raw_Nigeria!E116,2)))</f>
        <v>5</v>
      </c>
      <c r="H116" s="7" t="n">
        <f aca="false">Raw_Nigeria!F116</f>
        <v>1998</v>
      </c>
      <c r="I116" s="7" t="str">
        <f aca="false">UPPER(TRIM(Raw_Nigeria!G116))</f>
        <v>DTP3</v>
      </c>
      <c r="J116" s="7" t="str">
        <f aca="false">Raw_Nigeria!H116</f>
        <v>Record or Recall&lt;12m</v>
      </c>
      <c r="K116" s="7" t="str">
        <f aca="false">Raw_Nigeria!L116</f>
        <v>12-23 m</v>
      </c>
      <c r="L116" s="7" t="str">
        <f aca="false">IF(Raw_Nigeria!K116="","n/a",Raw_Nigeria!K116)</f>
        <v>0-12 m</v>
      </c>
      <c r="M116" s="7" t="str">
        <f aca="false">IF(Raw_Nigeria!I116="","",Raw_Nigeria!I116)</f>
        <v/>
      </c>
      <c r="N116" s="7" t="n">
        <f aca="false">Raw_Nigeria!M116</f>
        <v>24.8</v>
      </c>
      <c r="O116" s="7" t="n">
        <f aca="false">IF(Raw_Nigeria!N116="","",Raw_Nigeria!N116)</f>
        <v>1161</v>
      </c>
      <c r="P116" s="7" t="str">
        <f aca="false">IF(K116="CBAW","Women of child-bearing age","Children")</f>
        <v>Children</v>
      </c>
      <c r="Q116" s="7" t="n">
        <f aca="false">IF(J116="NOT USED",1,0)</f>
        <v>0</v>
      </c>
      <c r="R116" s="7" t="n">
        <f aca="false">IF(AND(P116="Children",Q116=0),1,0)</f>
        <v>1</v>
      </c>
      <c r="S116" s="7" t="n">
        <f aca="false">IF(AND(R116=1,J116="Record or Recall",K116="12-23 m"),1,0)</f>
        <v>0</v>
      </c>
      <c r="T116" s="7" t="n">
        <f aca="false">IF(OR(I116="BCG",I116="DTP1",I116="DTP3",I116="POL3",I116="MCV1",I116="FULL"),1,0)</f>
        <v>1</v>
      </c>
      <c r="U116" s="7" t="n">
        <f aca="false">IF(OR(C116="DHS",C116="MICS"),1,0)</f>
        <v>1</v>
      </c>
      <c r="V116" s="7" t="n">
        <f aca="false">IF(O116="",1,0)</f>
        <v>0</v>
      </c>
      <c r="W116" s="7" t="n">
        <f aca="false">IF(M116="",1,0)</f>
        <v>1</v>
      </c>
      <c r="X116" s="7" t="n">
        <f aca="false">COUNTIFS($B$2:$B$1141,B116,$H$2:$H$1141,H116,$I$2:$I$1141,I116,$J$2:$J$1141,J116,$K$2:$K$1141,K116,$L$2:$L$1141,L116)</f>
        <v>1</v>
      </c>
    </row>
    <row r="117" customFormat="false" ht="15" hidden="false" customHeight="false" outlineLevel="0" collapsed="false">
      <c r="A117" s="7" t="n">
        <f aca="false">ROW()-1</f>
        <v>116</v>
      </c>
      <c r="B117" s="7" t="str">
        <f aca="false">IF(Raw_Nigeria!B117="",TRIM(Raw_Nigeria!C117),TRIM(Raw_Nigeria!B117))</f>
        <v>Nigeria Demographic and Health Survey 1999, 2000</v>
      </c>
      <c r="C117" s="7" t="str">
        <f aca="false">IF(ISNUMBER(SEARCH("Demographic and Health",B117)),"DHS",IF(OR(ISNUMBER(SEARCH("Multiple Indicator Cluster",B117)),ISNUMBER(SEARCH("MICS",B117))),"MICS",IF(ISNUMBER(SEARCH("Immunization Coverage Survey",B117)),"Coverage survey",IF(ISNUMBER(SEARCH("Nutrition",B117)),"Nutrition survey","Other"))))</f>
        <v>DHS</v>
      </c>
      <c r="D117" s="7" t="n">
        <f aca="false">VALUE(LEFT(Raw_Nigeria!D117,4))</f>
        <v>1999</v>
      </c>
      <c r="E117" s="7" t="n">
        <f aca="false">IF(VALUE(RIGHT(Raw_Nigeria!D117,2))&gt;12,"",VALUE(RIGHT(Raw_Nigeria!D117,2)))</f>
        <v>3</v>
      </c>
      <c r="F117" s="7" t="n">
        <f aca="false">VALUE(LEFT(Raw_Nigeria!E117,4))</f>
        <v>1999</v>
      </c>
      <c r="G117" s="7" t="n">
        <f aca="false">IF(VALUE(RIGHT(Raw_Nigeria!E117,2))&gt;12,"",VALUE(RIGHT(Raw_Nigeria!E117,2)))</f>
        <v>5</v>
      </c>
      <c r="H117" s="7" t="n">
        <f aca="false">Raw_Nigeria!F117</f>
        <v>1998</v>
      </c>
      <c r="I117" s="7" t="str">
        <f aca="false">UPPER(TRIM(Raw_Nigeria!G117))</f>
        <v>DTP3</v>
      </c>
      <c r="J117" s="7" t="str">
        <f aca="false">Raw_Nigeria!H117</f>
        <v>Record</v>
      </c>
      <c r="K117" s="7" t="str">
        <f aca="false">Raw_Nigeria!L117</f>
        <v>12-23 m</v>
      </c>
      <c r="L117" s="7" t="str">
        <f aca="false">IF(Raw_Nigeria!K117="","n/a",Raw_Nigeria!K117)</f>
        <v>0-23 m</v>
      </c>
      <c r="M117" s="7" t="str">
        <f aca="false">IF(Raw_Nigeria!I117="","",Raw_Nigeria!I117)</f>
        <v/>
      </c>
      <c r="N117" s="7" t="n">
        <f aca="false">Raw_Nigeria!M117</f>
        <v>10.6</v>
      </c>
      <c r="O117" s="7" t="n">
        <f aca="false">IF(Raw_Nigeria!N117="","",Raw_Nigeria!N117)</f>
        <v>1161</v>
      </c>
      <c r="P117" s="7" t="str">
        <f aca="false">IF(K117="CBAW","Women of child-bearing age","Children")</f>
        <v>Children</v>
      </c>
      <c r="Q117" s="7" t="n">
        <f aca="false">IF(J117="NOT USED",1,0)</f>
        <v>0</v>
      </c>
      <c r="R117" s="7" t="n">
        <f aca="false">IF(AND(P117="Children",Q117=0),1,0)</f>
        <v>1</v>
      </c>
      <c r="S117" s="7" t="n">
        <f aca="false">IF(AND(R117=1,J117="Record or Recall",K117="12-23 m"),1,0)</f>
        <v>0</v>
      </c>
      <c r="T117" s="7" t="n">
        <f aca="false">IF(OR(I117="BCG",I117="DTP1",I117="DTP3",I117="POL3",I117="MCV1",I117="FULL"),1,0)</f>
        <v>1</v>
      </c>
      <c r="U117" s="7" t="n">
        <f aca="false">IF(OR(C117="DHS",C117="MICS"),1,0)</f>
        <v>1</v>
      </c>
      <c r="V117" s="7" t="n">
        <f aca="false">IF(O117="",1,0)</f>
        <v>0</v>
      </c>
      <c r="W117" s="7" t="n">
        <f aca="false">IF(M117="",1,0)</f>
        <v>1</v>
      </c>
      <c r="X117" s="7" t="n">
        <f aca="false">COUNTIFS($B$2:$B$1141,B117,$H$2:$H$1141,H117,$I$2:$I$1141,I117,$J$2:$J$1141,J117,$K$2:$K$1141,K117,$L$2:$L$1141,L117)</f>
        <v>1</v>
      </c>
    </row>
    <row r="118" customFormat="false" ht="15" hidden="false" customHeight="false" outlineLevel="0" collapsed="false">
      <c r="A118" s="7" t="n">
        <f aca="false">ROW()-1</f>
        <v>117</v>
      </c>
      <c r="B118" s="7" t="str">
        <f aca="false">IF(Raw_Nigeria!B118="",TRIM(Raw_Nigeria!C118),TRIM(Raw_Nigeria!B118))</f>
        <v>Nigeria Demographic and Health Survey 1999, 2000</v>
      </c>
      <c r="C118" s="7" t="str">
        <f aca="false">IF(ISNUMBER(SEARCH("Demographic and Health",B118)),"DHS",IF(OR(ISNUMBER(SEARCH("Multiple Indicator Cluster",B118)),ISNUMBER(SEARCH("MICS",B118))),"MICS",IF(ISNUMBER(SEARCH("Immunization Coverage Survey",B118)),"Coverage survey",IF(ISNUMBER(SEARCH("Nutrition",B118)),"Nutrition survey","Other"))))</f>
        <v>DHS</v>
      </c>
      <c r="D118" s="7" t="n">
        <f aca="false">VALUE(LEFT(Raw_Nigeria!D118,4))</f>
        <v>1999</v>
      </c>
      <c r="E118" s="7" t="n">
        <f aca="false">IF(VALUE(RIGHT(Raw_Nigeria!D118,2))&gt;12,"",VALUE(RIGHT(Raw_Nigeria!D118,2)))</f>
        <v>3</v>
      </c>
      <c r="F118" s="7" t="n">
        <f aca="false">VALUE(LEFT(Raw_Nigeria!E118,4))</f>
        <v>1999</v>
      </c>
      <c r="G118" s="7" t="n">
        <f aca="false">IF(VALUE(RIGHT(Raw_Nigeria!E118,2))&gt;12,"",VALUE(RIGHT(Raw_Nigeria!E118,2)))</f>
        <v>5</v>
      </c>
      <c r="H118" s="7" t="n">
        <f aca="false">Raw_Nigeria!F118</f>
        <v>1998</v>
      </c>
      <c r="I118" s="7" t="str">
        <f aca="false">UPPER(TRIM(Raw_Nigeria!G118))</f>
        <v>DTP3</v>
      </c>
      <c r="J118" s="7" t="str">
        <f aca="false">Raw_Nigeria!H118</f>
        <v>Record or Recall</v>
      </c>
      <c r="K118" s="7" t="str">
        <f aca="false">Raw_Nigeria!L118</f>
        <v>12-23 m</v>
      </c>
      <c r="L118" s="7" t="str">
        <f aca="false">IF(Raw_Nigeria!K118="","n/a",Raw_Nigeria!K118)</f>
        <v>0-23 m</v>
      </c>
      <c r="M118" s="7" t="str">
        <f aca="false">IF(Raw_Nigeria!I118="","",Raw_Nigeria!I118)</f>
        <v/>
      </c>
      <c r="N118" s="7" t="n">
        <f aca="false">Raw_Nigeria!M118</f>
        <v>26.3</v>
      </c>
      <c r="O118" s="7" t="n">
        <f aca="false">IF(Raw_Nigeria!N118="","",Raw_Nigeria!N118)</f>
        <v>1161</v>
      </c>
      <c r="P118" s="7" t="str">
        <f aca="false">IF(K118="CBAW","Women of child-bearing age","Children")</f>
        <v>Children</v>
      </c>
      <c r="Q118" s="7" t="n">
        <f aca="false">IF(J118="NOT USED",1,0)</f>
        <v>0</v>
      </c>
      <c r="R118" s="7" t="n">
        <f aca="false">IF(AND(P118="Children",Q118=0),1,0)</f>
        <v>1</v>
      </c>
      <c r="S118" s="7" t="n">
        <f aca="false">IF(AND(R118=1,J118="Record or Recall",K118="12-23 m"),1,0)</f>
        <v>1</v>
      </c>
      <c r="T118" s="7" t="n">
        <f aca="false">IF(OR(I118="BCG",I118="DTP1",I118="DTP3",I118="POL3",I118="MCV1",I118="FULL"),1,0)</f>
        <v>1</v>
      </c>
      <c r="U118" s="7" t="n">
        <f aca="false">IF(OR(C118="DHS",C118="MICS"),1,0)</f>
        <v>1</v>
      </c>
      <c r="V118" s="7" t="n">
        <f aca="false">IF(O118="",1,0)</f>
        <v>0</v>
      </c>
      <c r="W118" s="7" t="n">
        <f aca="false">IF(M118="",1,0)</f>
        <v>1</v>
      </c>
      <c r="X118" s="7" t="n">
        <f aca="false">COUNTIFS($B$2:$B$1141,B118,$H$2:$H$1141,H118,$I$2:$I$1141,I118,$J$2:$J$1141,J118,$K$2:$K$1141,K118,$L$2:$L$1141,L118)</f>
        <v>1</v>
      </c>
    </row>
    <row r="119" customFormat="false" ht="15" hidden="false" customHeight="false" outlineLevel="0" collapsed="false">
      <c r="A119" s="7" t="n">
        <f aca="false">ROW()-1</f>
        <v>118</v>
      </c>
      <c r="B119" s="7" t="str">
        <f aca="false">IF(Raw_Nigeria!B119="",TRIM(Raw_Nigeria!C119),TRIM(Raw_Nigeria!B119))</f>
        <v>Nigeria Demographic and Health Survey 1999, 2000</v>
      </c>
      <c r="C119" s="7" t="str">
        <f aca="false">IF(ISNUMBER(SEARCH("Demographic and Health",B119)),"DHS",IF(OR(ISNUMBER(SEARCH("Multiple Indicator Cluster",B119)),ISNUMBER(SEARCH("MICS",B119))),"MICS",IF(ISNUMBER(SEARCH("Immunization Coverage Survey",B119)),"Coverage survey",IF(ISNUMBER(SEARCH("Nutrition",B119)),"Nutrition survey","Other"))))</f>
        <v>DHS</v>
      </c>
      <c r="D119" s="7" t="n">
        <f aca="false">VALUE(LEFT(Raw_Nigeria!D119,4))</f>
        <v>1999</v>
      </c>
      <c r="E119" s="7" t="n">
        <f aca="false">IF(VALUE(RIGHT(Raw_Nigeria!D119,2))&gt;12,"",VALUE(RIGHT(Raw_Nigeria!D119,2)))</f>
        <v>3</v>
      </c>
      <c r="F119" s="7" t="n">
        <f aca="false">VALUE(LEFT(Raw_Nigeria!E119,4))</f>
        <v>1999</v>
      </c>
      <c r="G119" s="7" t="n">
        <f aca="false">IF(VALUE(RIGHT(Raw_Nigeria!E119,2))&gt;12,"",VALUE(RIGHT(Raw_Nigeria!E119,2)))</f>
        <v>5</v>
      </c>
      <c r="H119" s="7" t="n">
        <f aca="false">Raw_Nigeria!F119</f>
        <v>1998</v>
      </c>
      <c r="I119" s="7" t="str">
        <f aca="false">UPPER(TRIM(Raw_Nigeria!G119))</f>
        <v>DTP3</v>
      </c>
      <c r="J119" s="7" t="str">
        <f aca="false">Raw_Nigeria!H119</f>
        <v>Recall</v>
      </c>
      <c r="K119" s="7" t="str">
        <f aca="false">Raw_Nigeria!L119</f>
        <v>12-23 m</v>
      </c>
      <c r="L119" s="7" t="str">
        <f aca="false">IF(Raw_Nigeria!K119="","n/a",Raw_Nigeria!K119)</f>
        <v>0-23 m</v>
      </c>
      <c r="M119" s="7" t="str">
        <f aca="false">IF(Raw_Nigeria!I119="","",Raw_Nigeria!I119)</f>
        <v/>
      </c>
      <c r="N119" s="7" t="n">
        <f aca="false">Raw_Nigeria!M119</f>
        <v>15.7</v>
      </c>
      <c r="O119" s="7" t="n">
        <f aca="false">IF(Raw_Nigeria!N119="","",Raw_Nigeria!N119)</f>
        <v>1161</v>
      </c>
      <c r="P119" s="7" t="str">
        <f aca="false">IF(K119="CBAW","Women of child-bearing age","Children")</f>
        <v>Children</v>
      </c>
      <c r="Q119" s="7" t="n">
        <f aca="false">IF(J119="NOT USED",1,0)</f>
        <v>0</v>
      </c>
      <c r="R119" s="7" t="n">
        <f aca="false">IF(AND(P119="Children",Q119=0),1,0)</f>
        <v>1</v>
      </c>
      <c r="S119" s="7" t="n">
        <f aca="false">IF(AND(R119=1,J119="Record or Recall",K119="12-23 m"),1,0)</f>
        <v>0</v>
      </c>
      <c r="T119" s="7" t="n">
        <f aca="false">IF(OR(I119="BCG",I119="DTP1",I119="DTP3",I119="POL3",I119="MCV1",I119="FULL"),1,0)</f>
        <v>1</v>
      </c>
      <c r="U119" s="7" t="n">
        <f aca="false">IF(OR(C119="DHS",C119="MICS"),1,0)</f>
        <v>1</v>
      </c>
      <c r="V119" s="7" t="n">
        <f aca="false">IF(O119="",1,0)</f>
        <v>0</v>
      </c>
      <c r="W119" s="7" t="n">
        <f aca="false">IF(M119="",1,0)</f>
        <v>1</v>
      </c>
      <c r="X119" s="7" t="n">
        <f aca="false">COUNTIFS($B$2:$B$1141,B119,$H$2:$H$1141,H119,$I$2:$I$1141,I119,$J$2:$J$1141,J119,$K$2:$K$1141,K119,$L$2:$L$1141,L119)</f>
        <v>1</v>
      </c>
    </row>
    <row r="120" customFormat="false" ht="15" hidden="false" customHeight="false" outlineLevel="0" collapsed="false">
      <c r="A120" s="7" t="n">
        <f aca="false">ROW()-1</f>
        <v>119</v>
      </c>
      <c r="B120" s="7" t="str">
        <f aca="false">IF(Raw_Nigeria!B120="",TRIM(Raw_Nigeria!C120),TRIM(Raw_Nigeria!B120))</f>
        <v>Nigeria Demographic and Health Survey 1999, 2000</v>
      </c>
      <c r="C120" s="7" t="str">
        <f aca="false">IF(ISNUMBER(SEARCH("Demographic and Health",B120)),"DHS",IF(OR(ISNUMBER(SEARCH("Multiple Indicator Cluster",B120)),ISNUMBER(SEARCH("MICS",B120))),"MICS",IF(ISNUMBER(SEARCH("Immunization Coverage Survey",B120)),"Coverage survey",IF(ISNUMBER(SEARCH("Nutrition",B120)),"Nutrition survey","Other"))))</f>
        <v>DHS</v>
      </c>
      <c r="D120" s="7" t="n">
        <f aca="false">VALUE(LEFT(Raw_Nigeria!D120,4))</f>
        <v>1999</v>
      </c>
      <c r="E120" s="7" t="n">
        <f aca="false">IF(VALUE(RIGHT(Raw_Nigeria!D120,2))&gt;12,"",VALUE(RIGHT(Raw_Nigeria!D120,2)))</f>
        <v>3</v>
      </c>
      <c r="F120" s="7" t="n">
        <f aca="false">VALUE(LEFT(Raw_Nigeria!E120,4))</f>
        <v>1999</v>
      </c>
      <c r="G120" s="7" t="n">
        <f aca="false">IF(VALUE(RIGHT(Raw_Nigeria!E120,2))&gt;12,"",VALUE(RIGHT(Raw_Nigeria!E120,2)))</f>
        <v>5</v>
      </c>
      <c r="H120" s="7" t="n">
        <f aca="false">Raw_Nigeria!F120</f>
        <v>1998</v>
      </c>
      <c r="I120" s="7" t="str">
        <f aca="false">UPPER(TRIM(Raw_Nigeria!G120))</f>
        <v>FULL</v>
      </c>
      <c r="J120" s="7" t="str">
        <f aca="false">Raw_Nigeria!H120</f>
        <v>Record or Recall&lt;12m</v>
      </c>
      <c r="K120" s="7" t="str">
        <f aca="false">Raw_Nigeria!L120</f>
        <v>12-23 m</v>
      </c>
      <c r="L120" s="7" t="str">
        <f aca="false">IF(Raw_Nigeria!K120="","n/a",Raw_Nigeria!K120)</f>
        <v>0-12 m</v>
      </c>
      <c r="M120" s="7" t="str">
        <f aca="false">IF(Raw_Nigeria!I120="","",Raw_Nigeria!I120)</f>
        <v/>
      </c>
      <c r="N120" s="7" t="n">
        <f aca="false">Raw_Nigeria!M120</f>
        <v>14.3</v>
      </c>
      <c r="O120" s="7" t="n">
        <f aca="false">IF(Raw_Nigeria!N120="","",Raw_Nigeria!N120)</f>
        <v>1161</v>
      </c>
      <c r="P120" s="7" t="str">
        <f aca="false">IF(K120="CBAW","Women of child-bearing age","Children")</f>
        <v>Children</v>
      </c>
      <c r="Q120" s="7" t="n">
        <f aca="false">IF(J120="NOT USED",1,0)</f>
        <v>0</v>
      </c>
      <c r="R120" s="7" t="n">
        <f aca="false">IF(AND(P120="Children",Q120=0),1,0)</f>
        <v>1</v>
      </c>
      <c r="S120" s="7" t="n">
        <f aca="false">IF(AND(R120=1,J120="Record or Recall",K120="12-23 m"),1,0)</f>
        <v>0</v>
      </c>
      <c r="T120" s="7" t="n">
        <f aca="false">IF(OR(I120="BCG",I120="DTP1",I120="DTP3",I120="POL3",I120="MCV1",I120="FULL"),1,0)</f>
        <v>1</v>
      </c>
      <c r="U120" s="7" t="n">
        <f aca="false">IF(OR(C120="DHS",C120="MICS"),1,0)</f>
        <v>1</v>
      </c>
      <c r="V120" s="7" t="n">
        <f aca="false">IF(O120="",1,0)</f>
        <v>0</v>
      </c>
      <c r="W120" s="7" t="n">
        <f aca="false">IF(M120="",1,0)</f>
        <v>1</v>
      </c>
      <c r="X120" s="7" t="n">
        <f aca="false">COUNTIFS($B$2:$B$1141,B120,$H$2:$H$1141,H120,$I$2:$I$1141,I120,$J$2:$J$1141,J120,$K$2:$K$1141,K120,$L$2:$L$1141,L120)</f>
        <v>1</v>
      </c>
    </row>
    <row r="121" customFormat="false" ht="15" hidden="false" customHeight="false" outlineLevel="0" collapsed="false">
      <c r="A121" s="7" t="n">
        <f aca="false">ROW()-1</f>
        <v>120</v>
      </c>
      <c r="B121" s="7" t="str">
        <f aca="false">IF(Raw_Nigeria!B121="",TRIM(Raw_Nigeria!C121),TRIM(Raw_Nigeria!B121))</f>
        <v>Nigeria Demographic and Health Survey 1999, 2000</v>
      </c>
      <c r="C121" s="7" t="str">
        <f aca="false">IF(ISNUMBER(SEARCH("Demographic and Health",B121)),"DHS",IF(OR(ISNUMBER(SEARCH("Multiple Indicator Cluster",B121)),ISNUMBER(SEARCH("MICS",B121))),"MICS",IF(ISNUMBER(SEARCH("Immunization Coverage Survey",B121)),"Coverage survey",IF(ISNUMBER(SEARCH("Nutrition",B121)),"Nutrition survey","Other"))))</f>
        <v>DHS</v>
      </c>
      <c r="D121" s="7" t="n">
        <f aca="false">VALUE(LEFT(Raw_Nigeria!D121,4))</f>
        <v>1999</v>
      </c>
      <c r="E121" s="7" t="n">
        <f aca="false">IF(VALUE(RIGHT(Raw_Nigeria!D121,2))&gt;12,"",VALUE(RIGHT(Raw_Nigeria!D121,2)))</f>
        <v>3</v>
      </c>
      <c r="F121" s="7" t="n">
        <f aca="false">VALUE(LEFT(Raw_Nigeria!E121,4))</f>
        <v>1999</v>
      </c>
      <c r="G121" s="7" t="n">
        <f aca="false">IF(VALUE(RIGHT(Raw_Nigeria!E121,2))&gt;12,"",VALUE(RIGHT(Raw_Nigeria!E121,2)))</f>
        <v>5</v>
      </c>
      <c r="H121" s="7" t="n">
        <f aca="false">Raw_Nigeria!F121</f>
        <v>1998</v>
      </c>
      <c r="I121" s="7" t="str">
        <f aca="false">UPPER(TRIM(Raw_Nigeria!G121))</f>
        <v>FULL</v>
      </c>
      <c r="J121" s="7" t="str">
        <f aca="false">Raw_Nigeria!H121</f>
        <v>Record</v>
      </c>
      <c r="K121" s="7" t="str">
        <f aca="false">Raw_Nigeria!L121</f>
        <v>12-23 m</v>
      </c>
      <c r="L121" s="7" t="str">
        <f aca="false">IF(Raw_Nigeria!K121="","n/a",Raw_Nigeria!K121)</f>
        <v>0-23 m</v>
      </c>
      <c r="M121" s="7" t="str">
        <f aca="false">IF(Raw_Nigeria!I121="","",Raw_Nigeria!I121)</f>
        <v/>
      </c>
      <c r="N121" s="7" t="n">
        <f aca="false">Raw_Nigeria!M121</f>
        <v>7.7</v>
      </c>
      <c r="O121" s="7" t="n">
        <f aca="false">IF(Raw_Nigeria!N121="","",Raw_Nigeria!N121)</f>
        <v>1161</v>
      </c>
      <c r="P121" s="7" t="str">
        <f aca="false">IF(K121="CBAW","Women of child-bearing age","Children")</f>
        <v>Children</v>
      </c>
      <c r="Q121" s="7" t="n">
        <f aca="false">IF(J121="NOT USED",1,0)</f>
        <v>0</v>
      </c>
      <c r="R121" s="7" t="n">
        <f aca="false">IF(AND(P121="Children",Q121=0),1,0)</f>
        <v>1</v>
      </c>
      <c r="S121" s="7" t="n">
        <f aca="false">IF(AND(R121=1,J121="Record or Recall",K121="12-23 m"),1,0)</f>
        <v>0</v>
      </c>
      <c r="T121" s="7" t="n">
        <f aca="false">IF(OR(I121="BCG",I121="DTP1",I121="DTP3",I121="POL3",I121="MCV1",I121="FULL"),1,0)</f>
        <v>1</v>
      </c>
      <c r="U121" s="7" t="n">
        <f aca="false">IF(OR(C121="DHS",C121="MICS"),1,0)</f>
        <v>1</v>
      </c>
      <c r="V121" s="7" t="n">
        <f aca="false">IF(O121="",1,0)</f>
        <v>0</v>
      </c>
      <c r="W121" s="7" t="n">
        <f aca="false">IF(M121="",1,0)</f>
        <v>1</v>
      </c>
      <c r="X121" s="7" t="n">
        <f aca="false">COUNTIFS($B$2:$B$1141,B121,$H$2:$H$1141,H121,$I$2:$I$1141,I121,$J$2:$J$1141,J121,$K$2:$K$1141,K121,$L$2:$L$1141,L121)</f>
        <v>1</v>
      </c>
    </row>
    <row r="122" customFormat="false" ht="15" hidden="false" customHeight="false" outlineLevel="0" collapsed="false">
      <c r="A122" s="7" t="n">
        <f aca="false">ROW()-1</f>
        <v>121</v>
      </c>
      <c r="B122" s="7" t="str">
        <f aca="false">IF(Raw_Nigeria!B122="",TRIM(Raw_Nigeria!C122),TRIM(Raw_Nigeria!B122))</f>
        <v>Nigeria Demographic and Health Survey 1999, 2000</v>
      </c>
      <c r="C122" s="7" t="str">
        <f aca="false">IF(ISNUMBER(SEARCH("Demographic and Health",B122)),"DHS",IF(OR(ISNUMBER(SEARCH("Multiple Indicator Cluster",B122)),ISNUMBER(SEARCH("MICS",B122))),"MICS",IF(ISNUMBER(SEARCH("Immunization Coverage Survey",B122)),"Coverage survey",IF(ISNUMBER(SEARCH("Nutrition",B122)),"Nutrition survey","Other"))))</f>
        <v>DHS</v>
      </c>
      <c r="D122" s="7" t="n">
        <f aca="false">VALUE(LEFT(Raw_Nigeria!D122,4))</f>
        <v>1999</v>
      </c>
      <c r="E122" s="7" t="n">
        <f aca="false">IF(VALUE(RIGHT(Raw_Nigeria!D122,2))&gt;12,"",VALUE(RIGHT(Raw_Nigeria!D122,2)))</f>
        <v>3</v>
      </c>
      <c r="F122" s="7" t="n">
        <f aca="false">VALUE(LEFT(Raw_Nigeria!E122,4))</f>
        <v>1999</v>
      </c>
      <c r="G122" s="7" t="n">
        <f aca="false">IF(VALUE(RIGHT(Raw_Nigeria!E122,2))&gt;12,"",VALUE(RIGHT(Raw_Nigeria!E122,2)))</f>
        <v>5</v>
      </c>
      <c r="H122" s="7" t="n">
        <f aca="false">Raw_Nigeria!F122</f>
        <v>1998</v>
      </c>
      <c r="I122" s="7" t="str">
        <f aca="false">UPPER(TRIM(Raw_Nigeria!G122))</f>
        <v>FULL</v>
      </c>
      <c r="J122" s="7" t="str">
        <f aca="false">Raw_Nigeria!H122</f>
        <v>Record or Recall</v>
      </c>
      <c r="K122" s="7" t="str">
        <f aca="false">Raw_Nigeria!L122</f>
        <v>12-23 m</v>
      </c>
      <c r="L122" s="7" t="str">
        <f aca="false">IF(Raw_Nigeria!K122="","n/a",Raw_Nigeria!K122)</f>
        <v>0-23 m</v>
      </c>
      <c r="M122" s="7" t="str">
        <f aca="false">IF(Raw_Nigeria!I122="","",Raw_Nigeria!I122)</f>
        <v/>
      </c>
      <c r="N122" s="7" t="n">
        <f aca="false">Raw_Nigeria!M122</f>
        <v>16.8</v>
      </c>
      <c r="O122" s="7" t="n">
        <f aca="false">IF(Raw_Nigeria!N122="","",Raw_Nigeria!N122)</f>
        <v>1161</v>
      </c>
      <c r="P122" s="7" t="str">
        <f aca="false">IF(K122="CBAW","Women of child-bearing age","Children")</f>
        <v>Children</v>
      </c>
      <c r="Q122" s="7" t="n">
        <f aca="false">IF(J122="NOT USED",1,0)</f>
        <v>0</v>
      </c>
      <c r="R122" s="7" t="n">
        <f aca="false">IF(AND(P122="Children",Q122=0),1,0)</f>
        <v>1</v>
      </c>
      <c r="S122" s="7" t="n">
        <f aca="false">IF(AND(R122=1,J122="Record or Recall",K122="12-23 m"),1,0)</f>
        <v>1</v>
      </c>
      <c r="T122" s="7" t="n">
        <f aca="false">IF(OR(I122="BCG",I122="DTP1",I122="DTP3",I122="POL3",I122="MCV1",I122="FULL"),1,0)</f>
        <v>1</v>
      </c>
      <c r="U122" s="7" t="n">
        <f aca="false">IF(OR(C122="DHS",C122="MICS"),1,0)</f>
        <v>1</v>
      </c>
      <c r="V122" s="7" t="n">
        <f aca="false">IF(O122="",1,0)</f>
        <v>0</v>
      </c>
      <c r="W122" s="7" t="n">
        <f aca="false">IF(M122="",1,0)</f>
        <v>1</v>
      </c>
      <c r="X122" s="7" t="n">
        <f aca="false">COUNTIFS($B$2:$B$1141,B122,$H$2:$H$1141,H122,$I$2:$I$1141,I122,$J$2:$J$1141,J122,$K$2:$K$1141,K122,$L$2:$L$1141,L122)</f>
        <v>1</v>
      </c>
    </row>
    <row r="123" customFormat="false" ht="15" hidden="false" customHeight="false" outlineLevel="0" collapsed="false">
      <c r="A123" s="7" t="n">
        <f aca="false">ROW()-1</f>
        <v>122</v>
      </c>
      <c r="B123" s="7" t="str">
        <f aca="false">IF(Raw_Nigeria!B123="",TRIM(Raw_Nigeria!C123),TRIM(Raw_Nigeria!B123))</f>
        <v>Nigeria Demographic and Health Survey 1999, 2000</v>
      </c>
      <c r="C123" s="7" t="str">
        <f aca="false">IF(ISNUMBER(SEARCH("Demographic and Health",B123)),"DHS",IF(OR(ISNUMBER(SEARCH("Multiple Indicator Cluster",B123)),ISNUMBER(SEARCH("MICS",B123))),"MICS",IF(ISNUMBER(SEARCH("Immunization Coverage Survey",B123)),"Coverage survey",IF(ISNUMBER(SEARCH("Nutrition",B123)),"Nutrition survey","Other"))))</f>
        <v>DHS</v>
      </c>
      <c r="D123" s="7" t="n">
        <f aca="false">VALUE(LEFT(Raw_Nigeria!D123,4))</f>
        <v>1999</v>
      </c>
      <c r="E123" s="7" t="n">
        <f aca="false">IF(VALUE(RIGHT(Raw_Nigeria!D123,2))&gt;12,"",VALUE(RIGHT(Raw_Nigeria!D123,2)))</f>
        <v>3</v>
      </c>
      <c r="F123" s="7" t="n">
        <f aca="false">VALUE(LEFT(Raw_Nigeria!E123,4))</f>
        <v>1999</v>
      </c>
      <c r="G123" s="7" t="n">
        <f aca="false">IF(VALUE(RIGHT(Raw_Nigeria!E123,2))&gt;12,"",VALUE(RIGHT(Raw_Nigeria!E123,2)))</f>
        <v>5</v>
      </c>
      <c r="H123" s="7" t="n">
        <f aca="false">Raw_Nigeria!F123</f>
        <v>1998</v>
      </c>
      <c r="I123" s="7" t="str">
        <f aca="false">UPPER(TRIM(Raw_Nigeria!G123))</f>
        <v>FULL</v>
      </c>
      <c r="J123" s="7" t="str">
        <f aca="false">Raw_Nigeria!H123</f>
        <v>Recall</v>
      </c>
      <c r="K123" s="7" t="str">
        <f aca="false">Raw_Nigeria!L123</f>
        <v>12-23 m</v>
      </c>
      <c r="L123" s="7" t="str">
        <f aca="false">IF(Raw_Nigeria!K123="","n/a",Raw_Nigeria!K123)</f>
        <v>0-23 m</v>
      </c>
      <c r="M123" s="7" t="str">
        <f aca="false">IF(Raw_Nigeria!I123="","",Raw_Nigeria!I123)</f>
        <v/>
      </c>
      <c r="N123" s="7" t="n">
        <f aca="false">Raw_Nigeria!M123</f>
        <v>9</v>
      </c>
      <c r="O123" s="7" t="n">
        <f aca="false">IF(Raw_Nigeria!N123="","",Raw_Nigeria!N123)</f>
        <v>1161</v>
      </c>
      <c r="P123" s="7" t="str">
        <f aca="false">IF(K123="CBAW","Women of child-bearing age","Children")</f>
        <v>Children</v>
      </c>
      <c r="Q123" s="7" t="n">
        <f aca="false">IF(J123="NOT USED",1,0)</f>
        <v>0</v>
      </c>
      <c r="R123" s="7" t="n">
        <f aca="false">IF(AND(P123="Children",Q123=0),1,0)</f>
        <v>1</v>
      </c>
      <c r="S123" s="7" t="n">
        <f aca="false">IF(AND(R123=1,J123="Record or Recall",K123="12-23 m"),1,0)</f>
        <v>0</v>
      </c>
      <c r="T123" s="7" t="n">
        <f aca="false">IF(OR(I123="BCG",I123="DTP1",I123="DTP3",I123="POL3",I123="MCV1",I123="FULL"),1,0)</f>
        <v>1</v>
      </c>
      <c r="U123" s="7" t="n">
        <f aca="false">IF(OR(C123="DHS",C123="MICS"),1,0)</f>
        <v>1</v>
      </c>
      <c r="V123" s="7" t="n">
        <f aca="false">IF(O123="",1,0)</f>
        <v>0</v>
      </c>
      <c r="W123" s="7" t="n">
        <f aca="false">IF(M123="",1,0)</f>
        <v>1</v>
      </c>
      <c r="X123" s="7" t="n">
        <f aca="false">COUNTIFS($B$2:$B$1141,B123,$H$2:$H$1141,H123,$I$2:$I$1141,I123,$J$2:$J$1141,J123,$K$2:$K$1141,K123,$L$2:$L$1141,L123)</f>
        <v>1</v>
      </c>
    </row>
    <row r="124" customFormat="false" ht="15" hidden="false" customHeight="false" outlineLevel="0" collapsed="false">
      <c r="A124" s="7" t="n">
        <f aca="false">ROW()-1</f>
        <v>123</v>
      </c>
      <c r="B124" s="7" t="str">
        <f aca="false">IF(Raw_Nigeria!B124="",TRIM(Raw_Nigeria!C124),TRIM(Raw_Nigeria!B124))</f>
        <v>Nigeria Demographic and Health Survey 1999, 2000</v>
      </c>
      <c r="C124" s="7" t="str">
        <f aca="false">IF(ISNUMBER(SEARCH("Demographic and Health",B124)),"DHS",IF(OR(ISNUMBER(SEARCH("Multiple Indicator Cluster",B124)),ISNUMBER(SEARCH("MICS",B124))),"MICS",IF(ISNUMBER(SEARCH("Immunization Coverage Survey",B124)),"Coverage survey",IF(ISNUMBER(SEARCH("Nutrition",B124)),"Nutrition survey","Other"))))</f>
        <v>DHS</v>
      </c>
      <c r="D124" s="7" t="n">
        <f aca="false">VALUE(LEFT(Raw_Nigeria!D124,4))</f>
        <v>1999</v>
      </c>
      <c r="E124" s="7" t="n">
        <f aca="false">IF(VALUE(RIGHT(Raw_Nigeria!D124,2))&gt;12,"",VALUE(RIGHT(Raw_Nigeria!D124,2)))</f>
        <v>3</v>
      </c>
      <c r="F124" s="7" t="n">
        <f aca="false">VALUE(LEFT(Raw_Nigeria!E124,4))</f>
        <v>1999</v>
      </c>
      <c r="G124" s="7" t="n">
        <f aca="false">IF(VALUE(RIGHT(Raw_Nigeria!E124,2))&gt;12,"",VALUE(RIGHT(Raw_Nigeria!E124,2)))</f>
        <v>5</v>
      </c>
      <c r="H124" s="7" t="n">
        <f aca="false">Raw_Nigeria!F124</f>
        <v>1998</v>
      </c>
      <c r="I124" s="7" t="str">
        <f aca="false">UPPER(TRIM(Raw_Nigeria!G124))</f>
        <v>MCV1</v>
      </c>
      <c r="J124" s="7" t="str">
        <f aca="false">Raw_Nigeria!H124</f>
        <v>Record or Recall&lt;12m</v>
      </c>
      <c r="K124" s="7" t="str">
        <f aca="false">Raw_Nigeria!L124</f>
        <v>12-23 m</v>
      </c>
      <c r="L124" s="7" t="str">
        <f aca="false">IF(Raw_Nigeria!K124="","n/a",Raw_Nigeria!K124)</f>
        <v>0-12 m</v>
      </c>
      <c r="M124" s="7" t="str">
        <f aca="false">IF(Raw_Nigeria!I124="","",Raw_Nigeria!I124)</f>
        <v/>
      </c>
      <c r="N124" s="7" t="n">
        <f aca="false">Raw_Nigeria!M124</f>
        <v>32.1</v>
      </c>
      <c r="O124" s="7" t="n">
        <f aca="false">IF(Raw_Nigeria!N124="","",Raw_Nigeria!N124)</f>
        <v>1161</v>
      </c>
      <c r="P124" s="7" t="str">
        <f aca="false">IF(K124="CBAW","Women of child-bearing age","Children")</f>
        <v>Children</v>
      </c>
      <c r="Q124" s="7" t="n">
        <f aca="false">IF(J124="NOT USED",1,0)</f>
        <v>0</v>
      </c>
      <c r="R124" s="7" t="n">
        <f aca="false">IF(AND(P124="Children",Q124=0),1,0)</f>
        <v>1</v>
      </c>
      <c r="S124" s="7" t="n">
        <f aca="false">IF(AND(R124=1,J124="Record or Recall",K124="12-23 m"),1,0)</f>
        <v>0</v>
      </c>
      <c r="T124" s="7" t="n">
        <f aca="false">IF(OR(I124="BCG",I124="DTP1",I124="DTP3",I124="POL3",I124="MCV1",I124="FULL"),1,0)</f>
        <v>1</v>
      </c>
      <c r="U124" s="7" t="n">
        <f aca="false">IF(OR(C124="DHS",C124="MICS"),1,0)</f>
        <v>1</v>
      </c>
      <c r="V124" s="7" t="n">
        <f aca="false">IF(O124="",1,0)</f>
        <v>0</v>
      </c>
      <c r="W124" s="7" t="n">
        <f aca="false">IF(M124="",1,0)</f>
        <v>1</v>
      </c>
      <c r="X124" s="7" t="n">
        <f aca="false">COUNTIFS($B$2:$B$1141,B124,$H$2:$H$1141,H124,$I$2:$I$1141,I124,$J$2:$J$1141,J124,$K$2:$K$1141,K124,$L$2:$L$1141,L124)</f>
        <v>1</v>
      </c>
    </row>
    <row r="125" customFormat="false" ht="15" hidden="false" customHeight="false" outlineLevel="0" collapsed="false">
      <c r="A125" s="7" t="n">
        <f aca="false">ROW()-1</f>
        <v>124</v>
      </c>
      <c r="B125" s="7" t="str">
        <f aca="false">IF(Raw_Nigeria!B125="",TRIM(Raw_Nigeria!C125),TRIM(Raw_Nigeria!B125))</f>
        <v>Nigeria Demographic and Health Survey 1999, 2000</v>
      </c>
      <c r="C125" s="7" t="str">
        <f aca="false">IF(ISNUMBER(SEARCH("Demographic and Health",B125)),"DHS",IF(OR(ISNUMBER(SEARCH("Multiple Indicator Cluster",B125)),ISNUMBER(SEARCH("MICS",B125))),"MICS",IF(ISNUMBER(SEARCH("Immunization Coverage Survey",B125)),"Coverage survey",IF(ISNUMBER(SEARCH("Nutrition",B125)),"Nutrition survey","Other"))))</f>
        <v>DHS</v>
      </c>
      <c r="D125" s="7" t="n">
        <f aca="false">VALUE(LEFT(Raw_Nigeria!D125,4))</f>
        <v>1999</v>
      </c>
      <c r="E125" s="7" t="n">
        <f aca="false">IF(VALUE(RIGHT(Raw_Nigeria!D125,2))&gt;12,"",VALUE(RIGHT(Raw_Nigeria!D125,2)))</f>
        <v>3</v>
      </c>
      <c r="F125" s="7" t="n">
        <f aca="false">VALUE(LEFT(Raw_Nigeria!E125,4))</f>
        <v>1999</v>
      </c>
      <c r="G125" s="7" t="n">
        <f aca="false">IF(VALUE(RIGHT(Raw_Nigeria!E125,2))&gt;12,"",VALUE(RIGHT(Raw_Nigeria!E125,2)))</f>
        <v>5</v>
      </c>
      <c r="H125" s="7" t="n">
        <f aca="false">Raw_Nigeria!F125</f>
        <v>1998</v>
      </c>
      <c r="I125" s="7" t="str">
        <f aca="false">UPPER(TRIM(Raw_Nigeria!G125))</f>
        <v>MCV1</v>
      </c>
      <c r="J125" s="7" t="str">
        <f aca="false">Raw_Nigeria!H125</f>
        <v>Record</v>
      </c>
      <c r="K125" s="7" t="str">
        <f aca="false">Raw_Nigeria!L125</f>
        <v>12-23 m</v>
      </c>
      <c r="L125" s="7" t="str">
        <f aca="false">IF(Raw_Nigeria!K125="","n/a",Raw_Nigeria!K125)</f>
        <v>0-23 m</v>
      </c>
      <c r="M125" s="7" t="str">
        <f aca="false">IF(Raw_Nigeria!I125="","",Raw_Nigeria!I125)</f>
        <v/>
      </c>
      <c r="N125" s="7" t="n">
        <f aca="false">Raw_Nigeria!M125</f>
        <v>13.1</v>
      </c>
      <c r="O125" s="7" t="n">
        <f aca="false">IF(Raw_Nigeria!N125="","",Raw_Nigeria!N125)</f>
        <v>1161</v>
      </c>
      <c r="P125" s="7" t="str">
        <f aca="false">IF(K125="CBAW","Women of child-bearing age","Children")</f>
        <v>Children</v>
      </c>
      <c r="Q125" s="7" t="n">
        <f aca="false">IF(J125="NOT USED",1,0)</f>
        <v>0</v>
      </c>
      <c r="R125" s="7" t="n">
        <f aca="false">IF(AND(P125="Children",Q125=0),1,0)</f>
        <v>1</v>
      </c>
      <c r="S125" s="7" t="n">
        <f aca="false">IF(AND(R125=1,J125="Record or Recall",K125="12-23 m"),1,0)</f>
        <v>0</v>
      </c>
      <c r="T125" s="7" t="n">
        <f aca="false">IF(OR(I125="BCG",I125="DTP1",I125="DTP3",I125="POL3",I125="MCV1",I125="FULL"),1,0)</f>
        <v>1</v>
      </c>
      <c r="U125" s="7" t="n">
        <f aca="false">IF(OR(C125="DHS",C125="MICS"),1,0)</f>
        <v>1</v>
      </c>
      <c r="V125" s="7" t="n">
        <f aca="false">IF(O125="",1,0)</f>
        <v>0</v>
      </c>
      <c r="W125" s="7" t="n">
        <f aca="false">IF(M125="",1,0)</f>
        <v>1</v>
      </c>
      <c r="X125" s="7" t="n">
        <f aca="false">COUNTIFS($B$2:$B$1141,B125,$H$2:$H$1141,H125,$I$2:$I$1141,I125,$J$2:$J$1141,J125,$K$2:$K$1141,K125,$L$2:$L$1141,L125)</f>
        <v>1</v>
      </c>
    </row>
    <row r="126" customFormat="false" ht="15" hidden="false" customHeight="false" outlineLevel="0" collapsed="false">
      <c r="A126" s="7" t="n">
        <f aca="false">ROW()-1</f>
        <v>125</v>
      </c>
      <c r="B126" s="7" t="str">
        <f aca="false">IF(Raw_Nigeria!B126="",TRIM(Raw_Nigeria!C126),TRIM(Raw_Nigeria!B126))</f>
        <v>Nigeria Demographic and Health Survey 1999, 2000</v>
      </c>
      <c r="C126" s="7" t="str">
        <f aca="false">IF(ISNUMBER(SEARCH("Demographic and Health",B126)),"DHS",IF(OR(ISNUMBER(SEARCH("Multiple Indicator Cluster",B126)),ISNUMBER(SEARCH("MICS",B126))),"MICS",IF(ISNUMBER(SEARCH("Immunization Coverage Survey",B126)),"Coverage survey",IF(ISNUMBER(SEARCH("Nutrition",B126)),"Nutrition survey","Other"))))</f>
        <v>DHS</v>
      </c>
      <c r="D126" s="7" t="n">
        <f aca="false">VALUE(LEFT(Raw_Nigeria!D126,4))</f>
        <v>1999</v>
      </c>
      <c r="E126" s="7" t="n">
        <f aca="false">IF(VALUE(RIGHT(Raw_Nigeria!D126,2))&gt;12,"",VALUE(RIGHT(Raw_Nigeria!D126,2)))</f>
        <v>3</v>
      </c>
      <c r="F126" s="7" t="n">
        <f aca="false">VALUE(LEFT(Raw_Nigeria!E126,4))</f>
        <v>1999</v>
      </c>
      <c r="G126" s="7" t="n">
        <f aca="false">IF(VALUE(RIGHT(Raw_Nigeria!E126,2))&gt;12,"",VALUE(RIGHT(Raw_Nigeria!E126,2)))</f>
        <v>5</v>
      </c>
      <c r="H126" s="7" t="n">
        <f aca="false">Raw_Nigeria!F126</f>
        <v>1998</v>
      </c>
      <c r="I126" s="7" t="str">
        <f aca="false">UPPER(TRIM(Raw_Nigeria!G126))</f>
        <v>MCV1</v>
      </c>
      <c r="J126" s="7" t="str">
        <f aca="false">Raw_Nigeria!H126</f>
        <v>Record or Recall</v>
      </c>
      <c r="K126" s="7" t="str">
        <f aca="false">Raw_Nigeria!L126</f>
        <v>12-23 m</v>
      </c>
      <c r="L126" s="7" t="str">
        <f aca="false">IF(Raw_Nigeria!K126="","n/a",Raw_Nigeria!K126)</f>
        <v>0-23 m</v>
      </c>
      <c r="M126" s="7" t="str">
        <f aca="false">IF(Raw_Nigeria!I126="","",Raw_Nigeria!I126)</f>
        <v/>
      </c>
      <c r="N126" s="7" t="n">
        <f aca="false">Raw_Nigeria!M126</f>
        <v>40.5</v>
      </c>
      <c r="O126" s="7" t="n">
        <f aca="false">IF(Raw_Nigeria!N126="","",Raw_Nigeria!N126)</f>
        <v>1161</v>
      </c>
      <c r="P126" s="7" t="str">
        <f aca="false">IF(K126="CBAW","Women of child-bearing age","Children")</f>
        <v>Children</v>
      </c>
      <c r="Q126" s="7" t="n">
        <f aca="false">IF(J126="NOT USED",1,0)</f>
        <v>0</v>
      </c>
      <c r="R126" s="7" t="n">
        <f aca="false">IF(AND(P126="Children",Q126=0),1,0)</f>
        <v>1</v>
      </c>
      <c r="S126" s="7" t="n">
        <f aca="false">IF(AND(R126=1,J126="Record or Recall",K126="12-23 m"),1,0)</f>
        <v>1</v>
      </c>
      <c r="T126" s="7" t="n">
        <f aca="false">IF(OR(I126="BCG",I126="DTP1",I126="DTP3",I126="POL3",I126="MCV1",I126="FULL"),1,0)</f>
        <v>1</v>
      </c>
      <c r="U126" s="7" t="n">
        <f aca="false">IF(OR(C126="DHS",C126="MICS"),1,0)</f>
        <v>1</v>
      </c>
      <c r="V126" s="7" t="n">
        <f aca="false">IF(O126="",1,0)</f>
        <v>0</v>
      </c>
      <c r="W126" s="7" t="n">
        <f aca="false">IF(M126="",1,0)</f>
        <v>1</v>
      </c>
      <c r="X126" s="7" t="n">
        <f aca="false">COUNTIFS($B$2:$B$1141,B126,$H$2:$H$1141,H126,$I$2:$I$1141,I126,$J$2:$J$1141,J126,$K$2:$K$1141,K126,$L$2:$L$1141,L126)</f>
        <v>1</v>
      </c>
    </row>
    <row r="127" customFormat="false" ht="15" hidden="false" customHeight="false" outlineLevel="0" collapsed="false">
      <c r="A127" s="7" t="n">
        <f aca="false">ROW()-1</f>
        <v>126</v>
      </c>
      <c r="B127" s="7" t="str">
        <f aca="false">IF(Raw_Nigeria!B127="",TRIM(Raw_Nigeria!C127),TRIM(Raw_Nigeria!B127))</f>
        <v>Nigeria Demographic and Health Survey 1999, 2000</v>
      </c>
      <c r="C127" s="7" t="str">
        <f aca="false">IF(ISNUMBER(SEARCH("Demographic and Health",B127)),"DHS",IF(OR(ISNUMBER(SEARCH("Multiple Indicator Cluster",B127)),ISNUMBER(SEARCH("MICS",B127))),"MICS",IF(ISNUMBER(SEARCH("Immunization Coverage Survey",B127)),"Coverage survey",IF(ISNUMBER(SEARCH("Nutrition",B127)),"Nutrition survey","Other"))))</f>
        <v>DHS</v>
      </c>
      <c r="D127" s="7" t="n">
        <f aca="false">VALUE(LEFT(Raw_Nigeria!D127,4))</f>
        <v>1999</v>
      </c>
      <c r="E127" s="7" t="n">
        <f aca="false">IF(VALUE(RIGHT(Raw_Nigeria!D127,2))&gt;12,"",VALUE(RIGHT(Raw_Nigeria!D127,2)))</f>
        <v>3</v>
      </c>
      <c r="F127" s="7" t="n">
        <f aca="false">VALUE(LEFT(Raw_Nigeria!E127,4))</f>
        <v>1999</v>
      </c>
      <c r="G127" s="7" t="n">
        <f aca="false">IF(VALUE(RIGHT(Raw_Nigeria!E127,2))&gt;12,"",VALUE(RIGHT(Raw_Nigeria!E127,2)))</f>
        <v>5</v>
      </c>
      <c r="H127" s="7" t="n">
        <f aca="false">Raw_Nigeria!F127</f>
        <v>1998</v>
      </c>
      <c r="I127" s="7" t="str">
        <f aca="false">UPPER(TRIM(Raw_Nigeria!G127))</f>
        <v>MCV1</v>
      </c>
      <c r="J127" s="7" t="str">
        <f aca="false">Raw_Nigeria!H127</f>
        <v>Recall</v>
      </c>
      <c r="K127" s="7" t="str">
        <f aca="false">Raw_Nigeria!L127</f>
        <v>12-23 m</v>
      </c>
      <c r="L127" s="7" t="str">
        <f aca="false">IF(Raw_Nigeria!K127="","n/a",Raw_Nigeria!K127)</f>
        <v>0-23 m</v>
      </c>
      <c r="M127" s="7" t="str">
        <f aca="false">IF(Raw_Nigeria!I127="","",Raw_Nigeria!I127)</f>
        <v/>
      </c>
      <c r="N127" s="7" t="n">
        <f aca="false">Raw_Nigeria!M127</f>
        <v>27.4</v>
      </c>
      <c r="O127" s="7" t="n">
        <f aca="false">IF(Raw_Nigeria!N127="","",Raw_Nigeria!N127)</f>
        <v>1161</v>
      </c>
      <c r="P127" s="7" t="str">
        <f aca="false">IF(K127="CBAW","Women of child-bearing age","Children")</f>
        <v>Children</v>
      </c>
      <c r="Q127" s="7" t="n">
        <f aca="false">IF(J127="NOT USED",1,0)</f>
        <v>0</v>
      </c>
      <c r="R127" s="7" t="n">
        <f aca="false">IF(AND(P127="Children",Q127=0),1,0)</f>
        <v>1</v>
      </c>
      <c r="S127" s="7" t="n">
        <f aca="false">IF(AND(R127=1,J127="Record or Recall",K127="12-23 m"),1,0)</f>
        <v>0</v>
      </c>
      <c r="T127" s="7" t="n">
        <f aca="false">IF(OR(I127="BCG",I127="DTP1",I127="DTP3",I127="POL3",I127="MCV1",I127="FULL"),1,0)</f>
        <v>1</v>
      </c>
      <c r="U127" s="7" t="n">
        <f aca="false">IF(OR(C127="DHS",C127="MICS"),1,0)</f>
        <v>1</v>
      </c>
      <c r="V127" s="7" t="n">
        <f aca="false">IF(O127="",1,0)</f>
        <v>0</v>
      </c>
      <c r="W127" s="7" t="n">
        <f aca="false">IF(M127="",1,0)</f>
        <v>1</v>
      </c>
      <c r="X127" s="7" t="n">
        <f aca="false">COUNTIFS($B$2:$B$1141,B127,$H$2:$H$1141,H127,$I$2:$I$1141,I127,$J$2:$J$1141,J127,$K$2:$K$1141,K127,$L$2:$L$1141,L127)</f>
        <v>1</v>
      </c>
    </row>
    <row r="128" customFormat="false" ht="15" hidden="false" customHeight="false" outlineLevel="0" collapsed="false">
      <c r="A128" s="7" t="n">
        <f aca="false">ROW()-1</f>
        <v>127</v>
      </c>
      <c r="B128" s="7" t="str">
        <f aca="false">IF(Raw_Nigeria!B128="",TRIM(Raw_Nigeria!C128),TRIM(Raw_Nigeria!B128))</f>
        <v>Nigeria Demographic and Health Survey 1999, 2000</v>
      </c>
      <c r="C128" s="7" t="str">
        <f aca="false">IF(ISNUMBER(SEARCH("Demographic and Health",B128)),"DHS",IF(OR(ISNUMBER(SEARCH("Multiple Indicator Cluster",B128)),ISNUMBER(SEARCH("MICS",B128))),"MICS",IF(ISNUMBER(SEARCH("Immunization Coverage Survey",B128)),"Coverage survey",IF(ISNUMBER(SEARCH("Nutrition",B128)),"Nutrition survey","Other"))))</f>
        <v>DHS</v>
      </c>
      <c r="D128" s="7" t="n">
        <f aca="false">VALUE(LEFT(Raw_Nigeria!D128,4))</f>
        <v>1999</v>
      </c>
      <c r="E128" s="7" t="n">
        <f aca="false">IF(VALUE(RIGHT(Raw_Nigeria!D128,2))&gt;12,"",VALUE(RIGHT(Raw_Nigeria!D128,2)))</f>
        <v>3</v>
      </c>
      <c r="F128" s="7" t="n">
        <f aca="false">VALUE(LEFT(Raw_Nigeria!E128,4))</f>
        <v>1999</v>
      </c>
      <c r="G128" s="7" t="n">
        <f aca="false">IF(VALUE(RIGHT(Raw_Nigeria!E128,2))&gt;12,"",VALUE(RIGHT(Raw_Nigeria!E128,2)))</f>
        <v>5</v>
      </c>
      <c r="H128" s="7" t="n">
        <f aca="false">Raw_Nigeria!F128</f>
        <v>1998</v>
      </c>
      <c r="I128" s="7" t="str">
        <f aca="false">UPPER(TRIM(Raw_Nigeria!G128))</f>
        <v>POL1</v>
      </c>
      <c r="J128" s="7" t="str">
        <f aca="false">Raw_Nigeria!H128</f>
        <v>Record or Recall&lt;12m</v>
      </c>
      <c r="K128" s="7" t="str">
        <f aca="false">Raw_Nigeria!L128</f>
        <v>12-23 m</v>
      </c>
      <c r="L128" s="7" t="str">
        <f aca="false">IF(Raw_Nigeria!K128="","n/a",Raw_Nigeria!K128)</f>
        <v>0-12 m</v>
      </c>
      <c r="M128" s="7" t="str">
        <f aca="false">IF(Raw_Nigeria!I128="","",Raw_Nigeria!I128)</f>
        <v/>
      </c>
      <c r="N128" s="7" t="n">
        <f aca="false">Raw_Nigeria!M128</f>
        <v>54.3</v>
      </c>
      <c r="O128" s="7" t="n">
        <f aca="false">IF(Raw_Nigeria!N128="","",Raw_Nigeria!N128)</f>
        <v>1161</v>
      </c>
      <c r="P128" s="7" t="str">
        <f aca="false">IF(K128="CBAW","Women of child-bearing age","Children")</f>
        <v>Children</v>
      </c>
      <c r="Q128" s="7" t="n">
        <f aca="false">IF(J128="NOT USED",1,0)</f>
        <v>0</v>
      </c>
      <c r="R128" s="7" t="n">
        <f aca="false">IF(AND(P128="Children",Q128=0),1,0)</f>
        <v>1</v>
      </c>
      <c r="S128" s="7" t="n">
        <f aca="false">IF(AND(R128=1,J128="Record or Recall",K128="12-23 m"),1,0)</f>
        <v>0</v>
      </c>
      <c r="T128" s="7" t="n">
        <f aca="false">IF(OR(I128="BCG",I128="DTP1",I128="DTP3",I128="POL3",I128="MCV1",I128="FULL"),1,0)</f>
        <v>0</v>
      </c>
      <c r="U128" s="7" t="n">
        <f aca="false">IF(OR(C128="DHS",C128="MICS"),1,0)</f>
        <v>1</v>
      </c>
      <c r="V128" s="7" t="n">
        <f aca="false">IF(O128="",1,0)</f>
        <v>0</v>
      </c>
      <c r="W128" s="7" t="n">
        <f aca="false">IF(M128="",1,0)</f>
        <v>1</v>
      </c>
      <c r="X128" s="7" t="n">
        <f aca="false">COUNTIFS($B$2:$B$1141,B128,$H$2:$H$1141,H128,$I$2:$I$1141,I128,$J$2:$J$1141,J128,$K$2:$K$1141,K128,$L$2:$L$1141,L128)</f>
        <v>1</v>
      </c>
    </row>
    <row r="129" customFormat="false" ht="15" hidden="false" customHeight="false" outlineLevel="0" collapsed="false">
      <c r="A129" s="7" t="n">
        <f aca="false">ROW()-1</f>
        <v>128</v>
      </c>
      <c r="B129" s="7" t="str">
        <f aca="false">IF(Raw_Nigeria!B129="",TRIM(Raw_Nigeria!C129),TRIM(Raw_Nigeria!B129))</f>
        <v>Nigeria Demographic and Health Survey 1999, 2000</v>
      </c>
      <c r="C129" s="7" t="str">
        <f aca="false">IF(ISNUMBER(SEARCH("Demographic and Health",B129)),"DHS",IF(OR(ISNUMBER(SEARCH("Multiple Indicator Cluster",B129)),ISNUMBER(SEARCH("MICS",B129))),"MICS",IF(ISNUMBER(SEARCH("Immunization Coverage Survey",B129)),"Coverage survey",IF(ISNUMBER(SEARCH("Nutrition",B129)),"Nutrition survey","Other"))))</f>
        <v>DHS</v>
      </c>
      <c r="D129" s="7" t="n">
        <f aca="false">VALUE(LEFT(Raw_Nigeria!D129,4))</f>
        <v>1999</v>
      </c>
      <c r="E129" s="7" t="n">
        <f aca="false">IF(VALUE(RIGHT(Raw_Nigeria!D129,2))&gt;12,"",VALUE(RIGHT(Raw_Nigeria!D129,2)))</f>
        <v>3</v>
      </c>
      <c r="F129" s="7" t="n">
        <f aca="false">VALUE(LEFT(Raw_Nigeria!E129,4))</f>
        <v>1999</v>
      </c>
      <c r="G129" s="7" t="n">
        <f aca="false">IF(VALUE(RIGHT(Raw_Nigeria!E129,2))&gt;12,"",VALUE(RIGHT(Raw_Nigeria!E129,2)))</f>
        <v>5</v>
      </c>
      <c r="H129" s="7" t="n">
        <f aca="false">Raw_Nigeria!F129</f>
        <v>1998</v>
      </c>
      <c r="I129" s="7" t="str">
        <f aca="false">UPPER(TRIM(Raw_Nigeria!G129))</f>
        <v>POL1</v>
      </c>
      <c r="J129" s="7" t="str">
        <f aca="false">Raw_Nigeria!H129</f>
        <v>Record</v>
      </c>
      <c r="K129" s="7" t="str">
        <f aca="false">Raw_Nigeria!L129</f>
        <v>12-23 m</v>
      </c>
      <c r="L129" s="7" t="str">
        <f aca="false">IF(Raw_Nigeria!K129="","n/a",Raw_Nigeria!K129)</f>
        <v>0-23 m</v>
      </c>
      <c r="M129" s="7" t="str">
        <f aca="false">IF(Raw_Nigeria!I129="","",Raw_Nigeria!I129)</f>
        <v/>
      </c>
      <c r="N129" s="7" t="n">
        <f aca="false">Raw_Nigeria!M129</f>
        <v>17.5</v>
      </c>
      <c r="O129" s="7" t="n">
        <f aca="false">IF(Raw_Nigeria!N129="","",Raw_Nigeria!N129)</f>
        <v>1161</v>
      </c>
      <c r="P129" s="7" t="str">
        <f aca="false">IF(K129="CBAW","Women of child-bearing age","Children")</f>
        <v>Children</v>
      </c>
      <c r="Q129" s="7" t="n">
        <f aca="false">IF(J129="NOT USED",1,0)</f>
        <v>0</v>
      </c>
      <c r="R129" s="7" t="n">
        <f aca="false">IF(AND(P129="Children",Q129=0),1,0)</f>
        <v>1</v>
      </c>
      <c r="S129" s="7" t="n">
        <f aca="false">IF(AND(R129=1,J129="Record or Recall",K129="12-23 m"),1,0)</f>
        <v>0</v>
      </c>
      <c r="T129" s="7" t="n">
        <f aca="false">IF(OR(I129="BCG",I129="DTP1",I129="DTP3",I129="POL3",I129="MCV1",I129="FULL"),1,0)</f>
        <v>0</v>
      </c>
      <c r="U129" s="7" t="n">
        <f aca="false">IF(OR(C129="DHS",C129="MICS"),1,0)</f>
        <v>1</v>
      </c>
      <c r="V129" s="7" t="n">
        <f aca="false">IF(O129="",1,0)</f>
        <v>0</v>
      </c>
      <c r="W129" s="7" t="n">
        <f aca="false">IF(M129="",1,0)</f>
        <v>1</v>
      </c>
      <c r="X129" s="7" t="n">
        <f aca="false">COUNTIFS($B$2:$B$1141,B129,$H$2:$H$1141,H129,$I$2:$I$1141,I129,$J$2:$J$1141,J129,$K$2:$K$1141,K129,$L$2:$L$1141,L129)</f>
        <v>1</v>
      </c>
    </row>
    <row r="130" customFormat="false" ht="15" hidden="false" customHeight="false" outlineLevel="0" collapsed="false">
      <c r="A130" s="7" t="n">
        <f aca="false">ROW()-1</f>
        <v>129</v>
      </c>
      <c r="B130" s="7" t="str">
        <f aca="false">IF(Raw_Nigeria!B130="",TRIM(Raw_Nigeria!C130),TRIM(Raw_Nigeria!B130))</f>
        <v>Nigeria Demographic and Health Survey 1999, 2000</v>
      </c>
      <c r="C130" s="7" t="str">
        <f aca="false">IF(ISNUMBER(SEARCH("Demographic and Health",B130)),"DHS",IF(OR(ISNUMBER(SEARCH("Multiple Indicator Cluster",B130)),ISNUMBER(SEARCH("MICS",B130))),"MICS",IF(ISNUMBER(SEARCH("Immunization Coverage Survey",B130)),"Coverage survey",IF(ISNUMBER(SEARCH("Nutrition",B130)),"Nutrition survey","Other"))))</f>
        <v>DHS</v>
      </c>
      <c r="D130" s="7" t="n">
        <f aca="false">VALUE(LEFT(Raw_Nigeria!D130,4))</f>
        <v>1999</v>
      </c>
      <c r="E130" s="7" t="n">
        <f aca="false">IF(VALUE(RIGHT(Raw_Nigeria!D130,2))&gt;12,"",VALUE(RIGHT(Raw_Nigeria!D130,2)))</f>
        <v>3</v>
      </c>
      <c r="F130" s="7" t="n">
        <f aca="false">VALUE(LEFT(Raw_Nigeria!E130,4))</f>
        <v>1999</v>
      </c>
      <c r="G130" s="7" t="n">
        <f aca="false">IF(VALUE(RIGHT(Raw_Nigeria!E130,2))&gt;12,"",VALUE(RIGHT(Raw_Nigeria!E130,2)))</f>
        <v>5</v>
      </c>
      <c r="H130" s="7" t="n">
        <f aca="false">Raw_Nigeria!F130</f>
        <v>1998</v>
      </c>
      <c r="I130" s="7" t="str">
        <f aca="false">UPPER(TRIM(Raw_Nigeria!G130))</f>
        <v>POL1</v>
      </c>
      <c r="J130" s="7" t="str">
        <f aca="false">Raw_Nigeria!H130</f>
        <v>Record or Recall</v>
      </c>
      <c r="K130" s="7" t="str">
        <f aca="false">Raw_Nigeria!L130</f>
        <v>12-23 m</v>
      </c>
      <c r="L130" s="7" t="str">
        <f aca="false">IF(Raw_Nigeria!K130="","n/a",Raw_Nigeria!K130)</f>
        <v>0-23 m</v>
      </c>
      <c r="M130" s="7" t="str">
        <f aca="false">IF(Raw_Nigeria!I130="","",Raw_Nigeria!I130)</f>
        <v/>
      </c>
      <c r="N130" s="7" t="n">
        <f aca="false">Raw_Nigeria!M130</f>
        <v>56.8</v>
      </c>
      <c r="O130" s="7" t="n">
        <f aca="false">IF(Raw_Nigeria!N130="","",Raw_Nigeria!N130)</f>
        <v>1161</v>
      </c>
      <c r="P130" s="7" t="str">
        <f aca="false">IF(K130="CBAW","Women of child-bearing age","Children")</f>
        <v>Children</v>
      </c>
      <c r="Q130" s="7" t="n">
        <f aca="false">IF(J130="NOT USED",1,0)</f>
        <v>0</v>
      </c>
      <c r="R130" s="7" t="n">
        <f aca="false">IF(AND(P130="Children",Q130=0),1,0)</f>
        <v>1</v>
      </c>
      <c r="S130" s="7" t="n">
        <f aca="false">IF(AND(R130=1,J130="Record or Recall",K130="12-23 m"),1,0)</f>
        <v>1</v>
      </c>
      <c r="T130" s="7" t="n">
        <f aca="false">IF(OR(I130="BCG",I130="DTP1",I130="DTP3",I130="POL3",I130="MCV1",I130="FULL"),1,0)</f>
        <v>0</v>
      </c>
      <c r="U130" s="7" t="n">
        <f aca="false">IF(OR(C130="DHS",C130="MICS"),1,0)</f>
        <v>1</v>
      </c>
      <c r="V130" s="7" t="n">
        <f aca="false">IF(O130="",1,0)</f>
        <v>0</v>
      </c>
      <c r="W130" s="7" t="n">
        <f aca="false">IF(M130="",1,0)</f>
        <v>1</v>
      </c>
      <c r="X130" s="7" t="n">
        <f aca="false">COUNTIFS($B$2:$B$1141,B130,$H$2:$H$1141,H130,$I$2:$I$1141,I130,$J$2:$J$1141,J130,$K$2:$K$1141,K130,$L$2:$L$1141,L130)</f>
        <v>1</v>
      </c>
    </row>
    <row r="131" customFormat="false" ht="15" hidden="false" customHeight="false" outlineLevel="0" collapsed="false">
      <c r="A131" s="7" t="n">
        <f aca="false">ROW()-1</f>
        <v>130</v>
      </c>
      <c r="B131" s="7" t="str">
        <f aca="false">IF(Raw_Nigeria!B131="",TRIM(Raw_Nigeria!C131),TRIM(Raw_Nigeria!B131))</f>
        <v>Nigeria Demographic and Health Survey 1999, 2000</v>
      </c>
      <c r="C131" s="7" t="str">
        <f aca="false">IF(ISNUMBER(SEARCH("Demographic and Health",B131)),"DHS",IF(OR(ISNUMBER(SEARCH("Multiple Indicator Cluster",B131)),ISNUMBER(SEARCH("MICS",B131))),"MICS",IF(ISNUMBER(SEARCH("Immunization Coverage Survey",B131)),"Coverage survey",IF(ISNUMBER(SEARCH("Nutrition",B131)),"Nutrition survey","Other"))))</f>
        <v>DHS</v>
      </c>
      <c r="D131" s="7" t="n">
        <f aca="false">VALUE(LEFT(Raw_Nigeria!D131,4))</f>
        <v>1999</v>
      </c>
      <c r="E131" s="7" t="n">
        <f aca="false">IF(VALUE(RIGHT(Raw_Nigeria!D131,2))&gt;12,"",VALUE(RIGHT(Raw_Nigeria!D131,2)))</f>
        <v>3</v>
      </c>
      <c r="F131" s="7" t="n">
        <f aca="false">VALUE(LEFT(Raw_Nigeria!E131,4))</f>
        <v>1999</v>
      </c>
      <c r="G131" s="7" t="n">
        <f aca="false">IF(VALUE(RIGHT(Raw_Nigeria!E131,2))&gt;12,"",VALUE(RIGHT(Raw_Nigeria!E131,2)))</f>
        <v>5</v>
      </c>
      <c r="H131" s="7" t="n">
        <f aca="false">Raw_Nigeria!F131</f>
        <v>1998</v>
      </c>
      <c r="I131" s="7" t="str">
        <f aca="false">UPPER(TRIM(Raw_Nigeria!G131))</f>
        <v>POL1</v>
      </c>
      <c r="J131" s="7" t="str">
        <f aca="false">Raw_Nigeria!H131</f>
        <v>Recall</v>
      </c>
      <c r="K131" s="7" t="str">
        <f aca="false">Raw_Nigeria!L131</f>
        <v>12-23 m</v>
      </c>
      <c r="L131" s="7" t="str">
        <f aca="false">IF(Raw_Nigeria!K131="","n/a",Raw_Nigeria!K131)</f>
        <v>0-23 m</v>
      </c>
      <c r="M131" s="7" t="str">
        <f aca="false">IF(Raw_Nigeria!I131="","",Raw_Nigeria!I131)</f>
        <v/>
      </c>
      <c r="N131" s="7" t="n">
        <f aca="false">Raw_Nigeria!M131</f>
        <v>39.2</v>
      </c>
      <c r="O131" s="7" t="n">
        <f aca="false">IF(Raw_Nigeria!N131="","",Raw_Nigeria!N131)</f>
        <v>1161</v>
      </c>
      <c r="P131" s="7" t="str">
        <f aca="false">IF(K131="CBAW","Women of child-bearing age","Children")</f>
        <v>Children</v>
      </c>
      <c r="Q131" s="7" t="n">
        <f aca="false">IF(J131="NOT USED",1,0)</f>
        <v>0</v>
      </c>
      <c r="R131" s="7" t="n">
        <f aca="false">IF(AND(P131="Children",Q131=0),1,0)</f>
        <v>1</v>
      </c>
      <c r="S131" s="7" t="n">
        <f aca="false">IF(AND(R131=1,J131="Record or Recall",K131="12-23 m"),1,0)</f>
        <v>0</v>
      </c>
      <c r="T131" s="7" t="n">
        <f aca="false">IF(OR(I131="BCG",I131="DTP1",I131="DTP3",I131="POL3",I131="MCV1",I131="FULL"),1,0)</f>
        <v>0</v>
      </c>
      <c r="U131" s="7" t="n">
        <f aca="false">IF(OR(C131="DHS",C131="MICS"),1,0)</f>
        <v>1</v>
      </c>
      <c r="V131" s="7" t="n">
        <f aca="false">IF(O131="",1,0)</f>
        <v>0</v>
      </c>
      <c r="W131" s="7" t="n">
        <f aca="false">IF(M131="",1,0)</f>
        <v>1</v>
      </c>
      <c r="X131" s="7" t="n">
        <f aca="false">COUNTIFS($B$2:$B$1141,B131,$H$2:$H$1141,H131,$I$2:$I$1141,I131,$J$2:$J$1141,J131,$K$2:$K$1141,K131,$L$2:$L$1141,L131)</f>
        <v>1</v>
      </c>
    </row>
    <row r="132" customFormat="false" ht="15" hidden="false" customHeight="false" outlineLevel="0" collapsed="false">
      <c r="A132" s="7" t="n">
        <f aca="false">ROW()-1</f>
        <v>131</v>
      </c>
      <c r="B132" s="7" t="str">
        <f aca="false">IF(Raw_Nigeria!B132="",TRIM(Raw_Nigeria!C132),TRIM(Raw_Nigeria!B132))</f>
        <v>Nigeria Demographic and Health Survey 1999, 2000</v>
      </c>
      <c r="C132" s="7" t="str">
        <f aca="false">IF(ISNUMBER(SEARCH("Demographic and Health",B132)),"DHS",IF(OR(ISNUMBER(SEARCH("Multiple Indicator Cluster",B132)),ISNUMBER(SEARCH("MICS",B132))),"MICS",IF(ISNUMBER(SEARCH("Immunization Coverage Survey",B132)),"Coverage survey",IF(ISNUMBER(SEARCH("Nutrition",B132)),"Nutrition survey","Other"))))</f>
        <v>DHS</v>
      </c>
      <c r="D132" s="7" t="n">
        <f aca="false">VALUE(LEFT(Raw_Nigeria!D132,4))</f>
        <v>1999</v>
      </c>
      <c r="E132" s="7" t="n">
        <f aca="false">IF(VALUE(RIGHT(Raw_Nigeria!D132,2))&gt;12,"",VALUE(RIGHT(Raw_Nigeria!D132,2)))</f>
        <v>3</v>
      </c>
      <c r="F132" s="7" t="n">
        <f aca="false">VALUE(LEFT(Raw_Nigeria!E132,4))</f>
        <v>1999</v>
      </c>
      <c r="G132" s="7" t="n">
        <f aca="false">IF(VALUE(RIGHT(Raw_Nigeria!E132,2))&gt;12,"",VALUE(RIGHT(Raw_Nigeria!E132,2)))</f>
        <v>5</v>
      </c>
      <c r="H132" s="7" t="n">
        <f aca="false">Raw_Nigeria!F132</f>
        <v>1998</v>
      </c>
      <c r="I132" s="7" t="str">
        <f aca="false">UPPER(TRIM(Raw_Nigeria!G132))</f>
        <v>POL3</v>
      </c>
      <c r="J132" s="7" t="str">
        <f aca="false">Raw_Nigeria!H132</f>
        <v>Record or Recall&lt;12m</v>
      </c>
      <c r="K132" s="7" t="str">
        <f aca="false">Raw_Nigeria!L132</f>
        <v>12-23 m</v>
      </c>
      <c r="L132" s="7" t="str">
        <f aca="false">IF(Raw_Nigeria!K132="","n/a",Raw_Nigeria!K132)</f>
        <v>0-12 m</v>
      </c>
      <c r="M132" s="7" t="str">
        <f aca="false">IF(Raw_Nigeria!I132="","",Raw_Nigeria!I132)</f>
        <v/>
      </c>
      <c r="N132" s="7" t="n">
        <f aca="false">Raw_Nigeria!M132</f>
        <v>23</v>
      </c>
      <c r="O132" s="7" t="n">
        <f aca="false">IF(Raw_Nigeria!N132="","",Raw_Nigeria!N132)</f>
        <v>1161</v>
      </c>
      <c r="P132" s="7" t="str">
        <f aca="false">IF(K132="CBAW","Women of child-bearing age","Children")</f>
        <v>Children</v>
      </c>
      <c r="Q132" s="7" t="n">
        <f aca="false">IF(J132="NOT USED",1,0)</f>
        <v>0</v>
      </c>
      <c r="R132" s="7" t="n">
        <f aca="false">IF(AND(P132="Children",Q132=0),1,0)</f>
        <v>1</v>
      </c>
      <c r="S132" s="7" t="n">
        <f aca="false">IF(AND(R132=1,J132="Record or Recall",K132="12-23 m"),1,0)</f>
        <v>0</v>
      </c>
      <c r="T132" s="7" t="n">
        <f aca="false">IF(OR(I132="BCG",I132="DTP1",I132="DTP3",I132="POL3",I132="MCV1",I132="FULL"),1,0)</f>
        <v>1</v>
      </c>
      <c r="U132" s="7" t="n">
        <f aca="false">IF(OR(C132="DHS",C132="MICS"),1,0)</f>
        <v>1</v>
      </c>
      <c r="V132" s="7" t="n">
        <f aca="false">IF(O132="",1,0)</f>
        <v>0</v>
      </c>
      <c r="W132" s="7" t="n">
        <f aca="false">IF(M132="",1,0)</f>
        <v>1</v>
      </c>
      <c r="X132" s="7" t="n">
        <f aca="false">COUNTIFS($B$2:$B$1141,B132,$H$2:$H$1141,H132,$I$2:$I$1141,I132,$J$2:$J$1141,J132,$K$2:$K$1141,K132,$L$2:$L$1141,L132)</f>
        <v>1</v>
      </c>
    </row>
    <row r="133" customFormat="false" ht="15" hidden="false" customHeight="false" outlineLevel="0" collapsed="false">
      <c r="A133" s="7" t="n">
        <f aca="false">ROW()-1</f>
        <v>132</v>
      </c>
      <c r="B133" s="7" t="str">
        <f aca="false">IF(Raw_Nigeria!B133="",TRIM(Raw_Nigeria!C133),TRIM(Raw_Nigeria!B133))</f>
        <v>Nigeria Demographic and Health Survey 1999, 2000</v>
      </c>
      <c r="C133" s="7" t="str">
        <f aca="false">IF(ISNUMBER(SEARCH("Demographic and Health",B133)),"DHS",IF(OR(ISNUMBER(SEARCH("Multiple Indicator Cluster",B133)),ISNUMBER(SEARCH("MICS",B133))),"MICS",IF(ISNUMBER(SEARCH("Immunization Coverage Survey",B133)),"Coverage survey",IF(ISNUMBER(SEARCH("Nutrition",B133)),"Nutrition survey","Other"))))</f>
        <v>DHS</v>
      </c>
      <c r="D133" s="7" t="n">
        <f aca="false">VALUE(LEFT(Raw_Nigeria!D133,4))</f>
        <v>1999</v>
      </c>
      <c r="E133" s="7" t="n">
        <f aca="false">IF(VALUE(RIGHT(Raw_Nigeria!D133,2))&gt;12,"",VALUE(RIGHT(Raw_Nigeria!D133,2)))</f>
        <v>3</v>
      </c>
      <c r="F133" s="7" t="n">
        <f aca="false">VALUE(LEFT(Raw_Nigeria!E133,4))</f>
        <v>1999</v>
      </c>
      <c r="G133" s="7" t="n">
        <f aca="false">IF(VALUE(RIGHT(Raw_Nigeria!E133,2))&gt;12,"",VALUE(RIGHT(Raw_Nigeria!E133,2)))</f>
        <v>5</v>
      </c>
      <c r="H133" s="7" t="n">
        <f aca="false">Raw_Nigeria!F133</f>
        <v>1998</v>
      </c>
      <c r="I133" s="7" t="str">
        <f aca="false">UPPER(TRIM(Raw_Nigeria!G133))</f>
        <v>POL3</v>
      </c>
      <c r="J133" s="7" t="str">
        <f aca="false">Raw_Nigeria!H133</f>
        <v>Record</v>
      </c>
      <c r="K133" s="7" t="str">
        <f aca="false">Raw_Nigeria!L133</f>
        <v>12-23 m</v>
      </c>
      <c r="L133" s="7" t="str">
        <f aca="false">IF(Raw_Nigeria!K133="","n/a",Raw_Nigeria!K133)</f>
        <v>0-23 m</v>
      </c>
      <c r="M133" s="7" t="str">
        <f aca="false">IF(Raw_Nigeria!I133="","",Raw_Nigeria!I133)</f>
        <v/>
      </c>
      <c r="N133" s="7" t="n">
        <f aca="false">Raw_Nigeria!M133</f>
        <v>10</v>
      </c>
      <c r="O133" s="7" t="n">
        <f aca="false">IF(Raw_Nigeria!N133="","",Raw_Nigeria!N133)</f>
        <v>1161</v>
      </c>
      <c r="P133" s="7" t="str">
        <f aca="false">IF(K133="CBAW","Women of child-bearing age","Children")</f>
        <v>Children</v>
      </c>
      <c r="Q133" s="7" t="n">
        <f aca="false">IF(J133="NOT USED",1,0)</f>
        <v>0</v>
      </c>
      <c r="R133" s="7" t="n">
        <f aca="false">IF(AND(P133="Children",Q133=0),1,0)</f>
        <v>1</v>
      </c>
      <c r="S133" s="7" t="n">
        <f aca="false">IF(AND(R133=1,J133="Record or Recall",K133="12-23 m"),1,0)</f>
        <v>0</v>
      </c>
      <c r="T133" s="7" t="n">
        <f aca="false">IF(OR(I133="BCG",I133="DTP1",I133="DTP3",I133="POL3",I133="MCV1",I133="FULL"),1,0)</f>
        <v>1</v>
      </c>
      <c r="U133" s="7" t="n">
        <f aca="false">IF(OR(C133="DHS",C133="MICS"),1,0)</f>
        <v>1</v>
      </c>
      <c r="V133" s="7" t="n">
        <f aca="false">IF(O133="",1,0)</f>
        <v>0</v>
      </c>
      <c r="W133" s="7" t="n">
        <f aca="false">IF(M133="",1,0)</f>
        <v>1</v>
      </c>
      <c r="X133" s="7" t="n">
        <f aca="false">COUNTIFS($B$2:$B$1141,B133,$H$2:$H$1141,H133,$I$2:$I$1141,I133,$J$2:$J$1141,J133,$K$2:$K$1141,K133,$L$2:$L$1141,L133)</f>
        <v>1</v>
      </c>
    </row>
    <row r="134" customFormat="false" ht="15" hidden="false" customHeight="false" outlineLevel="0" collapsed="false">
      <c r="A134" s="7" t="n">
        <f aca="false">ROW()-1</f>
        <v>133</v>
      </c>
      <c r="B134" s="7" t="str">
        <f aca="false">IF(Raw_Nigeria!B134="",TRIM(Raw_Nigeria!C134),TRIM(Raw_Nigeria!B134))</f>
        <v>Nigeria Demographic and Health Survey 1999, 2000</v>
      </c>
      <c r="C134" s="7" t="str">
        <f aca="false">IF(ISNUMBER(SEARCH("Demographic and Health",B134)),"DHS",IF(OR(ISNUMBER(SEARCH("Multiple Indicator Cluster",B134)),ISNUMBER(SEARCH("MICS",B134))),"MICS",IF(ISNUMBER(SEARCH("Immunization Coverage Survey",B134)),"Coverage survey",IF(ISNUMBER(SEARCH("Nutrition",B134)),"Nutrition survey","Other"))))</f>
        <v>DHS</v>
      </c>
      <c r="D134" s="7" t="n">
        <f aca="false">VALUE(LEFT(Raw_Nigeria!D134,4))</f>
        <v>1999</v>
      </c>
      <c r="E134" s="7" t="n">
        <f aca="false">IF(VALUE(RIGHT(Raw_Nigeria!D134,2))&gt;12,"",VALUE(RIGHT(Raw_Nigeria!D134,2)))</f>
        <v>3</v>
      </c>
      <c r="F134" s="7" t="n">
        <f aca="false">VALUE(LEFT(Raw_Nigeria!E134,4))</f>
        <v>1999</v>
      </c>
      <c r="G134" s="7" t="n">
        <f aca="false">IF(VALUE(RIGHT(Raw_Nigeria!E134,2))&gt;12,"",VALUE(RIGHT(Raw_Nigeria!E134,2)))</f>
        <v>5</v>
      </c>
      <c r="H134" s="7" t="n">
        <f aca="false">Raw_Nigeria!F134</f>
        <v>1998</v>
      </c>
      <c r="I134" s="7" t="str">
        <f aca="false">UPPER(TRIM(Raw_Nigeria!G134))</f>
        <v>POL3</v>
      </c>
      <c r="J134" s="7" t="str">
        <f aca="false">Raw_Nigeria!H134</f>
        <v>Record or Recall</v>
      </c>
      <c r="K134" s="7" t="str">
        <f aca="false">Raw_Nigeria!L134</f>
        <v>12-23 m</v>
      </c>
      <c r="L134" s="7" t="str">
        <f aca="false">IF(Raw_Nigeria!K134="","n/a",Raw_Nigeria!K134)</f>
        <v>0-23 m</v>
      </c>
      <c r="M134" s="7" t="str">
        <f aca="false">IF(Raw_Nigeria!I134="","",Raw_Nigeria!I134)</f>
        <v/>
      </c>
      <c r="N134" s="7" t="n">
        <f aca="false">Raw_Nigeria!M134</f>
        <v>24.8</v>
      </c>
      <c r="O134" s="7" t="n">
        <f aca="false">IF(Raw_Nigeria!N134="","",Raw_Nigeria!N134)</f>
        <v>1161</v>
      </c>
      <c r="P134" s="7" t="str">
        <f aca="false">IF(K134="CBAW","Women of child-bearing age","Children")</f>
        <v>Children</v>
      </c>
      <c r="Q134" s="7" t="n">
        <f aca="false">IF(J134="NOT USED",1,0)</f>
        <v>0</v>
      </c>
      <c r="R134" s="7" t="n">
        <f aca="false">IF(AND(P134="Children",Q134=0),1,0)</f>
        <v>1</v>
      </c>
      <c r="S134" s="7" t="n">
        <f aca="false">IF(AND(R134=1,J134="Record or Recall",K134="12-23 m"),1,0)</f>
        <v>1</v>
      </c>
      <c r="T134" s="7" t="n">
        <f aca="false">IF(OR(I134="BCG",I134="DTP1",I134="DTP3",I134="POL3",I134="MCV1",I134="FULL"),1,0)</f>
        <v>1</v>
      </c>
      <c r="U134" s="7" t="n">
        <f aca="false">IF(OR(C134="DHS",C134="MICS"),1,0)</f>
        <v>1</v>
      </c>
      <c r="V134" s="7" t="n">
        <f aca="false">IF(O134="",1,0)</f>
        <v>0</v>
      </c>
      <c r="W134" s="7" t="n">
        <f aca="false">IF(M134="",1,0)</f>
        <v>1</v>
      </c>
      <c r="X134" s="7" t="n">
        <f aca="false">COUNTIFS($B$2:$B$1141,B134,$H$2:$H$1141,H134,$I$2:$I$1141,I134,$J$2:$J$1141,J134,$K$2:$K$1141,K134,$L$2:$L$1141,L134)</f>
        <v>1</v>
      </c>
    </row>
    <row r="135" customFormat="false" ht="15" hidden="false" customHeight="false" outlineLevel="0" collapsed="false">
      <c r="A135" s="7" t="n">
        <f aca="false">ROW()-1</f>
        <v>134</v>
      </c>
      <c r="B135" s="7" t="str">
        <f aca="false">IF(Raw_Nigeria!B135="",TRIM(Raw_Nigeria!C135),TRIM(Raw_Nigeria!B135))</f>
        <v>Nigeria Demographic and Health Survey 1999, 2000</v>
      </c>
      <c r="C135" s="7" t="str">
        <f aca="false">IF(ISNUMBER(SEARCH("Demographic and Health",B135)),"DHS",IF(OR(ISNUMBER(SEARCH("Multiple Indicator Cluster",B135)),ISNUMBER(SEARCH("MICS",B135))),"MICS",IF(ISNUMBER(SEARCH("Immunization Coverage Survey",B135)),"Coverage survey",IF(ISNUMBER(SEARCH("Nutrition",B135)),"Nutrition survey","Other"))))</f>
        <v>DHS</v>
      </c>
      <c r="D135" s="7" t="n">
        <f aca="false">VALUE(LEFT(Raw_Nigeria!D135,4))</f>
        <v>1999</v>
      </c>
      <c r="E135" s="7" t="n">
        <f aca="false">IF(VALUE(RIGHT(Raw_Nigeria!D135,2))&gt;12,"",VALUE(RIGHT(Raw_Nigeria!D135,2)))</f>
        <v>3</v>
      </c>
      <c r="F135" s="7" t="n">
        <f aca="false">VALUE(LEFT(Raw_Nigeria!E135,4))</f>
        <v>1999</v>
      </c>
      <c r="G135" s="7" t="n">
        <f aca="false">IF(VALUE(RIGHT(Raw_Nigeria!E135,2))&gt;12,"",VALUE(RIGHT(Raw_Nigeria!E135,2)))</f>
        <v>5</v>
      </c>
      <c r="H135" s="7" t="n">
        <f aca="false">Raw_Nigeria!F135</f>
        <v>1998</v>
      </c>
      <c r="I135" s="7" t="str">
        <f aca="false">UPPER(TRIM(Raw_Nigeria!G135))</f>
        <v>POL3</v>
      </c>
      <c r="J135" s="7" t="str">
        <f aca="false">Raw_Nigeria!H135</f>
        <v>Recall</v>
      </c>
      <c r="K135" s="7" t="str">
        <f aca="false">Raw_Nigeria!L135</f>
        <v>12-23 m</v>
      </c>
      <c r="L135" s="7" t="str">
        <f aca="false">IF(Raw_Nigeria!K135="","n/a",Raw_Nigeria!K135)</f>
        <v>0-23 m</v>
      </c>
      <c r="M135" s="7" t="str">
        <f aca="false">IF(Raw_Nigeria!I135="","",Raw_Nigeria!I135)</f>
        <v/>
      </c>
      <c r="N135" s="7" t="n">
        <f aca="false">Raw_Nigeria!M135</f>
        <v>14.8</v>
      </c>
      <c r="O135" s="7" t="n">
        <f aca="false">IF(Raw_Nigeria!N135="","",Raw_Nigeria!N135)</f>
        <v>1161</v>
      </c>
      <c r="P135" s="7" t="str">
        <f aca="false">IF(K135="CBAW","Women of child-bearing age","Children")</f>
        <v>Children</v>
      </c>
      <c r="Q135" s="7" t="n">
        <f aca="false">IF(J135="NOT USED",1,0)</f>
        <v>0</v>
      </c>
      <c r="R135" s="7" t="n">
        <f aca="false">IF(AND(P135="Children",Q135=0),1,0)</f>
        <v>1</v>
      </c>
      <c r="S135" s="7" t="n">
        <f aca="false">IF(AND(R135=1,J135="Record or Recall",K135="12-23 m"),1,0)</f>
        <v>0</v>
      </c>
      <c r="T135" s="7" t="n">
        <f aca="false">IF(OR(I135="BCG",I135="DTP1",I135="DTP3",I135="POL3",I135="MCV1",I135="FULL"),1,0)</f>
        <v>1</v>
      </c>
      <c r="U135" s="7" t="n">
        <f aca="false">IF(OR(C135="DHS",C135="MICS"),1,0)</f>
        <v>1</v>
      </c>
      <c r="V135" s="7" t="n">
        <f aca="false">IF(O135="",1,0)</f>
        <v>0</v>
      </c>
      <c r="W135" s="7" t="n">
        <f aca="false">IF(M135="",1,0)</f>
        <v>1</v>
      </c>
      <c r="X135" s="7" t="n">
        <f aca="false">COUNTIFS($B$2:$B$1141,B135,$H$2:$H$1141,H135,$I$2:$I$1141,I135,$J$2:$J$1141,J135,$K$2:$K$1141,K135,$L$2:$L$1141,L135)</f>
        <v>1</v>
      </c>
    </row>
    <row r="136" customFormat="false" ht="15" hidden="false" customHeight="false" outlineLevel="0" collapsed="false">
      <c r="A136" s="7" t="n">
        <f aca="false">ROW()-1</f>
        <v>135</v>
      </c>
      <c r="B136" s="7" t="str">
        <f aca="false">IF(Raw_Nigeria!B136="",TRIM(Raw_Nigeria!C136),TRIM(Raw_Nigeria!B136))</f>
        <v>Nigeria Demographic and Health Survey 1999, 2000</v>
      </c>
      <c r="C136" s="7" t="str">
        <f aca="false">IF(ISNUMBER(SEARCH("Demographic and Health",B136)),"DHS",IF(OR(ISNUMBER(SEARCH("Multiple Indicator Cluster",B136)),ISNUMBER(SEARCH("MICS",B136))),"MICS",IF(ISNUMBER(SEARCH("Immunization Coverage Survey",B136)),"Coverage survey",IF(ISNUMBER(SEARCH("Nutrition",B136)),"Nutrition survey","Other"))))</f>
        <v>DHS</v>
      </c>
      <c r="D136" s="7" t="n">
        <f aca="false">VALUE(LEFT(Raw_Nigeria!D136,4))</f>
        <v>1999</v>
      </c>
      <c r="E136" s="7" t="n">
        <f aca="false">IF(VALUE(RIGHT(Raw_Nigeria!D136,2))&gt;12,"",VALUE(RIGHT(Raw_Nigeria!D136,2)))</f>
        <v>3</v>
      </c>
      <c r="F136" s="7" t="n">
        <f aca="false">VALUE(LEFT(Raw_Nigeria!E136,4))</f>
        <v>1999</v>
      </c>
      <c r="G136" s="7" t="n">
        <f aca="false">IF(VALUE(RIGHT(Raw_Nigeria!E136,2))&gt;12,"",VALUE(RIGHT(Raw_Nigeria!E136,2)))</f>
        <v>5</v>
      </c>
      <c r="H136" s="7" t="n">
        <f aca="false">Raw_Nigeria!F136</f>
        <v>1998</v>
      </c>
      <c r="I136" s="7" t="str">
        <f aca="false">UPPER(TRIM(Raw_Nigeria!G136))</f>
        <v>TT2+</v>
      </c>
      <c r="J136" s="7" t="str">
        <f aca="false">Raw_Nigeria!H136</f>
        <v>Record or Recall</v>
      </c>
      <c r="K136" s="7" t="str">
        <f aca="false">Raw_Nigeria!L136</f>
        <v>CBAW</v>
      </c>
      <c r="L136" s="7" t="str">
        <f aca="false">IF(Raw_Nigeria!K136="","n/a",Raw_Nigeria!K136)</f>
        <v>n/a</v>
      </c>
      <c r="M136" s="7" t="str">
        <f aca="false">IF(Raw_Nigeria!I136="","",Raw_Nigeria!I136)</f>
        <v/>
      </c>
      <c r="N136" s="7" t="n">
        <f aca="false">Raw_Nigeria!M136</f>
        <v>44.3</v>
      </c>
      <c r="O136" s="7" t="n">
        <f aca="false">IF(Raw_Nigeria!N136="","",Raw_Nigeria!N136)</f>
        <v>3547</v>
      </c>
      <c r="P136" s="7" t="str">
        <f aca="false">IF(K136="CBAW","Women of child-bearing age","Children")</f>
        <v>Women of child-bearing age</v>
      </c>
      <c r="Q136" s="7" t="n">
        <f aca="false">IF(J136="NOT USED",1,0)</f>
        <v>0</v>
      </c>
      <c r="R136" s="7" t="n">
        <f aca="false">IF(AND(P136="Children",Q136=0),1,0)</f>
        <v>0</v>
      </c>
      <c r="S136" s="7" t="n">
        <f aca="false">IF(AND(R136=1,J136="Record or Recall",K136="12-23 m"),1,0)</f>
        <v>0</v>
      </c>
      <c r="T136" s="7" t="n">
        <f aca="false">IF(OR(I136="BCG",I136="DTP1",I136="DTP3",I136="POL3",I136="MCV1",I136="FULL"),1,0)</f>
        <v>0</v>
      </c>
      <c r="U136" s="7" t="n">
        <f aca="false">IF(OR(C136="DHS",C136="MICS"),1,0)</f>
        <v>1</v>
      </c>
      <c r="V136" s="7" t="n">
        <f aca="false">IF(O136="",1,0)</f>
        <v>0</v>
      </c>
      <c r="W136" s="7" t="n">
        <f aca="false">IF(M136="",1,0)</f>
        <v>1</v>
      </c>
      <c r="X136" s="7" t="n">
        <f aca="false">COUNTIFS($B$2:$B$1141,B136,$H$2:$H$1141,H136,$I$2:$I$1141,I136,$J$2:$J$1141,J136,$K$2:$K$1141,K136,$L$2:$L$1141,L136)</f>
        <v>1</v>
      </c>
    </row>
    <row r="137" customFormat="false" ht="15" hidden="false" customHeight="false" outlineLevel="0" collapsed="false">
      <c r="A137" s="7" t="n">
        <f aca="false">ROW()-1</f>
        <v>136</v>
      </c>
      <c r="B137" s="7" t="str">
        <f aca="false">IF(Raw_Nigeria!B137="",TRIM(Raw_Nigeria!C137),TRIM(Raw_Nigeria!B137))</f>
        <v>MICS Nigeria, 1999</v>
      </c>
      <c r="C137" s="7" t="str">
        <f aca="false">IF(ISNUMBER(SEARCH("Demographic and Health",B137)),"DHS",IF(OR(ISNUMBER(SEARCH("Multiple Indicator Cluster",B137)),ISNUMBER(SEARCH("MICS",B137))),"MICS",IF(ISNUMBER(SEARCH("Immunization Coverage Survey",B137)),"Coverage survey",IF(ISNUMBER(SEARCH("Nutrition",B137)),"Nutrition survey","Other"))))</f>
        <v>MICS</v>
      </c>
      <c r="D137" s="7" t="n">
        <f aca="false">VALUE(LEFT(Raw_Nigeria!D137,4))</f>
        <v>1999</v>
      </c>
      <c r="E137" s="7" t="str">
        <f aca="false">IF(VALUE(RIGHT(Raw_Nigeria!D137,2))&gt;12,"",VALUE(RIGHT(Raw_Nigeria!D137,2)))</f>
        <v/>
      </c>
      <c r="F137" s="7" t="n">
        <f aca="false">VALUE(LEFT(Raw_Nigeria!E137,4))</f>
        <v>1999</v>
      </c>
      <c r="G137" s="7" t="str">
        <f aca="false">IF(VALUE(RIGHT(Raw_Nigeria!E137,2))&gt;12,"",VALUE(RIGHT(Raw_Nigeria!E137,2)))</f>
        <v/>
      </c>
      <c r="H137" s="7" t="n">
        <f aca="false">Raw_Nigeria!F137</f>
        <v>1998</v>
      </c>
      <c r="I137" s="7" t="str">
        <f aca="false">UPPER(TRIM(Raw_Nigeria!G137))</f>
        <v>BCG</v>
      </c>
      <c r="J137" s="7" t="str">
        <f aca="false">Raw_Nigeria!H137</f>
        <v>Record</v>
      </c>
      <c r="K137" s="7" t="str">
        <f aca="false">Raw_Nigeria!L137</f>
        <v>12-23 m</v>
      </c>
      <c r="L137" s="7" t="str">
        <f aca="false">IF(Raw_Nigeria!K137="","n/a",Raw_Nigeria!K137)</f>
        <v>0-23 m</v>
      </c>
      <c r="M137" s="7" t="n">
        <f aca="false">IF(Raw_Nigeria!I137="","",Raw_Nigeria!I137)</f>
        <v>25.2</v>
      </c>
      <c r="N137" s="7" t="n">
        <f aca="false">Raw_Nigeria!M137</f>
        <v>17.2</v>
      </c>
      <c r="O137" s="7" t="n">
        <f aca="false">IF(Raw_Nigeria!N137="","",Raw_Nigeria!N137)</f>
        <v>2841</v>
      </c>
      <c r="P137" s="7" t="str">
        <f aca="false">IF(K137="CBAW","Women of child-bearing age","Children")</f>
        <v>Children</v>
      </c>
      <c r="Q137" s="7" t="n">
        <f aca="false">IF(J137="NOT USED",1,0)</f>
        <v>0</v>
      </c>
      <c r="R137" s="7" t="n">
        <f aca="false">IF(AND(P137="Children",Q137=0),1,0)</f>
        <v>1</v>
      </c>
      <c r="S137" s="7" t="n">
        <f aca="false">IF(AND(R137=1,J137="Record or Recall",K137="12-23 m"),1,0)</f>
        <v>0</v>
      </c>
      <c r="T137" s="7" t="n">
        <f aca="false">IF(OR(I137="BCG",I137="DTP1",I137="DTP3",I137="POL3",I137="MCV1",I137="FULL"),1,0)</f>
        <v>1</v>
      </c>
      <c r="U137" s="7" t="n">
        <f aca="false">IF(OR(C137="DHS",C137="MICS"),1,0)</f>
        <v>1</v>
      </c>
      <c r="V137" s="7" t="n">
        <f aca="false">IF(O137="",1,0)</f>
        <v>0</v>
      </c>
      <c r="W137" s="7" t="n">
        <f aca="false">IF(M137="",1,0)</f>
        <v>0</v>
      </c>
      <c r="X137" s="7" t="n">
        <f aca="false">COUNTIFS($B$2:$B$1141,B137,$H$2:$H$1141,H137,$I$2:$I$1141,I137,$J$2:$J$1141,J137,$K$2:$K$1141,K137,$L$2:$L$1141,L137)</f>
        <v>1</v>
      </c>
    </row>
    <row r="138" customFormat="false" ht="15" hidden="false" customHeight="false" outlineLevel="0" collapsed="false">
      <c r="A138" s="7" t="n">
        <f aca="false">ROW()-1</f>
        <v>137</v>
      </c>
      <c r="B138" s="7" t="str">
        <f aca="false">IF(Raw_Nigeria!B138="",TRIM(Raw_Nigeria!C138),TRIM(Raw_Nigeria!B138))</f>
        <v>MICS Nigeria, 1999</v>
      </c>
      <c r="C138" s="7" t="str">
        <f aca="false">IF(ISNUMBER(SEARCH("Demographic and Health",B138)),"DHS",IF(OR(ISNUMBER(SEARCH("Multiple Indicator Cluster",B138)),ISNUMBER(SEARCH("MICS",B138))),"MICS",IF(ISNUMBER(SEARCH("Immunization Coverage Survey",B138)),"Coverage survey",IF(ISNUMBER(SEARCH("Nutrition",B138)),"Nutrition survey","Other"))))</f>
        <v>MICS</v>
      </c>
      <c r="D138" s="7" t="n">
        <f aca="false">VALUE(LEFT(Raw_Nigeria!D138,4))</f>
        <v>1999</v>
      </c>
      <c r="E138" s="7" t="str">
        <f aca="false">IF(VALUE(RIGHT(Raw_Nigeria!D138,2))&gt;12,"",VALUE(RIGHT(Raw_Nigeria!D138,2)))</f>
        <v/>
      </c>
      <c r="F138" s="7" t="n">
        <f aca="false">VALUE(LEFT(Raw_Nigeria!E138,4))</f>
        <v>1999</v>
      </c>
      <c r="G138" s="7" t="str">
        <f aca="false">IF(VALUE(RIGHT(Raw_Nigeria!E138,2))&gt;12,"",VALUE(RIGHT(Raw_Nigeria!E138,2)))</f>
        <v/>
      </c>
      <c r="H138" s="7" t="n">
        <f aca="false">Raw_Nigeria!F138</f>
        <v>1998</v>
      </c>
      <c r="I138" s="7" t="str">
        <f aca="false">UPPER(TRIM(Raw_Nigeria!G138))</f>
        <v>BCG</v>
      </c>
      <c r="J138" s="7" t="str">
        <f aca="false">Raw_Nigeria!H138</f>
        <v>Record or Recall</v>
      </c>
      <c r="K138" s="7" t="str">
        <f aca="false">Raw_Nigeria!L138</f>
        <v>12-23 m</v>
      </c>
      <c r="L138" s="7" t="str">
        <f aca="false">IF(Raw_Nigeria!K138="","n/a",Raw_Nigeria!K138)</f>
        <v>0-23 m</v>
      </c>
      <c r="M138" s="7" t="n">
        <f aca="false">IF(Raw_Nigeria!I138="","",Raw_Nigeria!I138)</f>
        <v>25.2</v>
      </c>
      <c r="N138" s="7" t="n">
        <f aca="false">Raw_Nigeria!M138</f>
        <v>43</v>
      </c>
      <c r="O138" s="7" t="n">
        <f aca="false">IF(Raw_Nigeria!N138="","",Raw_Nigeria!N138)</f>
        <v>2841</v>
      </c>
      <c r="P138" s="7" t="str">
        <f aca="false">IF(K138="CBAW","Women of child-bearing age","Children")</f>
        <v>Children</v>
      </c>
      <c r="Q138" s="7" t="n">
        <f aca="false">IF(J138="NOT USED",1,0)</f>
        <v>0</v>
      </c>
      <c r="R138" s="7" t="n">
        <f aca="false">IF(AND(P138="Children",Q138=0),1,0)</f>
        <v>1</v>
      </c>
      <c r="S138" s="7" t="n">
        <f aca="false">IF(AND(R138=1,J138="Record or Recall",K138="12-23 m"),1,0)</f>
        <v>1</v>
      </c>
      <c r="T138" s="7" t="n">
        <f aca="false">IF(OR(I138="BCG",I138="DTP1",I138="DTP3",I138="POL3",I138="MCV1",I138="FULL"),1,0)</f>
        <v>1</v>
      </c>
      <c r="U138" s="7" t="n">
        <f aca="false">IF(OR(C138="DHS",C138="MICS"),1,0)</f>
        <v>1</v>
      </c>
      <c r="V138" s="7" t="n">
        <f aca="false">IF(O138="",1,0)</f>
        <v>0</v>
      </c>
      <c r="W138" s="7" t="n">
        <f aca="false">IF(M138="",1,0)</f>
        <v>0</v>
      </c>
      <c r="X138" s="7" t="n">
        <f aca="false">COUNTIFS($B$2:$B$1141,B138,$H$2:$H$1141,H138,$I$2:$I$1141,I138,$J$2:$J$1141,J138,$K$2:$K$1141,K138,$L$2:$L$1141,L138)</f>
        <v>1</v>
      </c>
    </row>
    <row r="139" customFormat="false" ht="15" hidden="false" customHeight="false" outlineLevel="0" collapsed="false">
      <c r="A139" s="7" t="n">
        <f aca="false">ROW()-1</f>
        <v>138</v>
      </c>
      <c r="B139" s="7" t="str">
        <f aca="false">IF(Raw_Nigeria!B139="",TRIM(Raw_Nigeria!C139),TRIM(Raw_Nigeria!B139))</f>
        <v>MICS Nigeria, 1999</v>
      </c>
      <c r="C139" s="7" t="str">
        <f aca="false">IF(ISNUMBER(SEARCH("Demographic and Health",B139)),"DHS",IF(OR(ISNUMBER(SEARCH("Multiple Indicator Cluster",B139)),ISNUMBER(SEARCH("MICS",B139))),"MICS",IF(ISNUMBER(SEARCH("Immunization Coverage Survey",B139)),"Coverage survey",IF(ISNUMBER(SEARCH("Nutrition",B139)),"Nutrition survey","Other"))))</f>
        <v>MICS</v>
      </c>
      <c r="D139" s="7" t="n">
        <f aca="false">VALUE(LEFT(Raw_Nigeria!D139,4))</f>
        <v>1999</v>
      </c>
      <c r="E139" s="7" t="str">
        <f aca="false">IF(VALUE(RIGHT(Raw_Nigeria!D139,2))&gt;12,"",VALUE(RIGHT(Raw_Nigeria!D139,2)))</f>
        <v/>
      </c>
      <c r="F139" s="7" t="n">
        <f aca="false">VALUE(LEFT(Raw_Nigeria!E139,4))</f>
        <v>1999</v>
      </c>
      <c r="G139" s="7" t="str">
        <f aca="false">IF(VALUE(RIGHT(Raw_Nigeria!E139,2))&gt;12,"",VALUE(RIGHT(Raw_Nigeria!E139,2)))</f>
        <v/>
      </c>
      <c r="H139" s="7" t="n">
        <f aca="false">Raw_Nigeria!F139</f>
        <v>1998</v>
      </c>
      <c r="I139" s="7" t="str">
        <f aca="false">UPPER(TRIM(Raw_Nigeria!G139))</f>
        <v>BCG</v>
      </c>
      <c r="J139" s="7" t="str">
        <f aca="false">Raw_Nigeria!H139</f>
        <v>Recall</v>
      </c>
      <c r="K139" s="7" t="str">
        <f aca="false">Raw_Nigeria!L139</f>
        <v>12-23 m</v>
      </c>
      <c r="L139" s="7" t="str">
        <f aca="false">IF(Raw_Nigeria!K139="","n/a",Raw_Nigeria!K139)</f>
        <v>0-23 m</v>
      </c>
      <c r="M139" s="7" t="n">
        <f aca="false">IF(Raw_Nigeria!I139="","",Raw_Nigeria!I139)</f>
        <v>25.2</v>
      </c>
      <c r="N139" s="7" t="n">
        <f aca="false">Raw_Nigeria!M139</f>
        <v>25.8</v>
      </c>
      <c r="O139" s="7" t="n">
        <f aca="false">IF(Raw_Nigeria!N139="","",Raw_Nigeria!N139)</f>
        <v>2841</v>
      </c>
      <c r="P139" s="7" t="str">
        <f aca="false">IF(K139="CBAW","Women of child-bearing age","Children")</f>
        <v>Children</v>
      </c>
      <c r="Q139" s="7" t="n">
        <f aca="false">IF(J139="NOT USED",1,0)</f>
        <v>0</v>
      </c>
      <c r="R139" s="7" t="n">
        <f aca="false">IF(AND(P139="Children",Q139=0),1,0)</f>
        <v>1</v>
      </c>
      <c r="S139" s="7" t="n">
        <f aca="false">IF(AND(R139=1,J139="Record or Recall",K139="12-23 m"),1,0)</f>
        <v>0</v>
      </c>
      <c r="T139" s="7" t="n">
        <f aca="false">IF(OR(I139="BCG",I139="DTP1",I139="DTP3",I139="POL3",I139="MCV1",I139="FULL"),1,0)</f>
        <v>1</v>
      </c>
      <c r="U139" s="7" t="n">
        <f aca="false">IF(OR(C139="DHS",C139="MICS"),1,0)</f>
        <v>1</v>
      </c>
      <c r="V139" s="7" t="n">
        <f aca="false">IF(O139="",1,0)</f>
        <v>0</v>
      </c>
      <c r="W139" s="7" t="n">
        <f aca="false">IF(M139="",1,0)</f>
        <v>0</v>
      </c>
      <c r="X139" s="7" t="n">
        <f aca="false">COUNTIFS($B$2:$B$1141,B139,$H$2:$H$1141,H139,$I$2:$I$1141,I139,$J$2:$J$1141,J139,$K$2:$K$1141,K139,$L$2:$L$1141,L139)</f>
        <v>1</v>
      </c>
    </row>
    <row r="140" customFormat="false" ht="15" hidden="false" customHeight="false" outlineLevel="0" collapsed="false">
      <c r="A140" s="7" t="n">
        <f aca="false">ROW()-1</f>
        <v>139</v>
      </c>
      <c r="B140" s="7" t="str">
        <f aca="false">IF(Raw_Nigeria!B140="",TRIM(Raw_Nigeria!C140),TRIM(Raw_Nigeria!B140))</f>
        <v>MICS Nigeria, 1999</v>
      </c>
      <c r="C140" s="7" t="str">
        <f aca="false">IF(ISNUMBER(SEARCH("Demographic and Health",B140)),"DHS",IF(OR(ISNUMBER(SEARCH("Multiple Indicator Cluster",B140)),ISNUMBER(SEARCH("MICS",B140))),"MICS",IF(ISNUMBER(SEARCH("Immunization Coverage Survey",B140)),"Coverage survey",IF(ISNUMBER(SEARCH("Nutrition",B140)),"Nutrition survey","Other"))))</f>
        <v>MICS</v>
      </c>
      <c r="D140" s="7" t="n">
        <f aca="false">VALUE(LEFT(Raw_Nigeria!D140,4))</f>
        <v>1999</v>
      </c>
      <c r="E140" s="7" t="str">
        <f aca="false">IF(VALUE(RIGHT(Raw_Nigeria!D140,2))&gt;12,"",VALUE(RIGHT(Raw_Nigeria!D140,2)))</f>
        <v/>
      </c>
      <c r="F140" s="7" t="n">
        <f aca="false">VALUE(LEFT(Raw_Nigeria!E140,4))</f>
        <v>1999</v>
      </c>
      <c r="G140" s="7" t="str">
        <f aca="false">IF(VALUE(RIGHT(Raw_Nigeria!E140,2))&gt;12,"",VALUE(RIGHT(Raw_Nigeria!E140,2)))</f>
        <v/>
      </c>
      <c r="H140" s="7" t="n">
        <f aca="false">Raw_Nigeria!F140</f>
        <v>1998</v>
      </c>
      <c r="I140" s="7" t="str">
        <f aca="false">UPPER(TRIM(Raw_Nigeria!G140))</f>
        <v>DTP1</v>
      </c>
      <c r="J140" s="7" t="str">
        <f aca="false">Raw_Nigeria!H140</f>
        <v>Record</v>
      </c>
      <c r="K140" s="7" t="str">
        <f aca="false">Raw_Nigeria!L140</f>
        <v>12-23 m</v>
      </c>
      <c r="L140" s="7" t="str">
        <f aca="false">IF(Raw_Nigeria!K140="","n/a",Raw_Nigeria!K140)</f>
        <v>0-23 m</v>
      </c>
      <c r="M140" s="7" t="n">
        <f aca="false">IF(Raw_Nigeria!I140="","",Raw_Nigeria!I140)</f>
        <v>25.2</v>
      </c>
      <c r="N140" s="7" t="n">
        <f aca="false">Raw_Nigeria!M140</f>
        <v>16.5</v>
      </c>
      <c r="O140" s="7" t="n">
        <f aca="false">IF(Raw_Nigeria!N140="","",Raw_Nigeria!N140)</f>
        <v>2841</v>
      </c>
      <c r="P140" s="7" t="str">
        <f aca="false">IF(K140="CBAW","Women of child-bearing age","Children")</f>
        <v>Children</v>
      </c>
      <c r="Q140" s="7" t="n">
        <f aca="false">IF(J140="NOT USED",1,0)</f>
        <v>0</v>
      </c>
      <c r="R140" s="7" t="n">
        <f aca="false">IF(AND(P140="Children",Q140=0),1,0)</f>
        <v>1</v>
      </c>
      <c r="S140" s="7" t="n">
        <f aca="false">IF(AND(R140=1,J140="Record or Recall",K140="12-23 m"),1,0)</f>
        <v>0</v>
      </c>
      <c r="T140" s="7" t="n">
        <f aca="false">IF(OR(I140="BCG",I140="DTP1",I140="DTP3",I140="POL3",I140="MCV1",I140="FULL"),1,0)</f>
        <v>1</v>
      </c>
      <c r="U140" s="7" t="n">
        <f aca="false">IF(OR(C140="DHS",C140="MICS"),1,0)</f>
        <v>1</v>
      </c>
      <c r="V140" s="7" t="n">
        <f aca="false">IF(O140="",1,0)</f>
        <v>0</v>
      </c>
      <c r="W140" s="7" t="n">
        <f aca="false">IF(M140="",1,0)</f>
        <v>0</v>
      </c>
      <c r="X140" s="7" t="n">
        <f aca="false">COUNTIFS($B$2:$B$1141,B140,$H$2:$H$1141,H140,$I$2:$I$1141,I140,$J$2:$J$1141,J140,$K$2:$K$1141,K140,$L$2:$L$1141,L140)</f>
        <v>1</v>
      </c>
    </row>
    <row r="141" customFormat="false" ht="15" hidden="false" customHeight="false" outlineLevel="0" collapsed="false">
      <c r="A141" s="7" t="n">
        <f aca="false">ROW()-1</f>
        <v>140</v>
      </c>
      <c r="B141" s="7" t="str">
        <f aca="false">IF(Raw_Nigeria!B141="",TRIM(Raw_Nigeria!C141),TRIM(Raw_Nigeria!B141))</f>
        <v>MICS Nigeria, 1999</v>
      </c>
      <c r="C141" s="7" t="str">
        <f aca="false">IF(ISNUMBER(SEARCH("Demographic and Health",B141)),"DHS",IF(OR(ISNUMBER(SEARCH("Multiple Indicator Cluster",B141)),ISNUMBER(SEARCH("MICS",B141))),"MICS",IF(ISNUMBER(SEARCH("Immunization Coverage Survey",B141)),"Coverage survey",IF(ISNUMBER(SEARCH("Nutrition",B141)),"Nutrition survey","Other"))))</f>
        <v>MICS</v>
      </c>
      <c r="D141" s="7" t="n">
        <f aca="false">VALUE(LEFT(Raw_Nigeria!D141,4))</f>
        <v>1999</v>
      </c>
      <c r="E141" s="7" t="str">
        <f aca="false">IF(VALUE(RIGHT(Raw_Nigeria!D141,2))&gt;12,"",VALUE(RIGHT(Raw_Nigeria!D141,2)))</f>
        <v/>
      </c>
      <c r="F141" s="7" t="n">
        <f aca="false">VALUE(LEFT(Raw_Nigeria!E141,4))</f>
        <v>1999</v>
      </c>
      <c r="G141" s="7" t="str">
        <f aca="false">IF(VALUE(RIGHT(Raw_Nigeria!E141,2))&gt;12,"",VALUE(RIGHT(Raw_Nigeria!E141,2)))</f>
        <v/>
      </c>
      <c r="H141" s="7" t="n">
        <f aca="false">Raw_Nigeria!F141</f>
        <v>1998</v>
      </c>
      <c r="I141" s="7" t="str">
        <f aca="false">UPPER(TRIM(Raw_Nigeria!G141))</f>
        <v>DTP1</v>
      </c>
      <c r="J141" s="7" t="str">
        <f aca="false">Raw_Nigeria!H141</f>
        <v>Record or Recall</v>
      </c>
      <c r="K141" s="7" t="str">
        <f aca="false">Raw_Nigeria!L141</f>
        <v>12-23 m</v>
      </c>
      <c r="L141" s="7" t="str">
        <f aca="false">IF(Raw_Nigeria!K141="","n/a",Raw_Nigeria!K141)</f>
        <v>0-23 m</v>
      </c>
      <c r="M141" s="7" t="n">
        <f aca="false">IF(Raw_Nigeria!I141="","",Raw_Nigeria!I141)</f>
        <v>25.2</v>
      </c>
      <c r="N141" s="7" t="n">
        <f aca="false">Raw_Nigeria!M141</f>
        <v>41.1</v>
      </c>
      <c r="O141" s="7" t="n">
        <f aca="false">IF(Raw_Nigeria!N141="","",Raw_Nigeria!N141)</f>
        <v>2841</v>
      </c>
      <c r="P141" s="7" t="str">
        <f aca="false">IF(K141="CBAW","Women of child-bearing age","Children")</f>
        <v>Children</v>
      </c>
      <c r="Q141" s="7" t="n">
        <f aca="false">IF(J141="NOT USED",1,0)</f>
        <v>0</v>
      </c>
      <c r="R141" s="7" t="n">
        <f aca="false">IF(AND(P141="Children",Q141=0),1,0)</f>
        <v>1</v>
      </c>
      <c r="S141" s="7" t="n">
        <f aca="false">IF(AND(R141=1,J141="Record or Recall",K141="12-23 m"),1,0)</f>
        <v>1</v>
      </c>
      <c r="T141" s="7" t="n">
        <f aca="false">IF(OR(I141="BCG",I141="DTP1",I141="DTP3",I141="POL3",I141="MCV1",I141="FULL"),1,0)</f>
        <v>1</v>
      </c>
      <c r="U141" s="7" t="n">
        <f aca="false">IF(OR(C141="DHS",C141="MICS"),1,0)</f>
        <v>1</v>
      </c>
      <c r="V141" s="7" t="n">
        <f aca="false">IF(O141="",1,0)</f>
        <v>0</v>
      </c>
      <c r="W141" s="7" t="n">
        <f aca="false">IF(M141="",1,0)</f>
        <v>0</v>
      </c>
      <c r="X141" s="7" t="n">
        <f aca="false">COUNTIFS($B$2:$B$1141,B141,$H$2:$H$1141,H141,$I$2:$I$1141,I141,$J$2:$J$1141,J141,$K$2:$K$1141,K141,$L$2:$L$1141,L141)</f>
        <v>1</v>
      </c>
    </row>
    <row r="142" customFormat="false" ht="15" hidden="false" customHeight="false" outlineLevel="0" collapsed="false">
      <c r="A142" s="7" t="n">
        <f aca="false">ROW()-1</f>
        <v>141</v>
      </c>
      <c r="B142" s="7" t="str">
        <f aca="false">IF(Raw_Nigeria!B142="",TRIM(Raw_Nigeria!C142),TRIM(Raw_Nigeria!B142))</f>
        <v>MICS Nigeria, 1999</v>
      </c>
      <c r="C142" s="7" t="str">
        <f aca="false">IF(ISNUMBER(SEARCH("Demographic and Health",B142)),"DHS",IF(OR(ISNUMBER(SEARCH("Multiple Indicator Cluster",B142)),ISNUMBER(SEARCH("MICS",B142))),"MICS",IF(ISNUMBER(SEARCH("Immunization Coverage Survey",B142)),"Coverage survey",IF(ISNUMBER(SEARCH("Nutrition",B142)),"Nutrition survey","Other"))))</f>
        <v>MICS</v>
      </c>
      <c r="D142" s="7" t="n">
        <f aca="false">VALUE(LEFT(Raw_Nigeria!D142,4))</f>
        <v>1999</v>
      </c>
      <c r="E142" s="7" t="str">
        <f aca="false">IF(VALUE(RIGHT(Raw_Nigeria!D142,2))&gt;12,"",VALUE(RIGHT(Raw_Nigeria!D142,2)))</f>
        <v/>
      </c>
      <c r="F142" s="7" t="n">
        <f aca="false">VALUE(LEFT(Raw_Nigeria!E142,4))</f>
        <v>1999</v>
      </c>
      <c r="G142" s="7" t="str">
        <f aca="false">IF(VALUE(RIGHT(Raw_Nigeria!E142,2))&gt;12,"",VALUE(RIGHT(Raw_Nigeria!E142,2)))</f>
        <v/>
      </c>
      <c r="H142" s="7" t="n">
        <f aca="false">Raw_Nigeria!F142</f>
        <v>1998</v>
      </c>
      <c r="I142" s="7" t="str">
        <f aca="false">UPPER(TRIM(Raw_Nigeria!G142))</f>
        <v>DTP1</v>
      </c>
      <c r="J142" s="7" t="str">
        <f aca="false">Raw_Nigeria!H142</f>
        <v>Recall</v>
      </c>
      <c r="K142" s="7" t="str">
        <f aca="false">Raw_Nigeria!L142</f>
        <v>12-23 m</v>
      </c>
      <c r="L142" s="7" t="str">
        <f aca="false">IF(Raw_Nigeria!K142="","n/a",Raw_Nigeria!K142)</f>
        <v>0-23 m</v>
      </c>
      <c r="M142" s="7" t="n">
        <f aca="false">IF(Raw_Nigeria!I142="","",Raw_Nigeria!I142)</f>
        <v>25.2</v>
      </c>
      <c r="N142" s="7" t="n">
        <f aca="false">Raw_Nigeria!M142</f>
        <v>25.1</v>
      </c>
      <c r="O142" s="7" t="n">
        <f aca="false">IF(Raw_Nigeria!N142="","",Raw_Nigeria!N142)</f>
        <v>2841</v>
      </c>
      <c r="P142" s="7" t="str">
        <f aca="false">IF(K142="CBAW","Women of child-bearing age","Children")</f>
        <v>Children</v>
      </c>
      <c r="Q142" s="7" t="n">
        <f aca="false">IF(J142="NOT USED",1,0)</f>
        <v>0</v>
      </c>
      <c r="R142" s="7" t="n">
        <f aca="false">IF(AND(P142="Children",Q142=0),1,0)</f>
        <v>1</v>
      </c>
      <c r="S142" s="7" t="n">
        <f aca="false">IF(AND(R142=1,J142="Record or Recall",K142="12-23 m"),1,0)</f>
        <v>0</v>
      </c>
      <c r="T142" s="7" t="n">
        <f aca="false">IF(OR(I142="BCG",I142="DTP1",I142="DTP3",I142="POL3",I142="MCV1",I142="FULL"),1,0)</f>
        <v>1</v>
      </c>
      <c r="U142" s="7" t="n">
        <f aca="false">IF(OR(C142="DHS",C142="MICS"),1,0)</f>
        <v>1</v>
      </c>
      <c r="V142" s="7" t="n">
        <f aca="false">IF(O142="",1,0)</f>
        <v>0</v>
      </c>
      <c r="W142" s="7" t="n">
        <f aca="false">IF(M142="",1,0)</f>
        <v>0</v>
      </c>
      <c r="X142" s="7" t="n">
        <f aca="false">COUNTIFS($B$2:$B$1141,B142,$H$2:$H$1141,H142,$I$2:$I$1141,I142,$J$2:$J$1141,J142,$K$2:$K$1141,K142,$L$2:$L$1141,L142)</f>
        <v>1</v>
      </c>
    </row>
    <row r="143" customFormat="false" ht="15" hidden="false" customHeight="false" outlineLevel="0" collapsed="false">
      <c r="A143" s="7" t="n">
        <f aca="false">ROW()-1</f>
        <v>142</v>
      </c>
      <c r="B143" s="7" t="str">
        <f aca="false">IF(Raw_Nigeria!B143="",TRIM(Raw_Nigeria!C143),TRIM(Raw_Nigeria!B143))</f>
        <v>MICS Nigeria, 1999</v>
      </c>
      <c r="C143" s="7" t="str">
        <f aca="false">IF(ISNUMBER(SEARCH("Demographic and Health",B143)),"DHS",IF(OR(ISNUMBER(SEARCH("Multiple Indicator Cluster",B143)),ISNUMBER(SEARCH("MICS",B143))),"MICS",IF(ISNUMBER(SEARCH("Immunization Coverage Survey",B143)),"Coverage survey",IF(ISNUMBER(SEARCH("Nutrition",B143)),"Nutrition survey","Other"))))</f>
        <v>MICS</v>
      </c>
      <c r="D143" s="7" t="n">
        <f aca="false">VALUE(LEFT(Raw_Nigeria!D143,4))</f>
        <v>1999</v>
      </c>
      <c r="E143" s="7" t="str">
        <f aca="false">IF(VALUE(RIGHT(Raw_Nigeria!D143,2))&gt;12,"",VALUE(RIGHT(Raw_Nigeria!D143,2)))</f>
        <v/>
      </c>
      <c r="F143" s="7" t="n">
        <f aca="false">VALUE(LEFT(Raw_Nigeria!E143,4))</f>
        <v>1999</v>
      </c>
      <c r="G143" s="7" t="str">
        <f aca="false">IF(VALUE(RIGHT(Raw_Nigeria!E143,2))&gt;12,"",VALUE(RIGHT(Raw_Nigeria!E143,2)))</f>
        <v/>
      </c>
      <c r="H143" s="7" t="n">
        <f aca="false">Raw_Nigeria!F143</f>
        <v>1998</v>
      </c>
      <c r="I143" s="7" t="str">
        <f aca="false">UPPER(TRIM(Raw_Nigeria!G143))</f>
        <v>DTP3</v>
      </c>
      <c r="J143" s="7" t="str">
        <f aca="false">Raw_Nigeria!H143</f>
        <v>Record</v>
      </c>
      <c r="K143" s="7" t="str">
        <f aca="false">Raw_Nigeria!L143</f>
        <v>12-23 m</v>
      </c>
      <c r="L143" s="7" t="str">
        <f aca="false">IF(Raw_Nigeria!K143="","n/a",Raw_Nigeria!K143)</f>
        <v>0-23 m</v>
      </c>
      <c r="M143" s="7" t="n">
        <f aca="false">IF(Raw_Nigeria!I143="","",Raw_Nigeria!I143)</f>
        <v>25.2</v>
      </c>
      <c r="N143" s="7" t="n">
        <f aca="false">Raw_Nigeria!M143</f>
        <v>12.4</v>
      </c>
      <c r="O143" s="7" t="n">
        <f aca="false">IF(Raw_Nigeria!N143="","",Raw_Nigeria!N143)</f>
        <v>2841</v>
      </c>
      <c r="P143" s="7" t="str">
        <f aca="false">IF(K143="CBAW","Women of child-bearing age","Children")</f>
        <v>Children</v>
      </c>
      <c r="Q143" s="7" t="n">
        <f aca="false">IF(J143="NOT USED",1,0)</f>
        <v>0</v>
      </c>
      <c r="R143" s="7" t="n">
        <f aca="false">IF(AND(P143="Children",Q143=0),1,0)</f>
        <v>1</v>
      </c>
      <c r="S143" s="7" t="n">
        <f aca="false">IF(AND(R143=1,J143="Record or Recall",K143="12-23 m"),1,0)</f>
        <v>0</v>
      </c>
      <c r="T143" s="7" t="n">
        <f aca="false">IF(OR(I143="BCG",I143="DTP1",I143="DTP3",I143="POL3",I143="MCV1",I143="FULL"),1,0)</f>
        <v>1</v>
      </c>
      <c r="U143" s="7" t="n">
        <f aca="false">IF(OR(C143="DHS",C143="MICS"),1,0)</f>
        <v>1</v>
      </c>
      <c r="V143" s="7" t="n">
        <f aca="false">IF(O143="",1,0)</f>
        <v>0</v>
      </c>
      <c r="W143" s="7" t="n">
        <f aca="false">IF(M143="",1,0)</f>
        <v>0</v>
      </c>
      <c r="X143" s="7" t="n">
        <f aca="false">COUNTIFS($B$2:$B$1141,B143,$H$2:$H$1141,H143,$I$2:$I$1141,I143,$J$2:$J$1141,J143,$K$2:$K$1141,K143,$L$2:$L$1141,L143)</f>
        <v>1</v>
      </c>
    </row>
    <row r="144" customFormat="false" ht="15" hidden="false" customHeight="false" outlineLevel="0" collapsed="false">
      <c r="A144" s="7" t="n">
        <f aca="false">ROW()-1</f>
        <v>143</v>
      </c>
      <c r="B144" s="7" t="str">
        <f aca="false">IF(Raw_Nigeria!B144="",TRIM(Raw_Nigeria!C144),TRIM(Raw_Nigeria!B144))</f>
        <v>MICS Nigeria, 1999</v>
      </c>
      <c r="C144" s="7" t="str">
        <f aca="false">IF(ISNUMBER(SEARCH("Demographic and Health",B144)),"DHS",IF(OR(ISNUMBER(SEARCH("Multiple Indicator Cluster",B144)),ISNUMBER(SEARCH("MICS",B144))),"MICS",IF(ISNUMBER(SEARCH("Immunization Coverage Survey",B144)),"Coverage survey",IF(ISNUMBER(SEARCH("Nutrition",B144)),"Nutrition survey","Other"))))</f>
        <v>MICS</v>
      </c>
      <c r="D144" s="7" t="n">
        <f aca="false">VALUE(LEFT(Raw_Nigeria!D144,4))</f>
        <v>1999</v>
      </c>
      <c r="E144" s="7" t="str">
        <f aca="false">IF(VALUE(RIGHT(Raw_Nigeria!D144,2))&gt;12,"",VALUE(RIGHT(Raw_Nigeria!D144,2)))</f>
        <v/>
      </c>
      <c r="F144" s="7" t="n">
        <f aca="false">VALUE(LEFT(Raw_Nigeria!E144,4))</f>
        <v>1999</v>
      </c>
      <c r="G144" s="7" t="str">
        <f aca="false">IF(VALUE(RIGHT(Raw_Nigeria!E144,2))&gt;12,"",VALUE(RIGHT(Raw_Nigeria!E144,2)))</f>
        <v/>
      </c>
      <c r="H144" s="7" t="n">
        <f aca="false">Raw_Nigeria!F144</f>
        <v>1998</v>
      </c>
      <c r="I144" s="7" t="str">
        <f aca="false">UPPER(TRIM(Raw_Nigeria!G144))</f>
        <v>DTP3</v>
      </c>
      <c r="J144" s="7" t="str">
        <f aca="false">Raw_Nigeria!H144</f>
        <v>Record or Recall</v>
      </c>
      <c r="K144" s="7" t="str">
        <f aca="false">Raw_Nigeria!L144</f>
        <v>12-23 m</v>
      </c>
      <c r="L144" s="7" t="str">
        <f aca="false">IF(Raw_Nigeria!K144="","n/a",Raw_Nigeria!K144)</f>
        <v>0-23 m</v>
      </c>
      <c r="M144" s="7" t="n">
        <f aca="false">IF(Raw_Nigeria!I144="","",Raw_Nigeria!I144)</f>
        <v>25.2</v>
      </c>
      <c r="N144" s="7" t="n">
        <f aca="false">Raw_Nigeria!M144</f>
        <v>23.4</v>
      </c>
      <c r="O144" s="7" t="n">
        <f aca="false">IF(Raw_Nigeria!N144="","",Raw_Nigeria!N144)</f>
        <v>2841</v>
      </c>
      <c r="P144" s="7" t="str">
        <f aca="false">IF(K144="CBAW","Women of child-bearing age","Children")</f>
        <v>Children</v>
      </c>
      <c r="Q144" s="7" t="n">
        <f aca="false">IF(J144="NOT USED",1,0)</f>
        <v>0</v>
      </c>
      <c r="R144" s="7" t="n">
        <f aca="false">IF(AND(P144="Children",Q144=0),1,0)</f>
        <v>1</v>
      </c>
      <c r="S144" s="7" t="n">
        <f aca="false">IF(AND(R144=1,J144="Record or Recall",K144="12-23 m"),1,0)</f>
        <v>1</v>
      </c>
      <c r="T144" s="7" t="n">
        <f aca="false">IF(OR(I144="BCG",I144="DTP1",I144="DTP3",I144="POL3",I144="MCV1",I144="FULL"),1,0)</f>
        <v>1</v>
      </c>
      <c r="U144" s="7" t="n">
        <f aca="false">IF(OR(C144="DHS",C144="MICS"),1,0)</f>
        <v>1</v>
      </c>
      <c r="V144" s="7" t="n">
        <f aca="false">IF(O144="",1,0)</f>
        <v>0</v>
      </c>
      <c r="W144" s="7" t="n">
        <f aca="false">IF(M144="",1,0)</f>
        <v>0</v>
      </c>
      <c r="X144" s="7" t="n">
        <f aca="false">COUNTIFS($B$2:$B$1141,B144,$H$2:$H$1141,H144,$I$2:$I$1141,I144,$J$2:$J$1141,J144,$K$2:$K$1141,K144,$L$2:$L$1141,L144)</f>
        <v>1</v>
      </c>
    </row>
    <row r="145" customFormat="false" ht="15" hidden="false" customHeight="false" outlineLevel="0" collapsed="false">
      <c r="A145" s="7" t="n">
        <f aca="false">ROW()-1</f>
        <v>144</v>
      </c>
      <c r="B145" s="7" t="str">
        <f aca="false">IF(Raw_Nigeria!B145="",TRIM(Raw_Nigeria!C145),TRIM(Raw_Nigeria!B145))</f>
        <v>MICS Nigeria, 1999</v>
      </c>
      <c r="C145" s="7" t="str">
        <f aca="false">IF(ISNUMBER(SEARCH("Demographic and Health",B145)),"DHS",IF(OR(ISNUMBER(SEARCH("Multiple Indicator Cluster",B145)),ISNUMBER(SEARCH("MICS",B145))),"MICS",IF(ISNUMBER(SEARCH("Immunization Coverage Survey",B145)),"Coverage survey",IF(ISNUMBER(SEARCH("Nutrition",B145)),"Nutrition survey","Other"))))</f>
        <v>MICS</v>
      </c>
      <c r="D145" s="7" t="n">
        <f aca="false">VALUE(LEFT(Raw_Nigeria!D145,4))</f>
        <v>1999</v>
      </c>
      <c r="E145" s="7" t="str">
        <f aca="false">IF(VALUE(RIGHT(Raw_Nigeria!D145,2))&gt;12,"",VALUE(RIGHT(Raw_Nigeria!D145,2)))</f>
        <v/>
      </c>
      <c r="F145" s="7" t="n">
        <f aca="false">VALUE(LEFT(Raw_Nigeria!E145,4))</f>
        <v>1999</v>
      </c>
      <c r="G145" s="7" t="str">
        <f aca="false">IF(VALUE(RIGHT(Raw_Nigeria!E145,2))&gt;12,"",VALUE(RIGHT(Raw_Nigeria!E145,2)))</f>
        <v/>
      </c>
      <c r="H145" s="7" t="n">
        <f aca="false">Raw_Nigeria!F145</f>
        <v>1998</v>
      </c>
      <c r="I145" s="7" t="str">
        <f aca="false">UPPER(TRIM(Raw_Nigeria!G145))</f>
        <v>DTP3</v>
      </c>
      <c r="J145" s="7" t="str">
        <f aca="false">Raw_Nigeria!H145</f>
        <v>Recall</v>
      </c>
      <c r="K145" s="7" t="str">
        <f aca="false">Raw_Nigeria!L145</f>
        <v>12-23 m</v>
      </c>
      <c r="L145" s="7" t="str">
        <f aca="false">IF(Raw_Nigeria!K145="","n/a",Raw_Nigeria!K145)</f>
        <v>0-23 m</v>
      </c>
      <c r="M145" s="7" t="n">
        <f aca="false">IF(Raw_Nigeria!I145="","",Raw_Nigeria!I145)</f>
        <v>25.2</v>
      </c>
      <c r="N145" s="7" t="n">
        <f aca="false">Raw_Nigeria!M145</f>
        <v>11.1</v>
      </c>
      <c r="O145" s="7" t="n">
        <f aca="false">IF(Raw_Nigeria!N145="","",Raw_Nigeria!N145)</f>
        <v>2841</v>
      </c>
      <c r="P145" s="7" t="str">
        <f aca="false">IF(K145="CBAW","Women of child-bearing age","Children")</f>
        <v>Children</v>
      </c>
      <c r="Q145" s="7" t="n">
        <f aca="false">IF(J145="NOT USED",1,0)</f>
        <v>0</v>
      </c>
      <c r="R145" s="7" t="n">
        <f aca="false">IF(AND(P145="Children",Q145=0),1,0)</f>
        <v>1</v>
      </c>
      <c r="S145" s="7" t="n">
        <f aca="false">IF(AND(R145=1,J145="Record or Recall",K145="12-23 m"),1,0)</f>
        <v>0</v>
      </c>
      <c r="T145" s="7" t="n">
        <f aca="false">IF(OR(I145="BCG",I145="DTP1",I145="DTP3",I145="POL3",I145="MCV1",I145="FULL"),1,0)</f>
        <v>1</v>
      </c>
      <c r="U145" s="7" t="n">
        <f aca="false">IF(OR(C145="DHS",C145="MICS"),1,0)</f>
        <v>1</v>
      </c>
      <c r="V145" s="7" t="n">
        <f aca="false">IF(O145="",1,0)</f>
        <v>0</v>
      </c>
      <c r="W145" s="7" t="n">
        <f aca="false">IF(M145="",1,0)</f>
        <v>0</v>
      </c>
      <c r="X145" s="7" t="n">
        <f aca="false">COUNTIFS($B$2:$B$1141,B145,$H$2:$H$1141,H145,$I$2:$I$1141,I145,$J$2:$J$1141,J145,$K$2:$K$1141,K145,$L$2:$L$1141,L145)</f>
        <v>1</v>
      </c>
    </row>
    <row r="146" customFormat="false" ht="15" hidden="false" customHeight="false" outlineLevel="0" collapsed="false">
      <c r="A146" s="7" t="n">
        <f aca="false">ROW()-1</f>
        <v>145</v>
      </c>
      <c r="B146" s="7" t="str">
        <f aca="false">IF(Raw_Nigeria!B146="",TRIM(Raw_Nigeria!C146),TRIM(Raw_Nigeria!B146))</f>
        <v>MICS Nigeria, 1999</v>
      </c>
      <c r="C146" s="7" t="str">
        <f aca="false">IF(ISNUMBER(SEARCH("Demographic and Health",B146)),"DHS",IF(OR(ISNUMBER(SEARCH("Multiple Indicator Cluster",B146)),ISNUMBER(SEARCH("MICS",B146))),"MICS",IF(ISNUMBER(SEARCH("Immunization Coverage Survey",B146)),"Coverage survey",IF(ISNUMBER(SEARCH("Nutrition",B146)),"Nutrition survey","Other"))))</f>
        <v>MICS</v>
      </c>
      <c r="D146" s="7" t="n">
        <f aca="false">VALUE(LEFT(Raw_Nigeria!D146,4))</f>
        <v>1999</v>
      </c>
      <c r="E146" s="7" t="str">
        <f aca="false">IF(VALUE(RIGHT(Raw_Nigeria!D146,2))&gt;12,"",VALUE(RIGHT(Raw_Nigeria!D146,2)))</f>
        <v/>
      </c>
      <c r="F146" s="7" t="n">
        <f aca="false">VALUE(LEFT(Raw_Nigeria!E146,4))</f>
        <v>1999</v>
      </c>
      <c r="G146" s="7" t="str">
        <f aca="false">IF(VALUE(RIGHT(Raw_Nigeria!E146,2))&gt;12,"",VALUE(RIGHT(Raw_Nigeria!E146,2)))</f>
        <v/>
      </c>
      <c r="H146" s="7" t="n">
        <f aca="false">Raw_Nigeria!F146</f>
        <v>1998</v>
      </c>
      <c r="I146" s="7" t="str">
        <f aca="false">UPPER(TRIM(Raw_Nigeria!G146))</f>
        <v>FULL</v>
      </c>
      <c r="J146" s="7" t="str">
        <f aca="false">Raw_Nigeria!H146</f>
        <v>Record</v>
      </c>
      <c r="K146" s="7" t="str">
        <f aca="false">Raw_Nigeria!L146</f>
        <v>12-23 m</v>
      </c>
      <c r="L146" s="7" t="str">
        <f aca="false">IF(Raw_Nigeria!K146="","n/a",Raw_Nigeria!K146)</f>
        <v>0-23 m</v>
      </c>
      <c r="M146" s="7" t="n">
        <f aca="false">IF(Raw_Nigeria!I146="","",Raw_Nigeria!I146)</f>
        <v>25.2</v>
      </c>
      <c r="N146" s="7" t="n">
        <f aca="false">Raw_Nigeria!M146</f>
        <v>5.5</v>
      </c>
      <c r="O146" s="7" t="n">
        <f aca="false">IF(Raw_Nigeria!N146="","",Raw_Nigeria!N146)</f>
        <v>2841</v>
      </c>
      <c r="P146" s="7" t="str">
        <f aca="false">IF(K146="CBAW","Women of child-bearing age","Children")</f>
        <v>Children</v>
      </c>
      <c r="Q146" s="7" t="n">
        <f aca="false">IF(J146="NOT USED",1,0)</f>
        <v>0</v>
      </c>
      <c r="R146" s="7" t="n">
        <f aca="false">IF(AND(P146="Children",Q146=0),1,0)</f>
        <v>1</v>
      </c>
      <c r="S146" s="7" t="n">
        <f aca="false">IF(AND(R146=1,J146="Record or Recall",K146="12-23 m"),1,0)</f>
        <v>0</v>
      </c>
      <c r="T146" s="7" t="n">
        <f aca="false">IF(OR(I146="BCG",I146="DTP1",I146="DTP3",I146="POL3",I146="MCV1",I146="FULL"),1,0)</f>
        <v>1</v>
      </c>
      <c r="U146" s="7" t="n">
        <f aca="false">IF(OR(C146="DHS",C146="MICS"),1,0)</f>
        <v>1</v>
      </c>
      <c r="V146" s="7" t="n">
        <f aca="false">IF(O146="",1,0)</f>
        <v>0</v>
      </c>
      <c r="W146" s="7" t="n">
        <f aca="false">IF(M146="",1,0)</f>
        <v>0</v>
      </c>
      <c r="X146" s="7" t="n">
        <f aca="false">COUNTIFS($B$2:$B$1141,B146,$H$2:$H$1141,H146,$I$2:$I$1141,I146,$J$2:$J$1141,J146,$K$2:$K$1141,K146,$L$2:$L$1141,L146)</f>
        <v>1</v>
      </c>
    </row>
    <row r="147" customFormat="false" ht="15" hidden="false" customHeight="false" outlineLevel="0" collapsed="false">
      <c r="A147" s="7" t="n">
        <f aca="false">ROW()-1</f>
        <v>146</v>
      </c>
      <c r="B147" s="7" t="str">
        <f aca="false">IF(Raw_Nigeria!B147="",TRIM(Raw_Nigeria!C147),TRIM(Raw_Nigeria!B147))</f>
        <v>MICS Nigeria, 1999</v>
      </c>
      <c r="C147" s="7" t="str">
        <f aca="false">IF(ISNUMBER(SEARCH("Demographic and Health",B147)),"DHS",IF(OR(ISNUMBER(SEARCH("Multiple Indicator Cluster",B147)),ISNUMBER(SEARCH("MICS",B147))),"MICS",IF(ISNUMBER(SEARCH("Immunization Coverage Survey",B147)),"Coverage survey",IF(ISNUMBER(SEARCH("Nutrition",B147)),"Nutrition survey","Other"))))</f>
        <v>MICS</v>
      </c>
      <c r="D147" s="7" t="n">
        <f aca="false">VALUE(LEFT(Raw_Nigeria!D147,4))</f>
        <v>1999</v>
      </c>
      <c r="E147" s="7" t="str">
        <f aca="false">IF(VALUE(RIGHT(Raw_Nigeria!D147,2))&gt;12,"",VALUE(RIGHT(Raw_Nigeria!D147,2)))</f>
        <v/>
      </c>
      <c r="F147" s="7" t="n">
        <f aca="false">VALUE(LEFT(Raw_Nigeria!E147,4))</f>
        <v>1999</v>
      </c>
      <c r="G147" s="7" t="str">
        <f aca="false">IF(VALUE(RIGHT(Raw_Nigeria!E147,2))&gt;12,"",VALUE(RIGHT(Raw_Nigeria!E147,2)))</f>
        <v/>
      </c>
      <c r="H147" s="7" t="n">
        <f aca="false">Raw_Nigeria!F147</f>
        <v>1998</v>
      </c>
      <c r="I147" s="7" t="str">
        <f aca="false">UPPER(TRIM(Raw_Nigeria!G147))</f>
        <v>FULL</v>
      </c>
      <c r="J147" s="7" t="str">
        <f aca="false">Raw_Nigeria!H147</f>
        <v>Record or Recall</v>
      </c>
      <c r="K147" s="7" t="str">
        <f aca="false">Raw_Nigeria!L147</f>
        <v>12-23 m</v>
      </c>
      <c r="L147" s="7" t="str">
        <f aca="false">IF(Raw_Nigeria!K147="","n/a",Raw_Nigeria!K147)</f>
        <v>0-23 m</v>
      </c>
      <c r="M147" s="7" t="n">
        <f aca="false">IF(Raw_Nigeria!I147="","",Raw_Nigeria!I147)</f>
        <v>25.2</v>
      </c>
      <c r="N147" s="7" t="n">
        <f aca="false">Raw_Nigeria!M147</f>
        <v>13.3</v>
      </c>
      <c r="O147" s="7" t="n">
        <f aca="false">IF(Raw_Nigeria!N147="","",Raw_Nigeria!N147)</f>
        <v>2841</v>
      </c>
      <c r="P147" s="7" t="str">
        <f aca="false">IF(K147="CBAW","Women of child-bearing age","Children")</f>
        <v>Children</v>
      </c>
      <c r="Q147" s="7" t="n">
        <f aca="false">IF(J147="NOT USED",1,0)</f>
        <v>0</v>
      </c>
      <c r="R147" s="7" t="n">
        <f aca="false">IF(AND(P147="Children",Q147=0),1,0)</f>
        <v>1</v>
      </c>
      <c r="S147" s="7" t="n">
        <f aca="false">IF(AND(R147=1,J147="Record or Recall",K147="12-23 m"),1,0)</f>
        <v>1</v>
      </c>
      <c r="T147" s="7" t="n">
        <f aca="false">IF(OR(I147="BCG",I147="DTP1",I147="DTP3",I147="POL3",I147="MCV1",I147="FULL"),1,0)</f>
        <v>1</v>
      </c>
      <c r="U147" s="7" t="n">
        <f aca="false">IF(OR(C147="DHS",C147="MICS"),1,0)</f>
        <v>1</v>
      </c>
      <c r="V147" s="7" t="n">
        <f aca="false">IF(O147="",1,0)</f>
        <v>0</v>
      </c>
      <c r="W147" s="7" t="n">
        <f aca="false">IF(M147="",1,0)</f>
        <v>0</v>
      </c>
      <c r="X147" s="7" t="n">
        <f aca="false">COUNTIFS($B$2:$B$1141,B147,$H$2:$H$1141,H147,$I$2:$I$1141,I147,$J$2:$J$1141,J147,$K$2:$K$1141,K147,$L$2:$L$1141,L147)</f>
        <v>1</v>
      </c>
    </row>
    <row r="148" customFormat="false" ht="15" hidden="false" customHeight="false" outlineLevel="0" collapsed="false">
      <c r="A148" s="7" t="n">
        <f aca="false">ROW()-1</f>
        <v>147</v>
      </c>
      <c r="B148" s="7" t="str">
        <f aca="false">IF(Raw_Nigeria!B148="",TRIM(Raw_Nigeria!C148),TRIM(Raw_Nigeria!B148))</f>
        <v>MICS Nigeria, 1999</v>
      </c>
      <c r="C148" s="7" t="str">
        <f aca="false">IF(ISNUMBER(SEARCH("Demographic and Health",B148)),"DHS",IF(OR(ISNUMBER(SEARCH("Multiple Indicator Cluster",B148)),ISNUMBER(SEARCH("MICS",B148))),"MICS",IF(ISNUMBER(SEARCH("Immunization Coverage Survey",B148)),"Coverage survey",IF(ISNUMBER(SEARCH("Nutrition",B148)),"Nutrition survey","Other"))))</f>
        <v>MICS</v>
      </c>
      <c r="D148" s="7" t="n">
        <f aca="false">VALUE(LEFT(Raw_Nigeria!D148,4))</f>
        <v>1999</v>
      </c>
      <c r="E148" s="7" t="str">
        <f aca="false">IF(VALUE(RIGHT(Raw_Nigeria!D148,2))&gt;12,"",VALUE(RIGHT(Raw_Nigeria!D148,2)))</f>
        <v/>
      </c>
      <c r="F148" s="7" t="n">
        <f aca="false">VALUE(LEFT(Raw_Nigeria!E148,4))</f>
        <v>1999</v>
      </c>
      <c r="G148" s="7" t="str">
        <f aca="false">IF(VALUE(RIGHT(Raw_Nigeria!E148,2))&gt;12,"",VALUE(RIGHT(Raw_Nigeria!E148,2)))</f>
        <v/>
      </c>
      <c r="H148" s="7" t="n">
        <f aca="false">Raw_Nigeria!F148</f>
        <v>1998</v>
      </c>
      <c r="I148" s="7" t="str">
        <f aca="false">UPPER(TRIM(Raw_Nigeria!G148))</f>
        <v>MCV1</v>
      </c>
      <c r="J148" s="7" t="str">
        <f aca="false">Raw_Nigeria!H148</f>
        <v>Record</v>
      </c>
      <c r="K148" s="7" t="str">
        <f aca="false">Raw_Nigeria!L148</f>
        <v>12-23 m</v>
      </c>
      <c r="L148" s="7" t="str">
        <f aca="false">IF(Raw_Nigeria!K148="","n/a",Raw_Nigeria!K148)</f>
        <v>0-23 m</v>
      </c>
      <c r="M148" s="7" t="n">
        <f aca="false">IF(Raw_Nigeria!I148="","",Raw_Nigeria!I148)</f>
        <v>25.2</v>
      </c>
      <c r="N148" s="7" t="n">
        <f aca="false">Raw_Nigeria!M148</f>
        <v>15.9</v>
      </c>
      <c r="O148" s="7" t="n">
        <f aca="false">IF(Raw_Nigeria!N148="","",Raw_Nigeria!N148)</f>
        <v>2841</v>
      </c>
      <c r="P148" s="7" t="str">
        <f aca="false">IF(K148="CBAW","Women of child-bearing age","Children")</f>
        <v>Children</v>
      </c>
      <c r="Q148" s="7" t="n">
        <f aca="false">IF(J148="NOT USED",1,0)</f>
        <v>0</v>
      </c>
      <c r="R148" s="7" t="n">
        <f aca="false">IF(AND(P148="Children",Q148=0),1,0)</f>
        <v>1</v>
      </c>
      <c r="S148" s="7" t="n">
        <f aca="false">IF(AND(R148=1,J148="Record or Recall",K148="12-23 m"),1,0)</f>
        <v>0</v>
      </c>
      <c r="T148" s="7" t="n">
        <f aca="false">IF(OR(I148="BCG",I148="DTP1",I148="DTP3",I148="POL3",I148="MCV1",I148="FULL"),1,0)</f>
        <v>1</v>
      </c>
      <c r="U148" s="7" t="n">
        <f aca="false">IF(OR(C148="DHS",C148="MICS"),1,0)</f>
        <v>1</v>
      </c>
      <c r="V148" s="7" t="n">
        <f aca="false">IF(O148="",1,0)</f>
        <v>0</v>
      </c>
      <c r="W148" s="7" t="n">
        <f aca="false">IF(M148="",1,0)</f>
        <v>0</v>
      </c>
      <c r="X148" s="7" t="n">
        <f aca="false">COUNTIFS($B$2:$B$1141,B148,$H$2:$H$1141,H148,$I$2:$I$1141,I148,$J$2:$J$1141,J148,$K$2:$K$1141,K148,$L$2:$L$1141,L148)</f>
        <v>1</v>
      </c>
    </row>
    <row r="149" customFormat="false" ht="15" hidden="false" customHeight="false" outlineLevel="0" collapsed="false">
      <c r="A149" s="7" t="n">
        <f aca="false">ROW()-1</f>
        <v>148</v>
      </c>
      <c r="B149" s="7" t="str">
        <f aca="false">IF(Raw_Nigeria!B149="",TRIM(Raw_Nigeria!C149),TRIM(Raw_Nigeria!B149))</f>
        <v>MICS Nigeria, 1999</v>
      </c>
      <c r="C149" s="7" t="str">
        <f aca="false">IF(ISNUMBER(SEARCH("Demographic and Health",B149)),"DHS",IF(OR(ISNUMBER(SEARCH("Multiple Indicator Cluster",B149)),ISNUMBER(SEARCH("MICS",B149))),"MICS",IF(ISNUMBER(SEARCH("Immunization Coverage Survey",B149)),"Coverage survey",IF(ISNUMBER(SEARCH("Nutrition",B149)),"Nutrition survey","Other"))))</f>
        <v>MICS</v>
      </c>
      <c r="D149" s="7" t="n">
        <f aca="false">VALUE(LEFT(Raw_Nigeria!D149,4))</f>
        <v>1999</v>
      </c>
      <c r="E149" s="7" t="str">
        <f aca="false">IF(VALUE(RIGHT(Raw_Nigeria!D149,2))&gt;12,"",VALUE(RIGHT(Raw_Nigeria!D149,2)))</f>
        <v/>
      </c>
      <c r="F149" s="7" t="n">
        <f aca="false">VALUE(LEFT(Raw_Nigeria!E149,4))</f>
        <v>1999</v>
      </c>
      <c r="G149" s="7" t="str">
        <f aca="false">IF(VALUE(RIGHT(Raw_Nigeria!E149,2))&gt;12,"",VALUE(RIGHT(Raw_Nigeria!E149,2)))</f>
        <v/>
      </c>
      <c r="H149" s="7" t="n">
        <f aca="false">Raw_Nigeria!F149</f>
        <v>1998</v>
      </c>
      <c r="I149" s="7" t="str">
        <f aca="false">UPPER(TRIM(Raw_Nigeria!G149))</f>
        <v>MCV1</v>
      </c>
      <c r="J149" s="7" t="str">
        <f aca="false">Raw_Nigeria!H149</f>
        <v>Record or Recall</v>
      </c>
      <c r="K149" s="7" t="str">
        <f aca="false">Raw_Nigeria!L149</f>
        <v>12-23 m</v>
      </c>
      <c r="L149" s="7" t="str">
        <f aca="false">IF(Raw_Nigeria!K149="","n/a",Raw_Nigeria!K149)</f>
        <v>0-23 m</v>
      </c>
      <c r="M149" s="7" t="n">
        <f aca="false">IF(Raw_Nigeria!I149="","",Raw_Nigeria!I149)</f>
        <v>25.2</v>
      </c>
      <c r="N149" s="7" t="n">
        <f aca="false">Raw_Nigeria!M149</f>
        <v>35</v>
      </c>
      <c r="O149" s="7" t="n">
        <f aca="false">IF(Raw_Nigeria!N149="","",Raw_Nigeria!N149)</f>
        <v>2841</v>
      </c>
      <c r="P149" s="7" t="str">
        <f aca="false">IF(K149="CBAW","Women of child-bearing age","Children")</f>
        <v>Children</v>
      </c>
      <c r="Q149" s="7" t="n">
        <f aca="false">IF(J149="NOT USED",1,0)</f>
        <v>0</v>
      </c>
      <c r="R149" s="7" t="n">
        <f aca="false">IF(AND(P149="Children",Q149=0),1,0)</f>
        <v>1</v>
      </c>
      <c r="S149" s="7" t="n">
        <f aca="false">IF(AND(R149=1,J149="Record or Recall",K149="12-23 m"),1,0)</f>
        <v>1</v>
      </c>
      <c r="T149" s="7" t="n">
        <f aca="false">IF(OR(I149="BCG",I149="DTP1",I149="DTP3",I149="POL3",I149="MCV1",I149="FULL"),1,0)</f>
        <v>1</v>
      </c>
      <c r="U149" s="7" t="n">
        <f aca="false">IF(OR(C149="DHS",C149="MICS"),1,0)</f>
        <v>1</v>
      </c>
      <c r="V149" s="7" t="n">
        <f aca="false">IF(O149="",1,0)</f>
        <v>0</v>
      </c>
      <c r="W149" s="7" t="n">
        <f aca="false">IF(M149="",1,0)</f>
        <v>0</v>
      </c>
      <c r="X149" s="7" t="n">
        <f aca="false">COUNTIFS($B$2:$B$1141,B149,$H$2:$H$1141,H149,$I$2:$I$1141,I149,$J$2:$J$1141,J149,$K$2:$K$1141,K149,$L$2:$L$1141,L149)</f>
        <v>1</v>
      </c>
    </row>
    <row r="150" customFormat="false" ht="15" hidden="false" customHeight="false" outlineLevel="0" collapsed="false">
      <c r="A150" s="7" t="n">
        <f aca="false">ROW()-1</f>
        <v>149</v>
      </c>
      <c r="B150" s="7" t="str">
        <f aca="false">IF(Raw_Nigeria!B150="",TRIM(Raw_Nigeria!C150),TRIM(Raw_Nigeria!B150))</f>
        <v>MICS Nigeria, 1999</v>
      </c>
      <c r="C150" s="7" t="str">
        <f aca="false">IF(ISNUMBER(SEARCH("Demographic and Health",B150)),"DHS",IF(OR(ISNUMBER(SEARCH("Multiple Indicator Cluster",B150)),ISNUMBER(SEARCH("MICS",B150))),"MICS",IF(ISNUMBER(SEARCH("Immunization Coverage Survey",B150)),"Coverage survey",IF(ISNUMBER(SEARCH("Nutrition",B150)),"Nutrition survey","Other"))))</f>
        <v>MICS</v>
      </c>
      <c r="D150" s="7" t="n">
        <f aca="false">VALUE(LEFT(Raw_Nigeria!D150,4))</f>
        <v>1999</v>
      </c>
      <c r="E150" s="7" t="str">
        <f aca="false">IF(VALUE(RIGHT(Raw_Nigeria!D150,2))&gt;12,"",VALUE(RIGHT(Raw_Nigeria!D150,2)))</f>
        <v/>
      </c>
      <c r="F150" s="7" t="n">
        <f aca="false">VALUE(LEFT(Raw_Nigeria!E150,4))</f>
        <v>1999</v>
      </c>
      <c r="G150" s="7" t="str">
        <f aca="false">IF(VALUE(RIGHT(Raw_Nigeria!E150,2))&gt;12,"",VALUE(RIGHT(Raw_Nigeria!E150,2)))</f>
        <v/>
      </c>
      <c r="H150" s="7" t="n">
        <f aca="false">Raw_Nigeria!F150</f>
        <v>1998</v>
      </c>
      <c r="I150" s="7" t="str">
        <f aca="false">UPPER(TRIM(Raw_Nigeria!G150))</f>
        <v>POL1</v>
      </c>
      <c r="J150" s="7" t="str">
        <f aca="false">Raw_Nigeria!H150</f>
        <v>Record</v>
      </c>
      <c r="K150" s="7" t="str">
        <f aca="false">Raw_Nigeria!L150</f>
        <v>12-23 m</v>
      </c>
      <c r="L150" s="7" t="str">
        <f aca="false">IF(Raw_Nigeria!K150="","n/a",Raw_Nigeria!K150)</f>
        <v>0-23 m</v>
      </c>
      <c r="M150" s="7" t="n">
        <f aca="false">IF(Raw_Nigeria!I150="","",Raw_Nigeria!I150)</f>
        <v>25.2</v>
      </c>
      <c r="N150" s="7" t="n">
        <f aca="false">Raw_Nigeria!M150</f>
        <v>11.8</v>
      </c>
      <c r="O150" s="7" t="n">
        <f aca="false">IF(Raw_Nigeria!N150="","",Raw_Nigeria!N150)</f>
        <v>2841</v>
      </c>
      <c r="P150" s="7" t="str">
        <f aca="false">IF(K150="CBAW","Women of child-bearing age","Children")</f>
        <v>Children</v>
      </c>
      <c r="Q150" s="7" t="n">
        <f aca="false">IF(J150="NOT USED",1,0)</f>
        <v>0</v>
      </c>
      <c r="R150" s="7" t="n">
        <f aca="false">IF(AND(P150="Children",Q150=0),1,0)</f>
        <v>1</v>
      </c>
      <c r="S150" s="7" t="n">
        <f aca="false">IF(AND(R150=1,J150="Record or Recall",K150="12-23 m"),1,0)</f>
        <v>0</v>
      </c>
      <c r="T150" s="7" t="n">
        <f aca="false">IF(OR(I150="BCG",I150="DTP1",I150="DTP3",I150="POL3",I150="MCV1",I150="FULL"),1,0)</f>
        <v>0</v>
      </c>
      <c r="U150" s="7" t="n">
        <f aca="false">IF(OR(C150="DHS",C150="MICS"),1,0)</f>
        <v>1</v>
      </c>
      <c r="V150" s="7" t="n">
        <f aca="false">IF(O150="",1,0)</f>
        <v>0</v>
      </c>
      <c r="W150" s="7" t="n">
        <f aca="false">IF(M150="",1,0)</f>
        <v>0</v>
      </c>
      <c r="X150" s="7" t="n">
        <f aca="false">COUNTIFS($B$2:$B$1141,B150,$H$2:$H$1141,H150,$I$2:$I$1141,I150,$J$2:$J$1141,J150,$K$2:$K$1141,K150,$L$2:$L$1141,L150)</f>
        <v>1</v>
      </c>
    </row>
    <row r="151" customFormat="false" ht="15" hidden="false" customHeight="false" outlineLevel="0" collapsed="false">
      <c r="A151" s="7" t="n">
        <f aca="false">ROW()-1</f>
        <v>150</v>
      </c>
      <c r="B151" s="7" t="str">
        <f aca="false">IF(Raw_Nigeria!B151="",TRIM(Raw_Nigeria!C151),TRIM(Raw_Nigeria!B151))</f>
        <v>MICS Nigeria, 1999</v>
      </c>
      <c r="C151" s="7" t="str">
        <f aca="false">IF(ISNUMBER(SEARCH("Demographic and Health",B151)),"DHS",IF(OR(ISNUMBER(SEARCH("Multiple Indicator Cluster",B151)),ISNUMBER(SEARCH("MICS",B151))),"MICS",IF(ISNUMBER(SEARCH("Immunization Coverage Survey",B151)),"Coverage survey",IF(ISNUMBER(SEARCH("Nutrition",B151)),"Nutrition survey","Other"))))</f>
        <v>MICS</v>
      </c>
      <c r="D151" s="7" t="n">
        <f aca="false">VALUE(LEFT(Raw_Nigeria!D151,4))</f>
        <v>1999</v>
      </c>
      <c r="E151" s="7" t="str">
        <f aca="false">IF(VALUE(RIGHT(Raw_Nigeria!D151,2))&gt;12,"",VALUE(RIGHT(Raw_Nigeria!D151,2)))</f>
        <v/>
      </c>
      <c r="F151" s="7" t="n">
        <f aca="false">VALUE(LEFT(Raw_Nigeria!E151,4))</f>
        <v>1999</v>
      </c>
      <c r="G151" s="7" t="str">
        <f aca="false">IF(VALUE(RIGHT(Raw_Nigeria!E151,2))&gt;12,"",VALUE(RIGHT(Raw_Nigeria!E151,2)))</f>
        <v/>
      </c>
      <c r="H151" s="7" t="n">
        <f aca="false">Raw_Nigeria!F151</f>
        <v>1998</v>
      </c>
      <c r="I151" s="7" t="str">
        <f aca="false">UPPER(TRIM(Raw_Nigeria!G151))</f>
        <v>POL1</v>
      </c>
      <c r="J151" s="7" t="str">
        <f aca="false">Raw_Nigeria!H151</f>
        <v>Record or Recall</v>
      </c>
      <c r="K151" s="7" t="str">
        <f aca="false">Raw_Nigeria!L151</f>
        <v>12-23 m</v>
      </c>
      <c r="L151" s="7" t="str">
        <f aca="false">IF(Raw_Nigeria!K151="","n/a",Raw_Nigeria!K151)</f>
        <v>0-23 m</v>
      </c>
      <c r="M151" s="7" t="n">
        <f aca="false">IF(Raw_Nigeria!I151="","",Raw_Nigeria!I151)</f>
        <v>25.2</v>
      </c>
      <c r="N151" s="7" t="n">
        <f aca="false">Raw_Nigeria!M151</f>
        <v>37.4</v>
      </c>
      <c r="O151" s="7" t="n">
        <f aca="false">IF(Raw_Nigeria!N151="","",Raw_Nigeria!N151)</f>
        <v>2841</v>
      </c>
      <c r="P151" s="7" t="str">
        <f aca="false">IF(K151="CBAW","Women of child-bearing age","Children")</f>
        <v>Children</v>
      </c>
      <c r="Q151" s="7" t="n">
        <f aca="false">IF(J151="NOT USED",1,0)</f>
        <v>0</v>
      </c>
      <c r="R151" s="7" t="n">
        <f aca="false">IF(AND(P151="Children",Q151=0),1,0)</f>
        <v>1</v>
      </c>
      <c r="S151" s="7" t="n">
        <f aca="false">IF(AND(R151=1,J151="Record or Recall",K151="12-23 m"),1,0)</f>
        <v>1</v>
      </c>
      <c r="T151" s="7" t="n">
        <f aca="false">IF(OR(I151="BCG",I151="DTP1",I151="DTP3",I151="POL3",I151="MCV1",I151="FULL"),1,0)</f>
        <v>0</v>
      </c>
      <c r="U151" s="7" t="n">
        <f aca="false">IF(OR(C151="DHS",C151="MICS"),1,0)</f>
        <v>1</v>
      </c>
      <c r="V151" s="7" t="n">
        <f aca="false">IF(O151="",1,0)</f>
        <v>0</v>
      </c>
      <c r="W151" s="7" t="n">
        <f aca="false">IF(M151="",1,0)</f>
        <v>0</v>
      </c>
      <c r="X151" s="7" t="n">
        <f aca="false">COUNTIFS($B$2:$B$1141,B151,$H$2:$H$1141,H151,$I$2:$I$1141,I151,$J$2:$J$1141,J151,$K$2:$K$1141,K151,$L$2:$L$1141,L151)</f>
        <v>1</v>
      </c>
    </row>
    <row r="152" customFormat="false" ht="15" hidden="false" customHeight="false" outlineLevel="0" collapsed="false">
      <c r="A152" s="7" t="n">
        <f aca="false">ROW()-1</f>
        <v>151</v>
      </c>
      <c r="B152" s="7" t="str">
        <f aca="false">IF(Raw_Nigeria!B152="",TRIM(Raw_Nigeria!C152),TRIM(Raw_Nigeria!B152))</f>
        <v>MICS Nigeria, 1999</v>
      </c>
      <c r="C152" s="7" t="str">
        <f aca="false">IF(ISNUMBER(SEARCH("Demographic and Health",B152)),"DHS",IF(OR(ISNUMBER(SEARCH("Multiple Indicator Cluster",B152)),ISNUMBER(SEARCH("MICS",B152))),"MICS",IF(ISNUMBER(SEARCH("Immunization Coverage Survey",B152)),"Coverage survey",IF(ISNUMBER(SEARCH("Nutrition",B152)),"Nutrition survey","Other"))))</f>
        <v>MICS</v>
      </c>
      <c r="D152" s="7" t="n">
        <f aca="false">VALUE(LEFT(Raw_Nigeria!D152,4))</f>
        <v>1999</v>
      </c>
      <c r="E152" s="7" t="str">
        <f aca="false">IF(VALUE(RIGHT(Raw_Nigeria!D152,2))&gt;12,"",VALUE(RIGHT(Raw_Nigeria!D152,2)))</f>
        <v/>
      </c>
      <c r="F152" s="7" t="n">
        <f aca="false">VALUE(LEFT(Raw_Nigeria!E152,4))</f>
        <v>1999</v>
      </c>
      <c r="G152" s="7" t="str">
        <f aca="false">IF(VALUE(RIGHT(Raw_Nigeria!E152,2))&gt;12,"",VALUE(RIGHT(Raw_Nigeria!E152,2)))</f>
        <v/>
      </c>
      <c r="H152" s="7" t="n">
        <f aca="false">Raw_Nigeria!F152</f>
        <v>1998</v>
      </c>
      <c r="I152" s="7" t="str">
        <f aca="false">UPPER(TRIM(Raw_Nigeria!G152))</f>
        <v>POL3</v>
      </c>
      <c r="J152" s="7" t="str">
        <f aca="false">Raw_Nigeria!H152</f>
        <v>Record or Recall</v>
      </c>
      <c r="K152" s="7" t="str">
        <f aca="false">Raw_Nigeria!L152</f>
        <v>12-23 m</v>
      </c>
      <c r="L152" s="7" t="str">
        <f aca="false">IF(Raw_Nigeria!K152="","n/a",Raw_Nigeria!K152)</f>
        <v>0-23 m</v>
      </c>
      <c r="M152" s="7" t="n">
        <f aca="false">IF(Raw_Nigeria!I152="","",Raw_Nigeria!I152)</f>
        <v>25.2</v>
      </c>
      <c r="N152" s="7" t="n">
        <f aca="false">Raw_Nigeria!M152</f>
        <v>18.8</v>
      </c>
      <c r="O152" s="7" t="n">
        <f aca="false">IF(Raw_Nigeria!N152="","",Raw_Nigeria!N152)</f>
        <v>2841</v>
      </c>
      <c r="P152" s="7" t="str">
        <f aca="false">IF(K152="CBAW","Women of child-bearing age","Children")</f>
        <v>Children</v>
      </c>
      <c r="Q152" s="7" t="n">
        <f aca="false">IF(J152="NOT USED",1,0)</f>
        <v>0</v>
      </c>
      <c r="R152" s="7" t="n">
        <f aca="false">IF(AND(P152="Children",Q152=0),1,0)</f>
        <v>1</v>
      </c>
      <c r="S152" s="7" t="n">
        <f aca="false">IF(AND(R152=1,J152="Record or Recall",K152="12-23 m"),1,0)</f>
        <v>1</v>
      </c>
      <c r="T152" s="7" t="n">
        <f aca="false">IF(OR(I152="BCG",I152="DTP1",I152="DTP3",I152="POL3",I152="MCV1",I152="FULL"),1,0)</f>
        <v>1</v>
      </c>
      <c r="U152" s="7" t="n">
        <f aca="false">IF(OR(C152="DHS",C152="MICS"),1,0)</f>
        <v>1</v>
      </c>
      <c r="V152" s="7" t="n">
        <f aca="false">IF(O152="",1,0)</f>
        <v>0</v>
      </c>
      <c r="W152" s="7" t="n">
        <f aca="false">IF(M152="",1,0)</f>
        <v>0</v>
      </c>
      <c r="X152" s="7" t="n">
        <f aca="false">COUNTIFS($B$2:$B$1141,B152,$H$2:$H$1141,H152,$I$2:$I$1141,I152,$J$2:$J$1141,J152,$K$2:$K$1141,K152,$L$2:$L$1141,L152)</f>
        <v>1</v>
      </c>
    </row>
    <row r="153" customFormat="false" ht="15" hidden="false" customHeight="false" outlineLevel="0" collapsed="false">
      <c r="A153" s="7" t="n">
        <f aca="false">ROW()-1</f>
        <v>152</v>
      </c>
      <c r="B153" s="7" t="str">
        <f aca="false">IF(Raw_Nigeria!B153="",TRIM(Raw_Nigeria!C153),TRIM(Raw_Nigeria!B153))</f>
        <v>Nigeria Demographic and Health Survey 2003</v>
      </c>
      <c r="C153" s="7" t="str">
        <f aca="false">IF(ISNUMBER(SEARCH("Demographic and Health",B153)),"DHS",IF(OR(ISNUMBER(SEARCH("Multiple Indicator Cluster",B153)),ISNUMBER(SEARCH("MICS",B153))),"MICS",IF(ISNUMBER(SEARCH("Immunization Coverage Survey",B153)),"Coverage survey",IF(ISNUMBER(SEARCH("Nutrition",B153)),"Nutrition survey","Other"))))</f>
        <v>DHS</v>
      </c>
      <c r="D153" s="7" t="n">
        <f aca="false">VALUE(LEFT(Raw_Nigeria!D153,4))</f>
        <v>2003</v>
      </c>
      <c r="E153" s="7" t="n">
        <f aca="false">IF(VALUE(RIGHT(Raw_Nigeria!D153,2))&gt;12,"",VALUE(RIGHT(Raw_Nigeria!D153,2)))</f>
        <v>3</v>
      </c>
      <c r="F153" s="7" t="n">
        <f aca="false">VALUE(LEFT(Raw_Nigeria!E153,4))</f>
        <v>2003</v>
      </c>
      <c r="G153" s="7" t="n">
        <f aca="false">IF(VALUE(RIGHT(Raw_Nigeria!E153,2))&gt;12,"",VALUE(RIGHT(Raw_Nigeria!E153,2)))</f>
        <v>8</v>
      </c>
      <c r="H153" s="7" t="n">
        <f aca="false">Raw_Nigeria!F153</f>
        <v>2002</v>
      </c>
      <c r="I153" s="7" t="str">
        <f aca="false">UPPER(TRIM(Raw_Nigeria!G153))</f>
        <v>BCG</v>
      </c>
      <c r="J153" s="7" t="str">
        <f aca="false">Raw_Nigeria!H153</f>
        <v>Record or Recall&lt;12m</v>
      </c>
      <c r="K153" s="7" t="str">
        <f aca="false">Raw_Nigeria!L153</f>
        <v>12-23 m</v>
      </c>
      <c r="L153" s="7" t="str">
        <f aca="false">IF(Raw_Nigeria!K153="","n/a",Raw_Nigeria!K153)</f>
        <v>0-12 m</v>
      </c>
      <c r="M153" s="7" t="n">
        <f aca="false">IF(Raw_Nigeria!I153="","",Raw_Nigeria!I153)</f>
        <v>21.3</v>
      </c>
      <c r="N153" s="7" t="n">
        <f aca="false">Raw_Nigeria!M153</f>
        <v>46.9</v>
      </c>
      <c r="O153" s="7" t="n">
        <f aca="false">IF(Raw_Nigeria!N153="","",Raw_Nigeria!N153)</f>
        <v>999</v>
      </c>
      <c r="P153" s="7" t="str">
        <f aca="false">IF(K153="CBAW","Women of child-bearing age","Children")</f>
        <v>Children</v>
      </c>
      <c r="Q153" s="7" t="n">
        <f aca="false">IF(J153="NOT USED",1,0)</f>
        <v>0</v>
      </c>
      <c r="R153" s="7" t="n">
        <f aca="false">IF(AND(P153="Children",Q153=0),1,0)</f>
        <v>1</v>
      </c>
      <c r="S153" s="7" t="n">
        <f aca="false">IF(AND(R153=1,J153="Record or Recall",K153="12-23 m"),1,0)</f>
        <v>0</v>
      </c>
      <c r="T153" s="7" t="n">
        <f aca="false">IF(OR(I153="BCG",I153="DTP1",I153="DTP3",I153="POL3",I153="MCV1",I153="FULL"),1,0)</f>
        <v>1</v>
      </c>
      <c r="U153" s="7" t="n">
        <f aca="false">IF(OR(C153="DHS",C153="MICS"),1,0)</f>
        <v>1</v>
      </c>
      <c r="V153" s="7" t="n">
        <f aca="false">IF(O153="",1,0)</f>
        <v>0</v>
      </c>
      <c r="W153" s="7" t="n">
        <f aca="false">IF(M153="",1,0)</f>
        <v>0</v>
      </c>
      <c r="X153" s="7" t="n">
        <f aca="false">COUNTIFS($B$2:$B$1141,B153,$H$2:$H$1141,H153,$I$2:$I$1141,I153,$J$2:$J$1141,J153,$K$2:$K$1141,K153,$L$2:$L$1141,L153)</f>
        <v>1</v>
      </c>
    </row>
    <row r="154" customFormat="false" ht="15" hidden="false" customHeight="false" outlineLevel="0" collapsed="false">
      <c r="A154" s="7" t="n">
        <f aca="false">ROW()-1</f>
        <v>153</v>
      </c>
      <c r="B154" s="7" t="str">
        <f aca="false">IF(Raw_Nigeria!B154="",TRIM(Raw_Nigeria!C154),TRIM(Raw_Nigeria!B154))</f>
        <v>Nigeria Demographic and Health Survey 2003</v>
      </c>
      <c r="C154" s="7" t="str">
        <f aca="false">IF(ISNUMBER(SEARCH("Demographic and Health",B154)),"DHS",IF(OR(ISNUMBER(SEARCH("Multiple Indicator Cluster",B154)),ISNUMBER(SEARCH("MICS",B154))),"MICS",IF(ISNUMBER(SEARCH("Immunization Coverage Survey",B154)),"Coverage survey",IF(ISNUMBER(SEARCH("Nutrition",B154)),"Nutrition survey","Other"))))</f>
        <v>DHS</v>
      </c>
      <c r="D154" s="7" t="n">
        <f aca="false">VALUE(LEFT(Raw_Nigeria!D154,4))</f>
        <v>2003</v>
      </c>
      <c r="E154" s="7" t="n">
        <f aca="false">IF(VALUE(RIGHT(Raw_Nigeria!D154,2))&gt;12,"",VALUE(RIGHT(Raw_Nigeria!D154,2)))</f>
        <v>3</v>
      </c>
      <c r="F154" s="7" t="n">
        <f aca="false">VALUE(LEFT(Raw_Nigeria!E154,4))</f>
        <v>2003</v>
      </c>
      <c r="G154" s="7" t="n">
        <f aca="false">IF(VALUE(RIGHT(Raw_Nigeria!E154,2))&gt;12,"",VALUE(RIGHT(Raw_Nigeria!E154,2)))</f>
        <v>8</v>
      </c>
      <c r="H154" s="7" t="n">
        <f aca="false">Raw_Nigeria!F154</f>
        <v>2002</v>
      </c>
      <c r="I154" s="7" t="str">
        <f aca="false">UPPER(TRIM(Raw_Nigeria!G154))</f>
        <v>BCG</v>
      </c>
      <c r="J154" s="7" t="str">
        <f aca="false">Raw_Nigeria!H154</f>
        <v>Record</v>
      </c>
      <c r="K154" s="7" t="str">
        <f aca="false">Raw_Nigeria!L154</f>
        <v>12-23 m</v>
      </c>
      <c r="L154" s="7" t="str">
        <f aca="false">IF(Raw_Nigeria!K154="","n/a",Raw_Nigeria!K154)</f>
        <v>0-23 m</v>
      </c>
      <c r="M154" s="7" t="n">
        <f aca="false">IF(Raw_Nigeria!I154="","",Raw_Nigeria!I154)</f>
        <v>21.3</v>
      </c>
      <c r="N154" s="7" t="n">
        <f aca="false">Raw_Nigeria!M154</f>
        <v>20.2</v>
      </c>
      <c r="O154" s="7" t="n">
        <f aca="false">IF(Raw_Nigeria!N154="","",Raw_Nigeria!N154)</f>
        <v>999</v>
      </c>
      <c r="P154" s="7" t="str">
        <f aca="false">IF(K154="CBAW","Women of child-bearing age","Children")</f>
        <v>Children</v>
      </c>
      <c r="Q154" s="7" t="n">
        <f aca="false">IF(J154="NOT USED",1,0)</f>
        <v>0</v>
      </c>
      <c r="R154" s="7" t="n">
        <f aca="false">IF(AND(P154="Children",Q154=0),1,0)</f>
        <v>1</v>
      </c>
      <c r="S154" s="7" t="n">
        <f aca="false">IF(AND(R154=1,J154="Record or Recall",K154="12-23 m"),1,0)</f>
        <v>0</v>
      </c>
      <c r="T154" s="7" t="n">
        <f aca="false">IF(OR(I154="BCG",I154="DTP1",I154="DTP3",I154="POL3",I154="MCV1",I154="FULL"),1,0)</f>
        <v>1</v>
      </c>
      <c r="U154" s="7" t="n">
        <f aca="false">IF(OR(C154="DHS",C154="MICS"),1,0)</f>
        <v>1</v>
      </c>
      <c r="V154" s="7" t="n">
        <f aca="false">IF(O154="",1,0)</f>
        <v>0</v>
      </c>
      <c r="W154" s="7" t="n">
        <f aca="false">IF(M154="",1,0)</f>
        <v>0</v>
      </c>
      <c r="X154" s="7" t="n">
        <f aca="false">COUNTIFS($B$2:$B$1141,B154,$H$2:$H$1141,H154,$I$2:$I$1141,I154,$J$2:$J$1141,J154,$K$2:$K$1141,K154,$L$2:$L$1141,L154)</f>
        <v>1</v>
      </c>
    </row>
    <row r="155" customFormat="false" ht="15" hidden="false" customHeight="false" outlineLevel="0" collapsed="false">
      <c r="A155" s="7" t="n">
        <f aca="false">ROW()-1</f>
        <v>154</v>
      </c>
      <c r="B155" s="7" t="str">
        <f aca="false">IF(Raw_Nigeria!B155="",TRIM(Raw_Nigeria!C155),TRIM(Raw_Nigeria!B155))</f>
        <v>Nigeria Demographic and Health Survey 2003</v>
      </c>
      <c r="C155" s="7" t="str">
        <f aca="false">IF(ISNUMBER(SEARCH("Demographic and Health",B155)),"DHS",IF(OR(ISNUMBER(SEARCH("Multiple Indicator Cluster",B155)),ISNUMBER(SEARCH("MICS",B155))),"MICS",IF(ISNUMBER(SEARCH("Immunization Coverage Survey",B155)),"Coverage survey",IF(ISNUMBER(SEARCH("Nutrition",B155)),"Nutrition survey","Other"))))</f>
        <v>DHS</v>
      </c>
      <c r="D155" s="7" t="n">
        <f aca="false">VALUE(LEFT(Raw_Nigeria!D155,4))</f>
        <v>2003</v>
      </c>
      <c r="E155" s="7" t="n">
        <f aca="false">IF(VALUE(RIGHT(Raw_Nigeria!D155,2))&gt;12,"",VALUE(RIGHT(Raw_Nigeria!D155,2)))</f>
        <v>3</v>
      </c>
      <c r="F155" s="7" t="n">
        <f aca="false">VALUE(LEFT(Raw_Nigeria!E155,4))</f>
        <v>2003</v>
      </c>
      <c r="G155" s="7" t="n">
        <f aca="false">IF(VALUE(RIGHT(Raw_Nigeria!E155,2))&gt;12,"",VALUE(RIGHT(Raw_Nigeria!E155,2)))</f>
        <v>8</v>
      </c>
      <c r="H155" s="7" t="n">
        <f aca="false">Raw_Nigeria!F155</f>
        <v>2002</v>
      </c>
      <c r="I155" s="7" t="str">
        <f aca="false">UPPER(TRIM(Raw_Nigeria!G155))</f>
        <v>BCG</v>
      </c>
      <c r="J155" s="7" t="str">
        <f aca="false">Raw_Nigeria!H155</f>
        <v>Record or Recall</v>
      </c>
      <c r="K155" s="7" t="str">
        <f aca="false">Raw_Nigeria!L155</f>
        <v>12-23 m</v>
      </c>
      <c r="L155" s="7" t="str">
        <f aca="false">IF(Raw_Nigeria!K155="","n/a",Raw_Nigeria!K155)</f>
        <v>0-23 m</v>
      </c>
      <c r="M155" s="7" t="n">
        <f aca="false">IF(Raw_Nigeria!I155="","",Raw_Nigeria!I155)</f>
        <v>21.3</v>
      </c>
      <c r="N155" s="7" t="n">
        <f aca="false">Raw_Nigeria!M155</f>
        <v>48.3</v>
      </c>
      <c r="O155" s="7" t="n">
        <f aca="false">IF(Raw_Nigeria!N155="","",Raw_Nigeria!N155)</f>
        <v>999</v>
      </c>
      <c r="P155" s="7" t="str">
        <f aca="false">IF(K155="CBAW","Women of child-bearing age","Children")</f>
        <v>Children</v>
      </c>
      <c r="Q155" s="7" t="n">
        <f aca="false">IF(J155="NOT USED",1,0)</f>
        <v>0</v>
      </c>
      <c r="R155" s="7" t="n">
        <f aca="false">IF(AND(P155="Children",Q155=0),1,0)</f>
        <v>1</v>
      </c>
      <c r="S155" s="7" t="n">
        <f aca="false">IF(AND(R155=1,J155="Record or Recall",K155="12-23 m"),1,0)</f>
        <v>1</v>
      </c>
      <c r="T155" s="7" t="n">
        <f aca="false">IF(OR(I155="BCG",I155="DTP1",I155="DTP3",I155="POL3",I155="MCV1",I155="FULL"),1,0)</f>
        <v>1</v>
      </c>
      <c r="U155" s="7" t="n">
        <f aca="false">IF(OR(C155="DHS",C155="MICS"),1,0)</f>
        <v>1</v>
      </c>
      <c r="V155" s="7" t="n">
        <f aca="false">IF(O155="",1,0)</f>
        <v>0</v>
      </c>
      <c r="W155" s="7" t="n">
        <f aca="false">IF(M155="",1,0)</f>
        <v>0</v>
      </c>
      <c r="X155" s="7" t="n">
        <f aca="false">COUNTIFS($B$2:$B$1141,B155,$H$2:$H$1141,H155,$I$2:$I$1141,I155,$J$2:$J$1141,J155,$K$2:$K$1141,K155,$L$2:$L$1141,L155)</f>
        <v>1</v>
      </c>
    </row>
    <row r="156" customFormat="false" ht="15" hidden="false" customHeight="false" outlineLevel="0" collapsed="false">
      <c r="A156" s="7" t="n">
        <f aca="false">ROW()-1</f>
        <v>155</v>
      </c>
      <c r="B156" s="7" t="str">
        <f aca="false">IF(Raw_Nigeria!B156="",TRIM(Raw_Nigeria!C156),TRIM(Raw_Nigeria!B156))</f>
        <v>Nigeria Demographic and Health Survey 2003</v>
      </c>
      <c r="C156" s="7" t="str">
        <f aca="false">IF(ISNUMBER(SEARCH("Demographic and Health",B156)),"DHS",IF(OR(ISNUMBER(SEARCH("Multiple Indicator Cluster",B156)),ISNUMBER(SEARCH("MICS",B156))),"MICS",IF(ISNUMBER(SEARCH("Immunization Coverage Survey",B156)),"Coverage survey",IF(ISNUMBER(SEARCH("Nutrition",B156)),"Nutrition survey","Other"))))</f>
        <v>DHS</v>
      </c>
      <c r="D156" s="7" t="n">
        <f aca="false">VALUE(LEFT(Raw_Nigeria!D156,4))</f>
        <v>2003</v>
      </c>
      <c r="E156" s="7" t="n">
        <f aca="false">IF(VALUE(RIGHT(Raw_Nigeria!D156,2))&gt;12,"",VALUE(RIGHT(Raw_Nigeria!D156,2)))</f>
        <v>3</v>
      </c>
      <c r="F156" s="7" t="n">
        <f aca="false">VALUE(LEFT(Raw_Nigeria!E156,4))</f>
        <v>2003</v>
      </c>
      <c r="G156" s="7" t="n">
        <f aca="false">IF(VALUE(RIGHT(Raw_Nigeria!E156,2))&gt;12,"",VALUE(RIGHT(Raw_Nigeria!E156,2)))</f>
        <v>8</v>
      </c>
      <c r="H156" s="7" t="n">
        <f aca="false">Raw_Nigeria!F156</f>
        <v>2002</v>
      </c>
      <c r="I156" s="7" t="str">
        <f aca="false">UPPER(TRIM(Raw_Nigeria!G156))</f>
        <v>BCG</v>
      </c>
      <c r="J156" s="7" t="str">
        <f aca="false">Raw_Nigeria!H156</f>
        <v>Recall</v>
      </c>
      <c r="K156" s="7" t="str">
        <f aca="false">Raw_Nigeria!L156</f>
        <v>12-23 m</v>
      </c>
      <c r="L156" s="7" t="str">
        <f aca="false">IF(Raw_Nigeria!K156="","n/a",Raw_Nigeria!K156)</f>
        <v>0-23 m</v>
      </c>
      <c r="M156" s="7" t="n">
        <f aca="false">IF(Raw_Nigeria!I156="","",Raw_Nigeria!I156)</f>
        <v>21.3</v>
      </c>
      <c r="N156" s="7" t="n">
        <f aca="false">Raw_Nigeria!M156</f>
        <v>28.1</v>
      </c>
      <c r="O156" s="7" t="n">
        <f aca="false">IF(Raw_Nigeria!N156="","",Raw_Nigeria!N156)</f>
        <v>999</v>
      </c>
      <c r="P156" s="7" t="str">
        <f aca="false">IF(K156="CBAW","Women of child-bearing age","Children")</f>
        <v>Children</v>
      </c>
      <c r="Q156" s="7" t="n">
        <f aca="false">IF(J156="NOT USED",1,0)</f>
        <v>0</v>
      </c>
      <c r="R156" s="7" t="n">
        <f aca="false">IF(AND(P156="Children",Q156=0),1,0)</f>
        <v>1</v>
      </c>
      <c r="S156" s="7" t="n">
        <f aca="false">IF(AND(R156=1,J156="Record or Recall",K156="12-23 m"),1,0)</f>
        <v>0</v>
      </c>
      <c r="T156" s="7" t="n">
        <f aca="false">IF(OR(I156="BCG",I156="DTP1",I156="DTP3",I156="POL3",I156="MCV1",I156="FULL"),1,0)</f>
        <v>1</v>
      </c>
      <c r="U156" s="7" t="n">
        <f aca="false">IF(OR(C156="DHS",C156="MICS"),1,0)</f>
        <v>1</v>
      </c>
      <c r="V156" s="7" t="n">
        <f aca="false">IF(O156="",1,0)</f>
        <v>0</v>
      </c>
      <c r="W156" s="7" t="n">
        <f aca="false">IF(M156="",1,0)</f>
        <v>0</v>
      </c>
      <c r="X156" s="7" t="n">
        <f aca="false">COUNTIFS($B$2:$B$1141,B156,$H$2:$H$1141,H156,$I$2:$I$1141,I156,$J$2:$J$1141,J156,$K$2:$K$1141,K156,$L$2:$L$1141,L156)</f>
        <v>1</v>
      </c>
    </row>
    <row r="157" customFormat="false" ht="15" hidden="false" customHeight="false" outlineLevel="0" collapsed="false">
      <c r="A157" s="7" t="n">
        <f aca="false">ROW()-1</f>
        <v>156</v>
      </c>
      <c r="B157" s="7" t="str">
        <f aca="false">IF(Raw_Nigeria!B157="",TRIM(Raw_Nigeria!C157),TRIM(Raw_Nigeria!B157))</f>
        <v>Nigeria Demographic and Health Survey 2003</v>
      </c>
      <c r="C157" s="7" t="str">
        <f aca="false">IF(ISNUMBER(SEARCH("Demographic and Health",B157)),"DHS",IF(OR(ISNUMBER(SEARCH("Multiple Indicator Cluster",B157)),ISNUMBER(SEARCH("MICS",B157))),"MICS",IF(ISNUMBER(SEARCH("Immunization Coverage Survey",B157)),"Coverage survey",IF(ISNUMBER(SEARCH("Nutrition",B157)),"Nutrition survey","Other"))))</f>
        <v>DHS</v>
      </c>
      <c r="D157" s="7" t="n">
        <f aca="false">VALUE(LEFT(Raw_Nigeria!D157,4))</f>
        <v>2003</v>
      </c>
      <c r="E157" s="7" t="n">
        <f aca="false">IF(VALUE(RIGHT(Raw_Nigeria!D157,2))&gt;12,"",VALUE(RIGHT(Raw_Nigeria!D157,2)))</f>
        <v>3</v>
      </c>
      <c r="F157" s="7" t="n">
        <f aca="false">VALUE(LEFT(Raw_Nigeria!E157,4))</f>
        <v>2003</v>
      </c>
      <c r="G157" s="7" t="n">
        <f aca="false">IF(VALUE(RIGHT(Raw_Nigeria!E157,2))&gt;12,"",VALUE(RIGHT(Raw_Nigeria!E157,2)))</f>
        <v>8</v>
      </c>
      <c r="H157" s="7" t="n">
        <f aca="false">Raw_Nigeria!F157</f>
        <v>2002</v>
      </c>
      <c r="I157" s="7" t="str">
        <f aca="false">UPPER(TRIM(Raw_Nigeria!G157))</f>
        <v>DTP1</v>
      </c>
      <c r="J157" s="7" t="str">
        <f aca="false">Raw_Nigeria!H157</f>
        <v>Record or Recall&lt;12m</v>
      </c>
      <c r="K157" s="7" t="str">
        <f aca="false">Raw_Nigeria!L157</f>
        <v>12-23 m</v>
      </c>
      <c r="L157" s="7" t="str">
        <f aca="false">IF(Raw_Nigeria!K157="","n/a",Raw_Nigeria!K157)</f>
        <v>0-12 m</v>
      </c>
      <c r="M157" s="7" t="n">
        <f aca="false">IF(Raw_Nigeria!I157="","",Raw_Nigeria!I157)</f>
        <v>21.3</v>
      </c>
      <c r="N157" s="7" t="n">
        <f aca="false">Raw_Nigeria!M157</f>
        <v>38.7</v>
      </c>
      <c r="O157" s="7" t="n">
        <f aca="false">IF(Raw_Nigeria!N157="","",Raw_Nigeria!N157)</f>
        <v>999</v>
      </c>
      <c r="P157" s="7" t="str">
        <f aca="false">IF(K157="CBAW","Women of child-bearing age","Children")</f>
        <v>Children</v>
      </c>
      <c r="Q157" s="7" t="n">
        <f aca="false">IF(J157="NOT USED",1,0)</f>
        <v>0</v>
      </c>
      <c r="R157" s="7" t="n">
        <f aca="false">IF(AND(P157="Children",Q157=0),1,0)</f>
        <v>1</v>
      </c>
      <c r="S157" s="7" t="n">
        <f aca="false">IF(AND(R157=1,J157="Record or Recall",K157="12-23 m"),1,0)</f>
        <v>0</v>
      </c>
      <c r="T157" s="7" t="n">
        <f aca="false">IF(OR(I157="BCG",I157="DTP1",I157="DTP3",I157="POL3",I157="MCV1",I157="FULL"),1,0)</f>
        <v>1</v>
      </c>
      <c r="U157" s="7" t="n">
        <f aca="false">IF(OR(C157="DHS",C157="MICS"),1,0)</f>
        <v>1</v>
      </c>
      <c r="V157" s="7" t="n">
        <f aca="false">IF(O157="",1,0)</f>
        <v>0</v>
      </c>
      <c r="W157" s="7" t="n">
        <f aca="false">IF(M157="",1,0)</f>
        <v>0</v>
      </c>
      <c r="X157" s="7" t="n">
        <f aca="false">COUNTIFS($B$2:$B$1141,B157,$H$2:$H$1141,H157,$I$2:$I$1141,I157,$J$2:$J$1141,J157,$K$2:$K$1141,K157,$L$2:$L$1141,L157)</f>
        <v>1</v>
      </c>
    </row>
    <row r="158" customFormat="false" ht="15" hidden="false" customHeight="false" outlineLevel="0" collapsed="false">
      <c r="A158" s="7" t="n">
        <f aca="false">ROW()-1</f>
        <v>157</v>
      </c>
      <c r="B158" s="7" t="str">
        <f aca="false">IF(Raw_Nigeria!B158="",TRIM(Raw_Nigeria!C158),TRIM(Raw_Nigeria!B158))</f>
        <v>Nigeria Demographic and Health Survey 2003</v>
      </c>
      <c r="C158" s="7" t="str">
        <f aca="false">IF(ISNUMBER(SEARCH("Demographic and Health",B158)),"DHS",IF(OR(ISNUMBER(SEARCH("Multiple Indicator Cluster",B158)),ISNUMBER(SEARCH("MICS",B158))),"MICS",IF(ISNUMBER(SEARCH("Immunization Coverage Survey",B158)),"Coverage survey",IF(ISNUMBER(SEARCH("Nutrition",B158)),"Nutrition survey","Other"))))</f>
        <v>DHS</v>
      </c>
      <c r="D158" s="7" t="n">
        <f aca="false">VALUE(LEFT(Raw_Nigeria!D158,4))</f>
        <v>2003</v>
      </c>
      <c r="E158" s="7" t="n">
        <f aca="false">IF(VALUE(RIGHT(Raw_Nigeria!D158,2))&gt;12,"",VALUE(RIGHT(Raw_Nigeria!D158,2)))</f>
        <v>3</v>
      </c>
      <c r="F158" s="7" t="n">
        <f aca="false">VALUE(LEFT(Raw_Nigeria!E158,4))</f>
        <v>2003</v>
      </c>
      <c r="G158" s="7" t="n">
        <f aca="false">IF(VALUE(RIGHT(Raw_Nigeria!E158,2))&gt;12,"",VALUE(RIGHT(Raw_Nigeria!E158,2)))</f>
        <v>8</v>
      </c>
      <c r="H158" s="7" t="n">
        <f aca="false">Raw_Nigeria!F158</f>
        <v>2002</v>
      </c>
      <c r="I158" s="7" t="str">
        <f aca="false">UPPER(TRIM(Raw_Nigeria!G158))</f>
        <v>DTP1</v>
      </c>
      <c r="J158" s="7" t="str">
        <f aca="false">Raw_Nigeria!H158</f>
        <v>Record</v>
      </c>
      <c r="K158" s="7" t="str">
        <f aca="false">Raw_Nigeria!L158</f>
        <v>12-23 m</v>
      </c>
      <c r="L158" s="7" t="str">
        <f aca="false">IF(Raw_Nigeria!K158="","n/a",Raw_Nigeria!K158)</f>
        <v>0-23 m</v>
      </c>
      <c r="M158" s="7" t="n">
        <f aca="false">IF(Raw_Nigeria!I158="","",Raw_Nigeria!I158)</f>
        <v>21.3</v>
      </c>
      <c r="N158" s="7" t="n">
        <f aca="false">Raw_Nigeria!M158</f>
        <v>18</v>
      </c>
      <c r="O158" s="7" t="n">
        <f aca="false">IF(Raw_Nigeria!N158="","",Raw_Nigeria!N158)</f>
        <v>999</v>
      </c>
      <c r="P158" s="7" t="str">
        <f aca="false">IF(K158="CBAW","Women of child-bearing age","Children")</f>
        <v>Children</v>
      </c>
      <c r="Q158" s="7" t="n">
        <f aca="false">IF(J158="NOT USED",1,0)</f>
        <v>0</v>
      </c>
      <c r="R158" s="7" t="n">
        <f aca="false">IF(AND(P158="Children",Q158=0),1,0)</f>
        <v>1</v>
      </c>
      <c r="S158" s="7" t="n">
        <f aca="false">IF(AND(R158=1,J158="Record or Recall",K158="12-23 m"),1,0)</f>
        <v>0</v>
      </c>
      <c r="T158" s="7" t="n">
        <f aca="false">IF(OR(I158="BCG",I158="DTP1",I158="DTP3",I158="POL3",I158="MCV1",I158="FULL"),1,0)</f>
        <v>1</v>
      </c>
      <c r="U158" s="7" t="n">
        <f aca="false">IF(OR(C158="DHS",C158="MICS"),1,0)</f>
        <v>1</v>
      </c>
      <c r="V158" s="7" t="n">
        <f aca="false">IF(O158="",1,0)</f>
        <v>0</v>
      </c>
      <c r="W158" s="7" t="n">
        <f aca="false">IF(M158="",1,0)</f>
        <v>0</v>
      </c>
      <c r="X158" s="7" t="n">
        <f aca="false">COUNTIFS($B$2:$B$1141,B158,$H$2:$H$1141,H158,$I$2:$I$1141,I158,$J$2:$J$1141,J158,$K$2:$K$1141,K158,$L$2:$L$1141,L158)</f>
        <v>1</v>
      </c>
    </row>
    <row r="159" customFormat="false" ht="15" hidden="false" customHeight="false" outlineLevel="0" collapsed="false">
      <c r="A159" s="7" t="n">
        <f aca="false">ROW()-1</f>
        <v>158</v>
      </c>
      <c r="B159" s="7" t="str">
        <f aca="false">IF(Raw_Nigeria!B159="",TRIM(Raw_Nigeria!C159),TRIM(Raw_Nigeria!B159))</f>
        <v>Nigeria Demographic and Health Survey 2003</v>
      </c>
      <c r="C159" s="7" t="str">
        <f aca="false">IF(ISNUMBER(SEARCH("Demographic and Health",B159)),"DHS",IF(OR(ISNUMBER(SEARCH("Multiple Indicator Cluster",B159)),ISNUMBER(SEARCH("MICS",B159))),"MICS",IF(ISNUMBER(SEARCH("Immunization Coverage Survey",B159)),"Coverage survey",IF(ISNUMBER(SEARCH("Nutrition",B159)),"Nutrition survey","Other"))))</f>
        <v>DHS</v>
      </c>
      <c r="D159" s="7" t="n">
        <f aca="false">VALUE(LEFT(Raw_Nigeria!D159,4))</f>
        <v>2003</v>
      </c>
      <c r="E159" s="7" t="n">
        <f aca="false">IF(VALUE(RIGHT(Raw_Nigeria!D159,2))&gt;12,"",VALUE(RIGHT(Raw_Nigeria!D159,2)))</f>
        <v>3</v>
      </c>
      <c r="F159" s="7" t="n">
        <f aca="false">VALUE(LEFT(Raw_Nigeria!E159,4))</f>
        <v>2003</v>
      </c>
      <c r="G159" s="7" t="n">
        <f aca="false">IF(VALUE(RIGHT(Raw_Nigeria!E159,2))&gt;12,"",VALUE(RIGHT(Raw_Nigeria!E159,2)))</f>
        <v>8</v>
      </c>
      <c r="H159" s="7" t="n">
        <f aca="false">Raw_Nigeria!F159</f>
        <v>2002</v>
      </c>
      <c r="I159" s="7" t="str">
        <f aca="false">UPPER(TRIM(Raw_Nigeria!G159))</f>
        <v>DTP1</v>
      </c>
      <c r="J159" s="7" t="str">
        <f aca="false">Raw_Nigeria!H159</f>
        <v>Record or Recall</v>
      </c>
      <c r="K159" s="7" t="str">
        <f aca="false">Raw_Nigeria!L159</f>
        <v>12-23 m</v>
      </c>
      <c r="L159" s="7" t="str">
        <f aca="false">IF(Raw_Nigeria!K159="","n/a",Raw_Nigeria!K159)</f>
        <v>0-23 m</v>
      </c>
      <c r="M159" s="7" t="n">
        <f aca="false">IF(Raw_Nigeria!I159="","",Raw_Nigeria!I159)</f>
        <v>21.3</v>
      </c>
      <c r="N159" s="7" t="n">
        <f aca="false">Raw_Nigeria!M159</f>
        <v>42.6</v>
      </c>
      <c r="O159" s="7" t="n">
        <f aca="false">IF(Raw_Nigeria!N159="","",Raw_Nigeria!N159)</f>
        <v>999</v>
      </c>
      <c r="P159" s="7" t="str">
        <f aca="false">IF(K159="CBAW","Women of child-bearing age","Children")</f>
        <v>Children</v>
      </c>
      <c r="Q159" s="7" t="n">
        <f aca="false">IF(J159="NOT USED",1,0)</f>
        <v>0</v>
      </c>
      <c r="R159" s="7" t="n">
        <f aca="false">IF(AND(P159="Children",Q159=0),1,0)</f>
        <v>1</v>
      </c>
      <c r="S159" s="7" t="n">
        <f aca="false">IF(AND(R159=1,J159="Record or Recall",K159="12-23 m"),1,0)</f>
        <v>1</v>
      </c>
      <c r="T159" s="7" t="n">
        <f aca="false">IF(OR(I159="BCG",I159="DTP1",I159="DTP3",I159="POL3",I159="MCV1",I159="FULL"),1,0)</f>
        <v>1</v>
      </c>
      <c r="U159" s="7" t="n">
        <f aca="false">IF(OR(C159="DHS",C159="MICS"),1,0)</f>
        <v>1</v>
      </c>
      <c r="V159" s="7" t="n">
        <f aca="false">IF(O159="",1,0)</f>
        <v>0</v>
      </c>
      <c r="W159" s="7" t="n">
        <f aca="false">IF(M159="",1,0)</f>
        <v>0</v>
      </c>
      <c r="X159" s="7" t="n">
        <f aca="false">COUNTIFS($B$2:$B$1141,B159,$H$2:$H$1141,H159,$I$2:$I$1141,I159,$J$2:$J$1141,J159,$K$2:$K$1141,K159,$L$2:$L$1141,L159)</f>
        <v>1</v>
      </c>
    </row>
    <row r="160" customFormat="false" ht="15" hidden="false" customHeight="false" outlineLevel="0" collapsed="false">
      <c r="A160" s="7" t="n">
        <f aca="false">ROW()-1</f>
        <v>159</v>
      </c>
      <c r="B160" s="7" t="str">
        <f aca="false">IF(Raw_Nigeria!B160="",TRIM(Raw_Nigeria!C160),TRIM(Raw_Nigeria!B160))</f>
        <v>Nigeria Demographic and Health Survey 2003</v>
      </c>
      <c r="C160" s="7" t="str">
        <f aca="false">IF(ISNUMBER(SEARCH("Demographic and Health",B160)),"DHS",IF(OR(ISNUMBER(SEARCH("Multiple Indicator Cluster",B160)),ISNUMBER(SEARCH("MICS",B160))),"MICS",IF(ISNUMBER(SEARCH("Immunization Coverage Survey",B160)),"Coverage survey",IF(ISNUMBER(SEARCH("Nutrition",B160)),"Nutrition survey","Other"))))</f>
        <v>DHS</v>
      </c>
      <c r="D160" s="7" t="n">
        <f aca="false">VALUE(LEFT(Raw_Nigeria!D160,4))</f>
        <v>2003</v>
      </c>
      <c r="E160" s="7" t="n">
        <f aca="false">IF(VALUE(RIGHT(Raw_Nigeria!D160,2))&gt;12,"",VALUE(RIGHT(Raw_Nigeria!D160,2)))</f>
        <v>3</v>
      </c>
      <c r="F160" s="7" t="n">
        <f aca="false">VALUE(LEFT(Raw_Nigeria!E160,4))</f>
        <v>2003</v>
      </c>
      <c r="G160" s="7" t="n">
        <f aca="false">IF(VALUE(RIGHT(Raw_Nigeria!E160,2))&gt;12,"",VALUE(RIGHT(Raw_Nigeria!E160,2)))</f>
        <v>8</v>
      </c>
      <c r="H160" s="7" t="n">
        <f aca="false">Raw_Nigeria!F160</f>
        <v>2002</v>
      </c>
      <c r="I160" s="7" t="str">
        <f aca="false">UPPER(TRIM(Raw_Nigeria!G160))</f>
        <v>DTP1</v>
      </c>
      <c r="J160" s="7" t="str">
        <f aca="false">Raw_Nigeria!H160</f>
        <v>Recall</v>
      </c>
      <c r="K160" s="7" t="str">
        <f aca="false">Raw_Nigeria!L160</f>
        <v>12-23 m</v>
      </c>
      <c r="L160" s="7" t="str">
        <f aca="false">IF(Raw_Nigeria!K160="","n/a",Raw_Nigeria!K160)</f>
        <v>0-23 m</v>
      </c>
      <c r="M160" s="7" t="n">
        <f aca="false">IF(Raw_Nigeria!I160="","",Raw_Nigeria!I160)</f>
        <v>21.3</v>
      </c>
      <c r="N160" s="7" t="n">
        <f aca="false">Raw_Nigeria!M160</f>
        <v>24.6</v>
      </c>
      <c r="O160" s="7" t="n">
        <f aca="false">IF(Raw_Nigeria!N160="","",Raw_Nigeria!N160)</f>
        <v>999</v>
      </c>
      <c r="P160" s="7" t="str">
        <f aca="false">IF(K160="CBAW","Women of child-bearing age","Children")</f>
        <v>Children</v>
      </c>
      <c r="Q160" s="7" t="n">
        <f aca="false">IF(J160="NOT USED",1,0)</f>
        <v>0</v>
      </c>
      <c r="R160" s="7" t="n">
        <f aca="false">IF(AND(P160="Children",Q160=0),1,0)</f>
        <v>1</v>
      </c>
      <c r="S160" s="7" t="n">
        <f aca="false">IF(AND(R160=1,J160="Record or Recall",K160="12-23 m"),1,0)</f>
        <v>0</v>
      </c>
      <c r="T160" s="7" t="n">
        <f aca="false">IF(OR(I160="BCG",I160="DTP1",I160="DTP3",I160="POL3",I160="MCV1",I160="FULL"),1,0)</f>
        <v>1</v>
      </c>
      <c r="U160" s="7" t="n">
        <f aca="false">IF(OR(C160="DHS",C160="MICS"),1,0)</f>
        <v>1</v>
      </c>
      <c r="V160" s="7" t="n">
        <f aca="false">IF(O160="",1,0)</f>
        <v>0</v>
      </c>
      <c r="W160" s="7" t="n">
        <f aca="false">IF(M160="",1,0)</f>
        <v>0</v>
      </c>
      <c r="X160" s="7" t="n">
        <f aca="false">COUNTIFS($B$2:$B$1141,B160,$H$2:$H$1141,H160,$I$2:$I$1141,I160,$J$2:$J$1141,J160,$K$2:$K$1141,K160,$L$2:$L$1141,L160)</f>
        <v>1</v>
      </c>
    </row>
    <row r="161" customFormat="false" ht="15" hidden="false" customHeight="false" outlineLevel="0" collapsed="false">
      <c r="A161" s="7" t="n">
        <f aca="false">ROW()-1</f>
        <v>160</v>
      </c>
      <c r="B161" s="7" t="str">
        <f aca="false">IF(Raw_Nigeria!B161="",TRIM(Raw_Nigeria!C161),TRIM(Raw_Nigeria!B161))</f>
        <v>Nigeria Demographic and Health Survey 2003</v>
      </c>
      <c r="C161" s="7" t="str">
        <f aca="false">IF(ISNUMBER(SEARCH("Demographic and Health",B161)),"DHS",IF(OR(ISNUMBER(SEARCH("Multiple Indicator Cluster",B161)),ISNUMBER(SEARCH("MICS",B161))),"MICS",IF(ISNUMBER(SEARCH("Immunization Coverage Survey",B161)),"Coverage survey",IF(ISNUMBER(SEARCH("Nutrition",B161)),"Nutrition survey","Other"))))</f>
        <v>DHS</v>
      </c>
      <c r="D161" s="7" t="n">
        <f aca="false">VALUE(LEFT(Raw_Nigeria!D161,4))</f>
        <v>2003</v>
      </c>
      <c r="E161" s="7" t="n">
        <f aca="false">IF(VALUE(RIGHT(Raw_Nigeria!D161,2))&gt;12,"",VALUE(RIGHT(Raw_Nigeria!D161,2)))</f>
        <v>3</v>
      </c>
      <c r="F161" s="7" t="n">
        <f aca="false">VALUE(LEFT(Raw_Nigeria!E161,4))</f>
        <v>2003</v>
      </c>
      <c r="G161" s="7" t="n">
        <f aca="false">IF(VALUE(RIGHT(Raw_Nigeria!E161,2))&gt;12,"",VALUE(RIGHT(Raw_Nigeria!E161,2)))</f>
        <v>8</v>
      </c>
      <c r="H161" s="7" t="n">
        <f aca="false">Raw_Nigeria!F161</f>
        <v>2002</v>
      </c>
      <c r="I161" s="7" t="str">
        <f aca="false">UPPER(TRIM(Raw_Nigeria!G161))</f>
        <v>DTP3</v>
      </c>
      <c r="J161" s="7" t="str">
        <f aca="false">Raw_Nigeria!H161</f>
        <v>Record or Recall&lt;12m</v>
      </c>
      <c r="K161" s="7" t="str">
        <f aca="false">Raw_Nigeria!L161</f>
        <v>12-23 m</v>
      </c>
      <c r="L161" s="7" t="str">
        <f aca="false">IF(Raw_Nigeria!K161="","n/a",Raw_Nigeria!K161)</f>
        <v>0-12 m</v>
      </c>
      <c r="M161" s="7" t="n">
        <f aca="false">IF(Raw_Nigeria!I161="","",Raw_Nigeria!I161)</f>
        <v>21.3</v>
      </c>
      <c r="N161" s="7" t="n">
        <f aca="false">Raw_Nigeria!M161</f>
        <v>20.1</v>
      </c>
      <c r="O161" s="7" t="n">
        <f aca="false">IF(Raw_Nigeria!N161="","",Raw_Nigeria!N161)</f>
        <v>999</v>
      </c>
      <c r="P161" s="7" t="str">
        <f aca="false">IF(K161="CBAW","Women of child-bearing age","Children")</f>
        <v>Children</v>
      </c>
      <c r="Q161" s="7" t="n">
        <f aca="false">IF(J161="NOT USED",1,0)</f>
        <v>0</v>
      </c>
      <c r="R161" s="7" t="n">
        <f aca="false">IF(AND(P161="Children",Q161=0),1,0)</f>
        <v>1</v>
      </c>
      <c r="S161" s="7" t="n">
        <f aca="false">IF(AND(R161=1,J161="Record or Recall",K161="12-23 m"),1,0)</f>
        <v>0</v>
      </c>
      <c r="T161" s="7" t="n">
        <f aca="false">IF(OR(I161="BCG",I161="DTP1",I161="DTP3",I161="POL3",I161="MCV1",I161="FULL"),1,0)</f>
        <v>1</v>
      </c>
      <c r="U161" s="7" t="n">
        <f aca="false">IF(OR(C161="DHS",C161="MICS"),1,0)</f>
        <v>1</v>
      </c>
      <c r="V161" s="7" t="n">
        <f aca="false">IF(O161="",1,0)</f>
        <v>0</v>
      </c>
      <c r="W161" s="7" t="n">
        <f aca="false">IF(M161="",1,0)</f>
        <v>0</v>
      </c>
      <c r="X161" s="7" t="n">
        <f aca="false">COUNTIFS($B$2:$B$1141,B161,$H$2:$H$1141,H161,$I$2:$I$1141,I161,$J$2:$J$1141,J161,$K$2:$K$1141,K161,$L$2:$L$1141,L161)</f>
        <v>1</v>
      </c>
    </row>
    <row r="162" customFormat="false" ht="15" hidden="false" customHeight="false" outlineLevel="0" collapsed="false">
      <c r="A162" s="7" t="n">
        <f aca="false">ROW()-1</f>
        <v>161</v>
      </c>
      <c r="B162" s="7" t="str">
        <f aca="false">IF(Raw_Nigeria!B162="",TRIM(Raw_Nigeria!C162),TRIM(Raw_Nigeria!B162))</f>
        <v>Nigeria Demographic and Health Survey 2003</v>
      </c>
      <c r="C162" s="7" t="str">
        <f aca="false">IF(ISNUMBER(SEARCH("Demographic and Health",B162)),"DHS",IF(OR(ISNUMBER(SEARCH("Multiple Indicator Cluster",B162)),ISNUMBER(SEARCH("MICS",B162))),"MICS",IF(ISNUMBER(SEARCH("Immunization Coverage Survey",B162)),"Coverage survey",IF(ISNUMBER(SEARCH("Nutrition",B162)),"Nutrition survey","Other"))))</f>
        <v>DHS</v>
      </c>
      <c r="D162" s="7" t="n">
        <f aca="false">VALUE(LEFT(Raw_Nigeria!D162,4))</f>
        <v>2003</v>
      </c>
      <c r="E162" s="7" t="n">
        <f aca="false">IF(VALUE(RIGHT(Raw_Nigeria!D162,2))&gt;12,"",VALUE(RIGHT(Raw_Nigeria!D162,2)))</f>
        <v>3</v>
      </c>
      <c r="F162" s="7" t="n">
        <f aca="false">VALUE(LEFT(Raw_Nigeria!E162,4))</f>
        <v>2003</v>
      </c>
      <c r="G162" s="7" t="n">
        <f aca="false">IF(VALUE(RIGHT(Raw_Nigeria!E162,2))&gt;12,"",VALUE(RIGHT(Raw_Nigeria!E162,2)))</f>
        <v>8</v>
      </c>
      <c r="H162" s="7" t="n">
        <f aca="false">Raw_Nigeria!F162</f>
        <v>2002</v>
      </c>
      <c r="I162" s="7" t="str">
        <f aca="false">UPPER(TRIM(Raw_Nigeria!G162))</f>
        <v>DTP3</v>
      </c>
      <c r="J162" s="7" t="str">
        <f aca="false">Raw_Nigeria!H162</f>
        <v>Record</v>
      </c>
      <c r="K162" s="7" t="str">
        <f aca="false">Raw_Nigeria!L162</f>
        <v>12-23 m</v>
      </c>
      <c r="L162" s="7" t="str">
        <f aca="false">IF(Raw_Nigeria!K162="","n/a",Raw_Nigeria!K162)</f>
        <v>0-23 m</v>
      </c>
      <c r="M162" s="7" t="n">
        <f aca="false">IF(Raw_Nigeria!I162="","",Raw_Nigeria!I162)</f>
        <v>21.3</v>
      </c>
      <c r="N162" s="7" t="n">
        <f aca="false">Raw_Nigeria!M162</f>
        <v>10.4</v>
      </c>
      <c r="O162" s="7" t="n">
        <f aca="false">IF(Raw_Nigeria!N162="","",Raw_Nigeria!N162)</f>
        <v>999</v>
      </c>
      <c r="P162" s="7" t="str">
        <f aca="false">IF(K162="CBAW","Women of child-bearing age","Children")</f>
        <v>Children</v>
      </c>
      <c r="Q162" s="7" t="n">
        <f aca="false">IF(J162="NOT USED",1,0)</f>
        <v>0</v>
      </c>
      <c r="R162" s="7" t="n">
        <f aca="false">IF(AND(P162="Children",Q162=0),1,0)</f>
        <v>1</v>
      </c>
      <c r="S162" s="7" t="n">
        <f aca="false">IF(AND(R162=1,J162="Record or Recall",K162="12-23 m"),1,0)</f>
        <v>0</v>
      </c>
      <c r="T162" s="7" t="n">
        <f aca="false">IF(OR(I162="BCG",I162="DTP1",I162="DTP3",I162="POL3",I162="MCV1",I162="FULL"),1,0)</f>
        <v>1</v>
      </c>
      <c r="U162" s="7" t="n">
        <f aca="false">IF(OR(C162="DHS",C162="MICS"),1,0)</f>
        <v>1</v>
      </c>
      <c r="V162" s="7" t="n">
        <f aca="false">IF(O162="",1,0)</f>
        <v>0</v>
      </c>
      <c r="W162" s="7" t="n">
        <f aca="false">IF(M162="",1,0)</f>
        <v>0</v>
      </c>
      <c r="X162" s="7" t="n">
        <f aca="false">COUNTIFS($B$2:$B$1141,B162,$H$2:$H$1141,H162,$I$2:$I$1141,I162,$J$2:$J$1141,J162,$K$2:$K$1141,K162,$L$2:$L$1141,L162)</f>
        <v>1</v>
      </c>
    </row>
    <row r="163" customFormat="false" ht="15" hidden="false" customHeight="false" outlineLevel="0" collapsed="false">
      <c r="A163" s="7" t="n">
        <f aca="false">ROW()-1</f>
        <v>162</v>
      </c>
      <c r="B163" s="7" t="str">
        <f aca="false">IF(Raw_Nigeria!B163="",TRIM(Raw_Nigeria!C163),TRIM(Raw_Nigeria!B163))</f>
        <v>Nigeria Demographic and Health Survey 2003</v>
      </c>
      <c r="C163" s="7" t="str">
        <f aca="false">IF(ISNUMBER(SEARCH("Demographic and Health",B163)),"DHS",IF(OR(ISNUMBER(SEARCH("Multiple Indicator Cluster",B163)),ISNUMBER(SEARCH("MICS",B163))),"MICS",IF(ISNUMBER(SEARCH("Immunization Coverage Survey",B163)),"Coverage survey",IF(ISNUMBER(SEARCH("Nutrition",B163)),"Nutrition survey","Other"))))</f>
        <v>DHS</v>
      </c>
      <c r="D163" s="7" t="n">
        <f aca="false">VALUE(LEFT(Raw_Nigeria!D163,4))</f>
        <v>2003</v>
      </c>
      <c r="E163" s="7" t="n">
        <f aca="false">IF(VALUE(RIGHT(Raw_Nigeria!D163,2))&gt;12,"",VALUE(RIGHT(Raw_Nigeria!D163,2)))</f>
        <v>3</v>
      </c>
      <c r="F163" s="7" t="n">
        <f aca="false">VALUE(LEFT(Raw_Nigeria!E163,4))</f>
        <v>2003</v>
      </c>
      <c r="G163" s="7" t="n">
        <f aca="false">IF(VALUE(RIGHT(Raw_Nigeria!E163,2))&gt;12,"",VALUE(RIGHT(Raw_Nigeria!E163,2)))</f>
        <v>8</v>
      </c>
      <c r="H163" s="7" t="n">
        <f aca="false">Raw_Nigeria!F163</f>
        <v>2002</v>
      </c>
      <c r="I163" s="7" t="str">
        <f aca="false">UPPER(TRIM(Raw_Nigeria!G163))</f>
        <v>DTP3</v>
      </c>
      <c r="J163" s="7" t="str">
        <f aca="false">Raw_Nigeria!H163</f>
        <v>Record or Recall</v>
      </c>
      <c r="K163" s="7" t="str">
        <f aca="false">Raw_Nigeria!L163</f>
        <v>12-23 m</v>
      </c>
      <c r="L163" s="7" t="str">
        <f aca="false">IF(Raw_Nigeria!K163="","n/a",Raw_Nigeria!K163)</f>
        <v>0-23 m</v>
      </c>
      <c r="M163" s="7" t="n">
        <f aca="false">IF(Raw_Nigeria!I163="","",Raw_Nigeria!I163)</f>
        <v>21.3</v>
      </c>
      <c r="N163" s="7" t="n">
        <f aca="false">Raw_Nigeria!M163</f>
        <v>21.4</v>
      </c>
      <c r="O163" s="7" t="n">
        <f aca="false">IF(Raw_Nigeria!N163="","",Raw_Nigeria!N163)</f>
        <v>999</v>
      </c>
      <c r="P163" s="7" t="str">
        <f aca="false">IF(K163="CBAW","Women of child-bearing age","Children")</f>
        <v>Children</v>
      </c>
      <c r="Q163" s="7" t="n">
        <f aca="false">IF(J163="NOT USED",1,0)</f>
        <v>0</v>
      </c>
      <c r="R163" s="7" t="n">
        <f aca="false">IF(AND(P163="Children",Q163=0),1,0)</f>
        <v>1</v>
      </c>
      <c r="S163" s="7" t="n">
        <f aca="false">IF(AND(R163=1,J163="Record or Recall",K163="12-23 m"),1,0)</f>
        <v>1</v>
      </c>
      <c r="T163" s="7" t="n">
        <f aca="false">IF(OR(I163="BCG",I163="DTP1",I163="DTP3",I163="POL3",I163="MCV1",I163="FULL"),1,0)</f>
        <v>1</v>
      </c>
      <c r="U163" s="7" t="n">
        <f aca="false">IF(OR(C163="DHS",C163="MICS"),1,0)</f>
        <v>1</v>
      </c>
      <c r="V163" s="7" t="n">
        <f aca="false">IF(O163="",1,0)</f>
        <v>0</v>
      </c>
      <c r="W163" s="7" t="n">
        <f aca="false">IF(M163="",1,0)</f>
        <v>0</v>
      </c>
      <c r="X163" s="7" t="n">
        <f aca="false">COUNTIFS($B$2:$B$1141,B163,$H$2:$H$1141,H163,$I$2:$I$1141,I163,$J$2:$J$1141,J163,$K$2:$K$1141,K163,$L$2:$L$1141,L163)</f>
        <v>1</v>
      </c>
    </row>
    <row r="164" customFormat="false" ht="15" hidden="false" customHeight="false" outlineLevel="0" collapsed="false">
      <c r="A164" s="7" t="n">
        <f aca="false">ROW()-1</f>
        <v>163</v>
      </c>
      <c r="B164" s="7" t="str">
        <f aca="false">IF(Raw_Nigeria!B164="",TRIM(Raw_Nigeria!C164),TRIM(Raw_Nigeria!B164))</f>
        <v>Nigeria Demographic and Health Survey 2003</v>
      </c>
      <c r="C164" s="7" t="str">
        <f aca="false">IF(ISNUMBER(SEARCH("Demographic and Health",B164)),"DHS",IF(OR(ISNUMBER(SEARCH("Multiple Indicator Cluster",B164)),ISNUMBER(SEARCH("MICS",B164))),"MICS",IF(ISNUMBER(SEARCH("Immunization Coverage Survey",B164)),"Coverage survey",IF(ISNUMBER(SEARCH("Nutrition",B164)),"Nutrition survey","Other"))))</f>
        <v>DHS</v>
      </c>
      <c r="D164" s="7" t="n">
        <f aca="false">VALUE(LEFT(Raw_Nigeria!D164,4))</f>
        <v>2003</v>
      </c>
      <c r="E164" s="7" t="n">
        <f aca="false">IF(VALUE(RIGHT(Raw_Nigeria!D164,2))&gt;12,"",VALUE(RIGHT(Raw_Nigeria!D164,2)))</f>
        <v>3</v>
      </c>
      <c r="F164" s="7" t="n">
        <f aca="false">VALUE(LEFT(Raw_Nigeria!E164,4))</f>
        <v>2003</v>
      </c>
      <c r="G164" s="7" t="n">
        <f aca="false">IF(VALUE(RIGHT(Raw_Nigeria!E164,2))&gt;12,"",VALUE(RIGHT(Raw_Nigeria!E164,2)))</f>
        <v>8</v>
      </c>
      <c r="H164" s="7" t="n">
        <f aca="false">Raw_Nigeria!F164</f>
        <v>2002</v>
      </c>
      <c r="I164" s="7" t="str">
        <f aca="false">UPPER(TRIM(Raw_Nigeria!G164))</f>
        <v>DTP3</v>
      </c>
      <c r="J164" s="7" t="str">
        <f aca="false">Raw_Nigeria!H164</f>
        <v>Recall</v>
      </c>
      <c r="K164" s="7" t="str">
        <f aca="false">Raw_Nigeria!L164</f>
        <v>12-23 m</v>
      </c>
      <c r="L164" s="7" t="str">
        <f aca="false">IF(Raw_Nigeria!K164="","n/a",Raw_Nigeria!K164)</f>
        <v>0-23 m</v>
      </c>
      <c r="M164" s="7" t="n">
        <f aca="false">IF(Raw_Nigeria!I164="","",Raw_Nigeria!I164)</f>
        <v>21.3</v>
      </c>
      <c r="N164" s="7" t="n">
        <f aca="false">Raw_Nigeria!M164</f>
        <v>11</v>
      </c>
      <c r="O164" s="7" t="n">
        <f aca="false">IF(Raw_Nigeria!N164="","",Raw_Nigeria!N164)</f>
        <v>999</v>
      </c>
      <c r="P164" s="7" t="str">
        <f aca="false">IF(K164="CBAW","Women of child-bearing age","Children")</f>
        <v>Children</v>
      </c>
      <c r="Q164" s="7" t="n">
        <f aca="false">IF(J164="NOT USED",1,0)</f>
        <v>0</v>
      </c>
      <c r="R164" s="7" t="n">
        <f aca="false">IF(AND(P164="Children",Q164=0),1,0)</f>
        <v>1</v>
      </c>
      <c r="S164" s="7" t="n">
        <f aca="false">IF(AND(R164=1,J164="Record or Recall",K164="12-23 m"),1,0)</f>
        <v>0</v>
      </c>
      <c r="T164" s="7" t="n">
        <f aca="false">IF(OR(I164="BCG",I164="DTP1",I164="DTP3",I164="POL3",I164="MCV1",I164="FULL"),1,0)</f>
        <v>1</v>
      </c>
      <c r="U164" s="7" t="n">
        <f aca="false">IF(OR(C164="DHS",C164="MICS"),1,0)</f>
        <v>1</v>
      </c>
      <c r="V164" s="7" t="n">
        <f aca="false">IF(O164="",1,0)</f>
        <v>0</v>
      </c>
      <c r="W164" s="7" t="n">
        <f aca="false">IF(M164="",1,0)</f>
        <v>0</v>
      </c>
      <c r="X164" s="7" t="n">
        <f aca="false">COUNTIFS($B$2:$B$1141,B164,$H$2:$H$1141,H164,$I$2:$I$1141,I164,$J$2:$J$1141,J164,$K$2:$K$1141,K164,$L$2:$L$1141,L164)</f>
        <v>1</v>
      </c>
    </row>
    <row r="165" customFormat="false" ht="15" hidden="false" customHeight="false" outlineLevel="0" collapsed="false">
      <c r="A165" s="7" t="n">
        <f aca="false">ROW()-1</f>
        <v>164</v>
      </c>
      <c r="B165" s="7" t="str">
        <f aca="false">IF(Raw_Nigeria!B165="",TRIM(Raw_Nigeria!C165),TRIM(Raw_Nigeria!B165))</f>
        <v>Nigeria Demographic and Health Survey 2003</v>
      </c>
      <c r="C165" s="7" t="str">
        <f aca="false">IF(ISNUMBER(SEARCH("Demographic and Health",B165)),"DHS",IF(OR(ISNUMBER(SEARCH("Multiple Indicator Cluster",B165)),ISNUMBER(SEARCH("MICS",B165))),"MICS",IF(ISNUMBER(SEARCH("Immunization Coverage Survey",B165)),"Coverage survey",IF(ISNUMBER(SEARCH("Nutrition",B165)),"Nutrition survey","Other"))))</f>
        <v>DHS</v>
      </c>
      <c r="D165" s="7" t="n">
        <f aca="false">VALUE(LEFT(Raw_Nigeria!D165,4))</f>
        <v>2003</v>
      </c>
      <c r="E165" s="7" t="n">
        <f aca="false">IF(VALUE(RIGHT(Raw_Nigeria!D165,2))&gt;12,"",VALUE(RIGHT(Raw_Nigeria!D165,2)))</f>
        <v>3</v>
      </c>
      <c r="F165" s="7" t="n">
        <f aca="false">VALUE(LEFT(Raw_Nigeria!E165,4))</f>
        <v>2003</v>
      </c>
      <c r="G165" s="7" t="n">
        <f aca="false">IF(VALUE(RIGHT(Raw_Nigeria!E165,2))&gt;12,"",VALUE(RIGHT(Raw_Nigeria!E165,2)))</f>
        <v>8</v>
      </c>
      <c r="H165" s="7" t="n">
        <f aca="false">Raw_Nigeria!F165</f>
        <v>2002</v>
      </c>
      <c r="I165" s="7" t="str">
        <f aca="false">UPPER(TRIM(Raw_Nigeria!G165))</f>
        <v>FULL</v>
      </c>
      <c r="J165" s="7" t="str">
        <f aca="false">Raw_Nigeria!H165</f>
        <v>Record or Recall&lt;12m</v>
      </c>
      <c r="K165" s="7" t="str">
        <f aca="false">Raw_Nigeria!L165</f>
        <v>12-23 m</v>
      </c>
      <c r="L165" s="7" t="str">
        <f aca="false">IF(Raw_Nigeria!K165="","n/a",Raw_Nigeria!K165)</f>
        <v>0-12 m</v>
      </c>
      <c r="M165" s="7" t="n">
        <f aca="false">IF(Raw_Nigeria!I165="","",Raw_Nigeria!I165)</f>
        <v>21.3</v>
      </c>
      <c r="N165" s="7" t="n">
        <f aca="false">Raw_Nigeria!M165</f>
        <v>11.3</v>
      </c>
      <c r="O165" s="7" t="n">
        <f aca="false">IF(Raw_Nigeria!N165="","",Raw_Nigeria!N165)</f>
        <v>999</v>
      </c>
      <c r="P165" s="7" t="str">
        <f aca="false">IF(K165="CBAW","Women of child-bearing age","Children")</f>
        <v>Children</v>
      </c>
      <c r="Q165" s="7" t="n">
        <f aca="false">IF(J165="NOT USED",1,0)</f>
        <v>0</v>
      </c>
      <c r="R165" s="7" t="n">
        <f aca="false">IF(AND(P165="Children",Q165=0),1,0)</f>
        <v>1</v>
      </c>
      <c r="S165" s="7" t="n">
        <f aca="false">IF(AND(R165=1,J165="Record or Recall",K165="12-23 m"),1,0)</f>
        <v>0</v>
      </c>
      <c r="T165" s="7" t="n">
        <f aca="false">IF(OR(I165="BCG",I165="DTP1",I165="DTP3",I165="POL3",I165="MCV1",I165="FULL"),1,0)</f>
        <v>1</v>
      </c>
      <c r="U165" s="7" t="n">
        <f aca="false">IF(OR(C165="DHS",C165="MICS"),1,0)</f>
        <v>1</v>
      </c>
      <c r="V165" s="7" t="n">
        <f aca="false">IF(O165="",1,0)</f>
        <v>0</v>
      </c>
      <c r="W165" s="7" t="n">
        <f aca="false">IF(M165="",1,0)</f>
        <v>0</v>
      </c>
      <c r="X165" s="7" t="n">
        <f aca="false">COUNTIFS($B$2:$B$1141,B165,$H$2:$H$1141,H165,$I$2:$I$1141,I165,$J$2:$J$1141,J165,$K$2:$K$1141,K165,$L$2:$L$1141,L165)</f>
        <v>1</v>
      </c>
    </row>
    <row r="166" customFormat="false" ht="15" hidden="false" customHeight="false" outlineLevel="0" collapsed="false">
      <c r="A166" s="7" t="n">
        <f aca="false">ROW()-1</f>
        <v>165</v>
      </c>
      <c r="B166" s="7" t="str">
        <f aca="false">IF(Raw_Nigeria!B166="",TRIM(Raw_Nigeria!C166),TRIM(Raw_Nigeria!B166))</f>
        <v>Nigeria Demographic and Health Survey 2003</v>
      </c>
      <c r="C166" s="7" t="str">
        <f aca="false">IF(ISNUMBER(SEARCH("Demographic and Health",B166)),"DHS",IF(OR(ISNUMBER(SEARCH("Multiple Indicator Cluster",B166)),ISNUMBER(SEARCH("MICS",B166))),"MICS",IF(ISNUMBER(SEARCH("Immunization Coverage Survey",B166)),"Coverage survey",IF(ISNUMBER(SEARCH("Nutrition",B166)),"Nutrition survey","Other"))))</f>
        <v>DHS</v>
      </c>
      <c r="D166" s="7" t="n">
        <f aca="false">VALUE(LEFT(Raw_Nigeria!D166,4))</f>
        <v>2003</v>
      </c>
      <c r="E166" s="7" t="n">
        <f aca="false">IF(VALUE(RIGHT(Raw_Nigeria!D166,2))&gt;12,"",VALUE(RIGHT(Raw_Nigeria!D166,2)))</f>
        <v>3</v>
      </c>
      <c r="F166" s="7" t="n">
        <f aca="false">VALUE(LEFT(Raw_Nigeria!E166,4))</f>
        <v>2003</v>
      </c>
      <c r="G166" s="7" t="n">
        <f aca="false">IF(VALUE(RIGHT(Raw_Nigeria!E166,2))&gt;12,"",VALUE(RIGHT(Raw_Nigeria!E166,2)))</f>
        <v>8</v>
      </c>
      <c r="H166" s="7" t="n">
        <f aca="false">Raw_Nigeria!F166</f>
        <v>2002</v>
      </c>
      <c r="I166" s="7" t="str">
        <f aca="false">UPPER(TRIM(Raw_Nigeria!G166))</f>
        <v>FULL</v>
      </c>
      <c r="J166" s="7" t="str">
        <f aca="false">Raw_Nigeria!H166</f>
        <v>Record</v>
      </c>
      <c r="K166" s="7" t="str">
        <f aca="false">Raw_Nigeria!L166</f>
        <v>12-23 m</v>
      </c>
      <c r="L166" s="7" t="str">
        <f aca="false">IF(Raw_Nigeria!K166="","n/a",Raw_Nigeria!K166)</f>
        <v>0-23 m</v>
      </c>
      <c r="M166" s="7" t="n">
        <f aca="false">IF(Raw_Nigeria!I166="","",Raw_Nigeria!I166)</f>
        <v>21.3</v>
      </c>
      <c r="N166" s="7" t="n">
        <f aca="false">Raw_Nigeria!M166</f>
        <v>8.3</v>
      </c>
      <c r="O166" s="7" t="n">
        <f aca="false">IF(Raw_Nigeria!N166="","",Raw_Nigeria!N166)</f>
        <v>999</v>
      </c>
      <c r="P166" s="7" t="str">
        <f aca="false">IF(K166="CBAW","Women of child-bearing age","Children")</f>
        <v>Children</v>
      </c>
      <c r="Q166" s="7" t="n">
        <f aca="false">IF(J166="NOT USED",1,0)</f>
        <v>0</v>
      </c>
      <c r="R166" s="7" t="n">
        <f aca="false">IF(AND(P166="Children",Q166=0),1,0)</f>
        <v>1</v>
      </c>
      <c r="S166" s="7" t="n">
        <f aca="false">IF(AND(R166=1,J166="Record or Recall",K166="12-23 m"),1,0)</f>
        <v>0</v>
      </c>
      <c r="T166" s="7" t="n">
        <f aca="false">IF(OR(I166="BCG",I166="DTP1",I166="DTP3",I166="POL3",I166="MCV1",I166="FULL"),1,0)</f>
        <v>1</v>
      </c>
      <c r="U166" s="7" t="n">
        <f aca="false">IF(OR(C166="DHS",C166="MICS"),1,0)</f>
        <v>1</v>
      </c>
      <c r="V166" s="7" t="n">
        <f aca="false">IF(O166="",1,0)</f>
        <v>0</v>
      </c>
      <c r="W166" s="7" t="n">
        <f aca="false">IF(M166="",1,0)</f>
        <v>0</v>
      </c>
      <c r="X166" s="7" t="n">
        <f aca="false">COUNTIFS($B$2:$B$1141,B166,$H$2:$H$1141,H166,$I$2:$I$1141,I166,$J$2:$J$1141,J166,$K$2:$K$1141,K166,$L$2:$L$1141,L166)</f>
        <v>1</v>
      </c>
    </row>
    <row r="167" customFormat="false" ht="15" hidden="false" customHeight="false" outlineLevel="0" collapsed="false">
      <c r="A167" s="7" t="n">
        <f aca="false">ROW()-1</f>
        <v>166</v>
      </c>
      <c r="B167" s="7" t="str">
        <f aca="false">IF(Raw_Nigeria!B167="",TRIM(Raw_Nigeria!C167),TRIM(Raw_Nigeria!B167))</f>
        <v>Nigeria Demographic and Health Survey 2003</v>
      </c>
      <c r="C167" s="7" t="str">
        <f aca="false">IF(ISNUMBER(SEARCH("Demographic and Health",B167)),"DHS",IF(OR(ISNUMBER(SEARCH("Multiple Indicator Cluster",B167)),ISNUMBER(SEARCH("MICS",B167))),"MICS",IF(ISNUMBER(SEARCH("Immunization Coverage Survey",B167)),"Coverage survey",IF(ISNUMBER(SEARCH("Nutrition",B167)),"Nutrition survey","Other"))))</f>
        <v>DHS</v>
      </c>
      <c r="D167" s="7" t="n">
        <f aca="false">VALUE(LEFT(Raw_Nigeria!D167,4))</f>
        <v>2003</v>
      </c>
      <c r="E167" s="7" t="n">
        <f aca="false">IF(VALUE(RIGHT(Raw_Nigeria!D167,2))&gt;12,"",VALUE(RIGHT(Raw_Nigeria!D167,2)))</f>
        <v>3</v>
      </c>
      <c r="F167" s="7" t="n">
        <f aca="false">VALUE(LEFT(Raw_Nigeria!E167,4))</f>
        <v>2003</v>
      </c>
      <c r="G167" s="7" t="n">
        <f aca="false">IF(VALUE(RIGHT(Raw_Nigeria!E167,2))&gt;12,"",VALUE(RIGHT(Raw_Nigeria!E167,2)))</f>
        <v>8</v>
      </c>
      <c r="H167" s="7" t="n">
        <f aca="false">Raw_Nigeria!F167</f>
        <v>2002</v>
      </c>
      <c r="I167" s="7" t="str">
        <f aca="false">UPPER(TRIM(Raw_Nigeria!G167))</f>
        <v>FULL</v>
      </c>
      <c r="J167" s="7" t="str">
        <f aca="false">Raw_Nigeria!H167</f>
        <v>Record or Recall</v>
      </c>
      <c r="K167" s="7" t="str">
        <f aca="false">Raw_Nigeria!L167</f>
        <v>12-23 m</v>
      </c>
      <c r="L167" s="7" t="str">
        <f aca="false">IF(Raw_Nigeria!K167="","n/a",Raw_Nigeria!K167)</f>
        <v>0-23 m</v>
      </c>
      <c r="M167" s="7" t="n">
        <f aca="false">IF(Raw_Nigeria!I167="","",Raw_Nigeria!I167)</f>
        <v>21.3</v>
      </c>
      <c r="N167" s="7" t="n">
        <f aca="false">Raw_Nigeria!M167</f>
        <v>12.9</v>
      </c>
      <c r="O167" s="7" t="n">
        <f aca="false">IF(Raw_Nigeria!N167="","",Raw_Nigeria!N167)</f>
        <v>999</v>
      </c>
      <c r="P167" s="7" t="str">
        <f aca="false">IF(K167="CBAW","Women of child-bearing age","Children")</f>
        <v>Children</v>
      </c>
      <c r="Q167" s="7" t="n">
        <f aca="false">IF(J167="NOT USED",1,0)</f>
        <v>0</v>
      </c>
      <c r="R167" s="7" t="n">
        <f aca="false">IF(AND(P167="Children",Q167=0),1,0)</f>
        <v>1</v>
      </c>
      <c r="S167" s="7" t="n">
        <f aca="false">IF(AND(R167=1,J167="Record or Recall",K167="12-23 m"),1,0)</f>
        <v>1</v>
      </c>
      <c r="T167" s="7" t="n">
        <f aca="false">IF(OR(I167="BCG",I167="DTP1",I167="DTP3",I167="POL3",I167="MCV1",I167="FULL"),1,0)</f>
        <v>1</v>
      </c>
      <c r="U167" s="7" t="n">
        <f aca="false">IF(OR(C167="DHS",C167="MICS"),1,0)</f>
        <v>1</v>
      </c>
      <c r="V167" s="7" t="n">
        <f aca="false">IF(O167="",1,0)</f>
        <v>0</v>
      </c>
      <c r="W167" s="7" t="n">
        <f aca="false">IF(M167="",1,0)</f>
        <v>0</v>
      </c>
      <c r="X167" s="7" t="n">
        <f aca="false">COUNTIFS($B$2:$B$1141,B167,$H$2:$H$1141,H167,$I$2:$I$1141,I167,$J$2:$J$1141,J167,$K$2:$K$1141,K167,$L$2:$L$1141,L167)</f>
        <v>1</v>
      </c>
    </row>
    <row r="168" customFormat="false" ht="15" hidden="false" customHeight="false" outlineLevel="0" collapsed="false">
      <c r="A168" s="7" t="n">
        <f aca="false">ROW()-1</f>
        <v>167</v>
      </c>
      <c r="B168" s="7" t="str">
        <f aca="false">IF(Raw_Nigeria!B168="",TRIM(Raw_Nigeria!C168),TRIM(Raw_Nigeria!B168))</f>
        <v>Nigeria Demographic and Health Survey 2003</v>
      </c>
      <c r="C168" s="7" t="str">
        <f aca="false">IF(ISNUMBER(SEARCH("Demographic and Health",B168)),"DHS",IF(OR(ISNUMBER(SEARCH("Multiple Indicator Cluster",B168)),ISNUMBER(SEARCH("MICS",B168))),"MICS",IF(ISNUMBER(SEARCH("Immunization Coverage Survey",B168)),"Coverage survey",IF(ISNUMBER(SEARCH("Nutrition",B168)),"Nutrition survey","Other"))))</f>
        <v>DHS</v>
      </c>
      <c r="D168" s="7" t="n">
        <f aca="false">VALUE(LEFT(Raw_Nigeria!D168,4))</f>
        <v>2003</v>
      </c>
      <c r="E168" s="7" t="n">
        <f aca="false">IF(VALUE(RIGHT(Raw_Nigeria!D168,2))&gt;12,"",VALUE(RIGHT(Raw_Nigeria!D168,2)))</f>
        <v>3</v>
      </c>
      <c r="F168" s="7" t="n">
        <f aca="false">VALUE(LEFT(Raw_Nigeria!E168,4))</f>
        <v>2003</v>
      </c>
      <c r="G168" s="7" t="n">
        <f aca="false">IF(VALUE(RIGHT(Raw_Nigeria!E168,2))&gt;12,"",VALUE(RIGHT(Raw_Nigeria!E168,2)))</f>
        <v>8</v>
      </c>
      <c r="H168" s="7" t="n">
        <f aca="false">Raw_Nigeria!F168</f>
        <v>2002</v>
      </c>
      <c r="I168" s="7" t="str">
        <f aca="false">UPPER(TRIM(Raw_Nigeria!G168))</f>
        <v>FULL</v>
      </c>
      <c r="J168" s="7" t="str">
        <f aca="false">Raw_Nigeria!H168</f>
        <v>Recall</v>
      </c>
      <c r="K168" s="7" t="str">
        <f aca="false">Raw_Nigeria!L168</f>
        <v>12-23 m</v>
      </c>
      <c r="L168" s="7" t="str">
        <f aca="false">IF(Raw_Nigeria!K168="","n/a",Raw_Nigeria!K168)</f>
        <v>0-23 m</v>
      </c>
      <c r="M168" s="7" t="n">
        <f aca="false">IF(Raw_Nigeria!I168="","",Raw_Nigeria!I168)</f>
        <v>21.3</v>
      </c>
      <c r="N168" s="7" t="n">
        <f aca="false">Raw_Nigeria!M168</f>
        <v>4.7</v>
      </c>
      <c r="O168" s="7" t="n">
        <f aca="false">IF(Raw_Nigeria!N168="","",Raw_Nigeria!N168)</f>
        <v>999</v>
      </c>
      <c r="P168" s="7" t="str">
        <f aca="false">IF(K168="CBAW","Women of child-bearing age","Children")</f>
        <v>Children</v>
      </c>
      <c r="Q168" s="7" t="n">
        <f aca="false">IF(J168="NOT USED",1,0)</f>
        <v>0</v>
      </c>
      <c r="R168" s="7" t="n">
        <f aca="false">IF(AND(P168="Children",Q168=0),1,0)</f>
        <v>1</v>
      </c>
      <c r="S168" s="7" t="n">
        <f aca="false">IF(AND(R168=1,J168="Record or Recall",K168="12-23 m"),1,0)</f>
        <v>0</v>
      </c>
      <c r="T168" s="7" t="n">
        <f aca="false">IF(OR(I168="BCG",I168="DTP1",I168="DTP3",I168="POL3",I168="MCV1",I168="FULL"),1,0)</f>
        <v>1</v>
      </c>
      <c r="U168" s="7" t="n">
        <f aca="false">IF(OR(C168="DHS",C168="MICS"),1,0)</f>
        <v>1</v>
      </c>
      <c r="V168" s="7" t="n">
        <f aca="false">IF(O168="",1,0)</f>
        <v>0</v>
      </c>
      <c r="W168" s="7" t="n">
        <f aca="false">IF(M168="",1,0)</f>
        <v>0</v>
      </c>
      <c r="X168" s="7" t="n">
        <f aca="false">COUNTIFS($B$2:$B$1141,B168,$H$2:$H$1141,H168,$I$2:$I$1141,I168,$J$2:$J$1141,J168,$K$2:$K$1141,K168,$L$2:$L$1141,L168)</f>
        <v>1</v>
      </c>
    </row>
    <row r="169" customFormat="false" ht="15" hidden="false" customHeight="false" outlineLevel="0" collapsed="false">
      <c r="A169" s="7" t="n">
        <f aca="false">ROW()-1</f>
        <v>168</v>
      </c>
      <c r="B169" s="7" t="str">
        <f aca="false">IF(Raw_Nigeria!B169="",TRIM(Raw_Nigeria!C169),TRIM(Raw_Nigeria!B169))</f>
        <v>Nigeria Demographic and Health Survey 2003</v>
      </c>
      <c r="C169" s="7" t="str">
        <f aca="false">IF(ISNUMBER(SEARCH("Demographic and Health",B169)),"DHS",IF(OR(ISNUMBER(SEARCH("Multiple Indicator Cluster",B169)),ISNUMBER(SEARCH("MICS",B169))),"MICS",IF(ISNUMBER(SEARCH("Immunization Coverage Survey",B169)),"Coverage survey",IF(ISNUMBER(SEARCH("Nutrition",B169)),"Nutrition survey","Other"))))</f>
        <v>DHS</v>
      </c>
      <c r="D169" s="7" t="n">
        <f aca="false">VALUE(LEFT(Raw_Nigeria!D169,4))</f>
        <v>2003</v>
      </c>
      <c r="E169" s="7" t="n">
        <f aca="false">IF(VALUE(RIGHT(Raw_Nigeria!D169,2))&gt;12,"",VALUE(RIGHT(Raw_Nigeria!D169,2)))</f>
        <v>3</v>
      </c>
      <c r="F169" s="7" t="n">
        <f aca="false">VALUE(LEFT(Raw_Nigeria!E169,4))</f>
        <v>2003</v>
      </c>
      <c r="G169" s="7" t="n">
        <f aca="false">IF(VALUE(RIGHT(Raw_Nigeria!E169,2))&gt;12,"",VALUE(RIGHT(Raw_Nigeria!E169,2)))</f>
        <v>8</v>
      </c>
      <c r="H169" s="7" t="n">
        <f aca="false">Raw_Nigeria!F169</f>
        <v>2002</v>
      </c>
      <c r="I169" s="7" t="str">
        <f aca="false">UPPER(TRIM(Raw_Nigeria!G169))</f>
        <v>MCV1</v>
      </c>
      <c r="J169" s="7" t="str">
        <f aca="false">Raw_Nigeria!H169</f>
        <v>Record or Recall&lt;12m</v>
      </c>
      <c r="K169" s="7" t="str">
        <f aca="false">Raw_Nigeria!L169</f>
        <v>12-23 m</v>
      </c>
      <c r="L169" s="7" t="str">
        <f aca="false">IF(Raw_Nigeria!K169="","n/a",Raw_Nigeria!K169)</f>
        <v>0-12 m</v>
      </c>
      <c r="M169" s="7" t="n">
        <f aca="false">IF(Raw_Nigeria!I169="","",Raw_Nigeria!I169)</f>
        <v>21.3</v>
      </c>
      <c r="N169" s="7" t="n">
        <f aca="false">Raw_Nigeria!M169</f>
        <v>31.4</v>
      </c>
      <c r="O169" s="7" t="n">
        <f aca="false">IF(Raw_Nigeria!N169="","",Raw_Nigeria!N169)</f>
        <v>999</v>
      </c>
      <c r="P169" s="7" t="str">
        <f aca="false">IF(K169="CBAW","Women of child-bearing age","Children")</f>
        <v>Children</v>
      </c>
      <c r="Q169" s="7" t="n">
        <f aca="false">IF(J169="NOT USED",1,0)</f>
        <v>0</v>
      </c>
      <c r="R169" s="7" t="n">
        <f aca="false">IF(AND(P169="Children",Q169=0),1,0)</f>
        <v>1</v>
      </c>
      <c r="S169" s="7" t="n">
        <f aca="false">IF(AND(R169=1,J169="Record or Recall",K169="12-23 m"),1,0)</f>
        <v>0</v>
      </c>
      <c r="T169" s="7" t="n">
        <f aca="false">IF(OR(I169="BCG",I169="DTP1",I169="DTP3",I169="POL3",I169="MCV1",I169="FULL"),1,0)</f>
        <v>1</v>
      </c>
      <c r="U169" s="7" t="n">
        <f aca="false">IF(OR(C169="DHS",C169="MICS"),1,0)</f>
        <v>1</v>
      </c>
      <c r="V169" s="7" t="n">
        <f aca="false">IF(O169="",1,0)</f>
        <v>0</v>
      </c>
      <c r="W169" s="7" t="n">
        <f aca="false">IF(M169="",1,0)</f>
        <v>0</v>
      </c>
      <c r="X169" s="7" t="n">
        <f aca="false">COUNTIFS($B$2:$B$1141,B169,$H$2:$H$1141,H169,$I$2:$I$1141,I169,$J$2:$J$1141,J169,$K$2:$K$1141,K169,$L$2:$L$1141,L169)</f>
        <v>1</v>
      </c>
    </row>
    <row r="170" customFormat="false" ht="15" hidden="false" customHeight="false" outlineLevel="0" collapsed="false">
      <c r="A170" s="7" t="n">
        <f aca="false">ROW()-1</f>
        <v>169</v>
      </c>
      <c r="B170" s="7" t="str">
        <f aca="false">IF(Raw_Nigeria!B170="",TRIM(Raw_Nigeria!C170),TRIM(Raw_Nigeria!B170))</f>
        <v>Nigeria Demographic and Health Survey 2003</v>
      </c>
      <c r="C170" s="7" t="str">
        <f aca="false">IF(ISNUMBER(SEARCH("Demographic and Health",B170)),"DHS",IF(OR(ISNUMBER(SEARCH("Multiple Indicator Cluster",B170)),ISNUMBER(SEARCH("MICS",B170))),"MICS",IF(ISNUMBER(SEARCH("Immunization Coverage Survey",B170)),"Coverage survey",IF(ISNUMBER(SEARCH("Nutrition",B170)),"Nutrition survey","Other"))))</f>
        <v>DHS</v>
      </c>
      <c r="D170" s="7" t="n">
        <f aca="false">VALUE(LEFT(Raw_Nigeria!D170,4))</f>
        <v>2003</v>
      </c>
      <c r="E170" s="7" t="n">
        <f aca="false">IF(VALUE(RIGHT(Raw_Nigeria!D170,2))&gt;12,"",VALUE(RIGHT(Raw_Nigeria!D170,2)))</f>
        <v>3</v>
      </c>
      <c r="F170" s="7" t="n">
        <f aca="false">VALUE(LEFT(Raw_Nigeria!E170,4))</f>
        <v>2003</v>
      </c>
      <c r="G170" s="7" t="n">
        <f aca="false">IF(VALUE(RIGHT(Raw_Nigeria!E170,2))&gt;12,"",VALUE(RIGHT(Raw_Nigeria!E170,2)))</f>
        <v>8</v>
      </c>
      <c r="H170" s="7" t="n">
        <f aca="false">Raw_Nigeria!F170</f>
        <v>2002</v>
      </c>
      <c r="I170" s="7" t="str">
        <f aca="false">UPPER(TRIM(Raw_Nigeria!G170))</f>
        <v>MCV1</v>
      </c>
      <c r="J170" s="7" t="str">
        <f aca="false">Raw_Nigeria!H170</f>
        <v>Record</v>
      </c>
      <c r="K170" s="7" t="str">
        <f aca="false">Raw_Nigeria!L170</f>
        <v>12-23 m</v>
      </c>
      <c r="L170" s="7" t="str">
        <f aca="false">IF(Raw_Nigeria!K170="","n/a",Raw_Nigeria!K170)</f>
        <v>0-23 m</v>
      </c>
      <c r="M170" s="7" t="n">
        <f aca="false">IF(Raw_Nigeria!I170="","",Raw_Nigeria!I170)</f>
        <v>21.3</v>
      </c>
      <c r="N170" s="7" t="n">
        <f aca="false">Raw_Nigeria!M170</f>
        <v>13.5</v>
      </c>
      <c r="O170" s="7" t="n">
        <f aca="false">IF(Raw_Nigeria!N170="","",Raw_Nigeria!N170)</f>
        <v>999</v>
      </c>
      <c r="P170" s="7" t="str">
        <f aca="false">IF(K170="CBAW","Women of child-bearing age","Children")</f>
        <v>Children</v>
      </c>
      <c r="Q170" s="7" t="n">
        <f aca="false">IF(J170="NOT USED",1,0)</f>
        <v>0</v>
      </c>
      <c r="R170" s="7" t="n">
        <f aca="false">IF(AND(P170="Children",Q170=0),1,0)</f>
        <v>1</v>
      </c>
      <c r="S170" s="7" t="n">
        <f aca="false">IF(AND(R170=1,J170="Record or Recall",K170="12-23 m"),1,0)</f>
        <v>0</v>
      </c>
      <c r="T170" s="7" t="n">
        <f aca="false">IF(OR(I170="BCG",I170="DTP1",I170="DTP3",I170="POL3",I170="MCV1",I170="FULL"),1,0)</f>
        <v>1</v>
      </c>
      <c r="U170" s="7" t="n">
        <f aca="false">IF(OR(C170="DHS",C170="MICS"),1,0)</f>
        <v>1</v>
      </c>
      <c r="V170" s="7" t="n">
        <f aca="false">IF(O170="",1,0)</f>
        <v>0</v>
      </c>
      <c r="W170" s="7" t="n">
        <f aca="false">IF(M170="",1,0)</f>
        <v>0</v>
      </c>
      <c r="X170" s="7" t="n">
        <f aca="false">COUNTIFS($B$2:$B$1141,B170,$H$2:$H$1141,H170,$I$2:$I$1141,I170,$J$2:$J$1141,J170,$K$2:$K$1141,K170,$L$2:$L$1141,L170)</f>
        <v>1</v>
      </c>
    </row>
    <row r="171" customFormat="false" ht="15" hidden="false" customHeight="false" outlineLevel="0" collapsed="false">
      <c r="A171" s="7" t="n">
        <f aca="false">ROW()-1</f>
        <v>170</v>
      </c>
      <c r="B171" s="7" t="str">
        <f aca="false">IF(Raw_Nigeria!B171="",TRIM(Raw_Nigeria!C171),TRIM(Raw_Nigeria!B171))</f>
        <v>Nigeria Demographic and Health Survey 2003</v>
      </c>
      <c r="C171" s="7" t="str">
        <f aca="false">IF(ISNUMBER(SEARCH("Demographic and Health",B171)),"DHS",IF(OR(ISNUMBER(SEARCH("Multiple Indicator Cluster",B171)),ISNUMBER(SEARCH("MICS",B171))),"MICS",IF(ISNUMBER(SEARCH("Immunization Coverage Survey",B171)),"Coverage survey",IF(ISNUMBER(SEARCH("Nutrition",B171)),"Nutrition survey","Other"))))</f>
        <v>DHS</v>
      </c>
      <c r="D171" s="7" t="n">
        <f aca="false">VALUE(LEFT(Raw_Nigeria!D171,4))</f>
        <v>2003</v>
      </c>
      <c r="E171" s="7" t="n">
        <f aca="false">IF(VALUE(RIGHT(Raw_Nigeria!D171,2))&gt;12,"",VALUE(RIGHT(Raw_Nigeria!D171,2)))</f>
        <v>3</v>
      </c>
      <c r="F171" s="7" t="n">
        <f aca="false">VALUE(LEFT(Raw_Nigeria!E171,4))</f>
        <v>2003</v>
      </c>
      <c r="G171" s="7" t="n">
        <f aca="false">IF(VALUE(RIGHT(Raw_Nigeria!E171,2))&gt;12,"",VALUE(RIGHT(Raw_Nigeria!E171,2)))</f>
        <v>8</v>
      </c>
      <c r="H171" s="7" t="n">
        <f aca="false">Raw_Nigeria!F171</f>
        <v>2002</v>
      </c>
      <c r="I171" s="7" t="str">
        <f aca="false">UPPER(TRIM(Raw_Nigeria!G171))</f>
        <v>MCV1</v>
      </c>
      <c r="J171" s="7" t="str">
        <f aca="false">Raw_Nigeria!H171</f>
        <v>Record or Recall</v>
      </c>
      <c r="K171" s="7" t="str">
        <f aca="false">Raw_Nigeria!L171</f>
        <v>12-23 m</v>
      </c>
      <c r="L171" s="7" t="str">
        <f aca="false">IF(Raw_Nigeria!K171="","n/a",Raw_Nigeria!K171)</f>
        <v>0-23 m</v>
      </c>
      <c r="M171" s="7" t="n">
        <f aca="false">IF(Raw_Nigeria!I171="","",Raw_Nigeria!I171)</f>
        <v>21.3</v>
      </c>
      <c r="N171" s="7" t="n">
        <f aca="false">Raw_Nigeria!M171</f>
        <v>35.9</v>
      </c>
      <c r="O171" s="7" t="n">
        <f aca="false">IF(Raw_Nigeria!N171="","",Raw_Nigeria!N171)</f>
        <v>999</v>
      </c>
      <c r="P171" s="7" t="str">
        <f aca="false">IF(K171="CBAW","Women of child-bearing age","Children")</f>
        <v>Children</v>
      </c>
      <c r="Q171" s="7" t="n">
        <f aca="false">IF(J171="NOT USED",1,0)</f>
        <v>0</v>
      </c>
      <c r="R171" s="7" t="n">
        <f aca="false">IF(AND(P171="Children",Q171=0),1,0)</f>
        <v>1</v>
      </c>
      <c r="S171" s="7" t="n">
        <f aca="false">IF(AND(R171=1,J171="Record or Recall",K171="12-23 m"),1,0)</f>
        <v>1</v>
      </c>
      <c r="T171" s="7" t="n">
        <f aca="false">IF(OR(I171="BCG",I171="DTP1",I171="DTP3",I171="POL3",I171="MCV1",I171="FULL"),1,0)</f>
        <v>1</v>
      </c>
      <c r="U171" s="7" t="n">
        <f aca="false">IF(OR(C171="DHS",C171="MICS"),1,0)</f>
        <v>1</v>
      </c>
      <c r="V171" s="7" t="n">
        <f aca="false">IF(O171="",1,0)</f>
        <v>0</v>
      </c>
      <c r="W171" s="7" t="n">
        <f aca="false">IF(M171="",1,0)</f>
        <v>0</v>
      </c>
      <c r="X171" s="7" t="n">
        <f aca="false">COUNTIFS($B$2:$B$1141,B171,$H$2:$H$1141,H171,$I$2:$I$1141,I171,$J$2:$J$1141,J171,$K$2:$K$1141,K171,$L$2:$L$1141,L171)</f>
        <v>1</v>
      </c>
    </row>
    <row r="172" customFormat="false" ht="15" hidden="false" customHeight="false" outlineLevel="0" collapsed="false">
      <c r="A172" s="7" t="n">
        <f aca="false">ROW()-1</f>
        <v>171</v>
      </c>
      <c r="B172" s="7" t="str">
        <f aca="false">IF(Raw_Nigeria!B172="",TRIM(Raw_Nigeria!C172),TRIM(Raw_Nigeria!B172))</f>
        <v>Nigeria Demographic and Health Survey 2003</v>
      </c>
      <c r="C172" s="7" t="str">
        <f aca="false">IF(ISNUMBER(SEARCH("Demographic and Health",B172)),"DHS",IF(OR(ISNUMBER(SEARCH("Multiple Indicator Cluster",B172)),ISNUMBER(SEARCH("MICS",B172))),"MICS",IF(ISNUMBER(SEARCH("Immunization Coverage Survey",B172)),"Coverage survey",IF(ISNUMBER(SEARCH("Nutrition",B172)),"Nutrition survey","Other"))))</f>
        <v>DHS</v>
      </c>
      <c r="D172" s="7" t="n">
        <f aca="false">VALUE(LEFT(Raw_Nigeria!D172,4))</f>
        <v>2003</v>
      </c>
      <c r="E172" s="7" t="n">
        <f aca="false">IF(VALUE(RIGHT(Raw_Nigeria!D172,2))&gt;12,"",VALUE(RIGHT(Raw_Nigeria!D172,2)))</f>
        <v>3</v>
      </c>
      <c r="F172" s="7" t="n">
        <f aca="false">VALUE(LEFT(Raw_Nigeria!E172,4))</f>
        <v>2003</v>
      </c>
      <c r="G172" s="7" t="n">
        <f aca="false">IF(VALUE(RIGHT(Raw_Nigeria!E172,2))&gt;12,"",VALUE(RIGHT(Raw_Nigeria!E172,2)))</f>
        <v>8</v>
      </c>
      <c r="H172" s="7" t="n">
        <f aca="false">Raw_Nigeria!F172</f>
        <v>2002</v>
      </c>
      <c r="I172" s="7" t="str">
        <f aca="false">UPPER(TRIM(Raw_Nigeria!G172))</f>
        <v>MCV1</v>
      </c>
      <c r="J172" s="7" t="str">
        <f aca="false">Raw_Nigeria!H172</f>
        <v>Recall</v>
      </c>
      <c r="K172" s="7" t="str">
        <f aca="false">Raw_Nigeria!L172</f>
        <v>12-23 m</v>
      </c>
      <c r="L172" s="7" t="str">
        <f aca="false">IF(Raw_Nigeria!K172="","n/a",Raw_Nigeria!K172)</f>
        <v>0-23 m</v>
      </c>
      <c r="M172" s="7" t="n">
        <f aca="false">IF(Raw_Nigeria!I172="","",Raw_Nigeria!I172)</f>
        <v>21.3</v>
      </c>
      <c r="N172" s="7" t="n">
        <f aca="false">Raw_Nigeria!M172</f>
        <v>22.4</v>
      </c>
      <c r="O172" s="7" t="n">
        <f aca="false">IF(Raw_Nigeria!N172="","",Raw_Nigeria!N172)</f>
        <v>999</v>
      </c>
      <c r="P172" s="7" t="str">
        <f aca="false">IF(K172="CBAW","Women of child-bearing age","Children")</f>
        <v>Children</v>
      </c>
      <c r="Q172" s="7" t="n">
        <f aca="false">IF(J172="NOT USED",1,0)</f>
        <v>0</v>
      </c>
      <c r="R172" s="7" t="n">
        <f aca="false">IF(AND(P172="Children",Q172=0),1,0)</f>
        <v>1</v>
      </c>
      <c r="S172" s="7" t="n">
        <f aca="false">IF(AND(R172=1,J172="Record or Recall",K172="12-23 m"),1,0)</f>
        <v>0</v>
      </c>
      <c r="T172" s="7" t="n">
        <f aca="false">IF(OR(I172="BCG",I172="DTP1",I172="DTP3",I172="POL3",I172="MCV1",I172="FULL"),1,0)</f>
        <v>1</v>
      </c>
      <c r="U172" s="7" t="n">
        <f aca="false">IF(OR(C172="DHS",C172="MICS"),1,0)</f>
        <v>1</v>
      </c>
      <c r="V172" s="7" t="n">
        <f aca="false">IF(O172="",1,0)</f>
        <v>0</v>
      </c>
      <c r="W172" s="7" t="n">
        <f aca="false">IF(M172="",1,0)</f>
        <v>0</v>
      </c>
      <c r="X172" s="7" t="n">
        <f aca="false">COUNTIFS($B$2:$B$1141,B172,$H$2:$H$1141,H172,$I$2:$I$1141,I172,$J$2:$J$1141,J172,$K$2:$K$1141,K172,$L$2:$L$1141,L172)</f>
        <v>1</v>
      </c>
    </row>
    <row r="173" customFormat="false" ht="15" hidden="false" customHeight="false" outlineLevel="0" collapsed="false">
      <c r="A173" s="7" t="n">
        <f aca="false">ROW()-1</f>
        <v>172</v>
      </c>
      <c r="B173" s="7" t="str">
        <f aca="false">IF(Raw_Nigeria!B173="",TRIM(Raw_Nigeria!C173),TRIM(Raw_Nigeria!B173))</f>
        <v>Nigeria Demographic and Health Survey 2003</v>
      </c>
      <c r="C173" s="7" t="str">
        <f aca="false">IF(ISNUMBER(SEARCH("Demographic and Health",B173)),"DHS",IF(OR(ISNUMBER(SEARCH("Multiple Indicator Cluster",B173)),ISNUMBER(SEARCH("MICS",B173))),"MICS",IF(ISNUMBER(SEARCH("Immunization Coverage Survey",B173)),"Coverage survey",IF(ISNUMBER(SEARCH("Nutrition",B173)),"Nutrition survey","Other"))))</f>
        <v>DHS</v>
      </c>
      <c r="D173" s="7" t="n">
        <f aca="false">VALUE(LEFT(Raw_Nigeria!D173,4))</f>
        <v>2003</v>
      </c>
      <c r="E173" s="7" t="n">
        <f aca="false">IF(VALUE(RIGHT(Raw_Nigeria!D173,2))&gt;12,"",VALUE(RIGHT(Raw_Nigeria!D173,2)))</f>
        <v>3</v>
      </c>
      <c r="F173" s="7" t="n">
        <f aca="false">VALUE(LEFT(Raw_Nigeria!E173,4))</f>
        <v>2003</v>
      </c>
      <c r="G173" s="7" t="n">
        <f aca="false">IF(VALUE(RIGHT(Raw_Nigeria!E173,2))&gt;12,"",VALUE(RIGHT(Raw_Nigeria!E173,2)))</f>
        <v>8</v>
      </c>
      <c r="H173" s="7" t="n">
        <f aca="false">Raw_Nigeria!F173</f>
        <v>2002</v>
      </c>
      <c r="I173" s="7" t="str">
        <f aca="false">UPPER(TRIM(Raw_Nigeria!G173))</f>
        <v>POL1</v>
      </c>
      <c r="J173" s="7" t="str">
        <f aca="false">Raw_Nigeria!H173</f>
        <v>Record or Recall&lt;12m</v>
      </c>
      <c r="K173" s="7" t="str">
        <f aca="false">Raw_Nigeria!L173</f>
        <v>12-23 m</v>
      </c>
      <c r="L173" s="7" t="str">
        <f aca="false">IF(Raw_Nigeria!K173="","n/a",Raw_Nigeria!K173)</f>
        <v>0-12 m</v>
      </c>
      <c r="M173" s="7" t="n">
        <f aca="false">IF(Raw_Nigeria!I173="","",Raw_Nigeria!I173)</f>
        <v>21.3</v>
      </c>
      <c r="N173" s="7" t="n">
        <f aca="false">Raw_Nigeria!M173</f>
        <v>63.7</v>
      </c>
      <c r="O173" s="7" t="n">
        <f aca="false">IF(Raw_Nigeria!N173="","",Raw_Nigeria!N173)</f>
        <v>999</v>
      </c>
      <c r="P173" s="7" t="str">
        <f aca="false">IF(K173="CBAW","Women of child-bearing age","Children")</f>
        <v>Children</v>
      </c>
      <c r="Q173" s="7" t="n">
        <f aca="false">IF(J173="NOT USED",1,0)</f>
        <v>0</v>
      </c>
      <c r="R173" s="7" t="n">
        <f aca="false">IF(AND(P173="Children",Q173=0),1,0)</f>
        <v>1</v>
      </c>
      <c r="S173" s="7" t="n">
        <f aca="false">IF(AND(R173=1,J173="Record or Recall",K173="12-23 m"),1,0)</f>
        <v>0</v>
      </c>
      <c r="T173" s="7" t="n">
        <f aca="false">IF(OR(I173="BCG",I173="DTP1",I173="DTP3",I173="POL3",I173="MCV1",I173="FULL"),1,0)</f>
        <v>0</v>
      </c>
      <c r="U173" s="7" t="n">
        <f aca="false">IF(OR(C173="DHS",C173="MICS"),1,0)</f>
        <v>1</v>
      </c>
      <c r="V173" s="7" t="n">
        <f aca="false">IF(O173="",1,0)</f>
        <v>0</v>
      </c>
      <c r="W173" s="7" t="n">
        <f aca="false">IF(M173="",1,0)</f>
        <v>0</v>
      </c>
      <c r="X173" s="7" t="n">
        <f aca="false">COUNTIFS($B$2:$B$1141,B173,$H$2:$H$1141,H173,$I$2:$I$1141,I173,$J$2:$J$1141,J173,$K$2:$K$1141,K173,$L$2:$L$1141,L173)</f>
        <v>1</v>
      </c>
    </row>
    <row r="174" customFormat="false" ht="15" hidden="false" customHeight="false" outlineLevel="0" collapsed="false">
      <c r="A174" s="7" t="n">
        <f aca="false">ROW()-1</f>
        <v>173</v>
      </c>
      <c r="B174" s="7" t="str">
        <f aca="false">IF(Raw_Nigeria!B174="",TRIM(Raw_Nigeria!C174),TRIM(Raw_Nigeria!B174))</f>
        <v>Nigeria Demographic and Health Survey 2003</v>
      </c>
      <c r="C174" s="7" t="str">
        <f aca="false">IF(ISNUMBER(SEARCH("Demographic and Health",B174)),"DHS",IF(OR(ISNUMBER(SEARCH("Multiple Indicator Cluster",B174)),ISNUMBER(SEARCH("MICS",B174))),"MICS",IF(ISNUMBER(SEARCH("Immunization Coverage Survey",B174)),"Coverage survey",IF(ISNUMBER(SEARCH("Nutrition",B174)),"Nutrition survey","Other"))))</f>
        <v>DHS</v>
      </c>
      <c r="D174" s="7" t="n">
        <f aca="false">VALUE(LEFT(Raw_Nigeria!D174,4))</f>
        <v>2003</v>
      </c>
      <c r="E174" s="7" t="n">
        <f aca="false">IF(VALUE(RIGHT(Raw_Nigeria!D174,2))&gt;12,"",VALUE(RIGHT(Raw_Nigeria!D174,2)))</f>
        <v>3</v>
      </c>
      <c r="F174" s="7" t="n">
        <f aca="false">VALUE(LEFT(Raw_Nigeria!E174,4))</f>
        <v>2003</v>
      </c>
      <c r="G174" s="7" t="n">
        <f aca="false">IF(VALUE(RIGHT(Raw_Nigeria!E174,2))&gt;12,"",VALUE(RIGHT(Raw_Nigeria!E174,2)))</f>
        <v>8</v>
      </c>
      <c r="H174" s="7" t="n">
        <f aca="false">Raw_Nigeria!F174</f>
        <v>2002</v>
      </c>
      <c r="I174" s="7" t="str">
        <f aca="false">UPPER(TRIM(Raw_Nigeria!G174))</f>
        <v>POL1</v>
      </c>
      <c r="J174" s="7" t="str">
        <f aca="false">Raw_Nigeria!H174</f>
        <v>Record</v>
      </c>
      <c r="K174" s="7" t="str">
        <f aca="false">Raw_Nigeria!L174</f>
        <v>12-23 m</v>
      </c>
      <c r="L174" s="7" t="str">
        <f aca="false">IF(Raw_Nigeria!K174="","n/a",Raw_Nigeria!K174)</f>
        <v>0-23 m</v>
      </c>
      <c r="M174" s="7" t="n">
        <f aca="false">IF(Raw_Nigeria!I174="","",Raw_Nigeria!I174)</f>
        <v>21.3</v>
      </c>
      <c r="N174" s="7" t="n">
        <f aca="false">Raw_Nigeria!M174</f>
        <v>17.8</v>
      </c>
      <c r="O174" s="7" t="n">
        <f aca="false">IF(Raw_Nigeria!N174="","",Raw_Nigeria!N174)</f>
        <v>999</v>
      </c>
      <c r="P174" s="7" t="str">
        <f aca="false">IF(K174="CBAW","Women of child-bearing age","Children")</f>
        <v>Children</v>
      </c>
      <c r="Q174" s="7" t="n">
        <f aca="false">IF(J174="NOT USED",1,0)</f>
        <v>0</v>
      </c>
      <c r="R174" s="7" t="n">
        <f aca="false">IF(AND(P174="Children",Q174=0),1,0)</f>
        <v>1</v>
      </c>
      <c r="S174" s="7" t="n">
        <f aca="false">IF(AND(R174=1,J174="Record or Recall",K174="12-23 m"),1,0)</f>
        <v>0</v>
      </c>
      <c r="T174" s="7" t="n">
        <f aca="false">IF(OR(I174="BCG",I174="DTP1",I174="DTP3",I174="POL3",I174="MCV1",I174="FULL"),1,0)</f>
        <v>0</v>
      </c>
      <c r="U174" s="7" t="n">
        <f aca="false">IF(OR(C174="DHS",C174="MICS"),1,0)</f>
        <v>1</v>
      </c>
      <c r="V174" s="7" t="n">
        <f aca="false">IF(O174="",1,0)</f>
        <v>0</v>
      </c>
      <c r="W174" s="7" t="n">
        <f aca="false">IF(M174="",1,0)</f>
        <v>0</v>
      </c>
      <c r="X174" s="7" t="n">
        <f aca="false">COUNTIFS($B$2:$B$1141,B174,$H$2:$H$1141,H174,$I$2:$I$1141,I174,$J$2:$J$1141,J174,$K$2:$K$1141,K174,$L$2:$L$1141,L174)</f>
        <v>1</v>
      </c>
    </row>
    <row r="175" customFormat="false" ht="15" hidden="false" customHeight="false" outlineLevel="0" collapsed="false">
      <c r="A175" s="7" t="n">
        <f aca="false">ROW()-1</f>
        <v>174</v>
      </c>
      <c r="B175" s="7" t="str">
        <f aca="false">IF(Raw_Nigeria!B175="",TRIM(Raw_Nigeria!C175),TRIM(Raw_Nigeria!B175))</f>
        <v>Nigeria Demographic and Health Survey 2003</v>
      </c>
      <c r="C175" s="7" t="str">
        <f aca="false">IF(ISNUMBER(SEARCH("Demographic and Health",B175)),"DHS",IF(OR(ISNUMBER(SEARCH("Multiple Indicator Cluster",B175)),ISNUMBER(SEARCH("MICS",B175))),"MICS",IF(ISNUMBER(SEARCH("Immunization Coverage Survey",B175)),"Coverage survey",IF(ISNUMBER(SEARCH("Nutrition",B175)),"Nutrition survey","Other"))))</f>
        <v>DHS</v>
      </c>
      <c r="D175" s="7" t="n">
        <f aca="false">VALUE(LEFT(Raw_Nigeria!D175,4))</f>
        <v>2003</v>
      </c>
      <c r="E175" s="7" t="n">
        <f aca="false">IF(VALUE(RIGHT(Raw_Nigeria!D175,2))&gt;12,"",VALUE(RIGHT(Raw_Nigeria!D175,2)))</f>
        <v>3</v>
      </c>
      <c r="F175" s="7" t="n">
        <f aca="false">VALUE(LEFT(Raw_Nigeria!E175,4))</f>
        <v>2003</v>
      </c>
      <c r="G175" s="7" t="n">
        <f aca="false">IF(VALUE(RIGHT(Raw_Nigeria!E175,2))&gt;12,"",VALUE(RIGHT(Raw_Nigeria!E175,2)))</f>
        <v>8</v>
      </c>
      <c r="H175" s="7" t="n">
        <f aca="false">Raw_Nigeria!F175</f>
        <v>2002</v>
      </c>
      <c r="I175" s="7" t="str">
        <f aca="false">UPPER(TRIM(Raw_Nigeria!G175))</f>
        <v>POL1</v>
      </c>
      <c r="J175" s="7" t="str">
        <f aca="false">Raw_Nigeria!H175</f>
        <v>Record or Recall</v>
      </c>
      <c r="K175" s="7" t="str">
        <f aca="false">Raw_Nigeria!L175</f>
        <v>12-23 m</v>
      </c>
      <c r="L175" s="7" t="str">
        <f aca="false">IF(Raw_Nigeria!K175="","n/a",Raw_Nigeria!K175)</f>
        <v>0-23 m</v>
      </c>
      <c r="M175" s="7" t="n">
        <f aca="false">IF(Raw_Nigeria!I175="","",Raw_Nigeria!I175)</f>
        <v>21.3</v>
      </c>
      <c r="N175" s="7" t="n">
        <f aca="false">Raw_Nigeria!M175</f>
        <v>67.2</v>
      </c>
      <c r="O175" s="7" t="n">
        <f aca="false">IF(Raw_Nigeria!N175="","",Raw_Nigeria!N175)</f>
        <v>999</v>
      </c>
      <c r="P175" s="7" t="str">
        <f aca="false">IF(K175="CBAW","Women of child-bearing age","Children")</f>
        <v>Children</v>
      </c>
      <c r="Q175" s="7" t="n">
        <f aca="false">IF(J175="NOT USED",1,0)</f>
        <v>0</v>
      </c>
      <c r="R175" s="7" t="n">
        <f aca="false">IF(AND(P175="Children",Q175=0),1,0)</f>
        <v>1</v>
      </c>
      <c r="S175" s="7" t="n">
        <f aca="false">IF(AND(R175=1,J175="Record or Recall",K175="12-23 m"),1,0)</f>
        <v>1</v>
      </c>
      <c r="T175" s="7" t="n">
        <f aca="false">IF(OR(I175="BCG",I175="DTP1",I175="DTP3",I175="POL3",I175="MCV1",I175="FULL"),1,0)</f>
        <v>0</v>
      </c>
      <c r="U175" s="7" t="n">
        <f aca="false">IF(OR(C175="DHS",C175="MICS"),1,0)</f>
        <v>1</v>
      </c>
      <c r="V175" s="7" t="n">
        <f aca="false">IF(O175="",1,0)</f>
        <v>0</v>
      </c>
      <c r="W175" s="7" t="n">
        <f aca="false">IF(M175="",1,0)</f>
        <v>0</v>
      </c>
      <c r="X175" s="7" t="n">
        <f aca="false">COUNTIFS($B$2:$B$1141,B175,$H$2:$H$1141,H175,$I$2:$I$1141,I175,$J$2:$J$1141,J175,$K$2:$K$1141,K175,$L$2:$L$1141,L175)</f>
        <v>1</v>
      </c>
    </row>
    <row r="176" customFormat="false" ht="15" hidden="false" customHeight="false" outlineLevel="0" collapsed="false">
      <c r="A176" s="7" t="n">
        <f aca="false">ROW()-1</f>
        <v>175</v>
      </c>
      <c r="B176" s="7" t="str">
        <f aca="false">IF(Raw_Nigeria!B176="",TRIM(Raw_Nigeria!C176),TRIM(Raw_Nigeria!B176))</f>
        <v>Nigeria Demographic and Health Survey 2003</v>
      </c>
      <c r="C176" s="7" t="str">
        <f aca="false">IF(ISNUMBER(SEARCH("Demographic and Health",B176)),"DHS",IF(OR(ISNUMBER(SEARCH("Multiple Indicator Cluster",B176)),ISNUMBER(SEARCH("MICS",B176))),"MICS",IF(ISNUMBER(SEARCH("Immunization Coverage Survey",B176)),"Coverage survey",IF(ISNUMBER(SEARCH("Nutrition",B176)),"Nutrition survey","Other"))))</f>
        <v>DHS</v>
      </c>
      <c r="D176" s="7" t="n">
        <f aca="false">VALUE(LEFT(Raw_Nigeria!D176,4))</f>
        <v>2003</v>
      </c>
      <c r="E176" s="7" t="n">
        <f aca="false">IF(VALUE(RIGHT(Raw_Nigeria!D176,2))&gt;12,"",VALUE(RIGHT(Raw_Nigeria!D176,2)))</f>
        <v>3</v>
      </c>
      <c r="F176" s="7" t="n">
        <f aca="false">VALUE(LEFT(Raw_Nigeria!E176,4))</f>
        <v>2003</v>
      </c>
      <c r="G176" s="7" t="n">
        <f aca="false">IF(VALUE(RIGHT(Raw_Nigeria!E176,2))&gt;12,"",VALUE(RIGHT(Raw_Nigeria!E176,2)))</f>
        <v>8</v>
      </c>
      <c r="H176" s="7" t="n">
        <f aca="false">Raw_Nigeria!F176</f>
        <v>2002</v>
      </c>
      <c r="I176" s="7" t="str">
        <f aca="false">UPPER(TRIM(Raw_Nigeria!G176))</f>
        <v>POL1</v>
      </c>
      <c r="J176" s="7" t="str">
        <f aca="false">Raw_Nigeria!H176</f>
        <v>Recall</v>
      </c>
      <c r="K176" s="7" t="str">
        <f aca="false">Raw_Nigeria!L176</f>
        <v>12-23 m</v>
      </c>
      <c r="L176" s="7" t="str">
        <f aca="false">IF(Raw_Nigeria!K176="","n/a",Raw_Nigeria!K176)</f>
        <v>0-23 m</v>
      </c>
      <c r="M176" s="7" t="n">
        <f aca="false">IF(Raw_Nigeria!I176="","",Raw_Nigeria!I176)</f>
        <v>21.3</v>
      </c>
      <c r="N176" s="7" t="n">
        <f aca="false">Raw_Nigeria!M176</f>
        <v>49.4</v>
      </c>
      <c r="O176" s="7" t="n">
        <f aca="false">IF(Raw_Nigeria!N176="","",Raw_Nigeria!N176)</f>
        <v>999</v>
      </c>
      <c r="P176" s="7" t="str">
        <f aca="false">IF(K176="CBAW","Women of child-bearing age","Children")</f>
        <v>Children</v>
      </c>
      <c r="Q176" s="7" t="n">
        <f aca="false">IF(J176="NOT USED",1,0)</f>
        <v>0</v>
      </c>
      <c r="R176" s="7" t="n">
        <f aca="false">IF(AND(P176="Children",Q176=0),1,0)</f>
        <v>1</v>
      </c>
      <c r="S176" s="7" t="n">
        <f aca="false">IF(AND(R176=1,J176="Record or Recall",K176="12-23 m"),1,0)</f>
        <v>0</v>
      </c>
      <c r="T176" s="7" t="n">
        <f aca="false">IF(OR(I176="BCG",I176="DTP1",I176="DTP3",I176="POL3",I176="MCV1",I176="FULL"),1,0)</f>
        <v>0</v>
      </c>
      <c r="U176" s="7" t="n">
        <f aca="false">IF(OR(C176="DHS",C176="MICS"),1,0)</f>
        <v>1</v>
      </c>
      <c r="V176" s="7" t="n">
        <f aca="false">IF(O176="",1,0)</f>
        <v>0</v>
      </c>
      <c r="W176" s="7" t="n">
        <f aca="false">IF(M176="",1,0)</f>
        <v>0</v>
      </c>
      <c r="X176" s="7" t="n">
        <f aca="false">COUNTIFS($B$2:$B$1141,B176,$H$2:$H$1141,H176,$I$2:$I$1141,I176,$J$2:$J$1141,J176,$K$2:$K$1141,K176,$L$2:$L$1141,L176)</f>
        <v>1</v>
      </c>
    </row>
    <row r="177" customFormat="false" ht="15" hidden="false" customHeight="false" outlineLevel="0" collapsed="false">
      <c r="A177" s="7" t="n">
        <f aca="false">ROW()-1</f>
        <v>176</v>
      </c>
      <c r="B177" s="7" t="str">
        <f aca="false">IF(Raw_Nigeria!B177="",TRIM(Raw_Nigeria!C177),TRIM(Raw_Nigeria!B177))</f>
        <v>Nigeria Demographic and Health Survey 2003</v>
      </c>
      <c r="C177" s="7" t="str">
        <f aca="false">IF(ISNUMBER(SEARCH("Demographic and Health",B177)),"DHS",IF(OR(ISNUMBER(SEARCH("Multiple Indicator Cluster",B177)),ISNUMBER(SEARCH("MICS",B177))),"MICS",IF(ISNUMBER(SEARCH("Immunization Coverage Survey",B177)),"Coverage survey",IF(ISNUMBER(SEARCH("Nutrition",B177)),"Nutrition survey","Other"))))</f>
        <v>DHS</v>
      </c>
      <c r="D177" s="7" t="n">
        <f aca="false">VALUE(LEFT(Raw_Nigeria!D177,4))</f>
        <v>2003</v>
      </c>
      <c r="E177" s="7" t="n">
        <f aca="false">IF(VALUE(RIGHT(Raw_Nigeria!D177,2))&gt;12,"",VALUE(RIGHT(Raw_Nigeria!D177,2)))</f>
        <v>3</v>
      </c>
      <c r="F177" s="7" t="n">
        <f aca="false">VALUE(LEFT(Raw_Nigeria!E177,4))</f>
        <v>2003</v>
      </c>
      <c r="G177" s="7" t="n">
        <f aca="false">IF(VALUE(RIGHT(Raw_Nigeria!E177,2))&gt;12,"",VALUE(RIGHT(Raw_Nigeria!E177,2)))</f>
        <v>8</v>
      </c>
      <c r="H177" s="7" t="n">
        <f aca="false">Raw_Nigeria!F177</f>
        <v>2002</v>
      </c>
      <c r="I177" s="7" t="str">
        <f aca="false">UPPER(TRIM(Raw_Nigeria!G177))</f>
        <v>POL3</v>
      </c>
      <c r="J177" s="7" t="str">
        <f aca="false">Raw_Nigeria!H177</f>
        <v>Record or Recall&lt;12m</v>
      </c>
      <c r="K177" s="7" t="str">
        <f aca="false">Raw_Nigeria!L177</f>
        <v>12-23 m</v>
      </c>
      <c r="L177" s="7" t="str">
        <f aca="false">IF(Raw_Nigeria!K177="","n/a",Raw_Nigeria!K177)</f>
        <v>0-12 m</v>
      </c>
      <c r="M177" s="7" t="n">
        <f aca="false">IF(Raw_Nigeria!I177="","",Raw_Nigeria!I177)</f>
        <v>21.3</v>
      </c>
      <c r="N177" s="7" t="n">
        <f aca="false">Raw_Nigeria!M177</f>
        <v>26.8</v>
      </c>
      <c r="O177" s="7" t="n">
        <f aca="false">IF(Raw_Nigeria!N177="","",Raw_Nigeria!N177)</f>
        <v>999</v>
      </c>
      <c r="P177" s="7" t="str">
        <f aca="false">IF(K177="CBAW","Women of child-bearing age","Children")</f>
        <v>Children</v>
      </c>
      <c r="Q177" s="7" t="n">
        <f aca="false">IF(J177="NOT USED",1,0)</f>
        <v>0</v>
      </c>
      <c r="R177" s="7" t="n">
        <f aca="false">IF(AND(P177="Children",Q177=0),1,0)</f>
        <v>1</v>
      </c>
      <c r="S177" s="7" t="n">
        <f aca="false">IF(AND(R177=1,J177="Record or Recall",K177="12-23 m"),1,0)</f>
        <v>0</v>
      </c>
      <c r="T177" s="7" t="n">
        <f aca="false">IF(OR(I177="BCG",I177="DTP1",I177="DTP3",I177="POL3",I177="MCV1",I177="FULL"),1,0)</f>
        <v>1</v>
      </c>
      <c r="U177" s="7" t="n">
        <f aca="false">IF(OR(C177="DHS",C177="MICS"),1,0)</f>
        <v>1</v>
      </c>
      <c r="V177" s="7" t="n">
        <f aca="false">IF(O177="",1,0)</f>
        <v>0</v>
      </c>
      <c r="W177" s="7" t="n">
        <f aca="false">IF(M177="",1,0)</f>
        <v>0</v>
      </c>
      <c r="X177" s="7" t="n">
        <f aca="false">COUNTIFS($B$2:$B$1141,B177,$H$2:$H$1141,H177,$I$2:$I$1141,I177,$J$2:$J$1141,J177,$K$2:$K$1141,K177,$L$2:$L$1141,L177)</f>
        <v>1</v>
      </c>
    </row>
    <row r="178" customFormat="false" ht="15" hidden="false" customHeight="false" outlineLevel="0" collapsed="false">
      <c r="A178" s="7" t="n">
        <f aca="false">ROW()-1</f>
        <v>177</v>
      </c>
      <c r="B178" s="7" t="str">
        <f aca="false">IF(Raw_Nigeria!B178="",TRIM(Raw_Nigeria!C178),TRIM(Raw_Nigeria!B178))</f>
        <v>Nigeria Demographic and Health Survey 2003</v>
      </c>
      <c r="C178" s="7" t="str">
        <f aca="false">IF(ISNUMBER(SEARCH("Demographic and Health",B178)),"DHS",IF(OR(ISNUMBER(SEARCH("Multiple Indicator Cluster",B178)),ISNUMBER(SEARCH("MICS",B178))),"MICS",IF(ISNUMBER(SEARCH("Immunization Coverage Survey",B178)),"Coverage survey",IF(ISNUMBER(SEARCH("Nutrition",B178)),"Nutrition survey","Other"))))</f>
        <v>DHS</v>
      </c>
      <c r="D178" s="7" t="n">
        <f aca="false">VALUE(LEFT(Raw_Nigeria!D178,4))</f>
        <v>2003</v>
      </c>
      <c r="E178" s="7" t="n">
        <f aca="false">IF(VALUE(RIGHT(Raw_Nigeria!D178,2))&gt;12,"",VALUE(RIGHT(Raw_Nigeria!D178,2)))</f>
        <v>3</v>
      </c>
      <c r="F178" s="7" t="n">
        <f aca="false">VALUE(LEFT(Raw_Nigeria!E178,4))</f>
        <v>2003</v>
      </c>
      <c r="G178" s="7" t="n">
        <f aca="false">IF(VALUE(RIGHT(Raw_Nigeria!E178,2))&gt;12,"",VALUE(RIGHT(Raw_Nigeria!E178,2)))</f>
        <v>8</v>
      </c>
      <c r="H178" s="7" t="n">
        <f aca="false">Raw_Nigeria!F178</f>
        <v>2002</v>
      </c>
      <c r="I178" s="7" t="str">
        <f aca="false">UPPER(TRIM(Raw_Nigeria!G178))</f>
        <v>POL3</v>
      </c>
      <c r="J178" s="7" t="str">
        <f aca="false">Raw_Nigeria!H178</f>
        <v>Record</v>
      </c>
      <c r="K178" s="7" t="str">
        <f aca="false">Raw_Nigeria!L178</f>
        <v>12-23 m</v>
      </c>
      <c r="L178" s="7" t="str">
        <f aca="false">IF(Raw_Nigeria!K178="","n/a",Raw_Nigeria!K178)</f>
        <v>0-23 m</v>
      </c>
      <c r="M178" s="7" t="n">
        <f aca="false">IF(Raw_Nigeria!I178="","",Raw_Nigeria!I178)</f>
        <v>21.3</v>
      </c>
      <c r="N178" s="7" t="n">
        <f aca="false">Raw_Nigeria!M178</f>
        <v>10.7</v>
      </c>
      <c r="O178" s="7" t="n">
        <f aca="false">IF(Raw_Nigeria!N178="","",Raw_Nigeria!N178)</f>
        <v>999</v>
      </c>
      <c r="P178" s="7" t="str">
        <f aca="false">IF(K178="CBAW","Women of child-bearing age","Children")</f>
        <v>Children</v>
      </c>
      <c r="Q178" s="7" t="n">
        <f aca="false">IF(J178="NOT USED",1,0)</f>
        <v>0</v>
      </c>
      <c r="R178" s="7" t="n">
        <f aca="false">IF(AND(P178="Children",Q178=0),1,0)</f>
        <v>1</v>
      </c>
      <c r="S178" s="7" t="n">
        <f aca="false">IF(AND(R178=1,J178="Record or Recall",K178="12-23 m"),1,0)</f>
        <v>0</v>
      </c>
      <c r="T178" s="7" t="n">
        <f aca="false">IF(OR(I178="BCG",I178="DTP1",I178="DTP3",I178="POL3",I178="MCV1",I178="FULL"),1,0)</f>
        <v>1</v>
      </c>
      <c r="U178" s="7" t="n">
        <f aca="false">IF(OR(C178="DHS",C178="MICS"),1,0)</f>
        <v>1</v>
      </c>
      <c r="V178" s="7" t="n">
        <f aca="false">IF(O178="",1,0)</f>
        <v>0</v>
      </c>
      <c r="W178" s="7" t="n">
        <f aca="false">IF(M178="",1,0)</f>
        <v>0</v>
      </c>
      <c r="X178" s="7" t="n">
        <f aca="false">COUNTIFS($B$2:$B$1141,B178,$H$2:$H$1141,H178,$I$2:$I$1141,I178,$J$2:$J$1141,J178,$K$2:$K$1141,K178,$L$2:$L$1141,L178)</f>
        <v>1</v>
      </c>
    </row>
    <row r="179" customFormat="false" ht="15" hidden="false" customHeight="false" outlineLevel="0" collapsed="false">
      <c r="A179" s="7" t="n">
        <f aca="false">ROW()-1</f>
        <v>178</v>
      </c>
      <c r="B179" s="7" t="str">
        <f aca="false">IF(Raw_Nigeria!B179="",TRIM(Raw_Nigeria!C179),TRIM(Raw_Nigeria!B179))</f>
        <v>Nigeria Demographic and Health Survey 2003</v>
      </c>
      <c r="C179" s="7" t="str">
        <f aca="false">IF(ISNUMBER(SEARCH("Demographic and Health",B179)),"DHS",IF(OR(ISNUMBER(SEARCH("Multiple Indicator Cluster",B179)),ISNUMBER(SEARCH("MICS",B179))),"MICS",IF(ISNUMBER(SEARCH("Immunization Coverage Survey",B179)),"Coverage survey",IF(ISNUMBER(SEARCH("Nutrition",B179)),"Nutrition survey","Other"))))</f>
        <v>DHS</v>
      </c>
      <c r="D179" s="7" t="n">
        <f aca="false">VALUE(LEFT(Raw_Nigeria!D179,4))</f>
        <v>2003</v>
      </c>
      <c r="E179" s="7" t="n">
        <f aca="false">IF(VALUE(RIGHT(Raw_Nigeria!D179,2))&gt;12,"",VALUE(RIGHT(Raw_Nigeria!D179,2)))</f>
        <v>3</v>
      </c>
      <c r="F179" s="7" t="n">
        <f aca="false">VALUE(LEFT(Raw_Nigeria!E179,4))</f>
        <v>2003</v>
      </c>
      <c r="G179" s="7" t="n">
        <f aca="false">IF(VALUE(RIGHT(Raw_Nigeria!E179,2))&gt;12,"",VALUE(RIGHT(Raw_Nigeria!E179,2)))</f>
        <v>8</v>
      </c>
      <c r="H179" s="7" t="n">
        <f aca="false">Raw_Nigeria!F179</f>
        <v>2002</v>
      </c>
      <c r="I179" s="7" t="str">
        <f aca="false">UPPER(TRIM(Raw_Nigeria!G179))</f>
        <v>POL3</v>
      </c>
      <c r="J179" s="7" t="str">
        <f aca="false">Raw_Nigeria!H179</f>
        <v>Record or Recall</v>
      </c>
      <c r="K179" s="7" t="str">
        <f aca="false">Raw_Nigeria!L179</f>
        <v>12-23 m</v>
      </c>
      <c r="L179" s="7" t="str">
        <f aca="false">IF(Raw_Nigeria!K179="","n/a",Raw_Nigeria!K179)</f>
        <v>0-23 m</v>
      </c>
      <c r="M179" s="7" t="n">
        <f aca="false">IF(Raw_Nigeria!I179="","",Raw_Nigeria!I179)</f>
        <v>21.3</v>
      </c>
      <c r="N179" s="7" t="n">
        <f aca="false">Raw_Nigeria!M179</f>
        <v>29.4</v>
      </c>
      <c r="O179" s="7" t="n">
        <f aca="false">IF(Raw_Nigeria!N179="","",Raw_Nigeria!N179)</f>
        <v>999</v>
      </c>
      <c r="P179" s="7" t="str">
        <f aca="false">IF(K179="CBAW","Women of child-bearing age","Children")</f>
        <v>Children</v>
      </c>
      <c r="Q179" s="7" t="n">
        <f aca="false">IF(J179="NOT USED",1,0)</f>
        <v>0</v>
      </c>
      <c r="R179" s="7" t="n">
        <f aca="false">IF(AND(P179="Children",Q179=0),1,0)</f>
        <v>1</v>
      </c>
      <c r="S179" s="7" t="n">
        <f aca="false">IF(AND(R179=1,J179="Record or Recall",K179="12-23 m"),1,0)</f>
        <v>1</v>
      </c>
      <c r="T179" s="7" t="n">
        <f aca="false">IF(OR(I179="BCG",I179="DTP1",I179="DTP3",I179="POL3",I179="MCV1",I179="FULL"),1,0)</f>
        <v>1</v>
      </c>
      <c r="U179" s="7" t="n">
        <f aca="false">IF(OR(C179="DHS",C179="MICS"),1,0)</f>
        <v>1</v>
      </c>
      <c r="V179" s="7" t="n">
        <f aca="false">IF(O179="",1,0)</f>
        <v>0</v>
      </c>
      <c r="W179" s="7" t="n">
        <f aca="false">IF(M179="",1,0)</f>
        <v>0</v>
      </c>
      <c r="X179" s="7" t="n">
        <f aca="false">COUNTIFS($B$2:$B$1141,B179,$H$2:$H$1141,H179,$I$2:$I$1141,I179,$J$2:$J$1141,J179,$K$2:$K$1141,K179,$L$2:$L$1141,L179)</f>
        <v>1</v>
      </c>
    </row>
    <row r="180" customFormat="false" ht="15" hidden="false" customHeight="false" outlineLevel="0" collapsed="false">
      <c r="A180" s="7" t="n">
        <f aca="false">ROW()-1</f>
        <v>179</v>
      </c>
      <c r="B180" s="7" t="str">
        <f aca="false">IF(Raw_Nigeria!B180="",TRIM(Raw_Nigeria!C180),TRIM(Raw_Nigeria!B180))</f>
        <v>Nigeria Demographic and Health Survey 2003</v>
      </c>
      <c r="C180" s="7" t="str">
        <f aca="false">IF(ISNUMBER(SEARCH("Demographic and Health",B180)),"DHS",IF(OR(ISNUMBER(SEARCH("Multiple Indicator Cluster",B180)),ISNUMBER(SEARCH("MICS",B180))),"MICS",IF(ISNUMBER(SEARCH("Immunization Coverage Survey",B180)),"Coverage survey",IF(ISNUMBER(SEARCH("Nutrition",B180)),"Nutrition survey","Other"))))</f>
        <v>DHS</v>
      </c>
      <c r="D180" s="7" t="n">
        <f aca="false">VALUE(LEFT(Raw_Nigeria!D180,4))</f>
        <v>2003</v>
      </c>
      <c r="E180" s="7" t="n">
        <f aca="false">IF(VALUE(RIGHT(Raw_Nigeria!D180,2))&gt;12,"",VALUE(RIGHT(Raw_Nigeria!D180,2)))</f>
        <v>3</v>
      </c>
      <c r="F180" s="7" t="n">
        <f aca="false">VALUE(LEFT(Raw_Nigeria!E180,4))</f>
        <v>2003</v>
      </c>
      <c r="G180" s="7" t="n">
        <f aca="false">IF(VALUE(RIGHT(Raw_Nigeria!E180,2))&gt;12,"",VALUE(RIGHT(Raw_Nigeria!E180,2)))</f>
        <v>8</v>
      </c>
      <c r="H180" s="7" t="n">
        <f aca="false">Raw_Nigeria!F180</f>
        <v>2002</v>
      </c>
      <c r="I180" s="7" t="str">
        <f aca="false">UPPER(TRIM(Raw_Nigeria!G180))</f>
        <v>POL3</v>
      </c>
      <c r="J180" s="7" t="str">
        <f aca="false">Raw_Nigeria!H180</f>
        <v>Recall</v>
      </c>
      <c r="K180" s="7" t="str">
        <f aca="false">Raw_Nigeria!L180</f>
        <v>12-23 m</v>
      </c>
      <c r="L180" s="7" t="str">
        <f aca="false">IF(Raw_Nigeria!K180="","n/a",Raw_Nigeria!K180)</f>
        <v>0-23 m</v>
      </c>
      <c r="M180" s="7" t="n">
        <f aca="false">IF(Raw_Nigeria!I180="","",Raw_Nigeria!I180)</f>
        <v>21.3</v>
      </c>
      <c r="N180" s="7" t="n">
        <f aca="false">Raw_Nigeria!M180</f>
        <v>18.7</v>
      </c>
      <c r="O180" s="7" t="n">
        <f aca="false">IF(Raw_Nigeria!N180="","",Raw_Nigeria!N180)</f>
        <v>999</v>
      </c>
      <c r="P180" s="7" t="str">
        <f aca="false">IF(K180="CBAW","Women of child-bearing age","Children")</f>
        <v>Children</v>
      </c>
      <c r="Q180" s="7" t="n">
        <f aca="false">IF(J180="NOT USED",1,0)</f>
        <v>0</v>
      </c>
      <c r="R180" s="7" t="n">
        <f aca="false">IF(AND(P180="Children",Q180=0),1,0)</f>
        <v>1</v>
      </c>
      <c r="S180" s="7" t="n">
        <f aca="false">IF(AND(R180=1,J180="Record or Recall",K180="12-23 m"),1,0)</f>
        <v>0</v>
      </c>
      <c r="T180" s="7" t="n">
        <f aca="false">IF(OR(I180="BCG",I180="DTP1",I180="DTP3",I180="POL3",I180="MCV1",I180="FULL"),1,0)</f>
        <v>1</v>
      </c>
      <c r="U180" s="7" t="n">
        <f aca="false">IF(OR(C180="DHS",C180="MICS"),1,0)</f>
        <v>1</v>
      </c>
      <c r="V180" s="7" t="n">
        <f aca="false">IF(O180="",1,0)</f>
        <v>0</v>
      </c>
      <c r="W180" s="7" t="n">
        <f aca="false">IF(M180="",1,0)</f>
        <v>0</v>
      </c>
      <c r="X180" s="7" t="n">
        <f aca="false">COUNTIFS($B$2:$B$1141,B180,$H$2:$H$1141,H180,$I$2:$I$1141,I180,$J$2:$J$1141,J180,$K$2:$K$1141,K180,$L$2:$L$1141,L180)</f>
        <v>1</v>
      </c>
    </row>
    <row r="181" customFormat="false" ht="15" hidden="false" customHeight="false" outlineLevel="0" collapsed="false">
      <c r="A181" s="7" t="n">
        <f aca="false">ROW()-1</f>
        <v>180</v>
      </c>
      <c r="B181" s="7" t="str">
        <f aca="false">IF(Raw_Nigeria!B181="",TRIM(Raw_Nigeria!C181),TRIM(Raw_Nigeria!B181))</f>
        <v>Nigeria Demographic and Health Survey 2003</v>
      </c>
      <c r="C181" s="7" t="str">
        <f aca="false">IF(ISNUMBER(SEARCH("Demographic and Health",B181)),"DHS",IF(OR(ISNUMBER(SEARCH("Multiple Indicator Cluster",B181)),ISNUMBER(SEARCH("MICS",B181))),"MICS",IF(ISNUMBER(SEARCH("Immunization Coverage Survey",B181)),"Coverage survey",IF(ISNUMBER(SEARCH("Nutrition",B181)),"Nutrition survey","Other"))))</f>
        <v>DHS</v>
      </c>
      <c r="D181" s="7" t="n">
        <f aca="false">VALUE(LEFT(Raw_Nigeria!D181,4))</f>
        <v>2003</v>
      </c>
      <c r="E181" s="7" t="n">
        <f aca="false">IF(VALUE(RIGHT(Raw_Nigeria!D181,2))&gt;12,"",VALUE(RIGHT(Raw_Nigeria!D181,2)))</f>
        <v>3</v>
      </c>
      <c r="F181" s="7" t="n">
        <f aca="false">VALUE(LEFT(Raw_Nigeria!E181,4))</f>
        <v>2003</v>
      </c>
      <c r="G181" s="7" t="n">
        <f aca="false">IF(VALUE(RIGHT(Raw_Nigeria!E181,2))&gt;12,"",VALUE(RIGHT(Raw_Nigeria!E181,2)))</f>
        <v>8</v>
      </c>
      <c r="H181" s="7" t="n">
        <f aca="false">Raw_Nigeria!F181</f>
        <v>2002</v>
      </c>
      <c r="I181" s="7" t="str">
        <f aca="false">UPPER(TRIM(Raw_Nigeria!G181))</f>
        <v>TT2+</v>
      </c>
      <c r="J181" s="7" t="str">
        <f aca="false">Raw_Nigeria!H181</f>
        <v>Record or Recall</v>
      </c>
      <c r="K181" s="7" t="str">
        <f aca="false">Raw_Nigeria!L181</f>
        <v>CBAW</v>
      </c>
      <c r="L181" s="7" t="str">
        <f aca="false">IF(Raw_Nigeria!K181="","n/a",Raw_Nigeria!K181)</f>
        <v>n/a</v>
      </c>
      <c r="M181" s="7" t="str">
        <f aca="false">IF(Raw_Nigeria!I181="","",Raw_Nigeria!I181)</f>
        <v/>
      </c>
      <c r="N181" s="7" t="n">
        <f aca="false">Raw_Nigeria!M181</f>
        <v>40.2</v>
      </c>
      <c r="O181" s="7" t="str">
        <f aca="false">IF(Raw_Nigeria!N181="","",Raw_Nigeria!N181)</f>
        <v/>
      </c>
      <c r="P181" s="7" t="str">
        <f aca="false">IF(K181="CBAW","Women of child-bearing age","Children")</f>
        <v>Women of child-bearing age</v>
      </c>
      <c r="Q181" s="7" t="n">
        <f aca="false">IF(J181="NOT USED",1,0)</f>
        <v>0</v>
      </c>
      <c r="R181" s="7" t="n">
        <f aca="false">IF(AND(P181="Children",Q181=0),1,0)</f>
        <v>0</v>
      </c>
      <c r="S181" s="7" t="n">
        <f aca="false">IF(AND(R181=1,J181="Record or Recall",K181="12-23 m"),1,0)</f>
        <v>0</v>
      </c>
      <c r="T181" s="7" t="n">
        <f aca="false">IF(OR(I181="BCG",I181="DTP1",I181="DTP3",I181="POL3",I181="MCV1",I181="FULL"),1,0)</f>
        <v>0</v>
      </c>
      <c r="U181" s="7" t="n">
        <f aca="false">IF(OR(C181="DHS",C181="MICS"),1,0)</f>
        <v>1</v>
      </c>
      <c r="V181" s="7" t="n">
        <f aca="false">IF(O181="",1,0)</f>
        <v>1</v>
      </c>
      <c r="W181" s="7" t="n">
        <f aca="false">IF(M181="",1,0)</f>
        <v>1</v>
      </c>
      <c r="X181" s="7" t="n">
        <f aca="false">COUNTIFS($B$2:$B$1141,B181,$H$2:$H$1141,H181,$I$2:$I$1141,I181,$J$2:$J$1141,J181,$K$2:$K$1141,K181,$L$2:$L$1141,L181)</f>
        <v>1</v>
      </c>
    </row>
    <row r="182" customFormat="false" ht="15" hidden="false" customHeight="false" outlineLevel="0" collapsed="false">
      <c r="A182" s="7" t="n">
        <f aca="false">ROW()-1</f>
        <v>181</v>
      </c>
      <c r="B182" s="7" t="str">
        <f aca="false">IF(Raw_Nigeria!B182="",TRIM(Raw_Nigeria!C182),TRIM(Raw_Nigeria!B182))</f>
        <v>Nigeria National Immunization Coverage Survey 2003</v>
      </c>
      <c r="C182" s="7" t="str">
        <f aca="false">IF(ISNUMBER(SEARCH("Demographic and Health",B182)),"DHS",IF(OR(ISNUMBER(SEARCH("Multiple Indicator Cluster",B182)),ISNUMBER(SEARCH("MICS",B182))),"MICS",IF(ISNUMBER(SEARCH("Immunization Coverage Survey",B182)),"Coverage survey",IF(ISNUMBER(SEARCH("Nutrition",B182)),"Nutrition survey","Other"))))</f>
        <v>Coverage survey</v>
      </c>
      <c r="D182" s="7" t="n">
        <f aca="false">VALUE(LEFT(Raw_Nigeria!D182,4))</f>
        <v>2003</v>
      </c>
      <c r="E182" s="7" t="str">
        <f aca="false">IF(VALUE(RIGHT(Raw_Nigeria!D182,2))&gt;12,"",VALUE(RIGHT(Raw_Nigeria!D182,2)))</f>
        <v/>
      </c>
      <c r="F182" s="7" t="n">
        <f aca="false">VALUE(LEFT(Raw_Nigeria!E182,4))</f>
        <v>2003</v>
      </c>
      <c r="G182" s="7" t="str">
        <f aca="false">IF(VALUE(RIGHT(Raw_Nigeria!E182,2))&gt;12,"",VALUE(RIGHT(Raw_Nigeria!E182,2)))</f>
        <v/>
      </c>
      <c r="H182" s="7" t="n">
        <f aca="false">Raw_Nigeria!F182</f>
        <v>2002</v>
      </c>
      <c r="I182" s="7" t="str">
        <f aca="false">UPPER(TRIM(Raw_Nigeria!G182))</f>
        <v>BCG</v>
      </c>
      <c r="J182" s="7" t="str">
        <f aca="false">Raw_Nigeria!H182</f>
        <v>Record or Recall</v>
      </c>
      <c r="K182" s="7" t="str">
        <f aca="false">Raw_Nigeria!L182</f>
        <v>12-23 m</v>
      </c>
      <c r="L182" s="7" t="str">
        <f aca="false">IF(Raw_Nigeria!K182="","n/a",Raw_Nigeria!K182)</f>
        <v>0-23 m</v>
      </c>
      <c r="M182" s="7" t="n">
        <f aca="false">IF(Raw_Nigeria!I182="","",Raw_Nigeria!I182)</f>
        <v>28.4</v>
      </c>
      <c r="N182" s="7" t="n">
        <f aca="false">Raw_Nigeria!M182</f>
        <v>29.3</v>
      </c>
      <c r="O182" s="7" t="n">
        <f aca="false">IF(Raw_Nigeria!N182="","",Raw_Nigeria!N182)</f>
        <v>40777</v>
      </c>
      <c r="P182" s="7" t="str">
        <f aca="false">IF(K182="CBAW","Women of child-bearing age","Children")</f>
        <v>Children</v>
      </c>
      <c r="Q182" s="7" t="n">
        <f aca="false">IF(J182="NOT USED",1,0)</f>
        <v>0</v>
      </c>
      <c r="R182" s="7" t="n">
        <f aca="false">IF(AND(P182="Children",Q182=0),1,0)</f>
        <v>1</v>
      </c>
      <c r="S182" s="7" t="n">
        <f aca="false">IF(AND(R182=1,J182="Record or Recall",K182="12-23 m"),1,0)</f>
        <v>1</v>
      </c>
      <c r="T182" s="7" t="n">
        <f aca="false">IF(OR(I182="BCG",I182="DTP1",I182="DTP3",I182="POL3",I182="MCV1",I182="FULL"),1,0)</f>
        <v>1</v>
      </c>
      <c r="U182" s="7" t="n">
        <f aca="false">IF(OR(C182="DHS",C182="MICS"),1,0)</f>
        <v>0</v>
      </c>
      <c r="V182" s="7" t="n">
        <f aca="false">IF(O182="",1,0)</f>
        <v>0</v>
      </c>
      <c r="W182" s="7" t="n">
        <f aca="false">IF(M182="",1,0)</f>
        <v>0</v>
      </c>
      <c r="X182" s="7" t="n">
        <f aca="false">COUNTIFS($B$2:$B$1141,B182,$H$2:$H$1141,H182,$I$2:$I$1141,I182,$J$2:$J$1141,J182,$K$2:$K$1141,K182,$L$2:$L$1141,L182)</f>
        <v>1</v>
      </c>
    </row>
    <row r="183" customFormat="false" ht="15" hidden="false" customHeight="false" outlineLevel="0" collapsed="false">
      <c r="A183" s="7" t="n">
        <f aca="false">ROW()-1</f>
        <v>182</v>
      </c>
      <c r="B183" s="7" t="str">
        <f aca="false">IF(Raw_Nigeria!B183="",TRIM(Raw_Nigeria!C183),TRIM(Raw_Nigeria!B183))</f>
        <v>Nigeria National Immunization Coverage Survey 2003</v>
      </c>
      <c r="C183" s="7" t="str">
        <f aca="false">IF(ISNUMBER(SEARCH("Demographic and Health",B183)),"DHS",IF(OR(ISNUMBER(SEARCH("Multiple Indicator Cluster",B183)),ISNUMBER(SEARCH("MICS",B183))),"MICS",IF(ISNUMBER(SEARCH("Immunization Coverage Survey",B183)),"Coverage survey",IF(ISNUMBER(SEARCH("Nutrition",B183)),"Nutrition survey","Other"))))</f>
        <v>Coverage survey</v>
      </c>
      <c r="D183" s="7" t="n">
        <f aca="false">VALUE(LEFT(Raw_Nigeria!D183,4))</f>
        <v>2003</v>
      </c>
      <c r="E183" s="7" t="str">
        <f aca="false">IF(VALUE(RIGHT(Raw_Nigeria!D183,2))&gt;12,"",VALUE(RIGHT(Raw_Nigeria!D183,2)))</f>
        <v/>
      </c>
      <c r="F183" s="7" t="n">
        <f aca="false">VALUE(LEFT(Raw_Nigeria!E183,4))</f>
        <v>2003</v>
      </c>
      <c r="G183" s="7" t="str">
        <f aca="false">IF(VALUE(RIGHT(Raw_Nigeria!E183,2))&gt;12,"",VALUE(RIGHT(Raw_Nigeria!E183,2)))</f>
        <v/>
      </c>
      <c r="H183" s="7" t="n">
        <f aca="false">Raw_Nigeria!F183</f>
        <v>2002</v>
      </c>
      <c r="I183" s="7" t="str">
        <f aca="false">UPPER(TRIM(Raw_Nigeria!G183))</f>
        <v>DTP1</v>
      </c>
      <c r="J183" s="7" t="str">
        <f aca="false">Raw_Nigeria!H183</f>
        <v>Record or Recall</v>
      </c>
      <c r="K183" s="7" t="str">
        <f aca="false">Raw_Nigeria!L183</f>
        <v>12-23 m</v>
      </c>
      <c r="L183" s="7" t="str">
        <f aca="false">IF(Raw_Nigeria!K183="","n/a",Raw_Nigeria!K183)</f>
        <v>0-23 m</v>
      </c>
      <c r="M183" s="7" t="n">
        <f aca="false">IF(Raw_Nigeria!I183="","",Raw_Nigeria!I183)</f>
        <v>28.4</v>
      </c>
      <c r="N183" s="7" t="n">
        <f aca="false">Raw_Nigeria!M183</f>
        <v>43.2</v>
      </c>
      <c r="O183" s="7" t="n">
        <f aca="false">IF(Raw_Nigeria!N183="","",Raw_Nigeria!N183)</f>
        <v>40777</v>
      </c>
      <c r="P183" s="7" t="str">
        <f aca="false">IF(K183="CBAW","Women of child-bearing age","Children")</f>
        <v>Children</v>
      </c>
      <c r="Q183" s="7" t="n">
        <f aca="false">IF(J183="NOT USED",1,0)</f>
        <v>0</v>
      </c>
      <c r="R183" s="7" t="n">
        <f aca="false">IF(AND(P183="Children",Q183=0),1,0)</f>
        <v>1</v>
      </c>
      <c r="S183" s="7" t="n">
        <f aca="false">IF(AND(R183=1,J183="Record or Recall",K183="12-23 m"),1,0)</f>
        <v>1</v>
      </c>
      <c r="T183" s="7" t="n">
        <f aca="false">IF(OR(I183="BCG",I183="DTP1",I183="DTP3",I183="POL3",I183="MCV1",I183="FULL"),1,0)</f>
        <v>1</v>
      </c>
      <c r="U183" s="7" t="n">
        <f aca="false">IF(OR(C183="DHS",C183="MICS"),1,0)</f>
        <v>0</v>
      </c>
      <c r="V183" s="7" t="n">
        <f aca="false">IF(O183="",1,0)</f>
        <v>0</v>
      </c>
      <c r="W183" s="7" t="n">
        <f aca="false">IF(M183="",1,0)</f>
        <v>0</v>
      </c>
      <c r="X183" s="7" t="n">
        <f aca="false">COUNTIFS($B$2:$B$1141,B183,$H$2:$H$1141,H183,$I$2:$I$1141,I183,$J$2:$J$1141,J183,$K$2:$K$1141,K183,$L$2:$L$1141,L183)</f>
        <v>1</v>
      </c>
    </row>
    <row r="184" customFormat="false" ht="15" hidden="false" customHeight="false" outlineLevel="0" collapsed="false">
      <c r="A184" s="7" t="n">
        <f aca="false">ROW()-1</f>
        <v>183</v>
      </c>
      <c r="B184" s="7" t="str">
        <f aca="false">IF(Raw_Nigeria!B184="",TRIM(Raw_Nigeria!C184),TRIM(Raw_Nigeria!B184))</f>
        <v>Nigeria National Immunization Coverage Survey 2003</v>
      </c>
      <c r="C184" s="7" t="str">
        <f aca="false">IF(ISNUMBER(SEARCH("Demographic and Health",B184)),"DHS",IF(OR(ISNUMBER(SEARCH("Multiple Indicator Cluster",B184)),ISNUMBER(SEARCH("MICS",B184))),"MICS",IF(ISNUMBER(SEARCH("Immunization Coverage Survey",B184)),"Coverage survey",IF(ISNUMBER(SEARCH("Nutrition",B184)),"Nutrition survey","Other"))))</f>
        <v>Coverage survey</v>
      </c>
      <c r="D184" s="7" t="n">
        <f aca="false">VALUE(LEFT(Raw_Nigeria!D184,4))</f>
        <v>2003</v>
      </c>
      <c r="E184" s="7" t="str">
        <f aca="false">IF(VALUE(RIGHT(Raw_Nigeria!D184,2))&gt;12,"",VALUE(RIGHT(Raw_Nigeria!D184,2)))</f>
        <v/>
      </c>
      <c r="F184" s="7" t="n">
        <f aca="false">VALUE(LEFT(Raw_Nigeria!E184,4))</f>
        <v>2003</v>
      </c>
      <c r="G184" s="7" t="str">
        <f aca="false">IF(VALUE(RIGHT(Raw_Nigeria!E184,2))&gt;12,"",VALUE(RIGHT(Raw_Nigeria!E184,2)))</f>
        <v/>
      </c>
      <c r="H184" s="7" t="n">
        <f aca="false">Raw_Nigeria!F184</f>
        <v>2002</v>
      </c>
      <c r="I184" s="7" t="str">
        <f aca="false">UPPER(TRIM(Raw_Nigeria!G184))</f>
        <v>DTP3</v>
      </c>
      <c r="J184" s="7" t="str">
        <f aca="false">Raw_Nigeria!H184</f>
        <v>Record or Recall</v>
      </c>
      <c r="K184" s="7" t="str">
        <f aca="false">Raw_Nigeria!L184</f>
        <v>12-23 m</v>
      </c>
      <c r="L184" s="7" t="str">
        <f aca="false">IF(Raw_Nigeria!K184="","n/a",Raw_Nigeria!K184)</f>
        <v>0-23 m</v>
      </c>
      <c r="M184" s="7" t="n">
        <f aca="false">IF(Raw_Nigeria!I184="","",Raw_Nigeria!I184)</f>
        <v>28.4</v>
      </c>
      <c r="N184" s="7" t="n">
        <f aca="false">Raw_Nigeria!M184</f>
        <v>24.8</v>
      </c>
      <c r="O184" s="7" t="n">
        <f aca="false">IF(Raw_Nigeria!N184="","",Raw_Nigeria!N184)</f>
        <v>40777</v>
      </c>
      <c r="P184" s="7" t="str">
        <f aca="false">IF(K184="CBAW","Women of child-bearing age","Children")</f>
        <v>Children</v>
      </c>
      <c r="Q184" s="7" t="n">
        <f aca="false">IF(J184="NOT USED",1,0)</f>
        <v>0</v>
      </c>
      <c r="R184" s="7" t="n">
        <f aca="false">IF(AND(P184="Children",Q184=0),1,0)</f>
        <v>1</v>
      </c>
      <c r="S184" s="7" t="n">
        <f aca="false">IF(AND(R184=1,J184="Record or Recall",K184="12-23 m"),1,0)</f>
        <v>1</v>
      </c>
      <c r="T184" s="7" t="n">
        <f aca="false">IF(OR(I184="BCG",I184="DTP1",I184="DTP3",I184="POL3",I184="MCV1",I184="FULL"),1,0)</f>
        <v>1</v>
      </c>
      <c r="U184" s="7" t="n">
        <f aca="false">IF(OR(C184="DHS",C184="MICS"),1,0)</f>
        <v>0</v>
      </c>
      <c r="V184" s="7" t="n">
        <f aca="false">IF(O184="",1,0)</f>
        <v>0</v>
      </c>
      <c r="W184" s="7" t="n">
        <f aca="false">IF(M184="",1,0)</f>
        <v>0</v>
      </c>
      <c r="X184" s="7" t="n">
        <f aca="false">COUNTIFS($B$2:$B$1141,B184,$H$2:$H$1141,H184,$I$2:$I$1141,I184,$J$2:$J$1141,J184,$K$2:$K$1141,K184,$L$2:$L$1141,L184)</f>
        <v>1</v>
      </c>
    </row>
    <row r="185" customFormat="false" ht="15" hidden="false" customHeight="false" outlineLevel="0" collapsed="false">
      <c r="A185" s="7" t="n">
        <f aca="false">ROW()-1</f>
        <v>184</v>
      </c>
      <c r="B185" s="7" t="str">
        <f aca="false">IF(Raw_Nigeria!B185="",TRIM(Raw_Nigeria!C185),TRIM(Raw_Nigeria!B185))</f>
        <v>Nigeria National Immunization Coverage Survey 2003</v>
      </c>
      <c r="C185" s="7" t="str">
        <f aca="false">IF(ISNUMBER(SEARCH("Demographic and Health",B185)),"DHS",IF(OR(ISNUMBER(SEARCH("Multiple Indicator Cluster",B185)),ISNUMBER(SEARCH("MICS",B185))),"MICS",IF(ISNUMBER(SEARCH("Immunization Coverage Survey",B185)),"Coverage survey",IF(ISNUMBER(SEARCH("Nutrition",B185)),"Nutrition survey","Other"))))</f>
        <v>Coverage survey</v>
      </c>
      <c r="D185" s="7" t="n">
        <f aca="false">VALUE(LEFT(Raw_Nigeria!D185,4))</f>
        <v>2003</v>
      </c>
      <c r="E185" s="7" t="str">
        <f aca="false">IF(VALUE(RIGHT(Raw_Nigeria!D185,2))&gt;12,"",VALUE(RIGHT(Raw_Nigeria!D185,2)))</f>
        <v/>
      </c>
      <c r="F185" s="7" t="n">
        <f aca="false">VALUE(LEFT(Raw_Nigeria!E185,4))</f>
        <v>2003</v>
      </c>
      <c r="G185" s="7" t="str">
        <f aca="false">IF(VALUE(RIGHT(Raw_Nigeria!E185,2))&gt;12,"",VALUE(RIGHT(Raw_Nigeria!E185,2)))</f>
        <v/>
      </c>
      <c r="H185" s="7" t="n">
        <f aca="false">Raw_Nigeria!F185</f>
        <v>2002</v>
      </c>
      <c r="I185" s="7" t="str">
        <f aca="false">UPPER(TRIM(Raw_Nigeria!G185))</f>
        <v>FULL</v>
      </c>
      <c r="J185" s="7" t="str">
        <f aca="false">Raw_Nigeria!H185</f>
        <v>Record or Recall</v>
      </c>
      <c r="K185" s="7" t="str">
        <f aca="false">Raw_Nigeria!L185</f>
        <v>12-23 m</v>
      </c>
      <c r="L185" s="7" t="str">
        <f aca="false">IF(Raw_Nigeria!K185="","n/a",Raw_Nigeria!K185)</f>
        <v>0-23 m</v>
      </c>
      <c r="M185" s="7" t="n">
        <f aca="false">IF(Raw_Nigeria!I185="","",Raw_Nigeria!I185)</f>
        <v>28.4</v>
      </c>
      <c r="N185" s="7" t="n">
        <f aca="false">Raw_Nigeria!M185</f>
        <v>16.2</v>
      </c>
      <c r="O185" s="7" t="n">
        <f aca="false">IF(Raw_Nigeria!N185="","",Raw_Nigeria!N185)</f>
        <v>40777</v>
      </c>
      <c r="P185" s="7" t="str">
        <f aca="false">IF(K185="CBAW","Women of child-bearing age","Children")</f>
        <v>Children</v>
      </c>
      <c r="Q185" s="7" t="n">
        <f aca="false">IF(J185="NOT USED",1,0)</f>
        <v>0</v>
      </c>
      <c r="R185" s="7" t="n">
        <f aca="false">IF(AND(P185="Children",Q185=0),1,0)</f>
        <v>1</v>
      </c>
      <c r="S185" s="7" t="n">
        <f aca="false">IF(AND(R185=1,J185="Record or Recall",K185="12-23 m"),1,0)</f>
        <v>1</v>
      </c>
      <c r="T185" s="7" t="n">
        <f aca="false">IF(OR(I185="BCG",I185="DTP1",I185="DTP3",I185="POL3",I185="MCV1",I185="FULL"),1,0)</f>
        <v>1</v>
      </c>
      <c r="U185" s="7" t="n">
        <f aca="false">IF(OR(C185="DHS",C185="MICS"),1,0)</f>
        <v>0</v>
      </c>
      <c r="V185" s="7" t="n">
        <f aca="false">IF(O185="",1,0)</f>
        <v>0</v>
      </c>
      <c r="W185" s="7" t="n">
        <f aca="false">IF(M185="",1,0)</f>
        <v>0</v>
      </c>
      <c r="X185" s="7" t="n">
        <f aca="false">COUNTIFS($B$2:$B$1141,B185,$H$2:$H$1141,H185,$I$2:$I$1141,I185,$J$2:$J$1141,J185,$K$2:$K$1141,K185,$L$2:$L$1141,L185)</f>
        <v>1</v>
      </c>
    </row>
    <row r="186" customFormat="false" ht="15" hidden="false" customHeight="false" outlineLevel="0" collapsed="false">
      <c r="A186" s="7" t="n">
        <f aca="false">ROW()-1</f>
        <v>185</v>
      </c>
      <c r="B186" s="7" t="str">
        <f aca="false">IF(Raw_Nigeria!B186="",TRIM(Raw_Nigeria!C186),TRIM(Raw_Nigeria!B186))</f>
        <v>Nigeria National Immunization Coverage Survey 2003</v>
      </c>
      <c r="C186" s="7" t="str">
        <f aca="false">IF(ISNUMBER(SEARCH("Demographic and Health",B186)),"DHS",IF(OR(ISNUMBER(SEARCH("Multiple Indicator Cluster",B186)),ISNUMBER(SEARCH("MICS",B186))),"MICS",IF(ISNUMBER(SEARCH("Immunization Coverage Survey",B186)),"Coverage survey",IF(ISNUMBER(SEARCH("Nutrition",B186)),"Nutrition survey","Other"))))</f>
        <v>Coverage survey</v>
      </c>
      <c r="D186" s="7" t="n">
        <f aca="false">VALUE(LEFT(Raw_Nigeria!D186,4))</f>
        <v>2003</v>
      </c>
      <c r="E186" s="7" t="str">
        <f aca="false">IF(VALUE(RIGHT(Raw_Nigeria!D186,2))&gt;12,"",VALUE(RIGHT(Raw_Nigeria!D186,2)))</f>
        <v/>
      </c>
      <c r="F186" s="7" t="n">
        <f aca="false">VALUE(LEFT(Raw_Nigeria!E186,4))</f>
        <v>2003</v>
      </c>
      <c r="G186" s="7" t="str">
        <f aca="false">IF(VALUE(RIGHT(Raw_Nigeria!E186,2))&gt;12,"",VALUE(RIGHT(Raw_Nigeria!E186,2)))</f>
        <v/>
      </c>
      <c r="H186" s="7" t="n">
        <f aca="false">Raw_Nigeria!F186</f>
        <v>2002</v>
      </c>
      <c r="I186" s="7" t="str">
        <f aca="false">UPPER(TRIM(Raw_Nigeria!G186))</f>
        <v>MCV1</v>
      </c>
      <c r="J186" s="7" t="str">
        <f aca="false">Raw_Nigeria!H186</f>
        <v>Record or Recall</v>
      </c>
      <c r="K186" s="7" t="str">
        <f aca="false">Raw_Nigeria!L186</f>
        <v>12-23 m</v>
      </c>
      <c r="L186" s="7" t="str">
        <f aca="false">IF(Raw_Nigeria!K186="","n/a",Raw_Nigeria!K186)</f>
        <v>0-23 m</v>
      </c>
      <c r="M186" s="7" t="n">
        <f aca="false">IF(Raw_Nigeria!I186="","",Raw_Nigeria!I186)</f>
        <v>28.4</v>
      </c>
      <c r="N186" s="7" t="n">
        <f aca="false">Raw_Nigeria!M186</f>
        <v>25.3</v>
      </c>
      <c r="O186" s="7" t="n">
        <f aca="false">IF(Raw_Nigeria!N186="","",Raw_Nigeria!N186)</f>
        <v>40777</v>
      </c>
      <c r="P186" s="7" t="str">
        <f aca="false">IF(K186="CBAW","Women of child-bearing age","Children")</f>
        <v>Children</v>
      </c>
      <c r="Q186" s="7" t="n">
        <f aca="false">IF(J186="NOT USED",1,0)</f>
        <v>0</v>
      </c>
      <c r="R186" s="7" t="n">
        <f aca="false">IF(AND(P186="Children",Q186=0),1,0)</f>
        <v>1</v>
      </c>
      <c r="S186" s="7" t="n">
        <f aca="false">IF(AND(R186=1,J186="Record or Recall",K186="12-23 m"),1,0)</f>
        <v>1</v>
      </c>
      <c r="T186" s="7" t="n">
        <f aca="false">IF(OR(I186="BCG",I186="DTP1",I186="DTP3",I186="POL3",I186="MCV1",I186="FULL"),1,0)</f>
        <v>1</v>
      </c>
      <c r="U186" s="7" t="n">
        <f aca="false">IF(OR(C186="DHS",C186="MICS"),1,0)</f>
        <v>0</v>
      </c>
      <c r="V186" s="7" t="n">
        <f aca="false">IF(O186="",1,0)</f>
        <v>0</v>
      </c>
      <c r="W186" s="7" t="n">
        <f aca="false">IF(M186="",1,0)</f>
        <v>0</v>
      </c>
      <c r="X186" s="7" t="n">
        <f aca="false">COUNTIFS($B$2:$B$1141,B186,$H$2:$H$1141,H186,$I$2:$I$1141,I186,$J$2:$J$1141,J186,$K$2:$K$1141,K186,$L$2:$L$1141,L186)</f>
        <v>1</v>
      </c>
    </row>
    <row r="187" customFormat="false" ht="15" hidden="false" customHeight="false" outlineLevel="0" collapsed="false">
      <c r="A187" s="7" t="n">
        <f aca="false">ROW()-1</f>
        <v>186</v>
      </c>
      <c r="B187" s="7" t="str">
        <f aca="false">IF(Raw_Nigeria!B187="",TRIM(Raw_Nigeria!C187),TRIM(Raw_Nigeria!B187))</f>
        <v>Nigeria National Immunization Coverage Survey 2003</v>
      </c>
      <c r="C187" s="7" t="str">
        <f aca="false">IF(ISNUMBER(SEARCH("Demographic and Health",B187)),"DHS",IF(OR(ISNUMBER(SEARCH("Multiple Indicator Cluster",B187)),ISNUMBER(SEARCH("MICS",B187))),"MICS",IF(ISNUMBER(SEARCH("Immunization Coverage Survey",B187)),"Coverage survey",IF(ISNUMBER(SEARCH("Nutrition",B187)),"Nutrition survey","Other"))))</f>
        <v>Coverage survey</v>
      </c>
      <c r="D187" s="7" t="n">
        <f aca="false">VALUE(LEFT(Raw_Nigeria!D187,4))</f>
        <v>2003</v>
      </c>
      <c r="E187" s="7" t="str">
        <f aca="false">IF(VALUE(RIGHT(Raw_Nigeria!D187,2))&gt;12,"",VALUE(RIGHT(Raw_Nigeria!D187,2)))</f>
        <v/>
      </c>
      <c r="F187" s="7" t="n">
        <f aca="false">VALUE(LEFT(Raw_Nigeria!E187,4))</f>
        <v>2003</v>
      </c>
      <c r="G187" s="7" t="str">
        <f aca="false">IF(VALUE(RIGHT(Raw_Nigeria!E187,2))&gt;12,"",VALUE(RIGHT(Raw_Nigeria!E187,2)))</f>
        <v/>
      </c>
      <c r="H187" s="7" t="n">
        <f aca="false">Raw_Nigeria!F187</f>
        <v>2002</v>
      </c>
      <c r="I187" s="7" t="str">
        <f aca="false">UPPER(TRIM(Raw_Nigeria!G187))</f>
        <v>PAB</v>
      </c>
      <c r="J187" s="7" t="str">
        <f aca="false">Raw_Nigeria!H187</f>
        <v>Record or Recall</v>
      </c>
      <c r="K187" s="7" t="str">
        <f aca="false">Raw_Nigeria!L187</f>
        <v>CBAW</v>
      </c>
      <c r="L187" s="7" t="str">
        <f aca="false">IF(Raw_Nigeria!K187="","n/a",Raw_Nigeria!K187)</f>
        <v>n/a</v>
      </c>
      <c r="M187" s="7" t="str">
        <f aca="false">IF(Raw_Nigeria!I187="","",Raw_Nigeria!I187)</f>
        <v/>
      </c>
      <c r="N187" s="7" t="n">
        <f aca="false">Raw_Nigeria!M187</f>
        <v>7.1</v>
      </c>
      <c r="O187" s="7" t="n">
        <f aca="false">IF(Raw_Nigeria!N187="","",Raw_Nigeria!N187)</f>
        <v>40777</v>
      </c>
      <c r="P187" s="7" t="str">
        <f aca="false">IF(K187="CBAW","Women of child-bearing age","Children")</f>
        <v>Women of child-bearing age</v>
      </c>
      <c r="Q187" s="7" t="n">
        <f aca="false">IF(J187="NOT USED",1,0)</f>
        <v>0</v>
      </c>
      <c r="R187" s="7" t="n">
        <f aca="false">IF(AND(P187="Children",Q187=0),1,0)</f>
        <v>0</v>
      </c>
      <c r="S187" s="7" t="n">
        <f aca="false">IF(AND(R187=1,J187="Record or Recall",K187="12-23 m"),1,0)</f>
        <v>0</v>
      </c>
      <c r="T187" s="7" t="n">
        <f aca="false">IF(OR(I187="BCG",I187="DTP1",I187="DTP3",I187="POL3",I187="MCV1",I187="FULL"),1,0)</f>
        <v>0</v>
      </c>
      <c r="U187" s="7" t="n">
        <f aca="false">IF(OR(C187="DHS",C187="MICS"),1,0)</f>
        <v>0</v>
      </c>
      <c r="V187" s="7" t="n">
        <f aca="false">IF(O187="",1,0)</f>
        <v>0</v>
      </c>
      <c r="W187" s="7" t="n">
        <f aca="false">IF(M187="",1,0)</f>
        <v>1</v>
      </c>
      <c r="X187" s="7" t="n">
        <f aca="false">COUNTIFS($B$2:$B$1141,B187,$H$2:$H$1141,H187,$I$2:$I$1141,I187,$J$2:$J$1141,J187,$K$2:$K$1141,K187,$L$2:$L$1141,L187)</f>
        <v>1</v>
      </c>
    </row>
    <row r="188" customFormat="false" ht="15" hidden="false" customHeight="false" outlineLevel="0" collapsed="false">
      <c r="A188" s="7" t="n">
        <f aca="false">ROW()-1</f>
        <v>187</v>
      </c>
      <c r="B188" s="7" t="str">
        <f aca="false">IF(Raw_Nigeria!B188="",TRIM(Raw_Nigeria!C188),TRIM(Raw_Nigeria!B188))</f>
        <v>Nigeria National Immunization Coverage Survey 2003</v>
      </c>
      <c r="C188" s="7" t="str">
        <f aca="false">IF(ISNUMBER(SEARCH("Demographic and Health",B188)),"DHS",IF(OR(ISNUMBER(SEARCH("Multiple Indicator Cluster",B188)),ISNUMBER(SEARCH("MICS",B188))),"MICS",IF(ISNUMBER(SEARCH("Immunization Coverage Survey",B188)),"Coverage survey",IF(ISNUMBER(SEARCH("Nutrition",B188)),"Nutrition survey","Other"))))</f>
        <v>Coverage survey</v>
      </c>
      <c r="D188" s="7" t="n">
        <f aca="false">VALUE(LEFT(Raw_Nigeria!D188,4))</f>
        <v>2003</v>
      </c>
      <c r="E188" s="7" t="str">
        <f aca="false">IF(VALUE(RIGHT(Raw_Nigeria!D188,2))&gt;12,"",VALUE(RIGHT(Raw_Nigeria!D188,2)))</f>
        <v/>
      </c>
      <c r="F188" s="7" t="n">
        <f aca="false">VALUE(LEFT(Raw_Nigeria!E188,4))</f>
        <v>2003</v>
      </c>
      <c r="G188" s="7" t="str">
        <f aca="false">IF(VALUE(RIGHT(Raw_Nigeria!E188,2))&gt;12,"",VALUE(RIGHT(Raw_Nigeria!E188,2)))</f>
        <v/>
      </c>
      <c r="H188" s="7" t="n">
        <f aca="false">Raw_Nigeria!F188</f>
        <v>2002</v>
      </c>
      <c r="I188" s="7" t="str">
        <f aca="false">UPPER(TRIM(Raw_Nigeria!G188))</f>
        <v>POL1</v>
      </c>
      <c r="J188" s="7" t="str">
        <f aca="false">Raw_Nigeria!H188</f>
        <v>Record or Recall</v>
      </c>
      <c r="K188" s="7" t="str">
        <f aca="false">Raw_Nigeria!L188</f>
        <v>12-23 m</v>
      </c>
      <c r="L188" s="7" t="str">
        <f aca="false">IF(Raw_Nigeria!K188="","n/a",Raw_Nigeria!K188)</f>
        <v>0-23 m</v>
      </c>
      <c r="M188" s="7" t="n">
        <f aca="false">IF(Raw_Nigeria!I188="","",Raw_Nigeria!I188)</f>
        <v>28.4</v>
      </c>
      <c r="N188" s="7" t="n">
        <f aca="false">Raw_Nigeria!M188</f>
        <v>63</v>
      </c>
      <c r="O188" s="7" t="n">
        <f aca="false">IF(Raw_Nigeria!N188="","",Raw_Nigeria!N188)</f>
        <v>40777</v>
      </c>
      <c r="P188" s="7" t="str">
        <f aca="false">IF(K188="CBAW","Women of child-bearing age","Children")</f>
        <v>Children</v>
      </c>
      <c r="Q188" s="7" t="n">
        <f aca="false">IF(J188="NOT USED",1,0)</f>
        <v>0</v>
      </c>
      <c r="R188" s="7" t="n">
        <f aca="false">IF(AND(P188="Children",Q188=0),1,0)</f>
        <v>1</v>
      </c>
      <c r="S188" s="7" t="n">
        <f aca="false">IF(AND(R188=1,J188="Record or Recall",K188="12-23 m"),1,0)</f>
        <v>1</v>
      </c>
      <c r="T188" s="7" t="n">
        <f aca="false">IF(OR(I188="BCG",I188="DTP1",I188="DTP3",I188="POL3",I188="MCV1",I188="FULL"),1,0)</f>
        <v>0</v>
      </c>
      <c r="U188" s="7" t="n">
        <f aca="false">IF(OR(C188="DHS",C188="MICS"),1,0)</f>
        <v>0</v>
      </c>
      <c r="V188" s="7" t="n">
        <f aca="false">IF(O188="",1,0)</f>
        <v>0</v>
      </c>
      <c r="W188" s="7" t="n">
        <f aca="false">IF(M188="",1,0)</f>
        <v>0</v>
      </c>
      <c r="X188" s="7" t="n">
        <f aca="false">COUNTIFS($B$2:$B$1141,B188,$H$2:$H$1141,H188,$I$2:$I$1141,I188,$J$2:$J$1141,J188,$K$2:$K$1141,K188,$L$2:$L$1141,L188)</f>
        <v>1</v>
      </c>
    </row>
    <row r="189" customFormat="false" ht="15" hidden="false" customHeight="false" outlineLevel="0" collapsed="false">
      <c r="A189" s="7" t="n">
        <f aca="false">ROW()-1</f>
        <v>188</v>
      </c>
      <c r="B189" s="7" t="str">
        <f aca="false">IF(Raw_Nigeria!B189="",TRIM(Raw_Nigeria!C189),TRIM(Raw_Nigeria!B189))</f>
        <v>Nigeria National Immunization Coverage Survey 2003</v>
      </c>
      <c r="C189" s="7" t="str">
        <f aca="false">IF(ISNUMBER(SEARCH("Demographic and Health",B189)),"DHS",IF(OR(ISNUMBER(SEARCH("Multiple Indicator Cluster",B189)),ISNUMBER(SEARCH("MICS",B189))),"MICS",IF(ISNUMBER(SEARCH("Immunization Coverage Survey",B189)),"Coverage survey",IF(ISNUMBER(SEARCH("Nutrition",B189)),"Nutrition survey","Other"))))</f>
        <v>Coverage survey</v>
      </c>
      <c r="D189" s="7" t="n">
        <f aca="false">VALUE(LEFT(Raw_Nigeria!D189,4))</f>
        <v>2003</v>
      </c>
      <c r="E189" s="7" t="str">
        <f aca="false">IF(VALUE(RIGHT(Raw_Nigeria!D189,2))&gt;12,"",VALUE(RIGHT(Raw_Nigeria!D189,2)))</f>
        <v/>
      </c>
      <c r="F189" s="7" t="n">
        <f aca="false">VALUE(LEFT(Raw_Nigeria!E189,4))</f>
        <v>2003</v>
      </c>
      <c r="G189" s="7" t="str">
        <f aca="false">IF(VALUE(RIGHT(Raw_Nigeria!E189,2))&gt;12,"",VALUE(RIGHT(Raw_Nigeria!E189,2)))</f>
        <v/>
      </c>
      <c r="H189" s="7" t="n">
        <f aca="false">Raw_Nigeria!F189</f>
        <v>2002</v>
      </c>
      <c r="I189" s="7" t="str">
        <f aca="false">UPPER(TRIM(Raw_Nigeria!G189))</f>
        <v>POL3</v>
      </c>
      <c r="J189" s="7" t="str">
        <f aca="false">Raw_Nigeria!H189</f>
        <v>Record or Recall</v>
      </c>
      <c r="K189" s="7" t="str">
        <f aca="false">Raw_Nigeria!L189</f>
        <v>12-23 m</v>
      </c>
      <c r="L189" s="7" t="str">
        <f aca="false">IF(Raw_Nigeria!K189="","n/a",Raw_Nigeria!K189)</f>
        <v>0-23 m</v>
      </c>
      <c r="M189" s="7" t="n">
        <f aca="false">IF(Raw_Nigeria!I189="","",Raw_Nigeria!I189)</f>
        <v>28.4</v>
      </c>
      <c r="N189" s="7" t="n">
        <f aca="false">Raw_Nigeria!M189</f>
        <v>38.6</v>
      </c>
      <c r="O189" s="7" t="n">
        <f aca="false">IF(Raw_Nigeria!N189="","",Raw_Nigeria!N189)</f>
        <v>40777</v>
      </c>
      <c r="P189" s="7" t="str">
        <f aca="false">IF(K189="CBAW","Women of child-bearing age","Children")</f>
        <v>Children</v>
      </c>
      <c r="Q189" s="7" t="n">
        <f aca="false">IF(J189="NOT USED",1,0)</f>
        <v>0</v>
      </c>
      <c r="R189" s="7" t="n">
        <f aca="false">IF(AND(P189="Children",Q189=0),1,0)</f>
        <v>1</v>
      </c>
      <c r="S189" s="7" t="n">
        <f aca="false">IF(AND(R189=1,J189="Record or Recall",K189="12-23 m"),1,0)</f>
        <v>1</v>
      </c>
      <c r="T189" s="7" t="n">
        <f aca="false">IF(OR(I189="BCG",I189="DTP1",I189="DTP3",I189="POL3",I189="MCV1",I189="FULL"),1,0)</f>
        <v>1</v>
      </c>
      <c r="U189" s="7" t="n">
        <f aca="false">IF(OR(C189="DHS",C189="MICS"),1,0)</f>
        <v>0</v>
      </c>
      <c r="V189" s="7" t="n">
        <f aca="false">IF(O189="",1,0)</f>
        <v>0</v>
      </c>
      <c r="W189" s="7" t="n">
        <f aca="false">IF(M189="",1,0)</f>
        <v>0</v>
      </c>
      <c r="X189" s="7" t="n">
        <f aca="false">COUNTIFS($B$2:$B$1141,B189,$H$2:$H$1141,H189,$I$2:$I$1141,I189,$J$2:$J$1141,J189,$K$2:$K$1141,K189,$L$2:$L$1141,L189)</f>
        <v>1</v>
      </c>
    </row>
    <row r="190" customFormat="false" ht="15" hidden="false" customHeight="false" outlineLevel="0" collapsed="false">
      <c r="A190" s="7" t="n">
        <f aca="false">ROW()-1</f>
        <v>189</v>
      </c>
      <c r="B190" s="7" t="str">
        <f aca="false">IF(Raw_Nigeria!B190="",TRIM(Raw_Nigeria!C190),TRIM(Raw_Nigeria!B190))</f>
        <v>Nigeria National Immunization Coverage Survey (2006)</v>
      </c>
      <c r="C190" s="7" t="str">
        <f aca="false">IF(ISNUMBER(SEARCH("Demographic and Health",B190)),"DHS",IF(OR(ISNUMBER(SEARCH("Multiple Indicator Cluster",B190)),ISNUMBER(SEARCH("MICS",B190))),"MICS",IF(ISNUMBER(SEARCH("Immunization Coverage Survey",B190)),"Coverage survey",IF(ISNUMBER(SEARCH("Nutrition",B190)),"Nutrition survey","Other"))))</f>
        <v>Coverage survey</v>
      </c>
      <c r="D190" s="7" t="n">
        <f aca="false">VALUE(LEFT(Raw_Nigeria!D190,4))</f>
        <v>2006</v>
      </c>
      <c r="E190" s="7" t="n">
        <f aca="false">IF(VALUE(RIGHT(Raw_Nigeria!D190,2))&gt;12,"",VALUE(RIGHT(Raw_Nigeria!D190,2)))</f>
        <v>10</v>
      </c>
      <c r="F190" s="7" t="n">
        <f aca="false">VALUE(LEFT(Raw_Nigeria!E190,4))</f>
        <v>2006</v>
      </c>
      <c r="G190" s="7" t="n">
        <f aca="false">IF(VALUE(RIGHT(Raw_Nigeria!E190,2))&gt;12,"",VALUE(RIGHT(Raw_Nigeria!E190,2)))</f>
        <v>10</v>
      </c>
      <c r="H190" s="7" t="n">
        <f aca="false">Raw_Nigeria!F190</f>
        <v>2005</v>
      </c>
      <c r="I190" s="7" t="str">
        <f aca="false">UPPER(TRIM(Raw_Nigeria!G190))</f>
        <v>BCG</v>
      </c>
      <c r="J190" s="7" t="str">
        <f aca="false">Raw_Nigeria!H190</f>
        <v>Record</v>
      </c>
      <c r="K190" s="7" t="str">
        <f aca="false">Raw_Nigeria!L190</f>
        <v>12-23 m</v>
      </c>
      <c r="L190" s="7" t="str">
        <f aca="false">IF(Raw_Nigeria!K190="","n/a",Raw_Nigeria!K190)</f>
        <v>0-23 m</v>
      </c>
      <c r="M190" s="7" t="n">
        <f aca="false">IF(Raw_Nigeria!I190="","",Raw_Nigeria!I190)</f>
        <v>49.5</v>
      </c>
      <c r="N190" s="7" t="n">
        <f aca="false">Raw_Nigeria!M190</f>
        <v>54.5</v>
      </c>
      <c r="O190" s="7" t="n">
        <f aca="false">IF(Raw_Nigeria!N190="","",Raw_Nigeria!N190)</f>
        <v>23414</v>
      </c>
      <c r="P190" s="7" t="str">
        <f aca="false">IF(K190="CBAW","Women of child-bearing age","Children")</f>
        <v>Children</v>
      </c>
      <c r="Q190" s="7" t="n">
        <f aca="false">IF(J190="NOT USED",1,0)</f>
        <v>0</v>
      </c>
      <c r="R190" s="7" t="n">
        <f aca="false">IF(AND(P190="Children",Q190=0),1,0)</f>
        <v>1</v>
      </c>
      <c r="S190" s="7" t="n">
        <f aca="false">IF(AND(R190=1,J190="Record or Recall",K190="12-23 m"),1,0)</f>
        <v>0</v>
      </c>
      <c r="T190" s="7" t="n">
        <f aca="false">IF(OR(I190="BCG",I190="DTP1",I190="DTP3",I190="POL3",I190="MCV1",I190="FULL"),1,0)</f>
        <v>1</v>
      </c>
      <c r="U190" s="7" t="n">
        <f aca="false">IF(OR(C190="DHS",C190="MICS"),1,0)</f>
        <v>0</v>
      </c>
      <c r="V190" s="7" t="n">
        <f aca="false">IF(O190="",1,0)</f>
        <v>0</v>
      </c>
      <c r="W190" s="7" t="n">
        <f aca="false">IF(M190="",1,0)</f>
        <v>0</v>
      </c>
      <c r="X190" s="7" t="n">
        <f aca="false">COUNTIFS($B$2:$B$1141,B190,$H$2:$H$1141,H190,$I$2:$I$1141,I190,$J$2:$J$1141,J190,$K$2:$K$1141,K190,$L$2:$L$1141,L190)</f>
        <v>1</v>
      </c>
    </row>
    <row r="191" customFormat="false" ht="15" hidden="false" customHeight="false" outlineLevel="0" collapsed="false">
      <c r="A191" s="7" t="n">
        <f aca="false">ROW()-1</f>
        <v>190</v>
      </c>
      <c r="B191" s="7" t="str">
        <f aca="false">IF(Raw_Nigeria!B191="",TRIM(Raw_Nigeria!C191),TRIM(Raw_Nigeria!B191))</f>
        <v>Nigeria National Immunization Coverage Survey (2006)</v>
      </c>
      <c r="C191" s="7" t="str">
        <f aca="false">IF(ISNUMBER(SEARCH("Demographic and Health",B191)),"DHS",IF(OR(ISNUMBER(SEARCH("Multiple Indicator Cluster",B191)),ISNUMBER(SEARCH("MICS",B191))),"MICS",IF(ISNUMBER(SEARCH("Immunization Coverage Survey",B191)),"Coverage survey",IF(ISNUMBER(SEARCH("Nutrition",B191)),"Nutrition survey","Other"))))</f>
        <v>Coverage survey</v>
      </c>
      <c r="D191" s="7" t="n">
        <f aca="false">VALUE(LEFT(Raw_Nigeria!D191,4))</f>
        <v>2006</v>
      </c>
      <c r="E191" s="7" t="n">
        <f aca="false">IF(VALUE(RIGHT(Raw_Nigeria!D191,2))&gt;12,"",VALUE(RIGHT(Raw_Nigeria!D191,2)))</f>
        <v>10</v>
      </c>
      <c r="F191" s="7" t="n">
        <f aca="false">VALUE(LEFT(Raw_Nigeria!E191,4))</f>
        <v>2006</v>
      </c>
      <c r="G191" s="7" t="n">
        <f aca="false">IF(VALUE(RIGHT(Raw_Nigeria!E191,2))&gt;12,"",VALUE(RIGHT(Raw_Nigeria!E191,2)))</f>
        <v>10</v>
      </c>
      <c r="H191" s="7" t="n">
        <f aca="false">Raw_Nigeria!F191</f>
        <v>2005</v>
      </c>
      <c r="I191" s="7" t="str">
        <f aca="false">UPPER(TRIM(Raw_Nigeria!G191))</f>
        <v>BCG</v>
      </c>
      <c r="J191" s="7" t="str">
        <f aca="false">Raw_Nigeria!H191</f>
        <v>Record or Recall</v>
      </c>
      <c r="K191" s="7" t="str">
        <f aca="false">Raw_Nigeria!L191</f>
        <v>12-23 m</v>
      </c>
      <c r="L191" s="7" t="str">
        <f aca="false">IF(Raw_Nigeria!K191="","n/a",Raw_Nigeria!K191)</f>
        <v>0-23 m</v>
      </c>
      <c r="M191" s="7" t="n">
        <f aca="false">IF(Raw_Nigeria!I191="","",Raw_Nigeria!I191)</f>
        <v>49.5</v>
      </c>
      <c r="N191" s="7" t="n">
        <f aca="false">Raw_Nigeria!M191</f>
        <v>68.6</v>
      </c>
      <c r="O191" s="7" t="n">
        <f aca="false">IF(Raw_Nigeria!N191="","",Raw_Nigeria!N191)</f>
        <v>23414</v>
      </c>
      <c r="P191" s="7" t="str">
        <f aca="false">IF(K191="CBAW","Women of child-bearing age","Children")</f>
        <v>Children</v>
      </c>
      <c r="Q191" s="7" t="n">
        <f aca="false">IF(J191="NOT USED",1,0)</f>
        <v>0</v>
      </c>
      <c r="R191" s="7" t="n">
        <f aca="false">IF(AND(P191="Children",Q191=0),1,0)</f>
        <v>1</v>
      </c>
      <c r="S191" s="7" t="n">
        <f aca="false">IF(AND(R191=1,J191="Record or Recall",K191="12-23 m"),1,0)</f>
        <v>1</v>
      </c>
      <c r="T191" s="7" t="n">
        <f aca="false">IF(OR(I191="BCG",I191="DTP1",I191="DTP3",I191="POL3",I191="MCV1",I191="FULL"),1,0)</f>
        <v>1</v>
      </c>
      <c r="U191" s="7" t="n">
        <f aca="false">IF(OR(C191="DHS",C191="MICS"),1,0)</f>
        <v>0</v>
      </c>
      <c r="V191" s="7" t="n">
        <f aca="false">IF(O191="",1,0)</f>
        <v>0</v>
      </c>
      <c r="W191" s="7" t="n">
        <f aca="false">IF(M191="",1,0)</f>
        <v>0</v>
      </c>
      <c r="X191" s="7" t="n">
        <f aca="false">COUNTIFS($B$2:$B$1141,B191,$H$2:$H$1141,H191,$I$2:$I$1141,I191,$J$2:$J$1141,J191,$K$2:$K$1141,K191,$L$2:$L$1141,L191)</f>
        <v>1</v>
      </c>
    </row>
    <row r="192" customFormat="false" ht="15" hidden="false" customHeight="false" outlineLevel="0" collapsed="false">
      <c r="A192" s="7" t="n">
        <f aca="false">ROW()-1</f>
        <v>191</v>
      </c>
      <c r="B192" s="7" t="str">
        <f aca="false">IF(Raw_Nigeria!B192="",TRIM(Raw_Nigeria!C192),TRIM(Raw_Nigeria!B192))</f>
        <v>Nigeria National Immunization Coverage Survey (2006)</v>
      </c>
      <c r="C192" s="7" t="str">
        <f aca="false">IF(ISNUMBER(SEARCH("Demographic and Health",B192)),"DHS",IF(OR(ISNUMBER(SEARCH("Multiple Indicator Cluster",B192)),ISNUMBER(SEARCH("MICS",B192))),"MICS",IF(ISNUMBER(SEARCH("Immunization Coverage Survey",B192)),"Coverage survey",IF(ISNUMBER(SEARCH("Nutrition",B192)),"Nutrition survey","Other"))))</f>
        <v>Coverage survey</v>
      </c>
      <c r="D192" s="7" t="n">
        <f aca="false">VALUE(LEFT(Raw_Nigeria!D192,4))</f>
        <v>2006</v>
      </c>
      <c r="E192" s="7" t="n">
        <f aca="false">IF(VALUE(RIGHT(Raw_Nigeria!D192,2))&gt;12,"",VALUE(RIGHT(Raw_Nigeria!D192,2)))</f>
        <v>10</v>
      </c>
      <c r="F192" s="7" t="n">
        <f aca="false">VALUE(LEFT(Raw_Nigeria!E192,4))</f>
        <v>2006</v>
      </c>
      <c r="G192" s="7" t="n">
        <f aca="false">IF(VALUE(RIGHT(Raw_Nigeria!E192,2))&gt;12,"",VALUE(RIGHT(Raw_Nigeria!E192,2)))</f>
        <v>10</v>
      </c>
      <c r="H192" s="7" t="n">
        <f aca="false">Raw_Nigeria!F192</f>
        <v>2005</v>
      </c>
      <c r="I192" s="7" t="str">
        <f aca="false">UPPER(TRIM(Raw_Nigeria!G192))</f>
        <v>DTP1</v>
      </c>
      <c r="J192" s="7" t="str">
        <f aca="false">Raw_Nigeria!H192</f>
        <v>Record</v>
      </c>
      <c r="K192" s="7" t="str">
        <f aca="false">Raw_Nigeria!L192</f>
        <v>12-23 m</v>
      </c>
      <c r="L192" s="7" t="str">
        <f aca="false">IF(Raw_Nigeria!K192="","n/a",Raw_Nigeria!K192)</f>
        <v>0-23 m</v>
      </c>
      <c r="M192" s="7" t="n">
        <f aca="false">IF(Raw_Nigeria!I192="","",Raw_Nigeria!I192)</f>
        <v>49.5</v>
      </c>
      <c r="N192" s="7" t="n">
        <f aca="false">Raw_Nigeria!M192</f>
        <v>36.1</v>
      </c>
      <c r="O192" s="7" t="n">
        <f aca="false">IF(Raw_Nigeria!N192="","",Raw_Nigeria!N192)</f>
        <v>23414</v>
      </c>
      <c r="P192" s="7" t="str">
        <f aca="false">IF(K192="CBAW","Women of child-bearing age","Children")</f>
        <v>Children</v>
      </c>
      <c r="Q192" s="7" t="n">
        <f aca="false">IF(J192="NOT USED",1,0)</f>
        <v>0</v>
      </c>
      <c r="R192" s="7" t="n">
        <f aca="false">IF(AND(P192="Children",Q192=0),1,0)</f>
        <v>1</v>
      </c>
      <c r="S192" s="7" t="n">
        <f aca="false">IF(AND(R192=1,J192="Record or Recall",K192="12-23 m"),1,0)</f>
        <v>0</v>
      </c>
      <c r="T192" s="7" t="n">
        <f aca="false">IF(OR(I192="BCG",I192="DTP1",I192="DTP3",I192="POL3",I192="MCV1",I192="FULL"),1,0)</f>
        <v>1</v>
      </c>
      <c r="U192" s="7" t="n">
        <f aca="false">IF(OR(C192="DHS",C192="MICS"),1,0)</f>
        <v>0</v>
      </c>
      <c r="V192" s="7" t="n">
        <f aca="false">IF(O192="",1,0)</f>
        <v>0</v>
      </c>
      <c r="W192" s="7" t="n">
        <f aca="false">IF(M192="",1,0)</f>
        <v>0</v>
      </c>
      <c r="X192" s="7" t="n">
        <f aca="false">COUNTIFS($B$2:$B$1141,B192,$H$2:$H$1141,H192,$I$2:$I$1141,I192,$J$2:$J$1141,J192,$K$2:$K$1141,K192,$L$2:$L$1141,L192)</f>
        <v>1</v>
      </c>
    </row>
    <row r="193" customFormat="false" ht="15" hidden="false" customHeight="false" outlineLevel="0" collapsed="false">
      <c r="A193" s="7" t="n">
        <f aca="false">ROW()-1</f>
        <v>192</v>
      </c>
      <c r="B193" s="7" t="str">
        <f aca="false">IF(Raw_Nigeria!B193="",TRIM(Raw_Nigeria!C193),TRIM(Raw_Nigeria!B193))</f>
        <v>Nigeria National Immunization Coverage Survey (2006)</v>
      </c>
      <c r="C193" s="7" t="str">
        <f aca="false">IF(ISNUMBER(SEARCH("Demographic and Health",B193)),"DHS",IF(OR(ISNUMBER(SEARCH("Multiple Indicator Cluster",B193)),ISNUMBER(SEARCH("MICS",B193))),"MICS",IF(ISNUMBER(SEARCH("Immunization Coverage Survey",B193)),"Coverage survey",IF(ISNUMBER(SEARCH("Nutrition",B193)),"Nutrition survey","Other"))))</f>
        <v>Coverage survey</v>
      </c>
      <c r="D193" s="7" t="n">
        <f aca="false">VALUE(LEFT(Raw_Nigeria!D193,4))</f>
        <v>2006</v>
      </c>
      <c r="E193" s="7" t="n">
        <f aca="false">IF(VALUE(RIGHT(Raw_Nigeria!D193,2))&gt;12,"",VALUE(RIGHT(Raw_Nigeria!D193,2)))</f>
        <v>10</v>
      </c>
      <c r="F193" s="7" t="n">
        <f aca="false">VALUE(LEFT(Raw_Nigeria!E193,4))</f>
        <v>2006</v>
      </c>
      <c r="G193" s="7" t="n">
        <f aca="false">IF(VALUE(RIGHT(Raw_Nigeria!E193,2))&gt;12,"",VALUE(RIGHT(Raw_Nigeria!E193,2)))</f>
        <v>10</v>
      </c>
      <c r="H193" s="7" t="n">
        <f aca="false">Raw_Nigeria!F193</f>
        <v>2005</v>
      </c>
      <c r="I193" s="7" t="str">
        <f aca="false">UPPER(TRIM(Raw_Nigeria!G193))</f>
        <v>DTP1</v>
      </c>
      <c r="J193" s="7" t="str">
        <f aca="false">Raw_Nigeria!H193</f>
        <v>Record or Recall</v>
      </c>
      <c r="K193" s="7" t="str">
        <f aca="false">Raw_Nigeria!L193</f>
        <v>12-23 m</v>
      </c>
      <c r="L193" s="7" t="str">
        <f aca="false">IF(Raw_Nigeria!K193="","n/a",Raw_Nigeria!K193)</f>
        <v>0-23 m</v>
      </c>
      <c r="M193" s="7" t="n">
        <f aca="false">IF(Raw_Nigeria!I193="","",Raw_Nigeria!I193)</f>
        <v>49.5</v>
      </c>
      <c r="N193" s="7" t="n">
        <f aca="false">Raw_Nigeria!M193</f>
        <v>71.7</v>
      </c>
      <c r="O193" s="7" t="n">
        <f aca="false">IF(Raw_Nigeria!N193="","",Raw_Nigeria!N193)</f>
        <v>23414</v>
      </c>
      <c r="P193" s="7" t="str">
        <f aca="false">IF(K193="CBAW","Women of child-bearing age","Children")</f>
        <v>Children</v>
      </c>
      <c r="Q193" s="7" t="n">
        <f aca="false">IF(J193="NOT USED",1,0)</f>
        <v>0</v>
      </c>
      <c r="R193" s="7" t="n">
        <f aca="false">IF(AND(P193="Children",Q193=0),1,0)</f>
        <v>1</v>
      </c>
      <c r="S193" s="7" t="n">
        <f aca="false">IF(AND(R193=1,J193="Record or Recall",K193="12-23 m"),1,0)</f>
        <v>1</v>
      </c>
      <c r="T193" s="7" t="n">
        <f aca="false">IF(OR(I193="BCG",I193="DTP1",I193="DTP3",I193="POL3",I193="MCV1",I193="FULL"),1,0)</f>
        <v>1</v>
      </c>
      <c r="U193" s="7" t="n">
        <f aca="false">IF(OR(C193="DHS",C193="MICS"),1,0)</f>
        <v>0</v>
      </c>
      <c r="V193" s="7" t="n">
        <f aca="false">IF(O193="",1,0)</f>
        <v>0</v>
      </c>
      <c r="W193" s="7" t="n">
        <f aca="false">IF(M193="",1,0)</f>
        <v>0</v>
      </c>
      <c r="X193" s="7" t="n">
        <f aca="false">COUNTIFS($B$2:$B$1141,B193,$H$2:$H$1141,H193,$I$2:$I$1141,I193,$J$2:$J$1141,J193,$K$2:$K$1141,K193,$L$2:$L$1141,L193)</f>
        <v>1</v>
      </c>
    </row>
    <row r="194" customFormat="false" ht="15" hidden="false" customHeight="false" outlineLevel="0" collapsed="false">
      <c r="A194" s="7" t="n">
        <f aca="false">ROW()-1</f>
        <v>193</v>
      </c>
      <c r="B194" s="7" t="str">
        <f aca="false">IF(Raw_Nigeria!B194="",TRIM(Raw_Nigeria!C194),TRIM(Raw_Nigeria!B194))</f>
        <v>Nigeria National Immunization Coverage Survey (2006)</v>
      </c>
      <c r="C194" s="7" t="str">
        <f aca="false">IF(ISNUMBER(SEARCH("Demographic and Health",B194)),"DHS",IF(OR(ISNUMBER(SEARCH("Multiple Indicator Cluster",B194)),ISNUMBER(SEARCH("MICS",B194))),"MICS",IF(ISNUMBER(SEARCH("Immunization Coverage Survey",B194)),"Coverage survey",IF(ISNUMBER(SEARCH("Nutrition",B194)),"Nutrition survey","Other"))))</f>
        <v>Coverage survey</v>
      </c>
      <c r="D194" s="7" t="n">
        <f aca="false">VALUE(LEFT(Raw_Nigeria!D194,4))</f>
        <v>2006</v>
      </c>
      <c r="E194" s="7" t="n">
        <f aca="false">IF(VALUE(RIGHT(Raw_Nigeria!D194,2))&gt;12,"",VALUE(RIGHT(Raw_Nigeria!D194,2)))</f>
        <v>10</v>
      </c>
      <c r="F194" s="7" t="n">
        <f aca="false">VALUE(LEFT(Raw_Nigeria!E194,4))</f>
        <v>2006</v>
      </c>
      <c r="G194" s="7" t="n">
        <f aca="false">IF(VALUE(RIGHT(Raw_Nigeria!E194,2))&gt;12,"",VALUE(RIGHT(Raw_Nigeria!E194,2)))</f>
        <v>10</v>
      </c>
      <c r="H194" s="7" t="n">
        <f aca="false">Raw_Nigeria!F194</f>
        <v>2005</v>
      </c>
      <c r="I194" s="7" t="str">
        <f aca="false">UPPER(TRIM(Raw_Nigeria!G194))</f>
        <v>DTP3</v>
      </c>
      <c r="J194" s="7" t="str">
        <f aca="false">Raw_Nigeria!H194</f>
        <v>Record</v>
      </c>
      <c r="K194" s="7" t="str">
        <f aca="false">Raw_Nigeria!L194</f>
        <v>12-23 m</v>
      </c>
      <c r="L194" s="7" t="str">
        <f aca="false">IF(Raw_Nigeria!K194="","n/a",Raw_Nigeria!K194)</f>
        <v>0-23 m</v>
      </c>
      <c r="M194" s="7" t="n">
        <f aca="false">IF(Raw_Nigeria!I194="","",Raw_Nigeria!I194)</f>
        <v>49.5</v>
      </c>
      <c r="N194" s="7" t="n">
        <f aca="false">Raw_Nigeria!M194</f>
        <v>25.7</v>
      </c>
      <c r="O194" s="7" t="n">
        <f aca="false">IF(Raw_Nigeria!N194="","",Raw_Nigeria!N194)</f>
        <v>23414</v>
      </c>
      <c r="P194" s="7" t="str">
        <f aca="false">IF(K194="CBAW","Women of child-bearing age","Children")</f>
        <v>Children</v>
      </c>
      <c r="Q194" s="7" t="n">
        <f aca="false">IF(J194="NOT USED",1,0)</f>
        <v>0</v>
      </c>
      <c r="R194" s="7" t="n">
        <f aca="false">IF(AND(P194="Children",Q194=0),1,0)</f>
        <v>1</v>
      </c>
      <c r="S194" s="7" t="n">
        <f aca="false">IF(AND(R194=1,J194="Record or Recall",K194="12-23 m"),1,0)</f>
        <v>0</v>
      </c>
      <c r="T194" s="7" t="n">
        <f aca="false">IF(OR(I194="BCG",I194="DTP1",I194="DTP3",I194="POL3",I194="MCV1",I194="FULL"),1,0)</f>
        <v>1</v>
      </c>
      <c r="U194" s="7" t="n">
        <f aca="false">IF(OR(C194="DHS",C194="MICS"),1,0)</f>
        <v>0</v>
      </c>
      <c r="V194" s="7" t="n">
        <f aca="false">IF(O194="",1,0)</f>
        <v>0</v>
      </c>
      <c r="W194" s="7" t="n">
        <f aca="false">IF(M194="",1,0)</f>
        <v>0</v>
      </c>
      <c r="X194" s="7" t="n">
        <f aca="false">COUNTIFS($B$2:$B$1141,B194,$H$2:$H$1141,H194,$I$2:$I$1141,I194,$J$2:$J$1141,J194,$K$2:$K$1141,K194,$L$2:$L$1141,L194)</f>
        <v>1</v>
      </c>
    </row>
    <row r="195" customFormat="false" ht="15" hidden="false" customHeight="false" outlineLevel="0" collapsed="false">
      <c r="A195" s="7" t="n">
        <f aca="false">ROW()-1</f>
        <v>194</v>
      </c>
      <c r="B195" s="7" t="str">
        <f aca="false">IF(Raw_Nigeria!B195="",TRIM(Raw_Nigeria!C195),TRIM(Raw_Nigeria!B195))</f>
        <v>Nigeria National Immunization Coverage Survey (2006)</v>
      </c>
      <c r="C195" s="7" t="str">
        <f aca="false">IF(ISNUMBER(SEARCH("Demographic and Health",B195)),"DHS",IF(OR(ISNUMBER(SEARCH("Multiple Indicator Cluster",B195)),ISNUMBER(SEARCH("MICS",B195))),"MICS",IF(ISNUMBER(SEARCH("Immunization Coverage Survey",B195)),"Coverage survey",IF(ISNUMBER(SEARCH("Nutrition",B195)),"Nutrition survey","Other"))))</f>
        <v>Coverage survey</v>
      </c>
      <c r="D195" s="7" t="n">
        <f aca="false">VALUE(LEFT(Raw_Nigeria!D195,4))</f>
        <v>2006</v>
      </c>
      <c r="E195" s="7" t="n">
        <f aca="false">IF(VALUE(RIGHT(Raw_Nigeria!D195,2))&gt;12,"",VALUE(RIGHT(Raw_Nigeria!D195,2)))</f>
        <v>10</v>
      </c>
      <c r="F195" s="7" t="n">
        <f aca="false">VALUE(LEFT(Raw_Nigeria!E195,4))</f>
        <v>2006</v>
      </c>
      <c r="G195" s="7" t="n">
        <f aca="false">IF(VALUE(RIGHT(Raw_Nigeria!E195,2))&gt;12,"",VALUE(RIGHT(Raw_Nigeria!E195,2)))</f>
        <v>10</v>
      </c>
      <c r="H195" s="7" t="n">
        <f aca="false">Raw_Nigeria!F195</f>
        <v>2005</v>
      </c>
      <c r="I195" s="7" t="str">
        <f aca="false">UPPER(TRIM(Raw_Nigeria!G195))</f>
        <v>DTP3</v>
      </c>
      <c r="J195" s="7" t="str">
        <f aca="false">Raw_Nigeria!H195</f>
        <v>Record or Recall</v>
      </c>
      <c r="K195" s="7" t="str">
        <f aca="false">Raw_Nigeria!L195</f>
        <v>12-23 m</v>
      </c>
      <c r="L195" s="7" t="str">
        <f aca="false">IF(Raw_Nigeria!K195="","n/a",Raw_Nigeria!K195)</f>
        <v>0-23 m</v>
      </c>
      <c r="M195" s="7" t="n">
        <f aca="false">IF(Raw_Nigeria!I195="","",Raw_Nigeria!I195)</f>
        <v>49.5</v>
      </c>
      <c r="N195" s="7" t="n">
        <f aca="false">Raw_Nigeria!M195</f>
        <v>53.5</v>
      </c>
      <c r="O195" s="7" t="n">
        <f aca="false">IF(Raw_Nigeria!N195="","",Raw_Nigeria!N195)</f>
        <v>23414</v>
      </c>
      <c r="P195" s="7" t="str">
        <f aca="false">IF(K195="CBAW","Women of child-bearing age","Children")</f>
        <v>Children</v>
      </c>
      <c r="Q195" s="7" t="n">
        <f aca="false">IF(J195="NOT USED",1,0)</f>
        <v>0</v>
      </c>
      <c r="R195" s="7" t="n">
        <f aca="false">IF(AND(P195="Children",Q195=0),1,0)</f>
        <v>1</v>
      </c>
      <c r="S195" s="7" t="n">
        <f aca="false">IF(AND(R195=1,J195="Record or Recall",K195="12-23 m"),1,0)</f>
        <v>1</v>
      </c>
      <c r="T195" s="7" t="n">
        <f aca="false">IF(OR(I195="BCG",I195="DTP1",I195="DTP3",I195="POL3",I195="MCV1",I195="FULL"),1,0)</f>
        <v>1</v>
      </c>
      <c r="U195" s="7" t="n">
        <f aca="false">IF(OR(C195="DHS",C195="MICS"),1,0)</f>
        <v>0</v>
      </c>
      <c r="V195" s="7" t="n">
        <f aca="false">IF(O195="",1,0)</f>
        <v>0</v>
      </c>
      <c r="W195" s="7" t="n">
        <f aca="false">IF(M195="",1,0)</f>
        <v>0</v>
      </c>
      <c r="X195" s="7" t="n">
        <f aca="false">COUNTIFS($B$2:$B$1141,B195,$H$2:$H$1141,H195,$I$2:$I$1141,I195,$J$2:$J$1141,J195,$K$2:$K$1141,K195,$L$2:$L$1141,L195)</f>
        <v>1</v>
      </c>
    </row>
    <row r="196" customFormat="false" ht="15" hidden="false" customHeight="false" outlineLevel="0" collapsed="false">
      <c r="A196" s="7" t="n">
        <f aca="false">ROW()-1</f>
        <v>195</v>
      </c>
      <c r="B196" s="7" t="str">
        <f aca="false">IF(Raw_Nigeria!B196="",TRIM(Raw_Nigeria!C196),TRIM(Raw_Nigeria!B196))</f>
        <v>Nigeria National Immunization Coverage Survey (2006)</v>
      </c>
      <c r="C196" s="7" t="str">
        <f aca="false">IF(ISNUMBER(SEARCH("Demographic and Health",B196)),"DHS",IF(OR(ISNUMBER(SEARCH("Multiple Indicator Cluster",B196)),ISNUMBER(SEARCH("MICS",B196))),"MICS",IF(ISNUMBER(SEARCH("Immunization Coverage Survey",B196)),"Coverage survey",IF(ISNUMBER(SEARCH("Nutrition",B196)),"Nutrition survey","Other"))))</f>
        <v>Coverage survey</v>
      </c>
      <c r="D196" s="7" t="n">
        <f aca="false">VALUE(LEFT(Raw_Nigeria!D196,4))</f>
        <v>2006</v>
      </c>
      <c r="E196" s="7" t="n">
        <f aca="false">IF(VALUE(RIGHT(Raw_Nigeria!D196,2))&gt;12,"",VALUE(RIGHT(Raw_Nigeria!D196,2)))</f>
        <v>10</v>
      </c>
      <c r="F196" s="7" t="n">
        <f aca="false">VALUE(LEFT(Raw_Nigeria!E196,4))</f>
        <v>2006</v>
      </c>
      <c r="G196" s="7" t="n">
        <f aca="false">IF(VALUE(RIGHT(Raw_Nigeria!E196,2))&gt;12,"",VALUE(RIGHT(Raw_Nigeria!E196,2)))</f>
        <v>10</v>
      </c>
      <c r="H196" s="7" t="n">
        <f aca="false">Raw_Nigeria!F196</f>
        <v>2005</v>
      </c>
      <c r="I196" s="7" t="str">
        <f aca="false">UPPER(TRIM(Raw_Nigeria!G196))</f>
        <v>FULL</v>
      </c>
      <c r="J196" s="7" t="str">
        <f aca="false">Raw_Nigeria!H196</f>
        <v>Record</v>
      </c>
      <c r="K196" s="7" t="str">
        <f aca="false">Raw_Nigeria!L196</f>
        <v>12-23 m</v>
      </c>
      <c r="L196" s="7" t="str">
        <f aca="false">IF(Raw_Nigeria!K196="","n/a",Raw_Nigeria!K196)</f>
        <v>0-23 m</v>
      </c>
      <c r="M196" s="7" t="n">
        <f aca="false">IF(Raw_Nigeria!I196="","",Raw_Nigeria!I196)</f>
        <v>49.5</v>
      </c>
      <c r="N196" s="7" t="n">
        <f aca="false">Raw_Nigeria!M196</f>
        <v>17.8</v>
      </c>
      <c r="O196" s="7" t="n">
        <f aca="false">IF(Raw_Nigeria!N196="","",Raw_Nigeria!N196)</f>
        <v>23414</v>
      </c>
      <c r="P196" s="7" t="str">
        <f aca="false">IF(K196="CBAW","Women of child-bearing age","Children")</f>
        <v>Children</v>
      </c>
      <c r="Q196" s="7" t="n">
        <f aca="false">IF(J196="NOT USED",1,0)</f>
        <v>0</v>
      </c>
      <c r="R196" s="7" t="n">
        <f aca="false">IF(AND(P196="Children",Q196=0),1,0)</f>
        <v>1</v>
      </c>
      <c r="S196" s="7" t="n">
        <f aca="false">IF(AND(R196=1,J196="Record or Recall",K196="12-23 m"),1,0)</f>
        <v>0</v>
      </c>
      <c r="T196" s="7" t="n">
        <f aca="false">IF(OR(I196="BCG",I196="DTP1",I196="DTP3",I196="POL3",I196="MCV1",I196="FULL"),1,0)</f>
        <v>1</v>
      </c>
      <c r="U196" s="7" t="n">
        <f aca="false">IF(OR(C196="DHS",C196="MICS"),1,0)</f>
        <v>0</v>
      </c>
      <c r="V196" s="7" t="n">
        <f aca="false">IF(O196="",1,0)</f>
        <v>0</v>
      </c>
      <c r="W196" s="7" t="n">
        <f aca="false">IF(M196="",1,0)</f>
        <v>0</v>
      </c>
      <c r="X196" s="7" t="n">
        <f aca="false">COUNTIFS($B$2:$B$1141,B196,$H$2:$H$1141,H196,$I$2:$I$1141,I196,$J$2:$J$1141,J196,$K$2:$K$1141,K196,$L$2:$L$1141,L196)</f>
        <v>1</v>
      </c>
    </row>
    <row r="197" customFormat="false" ht="15" hidden="false" customHeight="false" outlineLevel="0" collapsed="false">
      <c r="A197" s="7" t="n">
        <f aca="false">ROW()-1</f>
        <v>196</v>
      </c>
      <c r="B197" s="7" t="str">
        <f aca="false">IF(Raw_Nigeria!B197="",TRIM(Raw_Nigeria!C197),TRIM(Raw_Nigeria!B197))</f>
        <v>Nigeria National Immunization Coverage Survey (2006)</v>
      </c>
      <c r="C197" s="7" t="str">
        <f aca="false">IF(ISNUMBER(SEARCH("Demographic and Health",B197)),"DHS",IF(OR(ISNUMBER(SEARCH("Multiple Indicator Cluster",B197)),ISNUMBER(SEARCH("MICS",B197))),"MICS",IF(ISNUMBER(SEARCH("Immunization Coverage Survey",B197)),"Coverage survey",IF(ISNUMBER(SEARCH("Nutrition",B197)),"Nutrition survey","Other"))))</f>
        <v>Coverage survey</v>
      </c>
      <c r="D197" s="7" t="n">
        <f aca="false">VALUE(LEFT(Raw_Nigeria!D197,4))</f>
        <v>2006</v>
      </c>
      <c r="E197" s="7" t="n">
        <f aca="false">IF(VALUE(RIGHT(Raw_Nigeria!D197,2))&gt;12,"",VALUE(RIGHT(Raw_Nigeria!D197,2)))</f>
        <v>10</v>
      </c>
      <c r="F197" s="7" t="n">
        <f aca="false">VALUE(LEFT(Raw_Nigeria!E197,4))</f>
        <v>2006</v>
      </c>
      <c r="G197" s="7" t="n">
        <f aca="false">IF(VALUE(RIGHT(Raw_Nigeria!E197,2))&gt;12,"",VALUE(RIGHT(Raw_Nigeria!E197,2)))</f>
        <v>10</v>
      </c>
      <c r="H197" s="7" t="n">
        <f aca="false">Raw_Nigeria!F197</f>
        <v>2005</v>
      </c>
      <c r="I197" s="7" t="str">
        <f aca="false">UPPER(TRIM(Raw_Nigeria!G197))</f>
        <v>FULL</v>
      </c>
      <c r="J197" s="7" t="str">
        <f aca="false">Raw_Nigeria!H197</f>
        <v>Record or Recall</v>
      </c>
      <c r="K197" s="7" t="str">
        <f aca="false">Raw_Nigeria!L197</f>
        <v>12-23 m</v>
      </c>
      <c r="L197" s="7" t="str">
        <f aca="false">IF(Raw_Nigeria!K197="","n/a",Raw_Nigeria!K197)</f>
        <v>0-23 m</v>
      </c>
      <c r="M197" s="7" t="n">
        <f aca="false">IF(Raw_Nigeria!I197="","",Raw_Nigeria!I197)</f>
        <v>49.5</v>
      </c>
      <c r="N197" s="7" t="n">
        <f aca="false">Raw_Nigeria!M197</f>
        <v>42.2</v>
      </c>
      <c r="O197" s="7" t="n">
        <f aca="false">IF(Raw_Nigeria!N197="","",Raw_Nigeria!N197)</f>
        <v>23414</v>
      </c>
      <c r="P197" s="7" t="str">
        <f aca="false">IF(K197="CBAW","Women of child-bearing age","Children")</f>
        <v>Children</v>
      </c>
      <c r="Q197" s="7" t="n">
        <f aca="false">IF(J197="NOT USED",1,0)</f>
        <v>0</v>
      </c>
      <c r="R197" s="7" t="n">
        <f aca="false">IF(AND(P197="Children",Q197=0),1,0)</f>
        <v>1</v>
      </c>
      <c r="S197" s="7" t="n">
        <f aca="false">IF(AND(R197=1,J197="Record or Recall",K197="12-23 m"),1,0)</f>
        <v>1</v>
      </c>
      <c r="T197" s="7" t="n">
        <f aca="false">IF(OR(I197="BCG",I197="DTP1",I197="DTP3",I197="POL3",I197="MCV1",I197="FULL"),1,0)</f>
        <v>1</v>
      </c>
      <c r="U197" s="7" t="n">
        <f aca="false">IF(OR(C197="DHS",C197="MICS"),1,0)</f>
        <v>0</v>
      </c>
      <c r="V197" s="7" t="n">
        <f aca="false">IF(O197="",1,0)</f>
        <v>0</v>
      </c>
      <c r="W197" s="7" t="n">
        <f aca="false">IF(M197="",1,0)</f>
        <v>0</v>
      </c>
      <c r="X197" s="7" t="n">
        <f aca="false">COUNTIFS($B$2:$B$1141,B197,$H$2:$H$1141,H197,$I$2:$I$1141,I197,$J$2:$J$1141,J197,$K$2:$K$1141,K197,$L$2:$L$1141,L197)</f>
        <v>1</v>
      </c>
    </row>
    <row r="198" customFormat="false" ht="15" hidden="false" customHeight="false" outlineLevel="0" collapsed="false">
      <c r="A198" s="7" t="n">
        <f aca="false">ROW()-1</f>
        <v>197</v>
      </c>
      <c r="B198" s="7" t="str">
        <f aca="false">IF(Raw_Nigeria!B198="",TRIM(Raw_Nigeria!C198),TRIM(Raw_Nigeria!B198))</f>
        <v>Nigeria National Immunization Coverage Survey (2006)</v>
      </c>
      <c r="C198" s="7" t="str">
        <f aca="false">IF(ISNUMBER(SEARCH("Demographic and Health",B198)),"DHS",IF(OR(ISNUMBER(SEARCH("Multiple Indicator Cluster",B198)),ISNUMBER(SEARCH("MICS",B198))),"MICS",IF(ISNUMBER(SEARCH("Immunization Coverage Survey",B198)),"Coverage survey",IF(ISNUMBER(SEARCH("Nutrition",B198)),"Nutrition survey","Other"))))</f>
        <v>Coverage survey</v>
      </c>
      <c r="D198" s="7" t="n">
        <f aca="false">VALUE(LEFT(Raw_Nigeria!D198,4))</f>
        <v>2006</v>
      </c>
      <c r="E198" s="7" t="n">
        <f aca="false">IF(VALUE(RIGHT(Raw_Nigeria!D198,2))&gt;12,"",VALUE(RIGHT(Raw_Nigeria!D198,2)))</f>
        <v>10</v>
      </c>
      <c r="F198" s="7" t="n">
        <f aca="false">VALUE(LEFT(Raw_Nigeria!E198,4))</f>
        <v>2006</v>
      </c>
      <c r="G198" s="7" t="n">
        <f aca="false">IF(VALUE(RIGHT(Raw_Nigeria!E198,2))&gt;12,"",VALUE(RIGHT(Raw_Nigeria!E198,2)))</f>
        <v>10</v>
      </c>
      <c r="H198" s="7" t="n">
        <f aca="false">Raw_Nigeria!F198</f>
        <v>2005</v>
      </c>
      <c r="I198" s="7" t="str">
        <f aca="false">UPPER(TRIM(Raw_Nigeria!G198))</f>
        <v>HEPB1</v>
      </c>
      <c r="J198" s="7" t="str">
        <f aca="false">Raw_Nigeria!H198</f>
        <v>Record</v>
      </c>
      <c r="K198" s="7" t="str">
        <f aca="false">Raw_Nigeria!L198</f>
        <v>12-23 m</v>
      </c>
      <c r="L198" s="7" t="str">
        <f aca="false">IF(Raw_Nigeria!K198="","n/a",Raw_Nigeria!K198)</f>
        <v>0-23 m</v>
      </c>
      <c r="M198" s="7" t="n">
        <f aca="false">IF(Raw_Nigeria!I198="","",Raw_Nigeria!I198)</f>
        <v>49.5</v>
      </c>
      <c r="N198" s="7" t="n">
        <f aca="false">Raw_Nigeria!M198</f>
        <v>29.6</v>
      </c>
      <c r="O198" s="7" t="n">
        <f aca="false">IF(Raw_Nigeria!N198="","",Raw_Nigeria!N198)</f>
        <v>23414</v>
      </c>
      <c r="P198" s="7" t="str">
        <f aca="false">IF(K198="CBAW","Women of child-bearing age","Children")</f>
        <v>Children</v>
      </c>
      <c r="Q198" s="7" t="n">
        <f aca="false">IF(J198="NOT USED",1,0)</f>
        <v>0</v>
      </c>
      <c r="R198" s="7" t="n">
        <f aca="false">IF(AND(P198="Children",Q198=0),1,0)</f>
        <v>1</v>
      </c>
      <c r="S198" s="7" t="n">
        <f aca="false">IF(AND(R198=1,J198="Record or Recall",K198="12-23 m"),1,0)</f>
        <v>0</v>
      </c>
      <c r="T198" s="7" t="n">
        <f aca="false">IF(OR(I198="BCG",I198="DTP1",I198="DTP3",I198="POL3",I198="MCV1",I198="FULL"),1,0)</f>
        <v>0</v>
      </c>
      <c r="U198" s="7" t="n">
        <f aca="false">IF(OR(C198="DHS",C198="MICS"),1,0)</f>
        <v>0</v>
      </c>
      <c r="V198" s="7" t="n">
        <f aca="false">IF(O198="",1,0)</f>
        <v>0</v>
      </c>
      <c r="W198" s="7" t="n">
        <f aca="false">IF(M198="",1,0)</f>
        <v>0</v>
      </c>
      <c r="X198" s="7" t="n">
        <f aca="false">COUNTIFS($B$2:$B$1141,B198,$H$2:$H$1141,H198,$I$2:$I$1141,I198,$J$2:$J$1141,J198,$K$2:$K$1141,K198,$L$2:$L$1141,L198)</f>
        <v>1</v>
      </c>
    </row>
    <row r="199" customFormat="false" ht="15" hidden="false" customHeight="false" outlineLevel="0" collapsed="false">
      <c r="A199" s="7" t="n">
        <f aca="false">ROW()-1</f>
        <v>198</v>
      </c>
      <c r="B199" s="7" t="str">
        <f aca="false">IF(Raw_Nigeria!B199="",TRIM(Raw_Nigeria!C199),TRIM(Raw_Nigeria!B199))</f>
        <v>Nigeria National Immunization Coverage Survey (2006)</v>
      </c>
      <c r="C199" s="7" t="str">
        <f aca="false">IF(ISNUMBER(SEARCH("Demographic and Health",B199)),"DHS",IF(OR(ISNUMBER(SEARCH("Multiple Indicator Cluster",B199)),ISNUMBER(SEARCH("MICS",B199))),"MICS",IF(ISNUMBER(SEARCH("Immunization Coverage Survey",B199)),"Coverage survey",IF(ISNUMBER(SEARCH("Nutrition",B199)),"Nutrition survey","Other"))))</f>
        <v>Coverage survey</v>
      </c>
      <c r="D199" s="7" t="n">
        <f aca="false">VALUE(LEFT(Raw_Nigeria!D199,4))</f>
        <v>2006</v>
      </c>
      <c r="E199" s="7" t="n">
        <f aca="false">IF(VALUE(RIGHT(Raw_Nigeria!D199,2))&gt;12,"",VALUE(RIGHT(Raw_Nigeria!D199,2)))</f>
        <v>10</v>
      </c>
      <c r="F199" s="7" t="n">
        <f aca="false">VALUE(LEFT(Raw_Nigeria!E199,4))</f>
        <v>2006</v>
      </c>
      <c r="G199" s="7" t="n">
        <f aca="false">IF(VALUE(RIGHT(Raw_Nigeria!E199,2))&gt;12,"",VALUE(RIGHT(Raw_Nigeria!E199,2)))</f>
        <v>10</v>
      </c>
      <c r="H199" s="7" t="n">
        <f aca="false">Raw_Nigeria!F199</f>
        <v>2005</v>
      </c>
      <c r="I199" s="7" t="str">
        <f aca="false">UPPER(TRIM(Raw_Nigeria!G199))</f>
        <v>HEPB1</v>
      </c>
      <c r="J199" s="7" t="str">
        <f aca="false">Raw_Nigeria!H199</f>
        <v>Record or Recall</v>
      </c>
      <c r="K199" s="7" t="str">
        <f aca="false">Raw_Nigeria!L199</f>
        <v>12-23 m</v>
      </c>
      <c r="L199" s="7" t="str">
        <f aca="false">IF(Raw_Nigeria!K199="","n/a",Raw_Nigeria!K199)</f>
        <v>0-23 m</v>
      </c>
      <c r="M199" s="7" t="n">
        <f aca="false">IF(Raw_Nigeria!I199="","",Raw_Nigeria!I199)</f>
        <v>49.5</v>
      </c>
      <c r="N199" s="7" t="n">
        <f aca="false">Raw_Nigeria!M199</f>
        <v>56</v>
      </c>
      <c r="O199" s="7" t="n">
        <f aca="false">IF(Raw_Nigeria!N199="","",Raw_Nigeria!N199)</f>
        <v>23414</v>
      </c>
      <c r="P199" s="7" t="str">
        <f aca="false">IF(K199="CBAW","Women of child-bearing age","Children")</f>
        <v>Children</v>
      </c>
      <c r="Q199" s="7" t="n">
        <f aca="false">IF(J199="NOT USED",1,0)</f>
        <v>0</v>
      </c>
      <c r="R199" s="7" t="n">
        <f aca="false">IF(AND(P199="Children",Q199=0),1,0)</f>
        <v>1</v>
      </c>
      <c r="S199" s="7" t="n">
        <f aca="false">IF(AND(R199=1,J199="Record or Recall",K199="12-23 m"),1,0)</f>
        <v>1</v>
      </c>
      <c r="T199" s="7" t="n">
        <f aca="false">IF(OR(I199="BCG",I199="DTP1",I199="DTP3",I199="POL3",I199="MCV1",I199="FULL"),1,0)</f>
        <v>0</v>
      </c>
      <c r="U199" s="7" t="n">
        <f aca="false">IF(OR(C199="DHS",C199="MICS"),1,0)</f>
        <v>0</v>
      </c>
      <c r="V199" s="7" t="n">
        <f aca="false">IF(O199="",1,0)</f>
        <v>0</v>
      </c>
      <c r="W199" s="7" t="n">
        <f aca="false">IF(M199="",1,0)</f>
        <v>0</v>
      </c>
      <c r="X199" s="7" t="n">
        <f aca="false">COUNTIFS($B$2:$B$1141,B199,$H$2:$H$1141,H199,$I$2:$I$1141,I199,$J$2:$J$1141,J199,$K$2:$K$1141,K199,$L$2:$L$1141,L199)</f>
        <v>1</v>
      </c>
    </row>
    <row r="200" customFormat="false" ht="15" hidden="false" customHeight="false" outlineLevel="0" collapsed="false">
      <c r="A200" s="7" t="n">
        <f aca="false">ROW()-1</f>
        <v>199</v>
      </c>
      <c r="B200" s="7" t="str">
        <f aca="false">IF(Raw_Nigeria!B200="",TRIM(Raw_Nigeria!C200),TRIM(Raw_Nigeria!B200))</f>
        <v>Nigeria National Immunization Coverage Survey (2006)</v>
      </c>
      <c r="C200" s="7" t="str">
        <f aca="false">IF(ISNUMBER(SEARCH("Demographic and Health",B200)),"DHS",IF(OR(ISNUMBER(SEARCH("Multiple Indicator Cluster",B200)),ISNUMBER(SEARCH("MICS",B200))),"MICS",IF(ISNUMBER(SEARCH("Immunization Coverage Survey",B200)),"Coverage survey",IF(ISNUMBER(SEARCH("Nutrition",B200)),"Nutrition survey","Other"))))</f>
        <v>Coverage survey</v>
      </c>
      <c r="D200" s="7" t="n">
        <f aca="false">VALUE(LEFT(Raw_Nigeria!D200,4))</f>
        <v>2006</v>
      </c>
      <c r="E200" s="7" t="n">
        <f aca="false">IF(VALUE(RIGHT(Raw_Nigeria!D200,2))&gt;12,"",VALUE(RIGHT(Raw_Nigeria!D200,2)))</f>
        <v>10</v>
      </c>
      <c r="F200" s="7" t="n">
        <f aca="false">VALUE(LEFT(Raw_Nigeria!E200,4))</f>
        <v>2006</v>
      </c>
      <c r="G200" s="7" t="n">
        <f aca="false">IF(VALUE(RIGHT(Raw_Nigeria!E200,2))&gt;12,"",VALUE(RIGHT(Raw_Nigeria!E200,2)))</f>
        <v>10</v>
      </c>
      <c r="H200" s="7" t="n">
        <f aca="false">Raw_Nigeria!F200</f>
        <v>2005</v>
      </c>
      <c r="I200" s="7" t="str">
        <f aca="false">UPPER(TRIM(Raw_Nigeria!G200))</f>
        <v>HEPB3</v>
      </c>
      <c r="J200" s="7" t="str">
        <f aca="false">Raw_Nigeria!H200</f>
        <v>Record</v>
      </c>
      <c r="K200" s="7" t="str">
        <f aca="false">Raw_Nigeria!L200</f>
        <v>12-23 m</v>
      </c>
      <c r="L200" s="7" t="str">
        <f aca="false">IF(Raw_Nigeria!K200="","n/a",Raw_Nigeria!K200)</f>
        <v>0-23 m</v>
      </c>
      <c r="M200" s="7" t="n">
        <f aca="false">IF(Raw_Nigeria!I200="","",Raw_Nigeria!I200)</f>
        <v>49.5</v>
      </c>
      <c r="N200" s="7" t="n">
        <f aca="false">Raw_Nigeria!M200</f>
        <v>19.5</v>
      </c>
      <c r="O200" s="7" t="n">
        <f aca="false">IF(Raw_Nigeria!N200="","",Raw_Nigeria!N200)</f>
        <v>23414</v>
      </c>
      <c r="P200" s="7" t="str">
        <f aca="false">IF(K200="CBAW","Women of child-bearing age","Children")</f>
        <v>Children</v>
      </c>
      <c r="Q200" s="7" t="n">
        <f aca="false">IF(J200="NOT USED",1,0)</f>
        <v>0</v>
      </c>
      <c r="R200" s="7" t="n">
        <f aca="false">IF(AND(P200="Children",Q200=0),1,0)</f>
        <v>1</v>
      </c>
      <c r="S200" s="7" t="n">
        <f aca="false">IF(AND(R200=1,J200="Record or Recall",K200="12-23 m"),1,0)</f>
        <v>0</v>
      </c>
      <c r="T200" s="7" t="n">
        <f aca="false">IF(OR(I200="BCG",I200="DTP1",I200="DTP3",I200="POL3",I200="MCV1",I200="FULL"),1,0)</f>
        <v>0</v>
      </c>
      <c r="U200" s="7" t="n">
        <f aca="false">IF(OR(C200="DHS",C200="MICS"),1,0)</f>
        <v>0</v>
      </c>
      <c r="V200" s="7" t="n">
        <f aca="false">IF(O200="",1,0)</f>
        <v>0</v>
      </c>
      <c r="W200" s="7" t="n">
        <f aca="false">IF(M200="",1,0)</f>
        <v>0</v>
      </c>
      <c r="X200" s="7" t="n">
        <f aca="false">COUNTIFS($B$2:$B$1141,B200,$H$2:$H$1141,H200,$I$2:$I$1141,I200,$J$2:$J$1141,J200,$K$2:$K$1141,K200,$L$2:$L$1141,L200)</f>
        <v>1</v>
      </c>
    </row>
    <row r="201" customFormat="false" ht="15" hidden="false" customHeight="false" outlineLevel="0" collapsed="false">
      <c r="A201" s="7" t="n">
        <f aca="false">ROW()-1</f>
        <v>200</v>
      </c>
      <c r="B201" s="7" t="str">
        <f aca="false">IF(Raw_Nigeria!B201="",TRIM(Raw_Nigeria!C201),TRIM(Raw_Nigeria!B201))</f>
        <v>Nigeria National Immunization Coverage Survey (2006)</v>
      </c>
      <c r="C201" s="7" t="str">
        <f aca="false">IF(ISNUMBER(SEARCH("Demographic and Health",B201)),"DHS",IF(OR(ISNUMBER(SEARCH("Multiple Indicator Cluster",B201)),ISNUMBER(SEARCH("MICS",B201))),"MICS",IF(ISNUMBER(SEARCH("Immunization Coverage Survey",B201)),"Coverage survey",IF(ISNUMBER(SEARCH("Nutrition",B201)),"Nutrition survey","Other"))))</f>
        <v>Coverage survey</v>
      </c>
      <c r="D201" s="7" t="n">
        <f aca="false">VALUE(LEFT(Raw_Nigeria!D201,4))</f>
        <v>2006</v>
      </c>
      <c r="E201" s="7" t="n">
        <f aca="false">IF(VALUE(RIGHT(Raw_Nigeria!D201,2))&gt;12,"",VALUE(RIGHT(Raw_Nigeria!D201,2)))</f>
        <v>10</v>
      </c>
      <c r="F201" s="7" t="n">
        <f aca="false">VALUE(LEFT(Raw_Nigeria!E201,4))</f>
        <v>2006</v>
      </c>
      <c r="G201" s="7" t="n">
        <f aca="false">IF(VALUE(RIGHT(Raw_Nigeria!E201,2))&gt;12,"",VALUE(RIGHT(Raw_Nigeria!E201,2)))</f>
        <v>10</v>
      </c>
      <c r="H201" s="7" t="n">
        <f aca="false">Raw_Nigeria!F201</f>
        <v>2005</v>
      </c>
      <c r="I201" s="7" t="str">
        <f aca="false">UPPER(TRIM(Raw_Nigeria!G201))</f>
        <v>HEPB3</v>
      </c>
      <c r="J201" s="7" t="str">
        <f aca="false">Raw_Nigeria!H201</f>
        <v>Record or Recall</v>
      </c>
      <c r="K201" s="7" t="str">
        <f aca="false">Raw_Nigeria!L201</f>
        <v>12-23 m</v>
      </c>
      <c r="L201" s="7" t="str">
        <f aca="false">IF(Raw_Nigeria!K201="","n/a",Raw_Nigeria!K201)</f>
        <v>0-23 m</v>
      </c>
      <c r="M201" s="7" t="n">
        <f aca="false">IF(Raw_Nigeria!I201="","",Raw_Nigeria!I201)</f>
        <v>49.5</v>
      </c>
      <c r="N201" s="7" t="n">
        <f aca="false">Raw_Nigeria!M201</f>
        <v>41.2</v>
      </c>
      <c r="O201" s="7" t="n">
        <f aca="false">IF(Raw_Nigeria!N201="","",Raw_Nigeria!N201)</f>
        <v>23414</v>
      </c>
      <c r="P201" s="7" t="str">
        <f aca="false">IF(K201="CBAW","Women of child-bearing age","Children")</f>
        <v>Children</v>
      </c>
      <c r="Q201" s="7" t="n">
        <f aca="false">IF(J201="NOT USED",1,0)</f>
        <v>0</v>
      </c>
      <c r="R201" s="7" t="n">
        <f aca="false">IF(AND(P201="Children",Q201=0),1,0)</f>
        <v>1</v>
      </c>
      <c r="S201" s="7" t="n">
        <f aca="false">IF(AND(R201=1,J201="Record or Recall",K201="12-23 m"),1,0)</f>
        <v>1</v>
      </c>
      <c r="T201" s="7" t="n">
        <f aca="false">IF(OR(I201="BCG",I201="DTP1",I201="DTP3",I201="POL3",I201="MCV1",I201="FULL"),1,0)</f>
        <v>0</v>
      </c>
      <c r="U201" s="7" t="n">
        <f aca="false">IF(OR(C201="DHS",C201="MICS"),1,0)</f>
        <v>0</v>
      </c>
      <c r="V201" s="7" t="n">
        <f aca="false">IF(O201="",1,0)</f>
        <v>0</v>
      </c>
      <c r="W201" s="7" t="n">
        <f aca="false">IF(M201="",1,0)</f>
        <v>0</v>
      </c>
      <c r="X201" s="7" t="n">
        <f aca="false">COUNTIFS($B$2:$B$1141,B201,$H$2:$H$1141,H201,$I$2:$I$1141,I201,$J$2:$J$1141,J201,$K$2:$K$1141,K201,$L$2:$L$1141,L201)</f>
        <v>1</v>
      </c>
    </row>
    <row r="202" customFormat="false" ht="15" hidden="false" customHeight="false" outlineLevel="0" collapsed="false">
      <c r="A202" s="7" t="n">
        <f aca="false">ROW()-1</f>
        <v>201</v>
      </c>
      <c r="B202" s="7" t="str">
        <f aca="false">IF(Raw_Nigeria!B202="",TRIM(Raw_Nigeria!C202),TRIM(Raw_Nigeria!B202))</f>
        <v>Nigeria National Immunization Coverage Survey (2006)</v>
      </c>
      <c r="C202" s="7" t="str">
        <f aca="false">IF(ISNUMBER(SEARCH("Demographic and Health",B202)),"DHS",IF(OR(ISNUMBER(SEARCH("Multiple Indicator Cluster",B202)),ISNUMBER(SEARCH("MICS",B202))),"MICS",IF(ISNUMBER(SEARCH("Immunization Coverage Survey",B202)),"Coverage survey",IF(ISNUMBER(SEARCH("Nutrition",B202)),"Nutrition survey","Other"))))</f>
        <v>Coverage survey</v>
      </c>
      <c r="D202" s="7" t="n">
        <f aca="false">VALUE(LEFT(Raw_Nigeria!D202,4))</f>
        <v>2006</v>
      </c>
      <c r="E202" s="7" t="n">
        <f aca="false">IF(VALUE(RIGHT(Raw_Nigeria!D202,2))&gt;12,"",VALUE(RIGHT(Raw_Nigeria!D202,2)))</f>
        <v>10</v>
      </c>
      <c r="F202" s="7" t="n">
        <f aca="false">VALUE(LEFT(Raw_Nigeria!E202,4))</f>
        <v>2006</v>
      </c>
      <c r="G202" s="7" t="n">
        <f aca="false">IF(VALUE(RIGHT(Raw_Nigeria!E202,2))&gt;12,"",VALUE(RIGHT(Raw_Nigeria!E202,2)))</f>
        <v>10</v>
      </c>
      <c r="H202" s="7" t="n">
        <f aca="false">Raw_Nigeria!F202</f>
        <v>2005</v>
      </c>
      <c r="I202" s="7" t="str">
        <f aca="false">UPPER(TRIM(Raw_Nigeria!G202))</f>
        <v>MCV1</v>
      </c>
      <c r="J202" s="7" t="str">
        <f aca="false">Raw_Nigeria!H202</f>
        <v>Record</v>
      </c>
      <c r="K202" s="7" t="str">
        <f aca="false">Raw_Nigeria!L202</f>
        <v>12-23 m</v>
      </c>
      <c r="L202" s="7" t="str">
        <f aca="false">IF(Raw_Nigeria!K202="","n/a",Raw_Nigeria!K202)</f>
        <v>0-23 m</v>
      </c>
      <c r="M202" s="7" t="n">
        <f aca="false">IF(Raw_Nigeria!I202="","",Raw_Nigeria!I202)</f>
        <v>49.5</v>
      </c>
      <c r="N202" s="7" t="n">
        <f aca="false">Raw_Nigeria!M202</f>
        <v>25.8</v>
      </c>
      <c r="O202" s="7" t="n">
        <f aca="false">IF(Raw_Nigeria!N202="","",Raw_Nigeria!N202)</f>
        <v>23414</v>
      </c>
      <c r="P202" s="7" t="str">
        <f aca="false">IF(K202="CBAW","Women of child-bearing age","Children")</f>
        <v>Children</v>
      </c>
      <c r="Q202" s="7" t="n">
        <f aca="false">IF(J202="NOT USED",1,0)</f>
        <v>0</v>
      </c>
      <c r="R202" s="7" t="n">
        <f aca="false">IF(AND(P202="Children",Q202=0),1,0)</f>
        <v>1</v>
      </c>
      <c r="S202" s="7" t="n">
        <f aca="false">IF(AND(R202=1,J202="Record or Recall",K202="12-23 m"),1,0)</f>
        <v>0</v>
      </c>
      <c r="T202" s="7" t="n">
        <f aca="false">IF(OR(I202="BCG",I202="DTP1",I202="DTP3",I202="POL3",I202="MCV1",I202="FULL"),1,0)</f>
        <v>1</v>
      </c>
      <c r="U202" s="7" t="n">
        <f aca="false">IF(OR(C202="DHS",C202="MICS"),1,0)</f>
        <v>0</v>
      </c>
      <c r="V202" s="7" t="n">
        <f aca="false">IF(O202="",1,0)</f>
        <v>0</v>
      </c>
      <c r="W202" s="7" t="n">
        <f aca="false">IF(M202="",1,0)</f>
        <v>0</v>
      </c>
      <c r="X202" s="7" t="n">
        <f aca="false">COUNTIFS($B$2:$B$1141,B202,$H$2:$H$1141,H202,$I$2:$I$1141,I202,$J$2:$J$1141,J202,$K$2:$K$1141,K202,$L$2:$L$1141,L202)</f>
        <v>1</v>
      </c>
    </row>
    <row r="203" customFormat="false" ht="15" hidden="false" customHeight="false" outlineLevel="0" collapsed="false">
      <c r="A203" s="7" t="n">
        <f aca="false">ROW()-1</f>
        <v>202</v>
      </c>
      <c r="B203" s="7" t="str">
        <f aca="false">IF(Raw_Nigeria!B203="",TRIM(Raw_Nigeria!C203),TRIM(Raw_Nigeria!B203))</f>
        <v>Nigeria National Immunization Coverage Survey (2006)</v>
      </c>
      <c r="C203" s="7" t="str">
        <f aca="false">IF(ISNUMBER(SEARCH("Demographic and Health",B203)),"DHS",IF(OR(ISNUMBER(SEARCH("Multiple Indicator Cluster",B203)),ISNUMBER(SEARCH("MICS",B203))),"MICS",IF(ISNUMBER(SEARCH("Immunization Coverage Survey",B203)),"Coverage survey",IF(ISNUMBER(SEARCH("Nutrition",B203)),"Nutrition survey","Other"))))</f>
        <v>Coverage survey</v>
      </c>
      <c r="D203" s="7" t="n">
        <f aca="false">VALUE(LEFT(Raw_Nigeria!D203,4))</f>
        <v>2006</v>
      </c>
      <c r="E203" s="7" t="n">
        <f aca="false">IF(VALUE(RIGHT(Raw_Nigeria!D203,2))&gt;12,"",VALUE(RIGHT(Raw_Nigeria!D203,2)))</f>
        <v>10</v>
      </c>
      <c r="F203" s="7" t="n">
        <f aca="false">VALUE(LEFT(Raw_Nigeria!E203,4))</f>
        <v>2006</v>
      </c>
      <c r="G203" s="7" t="n">
        <f aca="false">IF(VALUE(RIGHT(Raw_Nigeria!E203,2))&gt;12,"",VALUE(RIGHT(Raw_Nigeria!E203,2)))</f>
        <v>10</v>
      </c>
      <c r="H203" s="7" t="n">
        <f aca="false">Raw_Nigeria!F203</f>
        <v>2005</v>
      </c>
      <c r="I203" s="7" t="str">
        <f aca="false">UPPER(TRIM(Raw_Nigeria!G203))</f>
        <v>MCV1</v>
      </c>
      <c r="J203" s="7" t="str">
        <f aca="false">Raw_Nigeria!H203</f>
        <v>Record or Recall</v>
      </c>
      <c r="K203" s="7" t="str">
        <f aca="false">Raw_Nigeria!L203</f>
        <v>12-23 m</v>
      </c>
      <c r="L203" s="7" t="str">
        <f aca="false">IF(Raw_Nigeria!K203="","n/a",Raw_Nigeria!K203)</f>
        <v>0-23 m</v>
      </c>
      <c r="M203" s="7" t="n">
        <f aca="false">IF(Raw_Nigeria!I203="","",Raw_Nigeria!I203)</f>
        <v>49.5</v>
      </c>
      <c r="N203" s="7" t="n">
        <f aca="false">Raw_Nigeria!M203</f>
        <v>62.4</v>
      </c>
      <c r="O203" s="7" t="n">
        <f aca="false">IF(Raw_Nigeria!N203="","",Raw_Nigeria!N203)</f>
        <v>23414</v>
      </c>
      <c r="P203" s="7" t="str">
        <f aca="false">IF(K203="CBAW","Women of child-bearing age","Children")</f>
        <v>Children</v>
      </c>
      <c r="Q203" s="7" t="n">
        <f aca="false">IF(J203="NOT USED",1,0)</f>
        <v>0</v>
      </c>
      <c r="R203" s="7" t="n">
        <f aca="false">IF(AND(P203="Children",Q203=0),1,0)</f>
        <v>1</v>
      </c>
      <c r="S203" s="7" t="n">
        <f aca="false">IF(AND(R203=1,J203="Record or Recall",K203="12-23 m"),1,0)</f>
        <v>1</v>
      </c>
      <c r="T203" s="7" t="n">
        <f aca="false">IF(OR(I203="BCG",I203="DTP1",I203="DTP3",I203="POL3",I203="MCV1",I203="FULL"),1,0)</f>
        <v>1</v>
      </c>
      <c r="U203" s="7" t="n">
        <f aca="false">IF(OR(C203="DHS",C203="MICS"),1,0)</f>
        <v>0</v>
      </c>
      <c r="V203" s="7" t="n">
        <f aca="false">IF(O203="",1,0)</f>
        <v>0</v>
      </c>
      <c r="W203" s="7" t="n">
        <f aca="false">IF(M203="",1,0)</f>
        <v>0</v>
      </c>
      <c r="X203" s="7" t="n">
        <f aca="false">COUNTIFS($B$2:$B$1141,B203,$H$2:$H$1141,H203,$I$2:$I$1141,I203,$J$2:$J$1141,J203,$K$2:$K$1141,K203,$L$2:$L$1141,L203)</f>
        <v>1</v>
      </c>
    </row>
    <row r="204" customFormat="false" ht="15" hidden="false" customHeight="false" outlineLevel="0" collapsed="false">
      <c r="A204" s="7" t="n">
        <f aca="false">ROW()-1</f>
        <v>203</v>
      </c>
      <c r="B204" s="7" t="str">
        <f aca="false">IF(Raw_Nigeria!B204="",TRIM(Raw_Nigeria!C204),TRIM(Raw_Nigeria!B204))</f>
        <v>Nigeria National Immunization Coverage Survey (2006)</v>
      </c>
      <c r="C204" s="7" t="str">
        <f aca="false">IF(ISNUMBER(SEARCH("Demographic and Health",B204)),"DHS",IF(OR(ISNUMBER(SEARCH("Multiple Indicator Cluster",B204)),ISNUMBER(SEARCH("MICS",B204))),"MICS",IF(ISNUMBER(SEARCH("Immunization Coverage Survey",B204)),"Coverage survey",IF(ISNUMBER(SEARCH("Nutrition",B204)),"Nutrition survey","Other"))))</f>
        <v>Coverage survey</v>
      </c>
      <c r="D204" s="7" t="n">
        <f aca="false">VALUE(LEFT(Raw_Nigeria!D204,4))</f>
        <v>2006</v>
      </c>
      <c r="E204" s="7" t="n">
        <f aca="false">IF(VALUE(RIGHT(Raw_Nigeria!D204,2))&gt;12,"",VALUE(RIGHT(Raw_Nigeria!D204,2)))</f>
        <v>10</v>
      </c>
      <c r="F204" s="7" t="n">
        <f aca="false">VALUE(LEFT(Raw_Nigeria!E204,4))</f>
        <v>2006</v>
      </c>
      <c r="G204" s="7" t="n">
        <f aca="false">IF(VALUE(RIGHT(Raw_Nigeria!E204,2))&gt;12,"",VALUE(RIGHT(Raw_Nigeria!E204,2)))</f>
        <v>10</v>
      </c>
      <c r="H204" s="7" t="n">
        <f aca="false">Raw_Nigeria!F204</f>
        <v>2005</v>
      </c>
      <c r="I204" s="7" t="str">
        <f aca="false">UPPER(TRIM(Raw_Nigeria!G204))</f>
        <v>POL1</v>
      </c>
      <c r="J204" s="7" t="str">
        <f aca="false">Raw_Nigeria!H204</f>
        <v>Record</v>
      </c>
      <c r="K204" s="7" t="str">
        <f aca="false">Raw_Nigeria!L204</f>
        <v>12-23 m</v>
      </c>
      <c r="L204" s="7" t="str">
        <f aca="false">IF(Raw_Nigeria!K204="","n/a",Raw_Nigeria!K204)</f>
        <v>0-23 m</v>
      </c>
      <c r="M204" s="7" t="n">
        <f aca="false">IF(Raw_Nigeria!I204="","",Raw_Nigeria!I204)</f>
        <v>49.5</v>
      </c>
      <c r="N204" s="7" t="n">
        <f aca="false">Raw_Nigeria!M204</f>
        <v>31.7</v>
      </c>
      <c r="O204" s="7" t="n">
        <f aca="false">IF(Raw_Nigeria!N204="","",Raw_Nigeria!N204)</f>
        <v>23414</v>
      </c>
      <c r="P204" s="7" t="str">
        <f aca="false">IF(K204="CBAW","Women of child-bearing age","Children")</f>
        <v>Children</v>
      </c>
      <c r="Q204" s="7" t="n">
        <f aca="false">IF(J204="NOT USED",1,0)</f>
        <v>0</v>
      </c>
      <c r="R204" s="7" t="n">
        <f aca="false">IF(AND(P204="Children",Q204=0),1,0)</f>
        <v>1</v>
      </c>
      <c r="S204" s="7" t="n">
        <f aca="false">IF(AND(R204=1,J204="Record or Recall",K204="12-23 m"),1,0)</f>
        <v>0</v>
      </c>
      <c r="T204" s="7" t="n">
        <f aca="false">IF(OR(I204="BCG",I204="DTP1",I204="DTP3",I204="POL3",I204="MCV1",I204="FULL"),1,0)</f>
        <v>0</v>
      </c>
      <c r="U204" s="7" t="n">
        <f aca="false">IF(OR(C204="DHS",C204="MICS"),1,0)</f>
        <v>0</v>
      </c>
      <c r="V204" s="7" t="n">
        <f aca="false">IF(O204="",1,0)</f>
        <v>0</v>
      </c>
      <c r="W204" s="7" t="n">
        <f aca="false">IF(M204="",1,0)</f>
        <v>0</v>
      </c>
      <c r="X204" s="7" t="n">
        <f aca="false">COUNTIFS($B$2:$B$1141,B204,$H$2:$H$1141,H204,$I$2:$I$1141,I204,$J$2:$J$1141,J204,$K$2:$K$1141,K204,$L$2:$L$1141,L204)</f>
        <v>1</v>
      </c>
    </row>
    <row r="205" customFormat="false" ht="15" hidden="false" customHeight="false" outlineLevel="0" collapsed="false">
      <c r="A205" s="7" t="n">
        <f aca="false">ROW()-1</f>
        <v>204</v>
      </c>
      <c r="B205" s="7" t="str">
        <f aca="false">IF(Raw_Nigeria!B205="",TRIM(Raw_Nigeria!C205),TRIM(Raw_Nigeria!B205))</f>
        <v>Nigeria National Immunization Coverage Survey (2006)</v>
      </c>
      <c r="C205" s="7" t="str">
        <f aca="false">IF(ISNUMBER(SEARCH("Demographic and Health",B205)),"DHS",IF(OR(ISNUMBER(SEARCH("Multiple Indicator Cluster",B205)),ISNUMBER(SEARCH("MICS",B205))),"MICS",IF(ISNUMBER(SEARCH("Immunization Coverage Survey",B205)),"Coverage survey",IF(ISNUMBER(SEARCH("Nutrition",B205)),"Nutrition survey","Other"))))</f>
        <v>Coverage survey</v>
      </c>
      <c r="D205" s="7" t="n">
        <f aca="false">VALUE(LEFT(Raw_Nigeria!D205,4))</f>
        <v>2006</v>
      </c>
      <c r="E205" s="7" t="n">
        <f aca="false">IF(VALUE(RIGHT(Raw_Nigeria!D205,2))&gt;12,"",VALUE(RIGHT(Raw_Nigeria!D205,2)))</f>
        <v>10</v>
      </c>
      <c r="F205" s="7" t="n">
        <f aca="false">VALUE(LEFT(Raw_Nigeria!E205,4))</f>
        <v>2006</v>
      </c>
      <c r="G205" s="7" t="n">
        <f aca="false">IF(VALUE(RIGHT(Raw_Nigeria!E205,2))&gt;12,"",VALUE(RIGHT(Raw_Nigeria!E205,2)))</f>
        <v>10</v>
      </c>
      <c r="H205" s="7" t="n">
        <f aca="false">Raw_Nigeria!F205</f>
        <v>2005</v>
      </c>
      <c r="I205" s="7" t="str">
        <f aca="false">UPPER(TRIM(Raw_Nigeria!G205))</f>
        <v>POL1</v>
      </c>
      <c r="J205" s="7" t="str">
        <f aca="false">Raw_Nigeria!H205</f>
        <v>Record or Recall</v>
      </c>
      <c r="K205" s="7" t="str">
        <f aca="false">Raw_Nigeria!L205</f>
        <v>12-23 m</v>
      </c>
      <c r="L205" s="7" t="str">
        <f aca="false">IF(Raw_Nigeria!K205="","n/a",Raw_Nigeria!K205)</f>
        <v>0-23 m</v>
      </c>
      <c r="M205" s="7" t="n">
        <f aca="false">IF(Raw_Nigeria!I205="","",Raw_Nigeria!I205)</f>
        <v>49.5</v>
      </c>
      <c r="N205" s="7" t="n">
        <f aca="false">Raw_Nigeria!M205</f>
        <v>78.5</v>
      </c>
      <c r="O205" s="7" t="n">
        <f aca="false">IF(Raw_Nigeria!N205="","",Raw_Nigeria!N205)</f>
        <v>23414</v>
      </c>
      <c r="P205" s="7" t="str">
        <f aca="false">IF(K205="CBAW","Women of child-bearing age","Children")</f>
        <v>Children</v>
      </c>
      <c r="Q205" s="7" t="n">
        <f aca="false">IF(J205="NOT USED",1,0)</f>
        <v>0</v>
      </c>
      <c r="R205" s="7" t="n">
        <f aca="false">IF(AND(P205="Children",Q205=0),1,0)</f>
        <v>1</v>
      </c>
      <c r="S205" s="7" t="n">
        <f aca="false">IF(AND(R205=1,J205="Record or Recall",K205="12-23 m"),1,0)</f>
        <v>1</v>
      </c>
      <c r="T205" s="7" t="n">
        <f aca="false">IF(OR(I205="BCG",I205="DTP1",I205="DTP3",I205="POL3",I205="MCV1",I205="FULL"),1,0)</f>
        <v>0</v>
      </c>
      <c r="U205" s="7" t="n">
        <f aca="false">IF(OR(C205="DHS",C205="MICS"),1,0)</f>
        <v>0</v>
      </c>
      <c r="V205" s="7" t="n">
        <f aca="false">IF(O205="",1,0)</f>
        <v>0</v>
      </c>
      <c r="W205" s="7" t="n">
        <f aca="false">IF(M205="",1,0)</f>
        <v>0</v>
      </c>
      <c r="X205" s="7" t="n">
        <f aca="false">COUNTIFS($B$2:$B$1141,B205,$H$2:$H$1141,H205,$I$2:$I$1141,I205,$J$2:$J$1141,J205,$K$2:$K$1141,K205,$L$2:$L$1141,L205)</f>
        <v>1</v>
      </c>
    </row>
    <row r="206" customFormat="false" ht="15" hidden="false" customHeight="false" outlineLevel="0" collapsed="false">
      <c r="A206" s="7" t="n">
        <f aca="false">ROW()-1</f>
        <v>205</v>
      </c>
      <c r="B206" s="7" t="str">
        <f aca="false">IF(Raw_Nigeria!B206="",TRIM(Raw_Nigeria!C206),TRIM(Raw_Nigeria!B206))</f>
        <v>Nigeria National Immunization Coverage Survey (2006)</v>
      </c>
      <c r="C206" s="7" t="str">
        <f aca="false">IF(ISNUMBER(SEARCH("Demographic and Health",B206)),"DHS",IF(OR(ISNUMBER(SEARCH("Multiple Indicator Cluster",B206)),ISNUMBER(SEARCH("MICS",B206))),"MICS",IF(ISNUMBER(SEARCH("Immunization Coverage Survey",B206)),"Coverage survey",IF(ISNUMBER(SEARCH("Nutrition",B206)),"Nutrition survey","Other"))))</f>
        <v>Coverage survey</v>
      </c>
      <c r="D206" s="7" t="n">
        <f aca="false">VALUE(LEFT(Raw_Nigeria!D206,4))</f>
        <v>2006</v>
      </c>
      <c r="E206" s="7" t="n">
        <f aca="false">IF(VALUE(RIGHT(Raw_Nigeria!D206,2))&gt;12,"",VALUE(RIGHT(Raw_Nigeria!D206,2)))</f>
        <v>10</v>
      </c>
      <c r="F206" s="7" t="n">
        <f aca="false">VALUE(LEFT(Raw_Nigeria!E206,4))</f>
        <v>2006</v>
      </c>
      <c r="G206" s="7" t="n">
        <f aca="false">IF(VALUE(RIGHT(Raw_Nigeria!E206,2))&gt;12,"",VALUE(RIGHT(Raw_Nigeria!E206,2)))</f>
        <v>10</v>
      </c>
      <c r="H206" s="7" t="n">
        <f aca="false">Raw_Nigeria!F206</f>
        <v>2005</v>
      </c>
      <c r="I206" s="7" t="str">
        <f aca="false">UPPER(TRIM(Raw_Nigeria!G206))</f>
        <v>POL3</v>
      </c>
      <c r="J206" s="7" t="str">
        <f aca="false">Raw_Nigeria!H206</f>
        <v>Record</v>
      </c>
      <c r="K206" s="7" t="str">
        <f aca="false">Raw_Nigeria!L206</f>
        <v>12-23 m</v>
      </c>
      <c r="L206" s="7" t="str">
        <f aca="false">IF(Raw_Nigeria!K206="","n/a",Raw_Nigeria!K206)</f>
        <v>0-23 m</v>
      </c>
      <c r="M206" s="7" t="n">
        <f aca="false">IF(Raw_Nigeria!I206="","",Raw_Nigeria!I206)</f>
        <v>49.5</v>
      </c>
      <c r="N206" s="7" t="n">
        <f aca="false">Raw_Nigeria!M206</f>
        <v>22</v>
      </c>
      <c r="O206" s="7" t="n">
        <f aca="false">IF(Raw_Nigeria!N206="","",Raw_Nigeria!N206)</f>
        <v>23414</v>
      </c>
      <c r="P206" s="7" t="str">
        <f aca="false">IF(K206="CBAW","Women of child-bearing age","Children")</f>
        <v>Children</v>
      </c>
      <c r="Q206" s="7" t="n">
        <f aca="false">IF(J206="NOT USED",1,0)</f>
        <v>0</v>
      </c>
      <c r="R206" s="7" t="n">
        <f aca="false">IF(AND(P206="Children",Q206=0),1,0)</f>
        <v>1</v>
      </c>
      <c r="S206" s="7" t="n">
        <f aca="false">IF(AND(R206=1,J206="Record or Recall",K206="12-23 m"),1,0)</f>
        <v>0</v>
      </c>
      <c r="T206" s="7" t="n">
        <f aca="false">IF(OR(I206="BCG",I206="DTP1",I206="DTP3",I206="POL3",I206="MCV1",I206="FULL"),1,0)</f>
        <v>1</v>
      </c>
      <c r="U206" s="7" t="n">
        <f aca="false">IF(OR(C206="DHS",C206="MICS"),1,0)</f>
        <v>0</v>
      </c>
      <c r="V206" s="7" t="n">
        <f aca="false">IF(O206="",1,0)</f>
        <v>0</v>
      </c>
      <c r="W206" s="7" t="n">
        <f aca="false">IF(M206="",1,0)</f>
        <v>0</v>
      </c>
      <c r="X206" s="7" t="n">
        <f aca="false">COUNTIFS($B$2:$B$1141,B206,$H$2:$H$1141,H206,$I$2:$I$1141,I206,$J$2:$J$1141,J206,$K$2:$K$1141,K206,$L$2:$L$1141,L206)</f>
        <v>1</v>
      </c>
    </row>
    <row r="207" customFormat="false" ht="15" hidden="false" customHeight="false" outlineLevel="0" collapsed="false">
      <c r="A207" s="7" t="n">
        <f aca="false">ROW()-1</f>
        <v>206</v>
      </c>
      <c r="B207" s="7" t="str">
        <f aca="false">IF(Raw_Nigeria!B207="",TRIM(Raw_Nigeria!C207),TRIM(Raw_Nigeria!B207))</f>
        <v>Nigeria National Immunization Coverage Survey (2006)</v>
      </c>
      <c r="C207" s="7" t="str">
        <f aca="false">IF(ISNUMBER(SEARCH("Demographic and Health",B207)),"DHS",IF(OR(ISNUMBER(SEARCH("Multiple Indicator Cluster",B207)),ISNUMBER(SEARCH("MICS",B207))),"MICS",IF(ISNUMBER(SEARCH("Immunization Coverage Survey",B207)),"Coverage survey",IF(ISNUMBER(SEARCH("Nutrition",B207)),"Nutrition survey","Other"))))</f>
        <v>Coverage survey</v>
      </c>
      <c r="D207" s="7" t="n">
        <f aca="false">VALUE(LEFT(Raw_Nigeria!D207,4))</f>
        <v>2006</v>
      </c>
      <c r="E207" s="7" t="n">
        <f aca="false">IF(VALUE(RIGHT(Raw_Nigeria!D207,2))&gt;12,"",VALUE(RIGHT(Raw_Nigeria!D207,2)))</f>
        <v>10</v>
      </c>
      <c r="F207" s="7" t="n">
        <f aca="false">VALUE(LEFT(Raw_Nigeria!E207,4))</f>
        <v>2006</v>
      </c>
      <c r="G207" s="7" t="n">
        <f aca="false">IF(VALUE(RIGHT(Raw_Nigeria!E207,2))&gt;12,"",VALUE(RIGHT(Raw_Nigeria!E207,2)))</f>
        <v>10</v>
      </c>
      <c r="H207" s="7" t="n">
        <f aca="false">Raw_Nigeria!F207</f>
        <v>2005</v>
      </c>
      <c r="I207" s="7" t="str">
        <f aca="false">UPPER(TRIM(Raw_Nigeria!G207))</f>
        <v>POL3</v>
      </c>
      <c r="J207" s="7" t="str">
        <f aca="false">Raw_Nigeria!H207</f>
        <v>Record or Recall</v>
      </c>
      <c r="K207" s="7" t="str">
        <f aca="false">Raw_Nigeria!L207</f>
        <v>12-23 m</v>
      </c>
      <c r="L207" s="7" t="str">
        <f aca="false">IF(Raw_Nigeria!K207="","n/a",Raw_Nigeria!K207)</f>
        <v>0-23 m</v>
      </c>
      <c r="M207" s="7" t="n">
        <f aca="false">IF(Raw_Nigeria!I207="","",Raw_Nigeria!I207)</f>
        <v>49.5</v>
      </c>
      <c r="N207" s="7" t="n">
        <f aca="false">Raw_Nigeria!M207</f>
        <v>60.7</v>
      </c>
      <c r="O207" s="7" t="n">
        <f aca="false">IF(Raw_Nigeria!N207="","",Raw_Nigeria!N207)</f>
        <v>23414</v>
      </c>
      <c r="P207" s="7" t="str">
        <f aca="false">IF(K207="CBAW","Women of child-bearing age","Children")</f>
        <v>Children</v>
      </c>
      <c r="Q207" s="7" t="n">
        <f aca="false">IF(J207="NOT USED",1,0)</f>
        <v>0</v>
      </c>
      <c r="R207" s="7" t="n">
        <f aca="false">IF(AND(P207="Children",Q207=0),1,0)</f>
        <v>1</v>
      </c>
      <c r="S207" s="7" t="n">
        <f aca="false">IF(AND(R207=1,J207="Record or Recall",K207="12-23 m"),1,0)</f>
        <v>1</v>
      </c>
      <c r="T207" s="7" t="n">
        <f aca="false">IF(OR(I207="BCG",I207="DTP1",I207="DTP3",I207="POL3",I207="MCV1",I207="FULL"),1,0)</f>
        <v>1</v>
      </c>
      <c r="U207" s="7" t="n">
        <f aca="false">IF(OR(C207="DHS",C207="MICS"),1,0)</f>
        <v>0</v>
      </c>
      <c r="V207" s="7" t="n">
        <f aca="false">IF(O207="",1,0)</f>
        <v>0</v>
      </c>
      <c r="W207" s="7" t="n">
        <f aca="false">IF(M207="",1,0)</f>
        <v>0</v>
      </c>
      <c r="X207" s="7" t="n">
        <f aca="false">COUNTIFS($B$2:$B$1141,B207,$H$2:$H$1141,H207,$I$2:$I$1141,I207,$J$2:$J$1141,J207,$K$2:$K$1141,K207,$L$2:$L$1141,L207)</f>
        <v>1</v>
      </c>
    </row>
    <row r="208" customFormat="false" ht="15" hidden="false" customHeight="false" outlineLevel="0" collapsed="false">
      <c r="A208" s="7" t="n">
        <f aca="false">ROW()-1</f>
        <v>207</v>
      </c>
      <c r="B208" s="7" t="str">
        <f aca="false">IF(Raw_Nigeria!B208="",TRIM(Raw_Nigeria!C208),TRIM(Raw_Nigeria!B208))</f>
        <v>Nigeria National Immunization Coverage Survey (2006)</v>
      </c>
      <c r="C208" s="7" t="str">
        <f aca="false">IF(ISNUMBER(SEARCH("Demographic and Health",B208)),"DHS",IF(OR(ISNUMBER(SEARCH("Multiple Indicator Cluster",B208)),ISNUMBER(SEARCH("MICS",B208))),"MICS",IF(ISNUMBER(SEARCH("Immunization Coverage Survey",B208)),"Coverage survey",IF(ISNUMBER(SEARCH("Nutrition",B208)),"Nutrition survey","Other"))))</f>
        <v>Coverage survey</v>
      </c>
      <c r="D208" s="7" t="n">
        <f aca="false">VALUE(LEFT(Raw_Nigeria!D208,4))</f>
        <v>2006</v>
      </c>
      <c r="E208" s="7" t="n">
        <f aca="false">IF(VALUE(RIGHT(Raw_Nigeria!D208,2))&gt;12,"",VALUE(RIGHT(Raw_Nigeria!D208,2)))</f>
        <v>10</v>
      </c>
      <c r="F208" s="7" t="n">
        <f aca="false">VALUE(LEFT(Raw_Nigeria!E208,4))</f>
        <v>2006</v>
      </c>
      <c r="G208" s="7" t="n">
        <f aca="false">IF(VALUE(RIGHT(Raw_Nigeria!E208,2))&gt;12,"",VALUE(RIGHT(Raw_Nigeria!E208,2)))</f>
        <v>10</v>
      </c>
      <c r="H208" s="7" t="n">
        <f aca="false">Raw_Nigeria!F208</f>
        <v>2005</v>
      </c>
      <c r="I208" s="7" t="str">
        <f aca="false">UPPER(TRIM(Raw_Nigeria!G208))</f>
        <v>TT2+</v>
      </c>
      <c r="J208" s="7" t="str">
        <f aca="false">Raw_Nigeria!H208</f>
        <v>Record or Recall</v>
      </c>
      <c r="K208" s="7" t="str">
        <f aca="false">Raw_Nigeria!L208</f>
        <v>12-23 m</v>
      </c>
      <c r="L208" s="7" t="str">
        <f aca="false">IF(Raw_Nigeria!K208="","n/a",Raw_Nigeria!K208)</f>
        <v>0-23 m</v>
      </c>
      <c r="M208" s="7" t="n">
        <f aca="false">IF(Raw_Nigeria!I208="","",Raw_Nigeria!I208)</f>
        <v>49.5</v>
      </c>
      <c r="N208" s="7" t="n">
        <f aca="false">Raw_Nigeria!M208</f>
        <v>7</v>
      </c>
      <c r="O208" s="7" t="str">
        <f aca="false">IF(Raw_Nigeria!N208="","",Raw_Nigeria!N208)</f>
        <v/>
      </c>
      <c r="P208" s="7" t="str">
        <f aca="false">IF(K208="CBAW","Women of child-bearing age","Children")</f>
        <v>Children</v>
      </c>
      <c r="Q208" s="7" t="n">
        <f aca="false">IF(J208="NOT USED",1,0)</f>
        <v>0</v>
      </c>
      <c r="R208" s="7" t="n">
        <f aca="false">IF(AND(P208="Children",Q208=0),1,0)</f>
        <v>1</v>
      </c>
      <c r="S208" s="7" t="n">
        <f aca="false">IF(AND(R208=1,J208="Record or Recall",K208="12-23 m"),1,0)</f>
        <v>1</v>
      </c>
      <c r="T208" s="7" t="n">
        <f aca="false">IF(OR(I208="BCG",I208="DTP1",I208="DTP3",I208="POL3",I208="MCV1",I208="FULL"),1,0)</f>
        <v>0</v>
      </c>
      <c r="U208" s="7" t="n">
        <f aca="false">IF(OR(C208="DHS",C208="MICS"),1,0)</f>
        <v>0</v>
      </c>
      <c r="V208" s="7" t="n">
        <f aca="false">IF(O208="",1,0)</f>
        <v>1</v>
      </c>
      <c r="W208" s="7" t="n">
        <f aca="false">IF(M208="",1,0)</f>
        <v>0</v>
      </c>
      <c r="X208" s="7" t="n">
        <f aca="false">COUNTIFS($B$2:$B$1141,B208,$H$2:$H$1141,H208,$I$2:$I$1141,I208,$J$2:$J$1141,J208,$K$2:$K$1141,K208,$L$2:$L$1141,L208)</f>
        <v>1</v>
      </c>
    </row>
    <row r="209" customFormat="false" ht="15" hidden="false" customHeight="false" outlineLevel="0" collapsed="false">
      <c r="A209" s="7" t="n">
        <f aca="false">ROW()-1</f>
        <v>208</v>
      </c>
      <c r="B209" s="7" t="str">
        <f aca="false">IF(Raw_Nigeria!B209="",TRIM(Raw_Nigeria!C209),TRIM(Raw_Nigeria!B209))</f>
        <v>Nigeria National Immunization Coverage Survey (2006)</v>
      </c>
      <c r="C209" s="7" t="str">
        <f aca="false">IF(ISNUMBER(SEARCH("Demographic and Health",B209)),"DHS",IF(OR(ISNUMBER(SEARCH("Multiple Indicator Cluster",B209)),ISNUMBER(SEARCH("MICS",B209))),"MICS",IF(ISNUMBER(SEARCH("Immunization Coverage Survey",B209)),"Coverage survey",IF(ISNUMBER(SEARCH("Nutrition",B209)),"Nutrition survey","Other"))))</f>
        <v>Coverage survey</v>
      </c>
      <c r="D209" s="7" t="n">
        <f aca="false">VALUE(LEFT(Raw_Nigeria!D209,4))</f>
        <v>2006</v>
      </c>
      <c r="E209" s="7" t="n">
        <f aca="false">IF(VALUE(RIGHT(Raw_Nigeria!D209,2))&gt;12,"",VALUE(RIGHT(Raw_Nigeria!D209,2)))</f>
        <v>10</v>
      </c>
      <c r="F209" s="7" t="n">
        <f aca="false">VALUE(LEFT(Raw_Nigeria!E209,4))</f>
        <v>2006</v>
      </c>
      <c r="G209" s="7" t="n">
        <f aca="false">IF(VALUE(RIGHT(Raw_Nigeria!E209,2))&gt;12,"",VALUE(RIGHT(Raw_Nigeria!E209,2)))</f>
        <v>10</v>
      </c>
      <c r="H209" s="7" t="n">
        <f aca="false">Raw_Nigeria!F209</f>
        <v>2005</v>
      </c>
      <c r="I209" s="7" t="str">
        <f aca="false">UPPER(TRIM(Raw_Nigeria!G209))</f>
        <v>YFV</v>
      </c>
      <c r="J209" s="7" t="str">
        <f aca="false">Raw_Nigeria!H209</f>
        <v>Record</v>
      </c>
      <c r="K209" s="7" t="str">
        <f aca="false">Raw_Nigeria!L209</f>
        <v>12-23 m</v>
      </c>
      <c r="L209" s="7" t="str">
        <f aca="false">IF(Raw_Nigeria!K209="","n/a",Raw_Nigeria!K209)</f>
        <v>0-23 m</v>
      </c>
      <c r="M209" s="7" t="n">
        <f aca="false">IF(Raw_Nigeria!I209="","",Raw_Nigeria!I209)</f>
        <v>49.5</v>
      </c>
      <c r="N209" s="7" t="n">
        <f aca="false">Raw_Nigeria!M209</f>
        <v>20.3</v>
      </c>
      <c r="O209" s="7" t="n">
        <f aca="false">IF(Raw_Nigeria!N209="","",Raw_Nigeria!N209)</f>
        <v>23414</v>
      </c>
      <c r="P209" s="7" t="str">
        <f aca="false">IF(K209="CBAW","Women of child-bearing age","Children")</f>
        <v>Children</v>
      </c>
      <c r="Q209" s="7" t="n">
        <f aca="false">IF(J209="NOT USED",1,0)</f>
        <v>0</v>
      </c>
      <c r="R209" s="7" t="n">
        <f aca="false">IF(AND(P209="Children",Q209=0),1,0)</f>
        <v>1</v>
      </c>
      <c r="S209" s="7" t="n">
        <f aca="false">IF(AND(R209=1,J209="Record or Recall",K209="12-23 m"),1,0)</f>
        <v>0</v>
      </c>
      <c r="T209" s="7" t="n">
        <f aca="false">IF(OR(I209="BCG",I209="DTP1",I209="DTP3",I209="POL3",I209="MCV1",I209="FULL"),1,0)</f>
        <v>0</v>
      </c>
      <c r="U209" s="7" t="n">
        <f aca="false">IF(OR(C209="DHS",C209="MICS"),1,0)</f>
        <v>0</v>
      </c>
      <c r="V209" s="7" t="n">
        <f aca="false">IF(O209="",1,0)</f>
        <v>0</v>
      </c>
      <c r="W209" s="7" t="n">
        <f aca="false">IF(M209="",1,0)</f>
        <v>0</v>
      </c>
      <c r="X209" s="7" t="n">
        <f aca="false">COUNTIFS($B$2:$B$1141,B209,$H$2:$H$1141,H209,$I$2:$I$1141,I209,$J$2:$J$1141,J209,$K$2:$K$1141,K209,$L$2:$L$1141,L209)</f>
        <v>1</v>
      </c>
    </row>
    <row r="210" customFormat="false" ht="15" hidden="false" customHeight="false" outlineLevel="0" collapsed="false">
      <c r="A210" s="7" t="n">
        <f aca="false">ROW()-1</f>
        <v>209</v>
      </c>
      <c r="B210" s="7" t="str">
        <f aca="false">IF(Raw_Nigeria!B210="",TRIM(Raw_Nigeria!C210),TRIM(Raw_Nigeria!B210))</f>
        <v>Nigeria National Immunization Coverage Survey (2006)</v>
      </c>
      <c r="C210" s="7" t="str">
        <f aca="false">IF(ISNUMBER(SEARCH("Demographic and Health",B210)),"DHS",IF(OR(ISNUMBER(SEARCH("Multiple Indicator Cluster",B210)),ISNUMBER(SEARCH("MICS",B210))),"MICS",IF(ISNUMBER(SEARCH("Immunization Coverage Survey",B210)),"Coverage survey",IF(ISNUMBER(SEARCH("Nutrition",B210)),"Nutrition survey","Other"))))</f>
        <v>Coverage survey</v>
      </c>
      <c r="D210" s="7" t="n">
        <f aca="false">VALUE(LEFT(Raw_Nigeria!D210,4))</f>
        <v>2006</v>
      </c>
      <c r="E210" s="7" t="n">
        <f aca="false">IF(VALUE(RIGHT(Raw_Nigeria!D210,2))&gt;12,"",VALUE(RIGHT(Raw_Nigeria!D210,2)))</f>
        <v>10</v>
      </c>
      <c r="F210" s="7" t="n">
        <f aca="false">VALUE(LEFT(Raw_Nigeria!E210,4))</f>
        <v>2006</v>
      </c>
      <c r="G210" s="7" t="n">
        <f aca="false">IF(VALUE(RIGHT(Raw_Nigeria!E210,2))&gt;12,"",VALUE(RIGHT(Raw_Nigeria!E210,2)))</f>
        <v>10</v>
      </c>
      <c r="H210" s="7" t="n">
        <f aca="false">Raw_Nigeria!F210</f>
        <v>2005</v>
      </c>
      <c r="I210" s="7" t="str">
        <f aca="false">UPPER(TRIM(Raw_Nigeria!G210))</f>
        <v>YFV</v>
      </c>
      <c r="J210" s="7" t="str">
        <f aca="false">Raw_Nigeria!H210</f>
        <v>Record or Recall</v>
      </c>
      <c r="K210" s="7" t="str">
        <f aca="false">Raw_Nigeria!L210</f>
        <v>12-23 m</v>
      </c>
      <c r="L210" s="7" t="str">
        <f aca="false">IF(Raw_Nigeria!K210="","n/a",Raw_Nigeria!K210)</f>
        <v>0-23 m</v>
      </c>
      <c r="M210" s="7" t="n">
        <f aca="false">IF(Raw_Nigeria!I210="","",Raw_Nigeria!I210)</f>
        <v>49.5</v>
      </c>
      <c r="N210" s="7" t="n">
        <f aca="false">Raw_Nigeria!M210</f>
        <v>42.9</v>
      </c>
      <c r="O210" s="7" t="n">
        <f aca="false">IF(Raw_Nigeria!N210="","",Raw_Nigeria!N210)</f>
        <v>23414</v>
      </c>
      <c r="P210" s="7" t="str">
        <f aca="false">IF(K210="CBAW","Women of child-bearing age","Children")</f>
        <v>Children</v>
      </c>
      <c r="Q210" s="7" t="n">
        <f aca="false">IF(J210="NOT USED",1,0)</f>
        <v>0</v>
      </c>
      <c r="R210" s="7" t="n">
        <f aca="false">IF(AND(P210="Children",Q210=0),1,0)</f>
        <v>1</v>
      </c>
      <c r="S210" s="7" t="n">
        <f aca="false">IF(AND(R210=1,J210="Record or Recall",K210="12-23 m"),1,0)</f>
        <v>1</v>
      </c>
      <c r="T210" s="7" t="n">
        <f aca="false">IF(OR(I210="BCG",I210="DTP1",I210="DTP3",I210="POL3",I210="MCV1",I210="FULL"),1,0)</f>
        <v>0</v>
      </c>
      <c r="U210" s="7" t="n">
        <f aca="false">IF(OR(C210="DHS",C210="MICS"),1,0)</f>
        <v>0</v>
      </c>
      <c r="V210" s="7" t="n">
        <f aca="false">IF(O210="",1,0)</f>
        <v>0</v>
      </c>
      <c r="W210" s="7" t="n">
        <f aca="false">IF(M210="",1,0)</f>
        <v>0</v>
      </c>
      <c r="X210" s="7" t="n">
        <f aca="false">COUNTIFS($B$2:$B$1141,B210,$H$2:$H$1141,H210,$I$2:$I$1141,I210,$J$2:$J$1141,J210,$K$2:$K$1141,K210,$L$2:$L$1141,L210)</f>
        <v>1</v>
      </c>
    </row>
    <row r="211" customFormat="false" ht="15" hidden="false" customHeight="false" outlineLevel="0" collapsed="false">
      <c r="A211" s="7" t="n">
        <f aca="false">ROW()-1</f>
        <v>210</v>
      </c>
      <c r="B211" s="7" t="str">
        <f aca="false">IF(Raw_Nigeria!B211="",TRIM(Raw_Nigeria!C211),TRIM(Raw_Nigeria!B211))</f>
        <v>Nigeria Multiple Indicator Cluster Survey 2007</v>
      </c>
      <c r="C211" s="7" t="str">
        <f aca="false">IF(ISNUMBER(SEARCH("Demographic and Health",B211)),"DHS",IF(OR(ISNUMBER(SEARCH("Multiple Indicator Cluster",B211)),ISNUMBER(SEARCH("MICS",B211))),"MICS",IF(ISNUMBER(SEARCH("Immunization Coverage Survey",B211)),"Coverage survey",IF(ISNUMBER(SEARCH("Nutrition",B211)),"Nutrition survey","Other"))))</f>
        <v>MICS</v>
      </c>
      <c r="D211" s="7" t="n">
        <f aca="false">VALUE(LEFT(Raw_Nigeria!D211,4))</f>
        <v>2007</v>
      </c>
      <c r="E211" s="7" t="n">
        <f aca="false">IF(VALUE(RIGHT(Raw_Nigeria!D211,2))&gt;12,"",VALUE(RIGHT(Raw_Nigeria!D211,2)))</f>
        <v>3</v>
      </c>
      <c r="F211" s="7" t="n">
        <f aca="false">VALUE(LEFT(Raw_Nigeria!E211,4))</f>
        <v>2007</v>
      </c>
      <c r="G211" s="7" t="n">
        <f aca="false">IF(VALUE(RIGHT(Raw_Nigeria!E211,2))&gt;12,"",VALUE(RIGHT(Raw_Nigeria!E211,2)))</f>
        <v>4</v>
      </c>
      <c r="H211" s="7" t="n">
        <f aca="false">Raw_Nigeria!F211</f>
        <v>2006</v>
      </c>
      <c r="I211" s="7" t="str">
        <f aca="false">UPPER(TRIM(Raw_Nigeria!G211))</f>
        <v>BCG</v>
      </c>
      <c r="J211" s="7" t="str">
        <f aca="false">Raw_Nigeria!H211</f>
        <v>Record or Recall&lt;12m</v>
      </c>
      <c r="K211" s="7" t="str">
        <f aca="false">Raw_Nigeria!L211</f>
        <v>12-23 m</v>
      </c>
      <c r="L211" s="7" t="str">
        <f aca="false">IF(Raw_Nigeria!K211="","n/a",Raw_Nigeria!K211)</f>
        <v>0-12 m</v>
      </c>
      <c r="M211" s="7" t="n">
        <f aca="false">IF(Raw_Nigeria!I211="","",Raw_Nigeria!I211)</f>
        <v>18.2</v>
      </c>
      <c r="N211" s="7" t="n">
        <f aca="false">Raw_Nigeria!M211</f>
        <v>50.5</v>
      </c>
      <c r="O211" s="7" t="n">
        <f aca="false">IF(Raw_Nigeria!N211="","",Raw_Nigeria!N211)</f>
        <v>3187</v>
      </c>
      <c r="P211" s="7" t="str">
        <f aca="false">IF(K211="CBAW","Women of child-bearing age","Children")</f>
        <v>Children</v>
      </c>
      <c r="Q211" s="7" t="n">
        <f aca="false">IF(J211="NOT USED",1,0)</f>
        <v>0</v>
      </c>
      <c r="R211" s="7" t="n">
        <f aca="false">IF(AND(P211="Children",Q211=0),1,0)</f>
        <v>1</v>
      </c>
      <c r="S211" s="7" t="n">
        <f aca="false">IF(AND(R211=1,J211="Record or Recall",K211="12-23 m"),1,0)</f>
        <v>0</v>
      </c>
      <c r="T211" s="7" t="n">
        <f aca="false">IF(OR(I211="BCG",I211="DTP1",I211="DTP3",I211="POL3",I211="MCV1",I211="FULL"),1,0)</f>
        <v>1</v>
      </c>
      <c r="U211" s="7" t="n">
        <f aca="false">IF(OR(C211="DHS",C211="MICS"),1,0)</f>
        <v>1</v>
      </c>
      <c r="V211" s="7" t="n">
        <f aca="false">IF(O211="",1,0)</f>
        <v>0</v>
      </c>
      <c r="W211" s="7" t="n">
        <f aca="false">IF(M211="",1,0)</f>
        <v>0</v>
      </c>
      <c r="X211" s="7" t="n">
        <f aca="false">COUNTIFS($B$2:$B$1141,B211,$H$2:$H$1141,H211,$I$2:$I$1141,I211,$J$2:$J$1141,J211,$K$2:$K$1141,K211,$L$2:$L$1141,L211)</f>
        <v>1</v>
      </c>
    </row>
    <row r="212" customFormat="false" ht="15" hidden="false" customHeight="false" outlineLevel="0" collapsed="false">
      <c r="A212" s="7" t="n">
        <f aca="false">ROW()-1</f>
        <v>211</v>
      </c>
      <c r="B212" s="7" t="str">
        <f aca="false">IF(Raw_Nigeria!B212="",TRIM(Raw_Nigeria!C212),TRIM(Raw_Nigeria!B212))</f>
        <v>Nigeria Multiple Indicator Cluster Survey 2007</v>
      </c>
      <c r="C212" s="7" t="str">
        <f aca="false">IF(ISNUMBER(SEARCH("Demographic and Health",B212)),"DHS",IF(OR(ISNUMBER(SEARCH("Multiple Indicator Cluster",B212)),ISNUMBER(SEARCH("MICS",B212))),"MICS",IF(ISNUMBER(SEARCH("Immunization Coverage Survey",B212)),"Coverage survey",IF(ISNUMBER(SEARCH("Nutrition",B212)),"Nutrition survey","Other"))))</f>
        <v>MICS</v>
      </c>
      <c r="D212" s="7" t="n">
        <f aca="false">VALUE(LEFT(Raw_Nigeria!D212,4))</f>
        <v>2007</v>
      </c>
      <c r="E212" s="7" t="n">
        <f aca="false">IF(VALUE(RIGHT(Raw_Nigeria!D212,2))&gt;12,"",VALUE(RIGHT(Raw_Nigeria!D212,2)))</f>
        <v>3</v>
      </c>
      <c r="F212" s="7" t="n">
        <f aca="false">VALUE(LEFT(Raw_Nigeria!E212,4))</f>
        <v>2007</v>
      </c>
      <c r="G212" s="7" t="n">
        <f aca="false">IF(VALUE(RIGHT(Raw_Nigeria!E212,2))&gt;12,"",VALUE(RIGHT(Raw_Nigeria!E212,2)))</f>
        <v>4</v>
      </c>
      <c r="H212" s="7" t="n">
        <f aca="false">Raw_Nigeria!F212</f>
        <v>2006</v>
      </c>
      <c r="I212" s="7" t="str">
        <f aca="false">UPPER(TRIM(Raw_Nigeria!G212))</f>
        <v>BCG</v>
      </c>
      <c r="J212" s="7" t="str">
        <f aca="false">Raw_Nigeria!H212</f>
        <v>Record</v>
      </c>
      <c r="K212" s="7" t="str">
        <f aca="false">Raw_Nigeria!L212</f>
        <v>12-23 m</v>
      </c>
      <c r="L212" s="7" t="str">
        <f aca="false">IF(Raw_Nigeria!K212="","n/a",Raw_Nigeria!K212)</f>
        <v>0-23 m</v>
      </c>
      <c r="M212" s="7" t="n">
        <f aca="false">IF(Raw_Nigeria!I212="","",Raw_Nigeria!I212)</f>
        <v>18.2</v>
      </c>
      <c r="N212" s="7" t="n">
        <f aca="false">Raw_Nigeria!M212</f>
        <v>16.9</v>
      </c>
      <c r="O212" s="7" t="n">
        <f aca="false">IF(Raw_Nigeria!N212="","",Raw_Nigeria!N212)</f>
        <v>3187</v>
      </c>
      <c r="P212" s="7" t="str">
        <f aca="false">IF(K212="CBAW","Women of child-bearing age","Children")</f>
        <v>Children</v>
      </c>
      <c r="Q212" s="7" t="n">
        <f aca="false">IF(J212="NOT USED",1,0)</f>
        <v>0</v>
      </c>
      <c r="R212" s="7" t="n">
        <f aca="false">IF(AND(P212="Children",Q212=0),1,0)</f>
        <v>1</v>
      </c>
      <c r="S212" s="7" t="n">
        <f aca="false">IF(AND(R212=1,J212="Record or Recall",K212="12-23 m"),1,0)</f>
        <v>0</v>
      </c>
      <c r="T212" s="7" t="n">
        <f aca="false">IF(OR(I212="BCG",I212="DTP1",I212="DTP3",I212="POL3",I212="MCV1",I212="FULL"),1,0)</f>
        <v>1</v>
      </c>
      <c r="U212" s="7" t="n">
        <f aca="false">IF(OR(C212="DHS",C212="MICS"),1,0)</f>
        <v>1</v>
      </c>
      <c r="V212" s="7" t="n">
        <f aca="false">IF(O212="",1,0)</f>
        <v>0</v>
      </c>
      <c r="W212" s="7" t="n">
        <f aca="false">IF(M212="",1,0)</f>
        <v>0</v>
      </c>
      <c r="X212" s="7" t="n">
        <f aca="false">COUNTIFS($B$2:$B$1141,B212,$H$2:$H$1141,H212,$I$2:$I$1141,I212,$J$2:$J$1141,J212,$K$2:$K$1141,K212,$L$2:$L$1141,L212)</f>
        <v>1</v>
      </c>
    </row>
    <row r="213" customFormat="false" ht="15" hidden="false" customHeight="false" outlineLevel="0" collapsed="false">
      <c r="A213" s="7" t="n">
        <f aca="false">ROW()-1</f>
        <v>212</v>
      </c>
      <c r="B213" s="7" t="str">
        <f aca="false">IF(Raw_Nigeria!B213="",TRIM(Raw_Nigeria!C213),TRIM(Raw_Nigeria!B213))</f>
        <v>Nigeria Multiple Indicator Cluster Survey 2007</v>
      </c>
      <c r="C213" s="7" t="str">
        <f aca="false">IF(ISNUMBER(SEARCH("Demographic and Health",B213)),"DHS",IF(OR(ISNUMBER(SEARCH("Multiple Indicator Cluster",B213)),ISNUMBER(SEARCH("MICS",B213))),"MICS",IF(ISNUMBER(SEARCH("Immunization Coverage Survey",B213)),"Coverage survey",IF(ISNUMBER(SEARCH("Nutrition",B213)),"Nutrition survey","Other"))))</f>
        <v>MICS</v>
      </c>
      <c r="D213" s="7" t="n">
        <f aca="false">VALUE(LEFT(Raw_Nigeria!D213,4))</f>
        <v>2007</v>
      </c>
      <c r="E213" s="7" t="n">
        <f aca="false">IF(VALUE(RIGHT(Raw_Nigeria!D213,2))&gt;12,"",VALUE(RIGHT(Raw_Nigeria!D213,2)))</f>
        <v>3</v>
      </c>
      <c r="F213" s="7" t="n">
        <f aca="false">VALUE(LEFT(Raw_Nigeria!E213,4))</f>
        <v>2007</v>
      </c>
      <c r="G213" s="7" t="n">
        <f aca="false">IF(VALUE(RIGHT(Raw_Nigeria!E213,2))&gt;12,"",VALUE(RIGHT(Raw_Nigeria!E213,2)))</f>
        <v>4</v>
      </c>
      <c r="H213" s="7" t="n">
        <f aca="false">Raw_Nigeria!F213</f>
        <v>2006</v>
      </c>
      <c r="I213" s="7" t="str">
        <f aca="false">UPPER(TRIM(Raw_Nigeria!G213))</f>
        <v>BCG</v>
      </c>
      <c r="J213" s="7" t="str">
        <f aca="false">Raw_Nigeria!H213</f>
        <v>Record or Recall</v>
      </c>
      <c r="K213" s="7" t="str">
        <f aca="false">Raw_Nigeria!L213</f>
        <v>12-23 m</v>
      </c>
      <c r="L213" s="7" t="str">
        <f aca="false">IF(Raw_Nigeria!K213="","n/a",Raw_Nigeria!K213)</f>
        <v>0-23 m</v>
      </c>
      <c r="M213" s="7" t="n">
        <f aca="false">IF(Raw_Nigeria!I213="","",Raw_Nigeria!I213)</f>
        <v>18.2</v>
      </c>
      <c r="N213" s="7" t="n">
        <f aca="false">Raw_Nigeria!M213</f>
        <v>51.5</v>
      </c>
      <c r="O213" s="7" t="n">
        <f aca="false">IF(Raw_Nigeria!N213="","",Raw_Nigeria!N213)</f>
        <v>3187</v>
      </c>
      <c r="P213" s="7" t="str">
        <f aca="false">IF(K213="CBAW","Women of child-bearing age","Children")</f>
        <v>Children</v>
      </c>
      <c r="Q213" s="7" t="n">
        <f aca="false">IF(J213="NOT USED",1,0)</f>
        <v>0</v>
      </c>
      <c r="R213" s="7" t="n">
        <f aca="false">IF(AND(P213="Children",Q213=0),1,0)</f>
        <v>1</v>
      </c>
      <c r="S213" s="7" t="n">
        <f aca="false">IF(AND(R213=1,J213="Record or Recall",K213="12-23 m"),1,0)</f>
        <v>1</v>
      </c>
      <c r="T213" s="7" t="n">
        <f aca="false">IF(OR(I213="BCG",I213="DTP1",I213="DTP3",I213="POL3",I213="MCV1",I213="FULL"),1,0)</f>
        <v>1</v>
      </c>
      <c r="U213" s="7" t="n">
        <f aca="false">IF(OR(C213="DHS",C213="MICS"),1,0)</f>
        <v>1</v>
      </c>
      <c r="V213" s="7" t="n">
        <f aca="false">IF(O213="",1,0)</f>
        <v>0</v>
      </c>
      <c r="W213" s="7" t="n">
        <f aca="false">IF(M213="",1,0)</f>
        <v>0</v>
      </c>
      <c r="X213" s="7" t="n">
        <f aca="false">COUNTIFS($B$2:$B$1141,B213,$H$2:$H$1141,H213,$I$2:$I$1141,I213,$J$2:$J$1141,J213,$K$2:$K$1141,K213,$L$2:$L$1141,L213)</f>
        <v>1</v>
      </c>
    </row>
    <row r="214" customFormat="false" ht="15" hidden="false" customHeight="false" outlineLevel="0" collapsed="false">
      <c r="A214" s="7" t="n">
        <f aca="false">ROW()-1</f>
        <v>213</v>
      </c>
      <c r="B214" s="7" t="str">
        <f aca="false">IF(Raw_Nigeria!B214="",TRIM(Raw_Nigeria!C214),TRIM(Raw_Nigeria!B214))</f>
        <v>Nigeria Multiple Indicator Cluster Survey 2007</v>
      </c>
      <c r="C214" s="7" t="str">
        <f aca="false">IF(ISNUMBER(SEARCH("Demographic and Health",B214)),"DHS",IF(OR(ISNUMBER(SEARCH("Multiple Indicator Cluster",B214)),ISNUMBER(SEARCH("MICS",B214))),"MICS",IF(ISNUMBER(SEARCH("Immunization Coverage Survey",B214)),"Coverage survey",IF(ISNUMBER(SEARCH("Nutrition",B214)),"Nutrition survey","Other"))))</f>
        <v>MICS</v>
      </c>
      <c r="D214" s="7" t="n">
        <f aca="false">VALUE(LEFT(Raw_Nigeria!D214,4))</f>
        <v>2007</v>
      </c>
      <c r="E214" s="7" t="n">
        <f aca="false">IF(VALUE(RIGHT(Raw_Nigeria!D214,2))&gt;12,"",VALUE(RIGHT(Raw_Nigeria!D214,2)))</f>
        <v>3</v>
      </c>
      <c r="F214" s="7" t="n">
        <f aca="false">VALUE(LEFT(Raw_Nigeria!E214,4))</f>
        <v>2007</v>
      </c>
      <c r="G214" s="7" t="n">
        <f aca="false">IF(VALUE(RIGHT(Raw_Nigeria!E214,2))&gt;12,"",VALUE(RIGHT(Raw_Nigeria!E214,2)))</f>
        <v>4</v>
      </c>
      <c r="H214" s="7" t="n">
        <f aca="false">Raw_Nigeria!F214</f>
        <v>2006</v>
      </c>
      <c r="I214" s="7" t="str">
        <f aca="false">UPPER(TRIM(Raw_Nigeria!G214))</f>
        <v>BCG</v>
      </c>
      <c r="J214" s="7" t="str">
        <f aca="false">Raw_Nigeria!H214</f>
        <v>Recall</v>
      </c>
      <c r="K214" s="7" t="str">
        <f aca="false">Raw_Nigeria!L214</f>
        <v>12-23 m</v>
      </c>
      <c r="L214" s="7" t="str">
        <f aca="false">IF(Raw_Nigeria!K214="","n/a",Raw_Nigeria!K214)</f>
        <v>0-23 m</v>
      </c>
      <c r="M214" s="7" t="n">
        <f aca="false">IF(Raw_Nigeria!I214="","",Raw_Nigeria!I214)</f>
        <v>18.2</v>
      </c>
      <c r="N214" s="7" t="n">
        <f aca="false">Raw_Nigeria!M214</f>
        <v>34.6</v>
      </c>
      <c r="O214" s="7" t="n">
        <f aca="false">IF(Raw_Nigeria!N214="","",Raw_Nigeria!N214)</f>
        <v>3187</v>
      </c>
      <c r="P214" s="7" t="str">
        <f aca="false">IF(K214="CBAW","Women of child-bearing age","Children")</f>
        <v>Children</v>
      </c>
      <c r="Q214" s="7" t="n">
        <f aca="false">IF(J214="NOT USED",1,0)</f>
        <v>0</v>
      </c>
      <c r="R214" s="7" t="n">
        <f aca="false">IF(AND(P214="Children",Q214=0),1,0)</f>
        <v>1</v>
      </c>
      <c r="S214" s="7" t="n">
        <f aca="false">IF(AND(R214=1,J214="Record or Recall",K214="12-23 m"),1,0)</f>
        <v>0</v>
      </c>
      <c r="T214" s="7" t="n">
        <f aca="false">IF(OR(I214="BCG",I214="DTP1",I214="DTP3",I214="POL3",I214="MCV1",I214="FULL"),1,0)</f>
        <v>1</v>
      </c>
      <c r="U214" s="7" t="n">
        <f aca="false">IF(OR(C214="DHS",C214="MICS"),1,0)</f>
        <v>1</v>
      </c>
      <c r="V214" s="7" t="n">
        <f aca="false">IF(O214="",1,0)</f>
        <v>0</v>
      </c>
      <c r="W214" s="7" t="n">
        <f aca="false">IF(M214="",1,0)</f>
        <v>0</v>
      </c>
      <c r="X214" s="7" t="n">
        <f aca="false">COUNTIFS($B$2:$B$1141,B214,$H$2:$H$1141,H214,$I$2:$I$1141,I214,$J$2:$J$1141,J214,$K$2:$K$1141,K214,$L$2:$L$1141,L214)</f>
        <v>1</v>
      </c>
    </row>
    <row r="215" customFormat="false" ht="15" hidden="false" customHeight="false" outlineLevel="0" collapsed="false">
      <c r="A215" s="7" t="n">
        <f aca="false">ROW()-1</f>
        <v>214</v>
      </c>
      <c r="B215" s="7" t="str">
        <f aca="false">IF(Raw_Nigeria!B215="",TRIM(Raw_Nigeria!C215),TRIM(Raw_Nigeria!B215))</f>
        <v>Nigeria Multiple Indicator Cluster Survey 2007</v>
      </c>
      <c r="C215" s="7" t="str">
        <f aca="false">IF(ISNUMBER(SEARCH("Demographic and Health",B215)),"DHS",IF(OR(ISNUMBER(SEARCH("Multiple Indicator Cluster",B215)),ISNUMBER(SEARCH("MICS",B215))),"MICS",IF(ISNUMBER(SEARCH("Immunization Coverage Survey",B215)),"Coverage survey",IF(ISNUMBER(SEARCH("Nutrition",B215)),"Nutrition survey","Other"))))</f>
        <v>MICS</v>
      </c>
      <c r="D215" s="7" t="n">
        <f aca="false">VALUE(LEFT(Raw_Nigeria!D215,4))</f>
        <v>2007</v>
      </c>
      <c r="E215" s="7" t="n">
        <f aca="false">IF(VALUE(RIGHT(Raw_Nigeria!D215,2))&gt;12,"",VALUE(RIGHT(Raw_Nigeria!D215,2)))</f>
        <v>3</v>
      </c>
      <c r="F215" s="7" t="n">
        <f aca="false">VALUE(LEFT(Raw_Nigeria!E215,4))</f>
        <v>2007</v>
      </c>
      <c r="G215" s="7" t="n">
        <f aca="false">IF(VALUE(RIGHT(Raw_Nigeria!E215,2))&gt;12,"",VALUE(RIGHT(Raw_Nigeria!E215,2)))</f>
        <v>4</v>
      </c>
      <c r="H215" s="7" t="n">
        <f aca="false">Raw_Nigeria!F215</f>
        <v>2006</v>
      </c>
      <c r="I215" s="7" t="str">
        <f aca="false">UPPER(TRIM(Raw_Nigeria!G215))</f>
        <v>DTP1</v>
      </c>
      <c r="J215" s="7" t="str">
        <f aca="false">Raw_Nigeria!H215</f>
        <v>Record or Recall&lt;12m</v>
      </c>
      <c r="K215" s="7" t="str">
        <f aca="false">Raw_Nigeria!L215</f>
        <v>12-23 m</v>
      </c>
      <c r="L215" s="7" t="str">
        <f aca="false">IF(Raw_Nigeria!K215="","n/a",Raw_Nigeria!K215)</f>
        <v>0-12 m</v>
      </c>
      <c r="M215" s="7" t="n">
        <f aca="false">IF(Raw_Nigeria!I215="","",Raw_Nigeria!I215)</f>
        <v>18.2</v>
      </c>
      <c r="N215" s="7" t="n">
        <f aca="false">Raw_Nigeria!M215</f>
        <v>46.4</v>
      </c>
      <c r="O215" s="7" t="n">
        <f aca="false">IF(Raw_Nigeria!N215="","",Raw_Nigeria!N215)</f>
        <v>3187</v>
      </c>
      <c r="P215" s="7" t="str">
        <f aca="false">IF(K215="CBAW","Women of child-bearing age","Children")</f>
        <v>Children</v>
      </c>
      <c r="Q215" s="7" t="n">
        <f aca="false">IF(J215="NOT USED",1,0)</f>
        <v>0</v>
      </c>
      <c r="R215" s="7" t="n">
        <f aca="false">IF(AND(P215="Children",Q215=0),1,0)</f>
        <v>1</v>
      </c>
      <c r="S215" s="7" t="n">
        <f aca="false">IF(AND(R215=1,J215="Record or Recall",K215="12-23 m"),1,0)</f>
        <v>0</v>
      </c>
      <c r="T215" s="7" t="n">
        <f aca="false">IF(OR(I215="BCG",I215="DTP1",I215="DTP3",I215="POL3",I215="MCV1",I215="FULL"),1,0)</f>
        <v>1</v>
      </c>
      <c r="U215" s="7" t="n">
        <f aca="false">IF(OR(C215="DHS",C215="MICS"),1,0)</f>
        <v>1</v>
      </c>
      <c r="V215" s="7" t="n">
        <f aca="false">IF(O215="",1,0)</f>
        <v>0</v>
      </c>
      <c r="W215" s="7" t="n">
        <f aca="false">IF(M215="",1,0)</f>
        <v>0</v>
      </c>
      <c r="X215" s="7" t="n">
        <f aca="false">COUNTIFS($B$2:$B$1141,B215,$H$2:$H$1141,H215,$I$2:$I$1141,I215,$J$2:$J$1141,J215,$K$2:$K$1141,K215,$L$2:$L$1141,L215)</f>
        <v>1</v>
      </c>
    </row>
    <row r="216" customFormat="false" ht="15" hidden="false" customHeight="false" outlineLevel="0" collapsed="false">
      <c r="A216" s="7" t="n">
        <f aca="false">ROW()-1</f>
        <v>215</v>
      </c>
      <c r="B216" s="7" t="str">
        <f aca="false">IF(Raw_Nigeria!B216="",TRIM(Raw_Nigeria!C216),TRIM(Raw_Nigeria!B216))</f>
        <v>Nigeria Multiple Indicator Cluster Survey 2007</v>
      </c>
      <c r="C216" s="7" t="str">
        <f aca="false">IF(ISNUMBER(SEARCH("Demographic and Health",B216)),"DHS",IF(OR(ISNUMBER(SEARCH("Multiple Indicator Cluster",B216)),ISNUMBER(SEARCH("MICS",B216))),"MICS",IF(ISNUMBER(SEARCH("Immunization Coverage Survey",B216)),"Coverage survey",IF(ISNUMBER(SEARCH("Nutrition",B216)),"Nutrition survey","Other"))))</f>
        <v>MICS</v>
      </c>
      <c r="D216" s="7" t="n">
        <f aca="false">VALUE(LEFT(Raw_Nigeria!D216,4))</f>
        <v>2007</v>
      </c>
      <c r="E216" s="7" t="n">
        <f aca="false">IF(VALUE(RIGHT(Raw_Nigeria!D216,2))&gt;12,"",VALUE(RIGHT(Raw_Nigeria!D216,2)))</f>
        <v>3</v>
      </c>
      <c r="F216" s="7" t="n">
        <f aca="false">VALUE(LEFT(Raw_Nigeria!E216,4))</f>
        <v>2007</v>
      </c>
      <c r="G216" s="7" t="n">
        <f aca="false">IF(VALUE(RIGHT(Raw_Nigeria!E216,2))&gt;12,"",VALUE(RIGHT(Raw_Nigeria!E216,2)))</f>
        <v>4</v>
      </c>
      <c r="H216" s="7" t="n">
        <f aca="false">Raw_Nigeria!F216</f>
        <v>2006</v>
      </c>
      <c r="I216" s="7" t="str">
        <f aca="false">UPPER(TRIM(Raw_Nigeria!G216))</f>
        <v>DTP1</v>
      </c>
      <c r="J216" s="7" t="str">
        <f aca="false">Raw_Nigeria!H216</f>
        <v>Record</v>
      </c>
      <c r="K216" s="7" t="str">
        <f aca="false">Raw_Nigeria!L216</f>
        <v>12-23 m</v>
      </c>
      <c r="L216" s="7" t="str">
        <f aca="false">IF(Raw_Nigeria!K216="","n/a",Raw_Nigeria!K216)</f>
        <v>0-23 m</v>
      </c>
      <c r="M216" s="7" t="n">
        <f aca="false">IF(Raw_Nigeria!I216="","",Raw_Nigeria!I216)</f>
        <v>18.2</v>
      </c>
      <c r="N216" s="7" t="n">
        <f aca="false">Raw_Nigeria!M216</f>
        <v>17</v>
      </c>
      <c r="O216" s="7" t="n">
        <f aca="false">IF(Raw_Nigeria!N216="","",Raw_Nigeria!N216)</f>
        <v>3187</v>
      </c>
      <c r="P216" s="7" t="str">
        <f aca="false">IF(K216="CBAW","Women of child-bearing age","Children")</f>
        <v>Children</v>
      </c>
      <c r="Q216" s="7" t="n">
        <f aca="false">IF(J216="NOT USED",1,0)</f>
        <v>0</v>
      </c>
      <c r="R216" s="7" t="n">
        <f aca="false">IF(AND(P216="Children",Q216=0),1,0)</f>
        <v>1</v>
      </c>
      <c r="S216" s="7" t="n">
        <f aca="false">IF(AND(R216=1,J216="Record or Recall",K216="12-23 m"),1,0)</f>
        <v>0</v>
      </c>
      <c r="T216" s="7" t="n">
        <f aca="false">IF(OR(I216="BCG",I216="DTP1",I216="DTP3",I216="POL3",I216="MCV1",I216="FULL"),1,0)</f>
        <v>1</v>
      </c>
      <c r="U216" s="7" t="n">
        <f aca="false">IF(OR(C216="DHS",C216="MICS"),1,0)</f>
        <v>1</v>
      </c>
      <c r="V216" s="7" t="n">
        <f aca="false">IF(O216="",1,0)</f>
        <v>0</v>
      </c>
      <c r="W216" s="7" t="n">
        <f aca="false">IF(M216="",1,0)</f>
        <v>0</v>
      </c>
      <c r="X216" s="7" t="n">
        <f aca="false">COUNTIFS($B$2:$B$1141,B216,$H$2:$H$1141,H216,$I$2:$I$1141,I216,$J$2:$J$1141,J216,$K$2:$K$1141,K216,$L$2:$L$1141,L216)</f>
        <v>1</v>
      </c>
    </row>
    <row r="217" customFormat="false" ht="15" hidden="false" customHeight="false" outlineLevel="0" collapsed="false">
      <c r="A217" s="7" t="n">
        <f aca="false">ROW()-1</f>
        <v>216</v>
      </c>
      <c r="B217" s="7" t="str">
        <f aca="false">IF(Raw_Nigeria!B217="",TRIM(Raw_Nigeria!C217),TRIM(Raw_Nigeria!B217))</f>
        <v>Nigeria Multiple Indicator Cluster Survey 2007</v>
      </c>
      <c r="C217" s="7" t="str">
        <f aca="false">IF(ISNUMBER(SEARCH("Demographic and Health",B217)),"DHS",IF(OR(ISNUMBER(SEARCH("Multiple Indicator Cluster",B217)),ISNUMBER(SEARCH("MICS",B217))),"MICS",IF(ISNUMBER(SEARCH("Immunization Coverage Survey",B217)),"Coverage survey",IF(ISNUMBER(SEARCH("Nutrition",B217)),"Nutrition survey","Other"))))</f>
        <v>MICS</v>
      </c>
      <c r="D217" s="7" t="n">
        <f aca="false">VALUE(LEFT(Raw_Nigeria!D217,4))</f>
        <v>2007</v>
      </c>
      <c r="E217" s="7" t="n">
        <f aca="false">IF(VALUE(RIGHT(Raw_Nigeria!D217,2))&gt;12,"",VALUE(RIGHT(Raw_Nigeria!D217,2)))</f>
        <v>3</v>
      </c>
      <c r="F217" s="7" t="n">
        <f aca="false">VALUE(LEFT(Raw_Nigeria!E217,4))</f>
        <v>2007</v>
      </c>
      <c r="G217" s="7" t="n">
        <f aca="false">IF(VALUE(RIGHT(Raw_Nigeria!E217,2))&gt;12,"",VALUE(RIGHT(Raw_Nigeria!E217,2)))</f>
        <v>4</v>
      </c>
      <c r="H217" s="7" t="n">
        <f aca="false">Raw_Nigeria!F217</f>
        <v>2006</v>
      </c>
      <c r="I217" s="7" t="str">
        <f aca="false">UPPER(TRIM(Raw_Nigeria!G217))</f>
        <v>DTP1</v>
      </c>
      <c r="J217" s="7" t="str">
        <f aca="false">Raw_Nigeria!H217</f>
        <v>Record or Recall</v>
      </c>
      <c r="K217" s="7" t="str">
        <f aca="false">Raw_Nigeria!L217</f>
        <v>12-23 m</v>
      </c>
      <c r="L217" s="7" t="str">
        <f aca="false">IF(Raw_Nigeria!K217="","n/a",Raw_Nigeria!K217)</f>
        <v>0-23 m</v>
      </c>
      <c r="M217" s="7" t="n">
        <f aca="false">IF(Raw_Nigeria!I217="","",Raw_Nigeria!I217)</f>
        <v>18.2</v>
      </c>
      <c r="N217" s="7" t="n">
        <f aca="false">Raw_Nigeria!M217</f>
        <v>48.6</v>
      </c>
      <c r="O217" s="7" t="n">
        <f aca="false">IF(Raw_Nigeria!N217="","",Raw_Nigeria!N217)</f>
        <v>3187</v>
      </c>
      <c r="P217" s="7" t="str">
        <f aca="false">IF(K217="CBAW","Women of child-bearing age","Children")</f>
        <v>Children</v>
      </c>
      <c r="Q217" s="7" t="n">
        <f aca="false">IF(J217="NOT USED",1,0)</f>
        <v>0</v>
      </c>
      <c r="R217" s="7" t="n">
        <f aca="false">IF(AND(P217="Children",Q217=0),1,0)</f>
        <v>1</v>
      </c>
      <c r="S217" s="7" t="n">
        <f aca="false">IF(AND(R217=1,J217="Record or Recall",K217="12-23 m"),1,0)</f>
        <v>1</v>
      </c>
      <c r="T217" s="7" t="n">
        <f aca="false">IF(OR(I217="BCG",I217="DTP1",I217="DTP3",I217="POL3",I217="MCV1",I217="FULL"),1,0)</f>
        <v>1</v>
      </c>
      <c r="U217" s="7" t="n">
        <f aca="false">IF(OR(C217="DHS",C217="MICS"),1,0)</f>
        <v>1</v>
      </c>
      <c r="V217" s="7" t="n">
        <f aca="false">IF(O217="",1,0)</f>
        <v>0</v>
      </c>
      <c r="W217" s="7" t="n">
        <f aca="false">IF(M217="",1,0)</f>
        <v>0</v>
      </c>
      <c r="X217" s="7" t="n">
        <f aca="false">COUNTIFS($B$2:$B$1141,B217,$H$2:$H$1141,H217,$I$2:$I$1141,I217,$J$2:$J$1141,J217,$K$2:$K$1141,K217,$L$2:$L$1141,L217)</f>
        <v>1</v>
      </c>
    </row>
    <row r="218" customFormat="false" ht="15" hidden="false" customHeight="false" outlineLevel="0" collapsed="false">
      <c r="A218" s="7" t="n">
        <f aca="false">ROW()-1</f>
        <v>217</v>
      </c>
      <c r="B218" s="7" t="str">
        <f aca="false">IF(Raw_Nigeria!B218="",TRIM(Raw_Nigeria!C218),TRIM(Raw_Nigeria!B218))</f>
        <v>Nigeria Multiple Indicator Cluster Survey 2007</v>
      </c>
      <c r="C218" s="7" t="str">
        <f aca="false">IF(ISNUMBER(SEARCH("Demographic and Health",B218)),"DHS",IF(OR(ISNUMBER(SEARCH("Multiple Indicator Cluster",B218)),ISNUMBER(SEARCH("MICS",B218))),"MICS",IF(ISNUMBER(SEARCH("Immunization Coverage Survey",B218)),"Coverage survey",IF(ISNUMBER(SEARCH("Nutrition",B218)),"Nutrition survey","Other"))))</f>
        <v>MICS</v>
      </c>
      <c r="D218" s="7" t="n">
        <f aca="false">VALUE(LEFT(Raw_Nigeria!D218,4))</f>
        <v>2007</v>
      </c>
      <c r="E218" s="7" t="n">
        <f aca="false">IF(VALUE(RIGHT(Raw_Nigeria!D218,2))&gt;12,"",VALUE(RIGHT(Raw_Nigeria!D218,2)))</f>
        <v>3</v>
      </c>
      <c r="F218" s="7" t="n">
        <f aca="false">VALUE(LEFT(Raw_Nigeria!E218,4))</f>
        <v>2007</v>
      </c>
      <c r="G218" s="7" t="n">
        <f aca="false">IF(VALUE(RIGHT(Raw_Nigeria!E218,2))&gt;12,"",VALUE(RIGHT(Raw_Nigeria!E218,2)))</f>
        <v>4</v>
      </c>
      <c r="H218" s="7" t="n">
        <f aca="false">Raw_Nigeria!F218</f>
        <v>2006</v>
      </c>
      <c r="I218" s="7" t="str">
        <f aca="false">UPPER(TRIM(Raw_Nigeria!G218))</f>
        <v>DTP1</v>
      </c>
      <c r="J218" s="7" t="str">
        <f aca="false">Raw_Nigeria!H218</f>
        <v>Recall</v>
      </c>
      <c r="K218" s="7" t="str">
        <f aca="false">Raw_Nigeria!L218</f>
        <v>12-23 m</v>
      </c>
      <c r="L218" s="7" t="str">
        <f aca="false">IF(Raw_Nigeria!K218="","n/a",Raw_Nigeria!K218)</f>
        <v>0-23 m</v>
      </c>
      <c r="M218" s="7" t="n">
        <f aca="false">IF(Raw_Nigeria!I218="","",Raw_Nigeria!I218)</f>
        <v>18.2</v>
      </c>
      <c r="N218" s="7" t="n">
        <f aca="false">Raw_Nigeria!M218</f>
        <v>31.6</v>
      </c>
      <c r="O218" s="7" t="n">
        <f aca="false">IF(Raw_Nigeria!N218="","",Raw_Nigeria!N218)</f>
        <v>3187</v>
      </c>
      <c r="P218" s="7" t="str">
        <f aca="false">IF(K218="CBAW","Women of child-bearing age","Children")</f>
        <v>Children</v>
      </c>
      <c r="Q218" s="7" t="n">
        <f aca="false">IF(J218="NOT USED",1,0)</f>
        <v>0</v>
      </c>
      <c r="R218" s="7" t="n">
        <f aca="false">IF(AND(P218="Children",Q218=0),1,0)</f>
        <v>1</v>
      </c>
      <c r="S218" s="7" t="n">
        <f aca="false">IF(AND(R218=1,J218="Record or Recall",K218="12-23 m"),1,0)</f>
        <v>0</v>
      </c>
      <c r="T218" s="7" t="n">
        <f aca="false">IF(OR(I218="BCG",I218="DTP1",I218="DTP3",I218="POL3",I218="MCV1",I218="FULL"),1,0)</f>
        <v>1</v>
      </c>
      <c r="U218" s="7" t="n">
        <f aca="false">IF(OR(C218="DHS",C218="MICS"),1,0)</f>
        <v>1</v>
      </c>
      <c r="V218" s="7" t="n">
        <f aca="false">IF(O218="",1,0)</f>
        <v>0</v>
      </c>
      <c r="W218" s="7" t="n">
        <f aca="false">IF(M218="",1,0)</f>
        <v>0</v>
      </c>
      <c r="X218" s="7" t="n">
        <f aca="false">COUNTIFS($B$2:$B$1141,B218,$H$2:$H$1141,H218,$I$2:$I$1141,I218,$J$2:$J$1141,J218,$K$2:$K$1141,K218,$L$2:$L$1141,L218)</f>
        <v>1</v>
      </c>
    </row>
    <row r="219" customFormat="false" ht="15" hidden="false" customHeight="false" outlineLevel="0" collapsed="false">
      <c r="A219" s="7" t="n">
        <f aca="false">ROW()-1</f>
        <v>218</v>
      </c>
      <c r="B219" s="7" t="str">
        <f aca="false">IF(Raw_Nigeria!B219="",TRIM(Raw_Nigeria!C219),TRIM(Raw_Nigeria!B219))</f>
        <v>Nigeria Multiple Indicator Cluster Survey 2007</v>
      </c>
      <c r="C219" s="7" t="str">
        <f aca="false">IF(ISNUMBER(SEARCH("Demographic and Health",B219)),"DHS",IF(OR(ISNUMBER(SEARCH("Multiple Indicator Cluster",B219)),ISNUMBER(SEARCH("MICS",B219))),"MICS",IF(ISNUMBER(SEARCH("Immunization Coverage Survey",B219)),"Coverage survey",IF(ISNUMBER(SEARCH("Nutrition",B219)),"Nutrition survey","Other"))))</f>
        <v>MICS</v>
      </c>
      <c r="D219" s="7" t="n">
        <f aca="false">VALUE(LEFT(Raw_Nigeria!D219,4))</f>
        <v>2007</v>
      </c>
      <c r="E219" s="7" t="n">
        <f aca="false">IF(VALUE(RIGHT(Raw_Nigeria!D219,2))&gt;12,"",VALUE(RIGHT(Raw_Nigeria!D219,2)))</f>
        <v>3</v>
      </c>
      <c r="F219" s="7" t="n">
        <f aca="false">VALUE(LEFT(Raw_Nigeria!E219,4))</f>
        <v>2007</v>
      </c>
      <c r="G219" s="7" t="n">
        <f aca="false">IF(VALUE(RIGHT(Raw_Nigeria!E219,2))&gt;12,"",VALUE(RIGHT(Raw_Nigeria!E219,2)))</f>
        <v>4</v>
      </c>
      <c r="H219" s="7" t="n">
        <f aca="false">Raw_Nigeria!F219</f>
        <v>2006</v>
      </c>
      <c r="I219" s="7" t="str">
        <f aca="false">UPPER(TRIM(Raw_Nigeria!G219))</f>
        <v>DTP3</v>
      </c>
      <c r="J219" s="7" t="str">
        <f aca="false">Raw_Nigeria!H219</f>
        <v>Record or Recall&lt;12m</v>
      </c>
      <c r="K219" s="7" t="str">
        <f aca="false">Raw_Nigeria!L219</f>
        <v>12-23 m</v>
      </c>
      <c r="L219" s="7" t="str">
        <f aca="false">IF(Raw_Nigeria!K219="","n/a",Raw_Nigeria!K219)</f>
        <v>0-12 m</v>
      </c>
      <c r="M219" s="7" t="n">
        <f aca="false">IF(Raw_Nigeria!I219="","",Raw_Nigeria!I219)</f>
        <v>18.2</v>
      </c>
      <c r="N219" s="7" t="n">
        <f aca="false">Raw_Nigeria!M219</f>
        <v>28.1</v>
      </c>
      <c r="O219" s="7" t="n">
        <f aca="false">IF(Raw_Nigeria!N219="","",Raw_Nigeria!N219)</f>
        <v>3187</v>
      </c>
      <c r="P219" s="7" t="str">
        <f aca="false">IF(K219="CBAW","Women of child-bearing age","Children")</f>
        <v>Children</v>
      </c>
      <c r="Q219" s="7" t="n">
        <f aca="false">IF(J219="NOT USED",1,0)</f>
        <v>0</v>
      </c>
      <c r="R219" s="7" t="n">
        <f aca="false">IF(AND(P219="Children",Q219=0),1,0)</f>
        <v>1</v>
      </c>
      <c r="S219" s="7" t="n">
        <f aca="false">IF(AND(R219=1,J219="Record or Recall",K219="12-23 m"),1,0)</f>
        <v>0</v>
      </c>
      <c r="T219" s="7" t="n">
        <f aca="false">IF(OR(I219="BCG",I219="DTP1",I219="DTP3",I219="POL3",I219="MCV1",I219="FULL"),1,0)</f>
        <v>1</v>
      </c>
      <c r="U219" s="7" t="n">
        <f aca="false">IF(OR(C219="DHS",C219="MICS"),1,0)</f>
        <v>1</v>
      </c>
      <c r="V219" s="7" t="n">
        <f aca="false">IF(O219="",1,0)</f>
        <v>0</v>
      </c>
      <c r="W219" s="7" t="n">
        <f aca="false">IF(M219="",1,0)</f>
        <v>0</v>
      </c>
      <c r="X219" s="7" t="n">
        <f aca="false">COUNTIFS($B$2:$B$1141,B219,$H$2:$H$1141,H219,$I$2:$I$1141,I219,$J$2:$J$1141,J219,$K$2:$K$1141,K219,$L$2:$L$1141,L219)</f>
        <v>1</v>
      </c>
    </row>
    <row r="220" customFormat="false" ht="15" hidden="false" customHeight="false" outlineLevel="0" collapsed="false">
      <c r="A220" s="7" t="n">
        <f aca="false">ROW()-1</f>
        <v>219</v>
      </c>
      <c r="B220" s="7" t="str">
        <f aca="false">IF(Raw_Nigeria!B220="",TRIM(Raw_Nigeria!C220),TRIM(Raw_Nigeria!B220))</f>
        <v>Nigeria Multiple Indicator Cluster Survey 2007</v>
      </c>
      <c r="C220" s="7" t="str">
        <f aca="false">IF(ISNUMBER(SEARCH("Demographic and Health",B220)),"DHS",IF(OR(ISNUMBER(SEARCH("Multiple Indicator Cluster",B220)),ISNUMBER(SEARCH("MICS",B220))),"MICS",IF(ISNUMBER(SEARCH("Immunization Coverage Survey",B220)),"Coverage survey",IF(ISNUMBER(SEARCH("Nutrition",B220)),"Nutrition survey","Other"))))</f>
        <v>MICS</v>
      </c>
      <c r="D220" s="7" t="n">
        <f aca="false">VALUE(LEFT(Raw_Nigeria!D220,4))</f>
        <v>2007</v>
      </c>
      <c r="E220" s="7" t="n">
        <f aca="false">IF(VALUE(RIGHT(Raw_Nigeria!D220,2))&gt;12,"",VALUE(RIGHT(Raw_Nigeria!D220,2)))</f>
        <v>3</v>
      </c>
      <c r="F220" s="7" t="n">
        <f aca="false">VALUE(LEFT(Raw_Nigeria!E220,4))</f>
        <v>2007</v>
      </c>
      <c r="G220" s="7" t="n">
        <f aca="false">IF(VALUE(RIGHT(Raw_Nigeria!E220,2))&gt;12,"",VALUE(RIGHT(Raw_Nigeria!E220,2)))</f>
        <v>4</v>
      </c>
      <c r="H220" s="7" t="n">
        <f aca="false">Raw_Nigeria!F220</f>
        <v>2006</v>
      </c>
      <c r="I220" s="7" t="str">
        <f aca="false">UPPER(TRIM(Raw_Nigeria!G220))</f>
        <v>DTP3</v>
      </c>
      <c r="J220" s="7" t="str">
        <f aca="false">Raw_Nigeria!H220</f>
        <v>Record</v>
      </c>
      <c r="K220" s="7" t="str">
        <f aca="false">Raw_Nigeria!L220</f>
        <v>12-23 m</v>
      </c>
      <c r="L220" s="7" t="str">
        <f aca="false">IF(Raw_Nigeria!K220="","n/a",Raw_Nigeria!K220)</f>
        <v>0-23 m</v>
      </c>
      <c r="M220" s="7" t="n">
        <f aca="false">IF(Raw_Nigeria!I220="","",Raw_Nigeria!I220)</f>
        <v>18.2</v>
      </c>
      <c r="N220" s="7" t="n">
        <f aca="false">Raw_Nigeria!M220</f>
        <v>14.1</v>
      </c>
      <c r="O220" s="7" t="n">
        <f aca="false">IF(Raw_Nigeria!N220="","",Raw_Nigeria!N220)</f>
        <v>3187</v>
      </c>
      <c r="P220" s="7" t="str">
        <f aca="false">IF(K220="CBAW","Women of child-bearing age","Children")</f>
        <v>Children</v>
      </c>
      <c r="Q220" s="7" t="n">
        <f aca="false">IF(J220="NOT USED",1,0)</f>
        <v>0</v>
      </c>
      <c r="R220" s="7" t="n">
        <f aca="false">IF(AND(P220="Children",Q220=0),1,0)</f>
        <v>1</v>
      </c>
      <c r="S220" s="7" t="n">
        <f aca="false">IF(AND(R220=1,J220="Record or Recall",K220="12-23 m"),1,0)</f>
        <v>0</v>
      </c>
      <c r="T220" s="7" t="n">
        <f aca="false">IF(OR(I220="BCG",I220="DTP1",I220="DTP3",I220="POL3",I220="MCV1",I220="FULL"),1,0)</f>
        <v>1</v>
      </c>
      <c r="U220" s="7" t="n">
        <f aca="false">IF(OR(C220="DHS",C220="MICS"),1,0)</f>
        <v>1</v>
      </c>
      <c r="V220" s="7" t="n">
        <f aca="false">IF(O220="",1,0)</f>
        <v>0</v>
      </c>
      <c r="W220" s="7" t="n">
        <f aca="false">IF(M220="",1,0)</f>
        <v>0</v>
      </c>
      <c r="X220" s="7" t="n">
        <f aca="false">COUNTIFS($B$2:$B$1141,B220,$H$2:$H$1141,H220,$I$2:$I$1141,I220,$J$2:$J$1141,J220,$K$2:$K$1141,K220,$L$2:$L$1141,L220)</f>
        <v>1</v>
      </c>
    </row>
    <row r="221" customFormat="false" ht="15" hidden="false" customHeight="false" outlineLevel="0" collapsed="false">
      <c r="A221" s="7" t="n">
        <f aca="false">ROW()-1</f>
        <v>220</v>
      </c>
      <c r="B221" s="7" t="str">
        <f aca="false">IF(Raw_Nigeria!B221="",TRIM(Raw_Nigeria!C221),TRIM(Raw_Nigeria!B221))</f>
        <v>Nigeria Multiple Indicator Cluster Survey 2007</v>
      </c>
      <c r="C221" s="7" t="str">
        <f aca="false">IF(ISNUMBER(SEARCH("Demographic and Health",B221)),"DHS",IF(OR(ISNUMBER(SEARCH("Multiple Indicator Cluster",B221)),ISNUMBER(SEARCH("MICS",B221))),"MICS",IF(ISNUMBER(SEARCH("Immunization Coverage Survey",B221)),"Coverage survey",IF(ISNUMBER(SEARCH("Nutrition",B221)),"Nutrition survey","Other"))))</f>
        <v>MICS</v>
      </c>
      <c r="D221" s="7" t="n">
        <f aca="false">VALUE(LEFT(Raw_Nigeria!D221,4))</f>
        <v>2007</v>
      </c>
      <c r="E221" s="7" t="n">
        <f aca="false">IF(VALUE(RIGHT(Raw_Nigeria!D221,2))&gt;12,"",VALUE(RIGHT(Raw_Nigeria!D221,2)))</f>
        <v>3</v>
      </c>
      <c r="F221" s="7" t="n">
        <f aca="false">VALUE(LEFT(Raw_Nigeria!E221,4))</f>
        <v>2007</v>
      </c>
      <c r="G221" s="7" t="n">
        <f aca="false">IF(VALUE(RIGHT(Raw_Nigeria!E221,2))&gt;12,"",VALUE(RIGHT(Raw_Nigeria!E221,2)))</f>
        <v>4</v>
      </c>
      <c r="H221" s="7" t="n">
        <f aca="false">Raw_Nigeria!F221</f>
        <v>2006</v>
      </c>
      <c r="I221" s="7" t="str">
        <f aca="false">UPPER(TRIM(Raw_Nigeria!G221))</f>
        <v>DTP3</v>
      </c>
      <c r="J221" s="7" t="str">
        <f aca="false">Raw_Nigeria!H221</f>
        <v>Record or Recall</v>
      </c>
      <c r="K221" s="7" t="str">
        <f aca="false">Raw_Nigeria!L221</f>
        <v>12-23 m</v>
      </c>
      <c r="L221" s="7" t="str">
        <f aca="false">IF(Raw_Nigeria!K221="","n/a",Raw_Nigeria!K221)</f>
        <v>0-23 m</v>
      </c>
      <c r="M221" s="7" t="n">
        <f aca="false">IF(Raw_Nigeria!I221="","",Raw_Nigeria!I221)</f>
        <v>18.2</v>
      </c>
      <c r="N221" s="7" t="n">
        <f aca="false">Raw_Nigeria!M221</f>
        <v>29.6</v>
      </c>
      <c r="O221" s="7" t="n">
        <f aca="false">IF(Raw_Nigeria!N221="","",Raw_Nigeria!N221)</f>
        <v>3187</v>
      </c>
      <c r="P221" s="7" t="str">
        <f aca="false">IF(K221="CBAW","Women of child-bearing age","Children")</f>
        <v>Children</v>
      </c>
      <c r="Q221" s="7" t="n">
        <f aca="false">IF(J221="NOT USED",1,0)</f>
        <v>0</v>
      </c>
      <c r="R221" s="7" t="n">
        <f aca="false">IF(AND(P221="Children",Q221=0),1,0)</f>
        <v>1</v>
      </c>
      <c r="S221" s="7" t="n">
        <f aca="false">IF(AND(R221=1,J221="Record or Recall",K221="12-23 m"),1,0)</f>
        <v>1</v>
      </c>
      <c r="T221" s="7" t="n">
        <f aca="false">IF(OR(I221="BCG",I221="DTP1",I221="DTP3",I221="POL3",I221="MCV1",I221="FULL"),1,0)</f>
        <v>1</v>
      </c>
      <c r="U221" s="7" t="n">
        <f aca="false">IF(OR(C221="DHS",C221="MICS"),1,0)</f>
        <v>1</v>
      </c>
      <c r="V221" s="7" t="n">
        <f aca="false">IF(O221="",1,0)</f>
        <v>0</v>
      </c>
      <c r="W221" s="7" t="n">
        <f aca="false">IF(M221="",1,0)</f>
        <v>0</v>
      </c>
      <c r="X221" s="7" t="n">
        <f aca="false">COUNTIFS($B$2:$B$1141,B221,$H$2:$H$1141,H221,$I$2:$I$1141,I221,$J$2:$J$1141,J221,$K$2:$K$1141,K221,$L$2:$L$1141,L221)</f>
        <v>1</v>
      </c>
    </row>
    <row r="222" customFormat="false" ht="15" hidden="false" customHeight="false" outlineLevel="0" collapsed="false">
      <c r="A222" s="7" t="n">
        <f aca="false">ROW()-1</f>
        <v>221</v>
      </c>
      <c r="B222" s="7" t="str">
        <f aca="false">IF(Raw_Nigeria!B222="",TRIM(Raw_Nigeria!C222),TRIM(Raw_Nigeria!B222))</f>
        <v>Nigeria Multiple Indicator Cluster Survey 2007</v>
      </c>
      <c r="C222" s="7" t="str">
        <f aca="false">IF(ISNUMBER(SEARCH("Demographic and Health",B222)),"DHS",IF(OR(ISNUMBER(SEARCH("Multiple Indicator Cluster",B222)),ISNUMBER(SEARCH("MICS",B222))),"MICS",IF(ISNUMBER(SEARCH("Immunization Coverage Survey",B222)),"Coverage survey",IF(ISNUMBER(SEARCH("Nutrition",B222)),"Nutrition survey","Other"))))</f>
        <v>MICS</v>
      </c>
      <c r="D222" s="7" t="n">
        <f aca="false">VALUE(LEFT(Raw_Nigeria!D222,4))</f>
        <v>2007</v>
      </c>
      <c r="E222" s="7" t="n">
        <f aca="false">IF(VALUE(RIGHT(Raw_Nigeria!D222,2))&gt;12,"",VALUE(RIGHT(Raw_Nigeria!D222,2)))</f>
        <v>3</v>
      </c>
      <c r="F222" s="7" t="n">
        <f aca="false">VALUE(LEFT(Raw_Nigeria!E222,4))</f>
        <v>2007</v>
      </c>
      <c r="G222" s="7" t="n">
        <f aca="false">IF(VALUE(RIGHT(Raw_Nigeria!E222,2))&gt;12,"",VALUE(RIGHT(Raw_Nigeria!E222,2)))</f>
        <v>4</v>
      </c>
      <c r="H222" s="7" t="n">
        <f aca="false">Raw_Nigeria!F222</f>
        <v>2006</v>
      </c>
      <c r="I222" s="7" t="str">
        <f aca="false">UPPER(TRIM(Raw_Nigeria!G222))</f>
        <v>DTP3</v>
      </c>
      <c r="J222" s="7" t="str">
        <f aca="false">Raw_Nigeria!H222</f>
        <v>Recall</v>
      </c>
      <c r="K222" s="7" t="str">
        <f aca="false">Raw_Nigeria!L222</f>
        <v>12-23 m</v>
      </c>
      <c r="L222" s="7" t="str">
        <f aca="false">IF(Raw_Nigeria!K222="","n/a",Raw_Nigeria!K222)</f>
        <v>0-23 m</v>
      </c>
      <c r="M222" s="7" t="n">
        <f aca="false">IF(Raw_Nigeria!I222="","",Raw_Nigeria!I222)</f>
        <v>18.2</v>
      </c>
      <c r="N222" s="7" t="n">
        <f aca="false">Raw_Nigeria!M222</f>
        <v>15.6</v>
      </c>
      <c r="O222" s="7" t="n">
        <f aca="false">IF(Raw_Nigeria!N222="","",Raw_Nigeria!N222)</f>
        <v>3187</v>
      </c>
      <c r="P222" s="7" t="str">
        <f aca="false">IF(K222="CBAW","Women of child-bearing age","Children")</f>
        <v>Children</v>
      </c>
      <c r="Q222" s="7" t="n">
        <f aca="false">IF(J222="NOT USED",1,0)</f>
        <v>0</v>
      </c>
      <c r="R222" s="7" t="n">
        <f aca="false">IF(AND(P222="Children",Q222=0),1,0)</f>
        <v>1</v>
      </c>
      <c r="S222" s="7" t="n">
        <f aca="false">IF(AND(R222=1,J222="Record or Recall",K222="12-23 m"),1,0)</f>
        <v>0</v>
      </c>
      <c r="T222" s="7" t="n">
        <f aca="false">IF(OR(I222="BCG",I222="DTP1",I222="DTP3",I222="POL3",I222="MCV1",I222="FULL"),1,0)</f>
        <v>1</v>
      </c>
      <c r="U222" s="7" t="n">
        <f aca="false">IF(OR(C222="DHS",C222="MICS"),1,0)</f>
        <v>1</v>
      </c>
      <c r="V222" s="7" t="n">
        <f aca="false">IF(O222="",1,0)</f>
        <v>0</v>
      </c>
      <c r="W222" s="7" t="n">
        <f aca="false">IF(M222="",1,0)</f>
        <v>0</v>
      </c>
      <c r="X222" s="7" t="n">
        <f aca="false">COUNTIFS($B$2:$B$1141,B222,$H$2:$H$1141,H222,$I$2:$I$1141,I222,$J$2:$J$1141,J222,$K$2:$K$1141,K222,$L$2:$L$1141,L222)</f>
        <v>1</v>
      </c>
    </row>
    <row r="223" customFormat="false" ht="15" hidden="false" customHeight="false" outlineLevel="0" collapsed="false">
      <c r="A223" s="7" t="n">
        <f aca="false">ROW()-1</f>
        <v>222</v>
      </c>
      <c r="B223" s="7" t="str">
        <f aca="false">IF(Raw_Nigeria!B223="",TRIM(Raw_Nigeria!C223),TRIM(Raw_Nigeria!B223))</f>
        <v>Nigeria Multiple Indicator Cluster Survey 2007</v>
      </c>
      <c r="C223" s="7" t="str">
        <f aca="false">IF(ISNUMBER(SEARCH("Demographic and Health",B223)),"DHS",IF(OR(ISNUMBER(SEARCH("Multiple Indicator Cluster",B223)),ISNUMBER(SEARCH("MICS",B223))),"MICS",IF(ISNUMBER(SEARCH("Immunization Coverage Survey",B223)),"Coverage survey",IF(ISNUMBER(SEARCH("Nutrition",B223)),"Nutrition survey","Other"))))</f>
        <v>MICS</v>
      </c>
      <c r="D223" s="7" t="n">
        <f aca="false">VALUE(LEFT(Raw_Nigeria!D223,4))</f>
        <v>2007</v>
      </c>
      <c r="E223" s="7" t="n">
        <f aca="false">IF(VALUE(RIGHT(Raw_Nigeria!D223,2))&gt;12,"",VALUE(RIGHT(Raw_Nigeria!D223,2)))</f>
        <v>3</v>
      </c>
      <c r="F223" s="7" t="n">
        <f aca="false">VALUE(LEFT(Raw_Nigeria!E223,4))</f>
        <v>2007</v>
      </c>
      <c r="G223" s="7" t="n">
        <f aca="false">IF(VALUE(RIGHT(Raw_Nigeria!E223,2))&gt;12,"",VALUE(RIGHT(Raw_Nigeria!E223,2)))</f>
        <v>4</v>
      </c>
      <c r="H223" s="7" t="n">
        <f aca="false">Raw_Nigeria!F223</f>
        <v>2006</v>
      </c>
      <c r="I223" s="7" t="str">
        <f aca="false">UPPER(TRIM(Raw_Nigeria!G223))</f>
        <v>FULL</v>
      </c>
      <c r="J223" s="7" t="str">
        <f aca="false">Raw_Nigeria!H223</f>
        <v>Record or Recall&lt;12m</v>
      </c>
      <c r="K223" s="7" t="str">
        <f aca="false">Raw_Nigeria!L223</f>
        <v>12-23 m</v>
      </c>
      <c r="L223" s="7" t="str">
        <f aca="false">IF(Raw_Nigeria!K223="","n/a",Raw_Nigeria!K223)</f>
        <v>0-12 m</v>
      </c>
      <c r="M223" s="7" t="n">
        <f aca="false">IF(Raw_Nigeria!I223="","",Raw_Nigeria!I223)</f>
        <v>18.2</v>
      </c>
      <c r="N223" s="7" t="n">
        <f aca="false">Raw_Nigeria!M223</f>
        <v>10.9</v>
      </c>
      <c r="O223" s="7" t="n">
        <f aca="false">IF(Raw_Nigeria!N223="","",Raw_Nigeria!N223)</f>
        <v>3187</v>
      </c>
      <c r="P223" s="7" t="str">
        <f aca="false">IF(K223="CBAW","Women of child-bearing age","Children")</f>
        <v>Children</v>
      </c>
      <c r="Q223" s="7" t="n">
        <f aca="false">IF(J223="NOT USED",1,0)</f>
        <v>0</v>
      </c>
      <c r="R223" s="7" t="n">
        <f aca="false">IF(AND(P223="Children",Q223=0),1,0)</f>
        <v>1</v>
      </c>
      <c r="S223" s="7" t="n">
        <f aca="false">IF(AND(R223=1,J223="Record or Recall",K223="12-23 m"),1,0)</f>
        <v>0</v>
      </c>
      <c r="T223" s="7" t="n">
        <f aca="false">IF(OR(I223="BCG",I223="DTP1",I223="DTP3",I223="POL3",I223="MCV1",I223="FULL"),1,0)</f>
        <v>1</v>
      </c>
      <c r="U223" s="7" t="n">
        <f aca="false">IF(OR(C223="DHS",C223="MICS"),1,0)</f>
        <v>1</v>
      </c>
      <c r="V223" s="7" t="n">
        <f aca="false">IF(O223="",1,0)</f>
        <v>0</v>
      </c>
      <c r="W223" s="7" t="n">
        <f aca="false">IF(M223="",1,0)</f>
        <v>0</v>
      </c>
      <c r="X223" s="7" t="n">
        <f aca="false">COUNTIFS($B$2:$B$1141,B223,$H$2:$H$1141,H223,$I$2:$I$1141,I223,$J$2:$J$1141,J223,$K$2:$K$1141,K223,$L$2:$L$1141,L223)</f>
        <v>1</v>
      </c>
    </row>
    <row r="224" customFormat="false" ht="15" hidden="false" customHeight="false" outlineLevel="0" collapsed="false">
      <c r="A224" s="7" t="n">
        <f aca="false">ROW()-1</f>
        <v>223</v>
      </c>
      <c r="B224" s="7" t="str">
        <f aca="false">IF(Raw_Nigeria!B224="",TRIM(Raw_Nigeria!C224),TRIM(Raw_Nigeria!B224))</f>
        <v>Nigeria Multiple Indicator Cluster Survey 2007</v>
      </c>
      <c r="C224" s="7" t="str">
        <f aca="false">IF(ISNUMBER(SEARCH("Demographic and Health",B224)),"DHS",IF(OR(ISNUMBER(SEARCH("Multiple Indicator Cluster",B224)),ISNUMBER(SEARCH("MICS",B224))),"MICS",IF(ISNUMBER(SEARCH("Immunization Coverage Survey",B224)),"Coverage survey",IF(ISNUMBER(SEARCH("Nutrition",B224)),"Nutrition survey","Other"))))</f>
        <v>MICS</v>
      </c>
      <c r="D224" s="7" t="n">
        <f aca="false">VALUE(LEFT(Raw_Nigeria!D224,4))</f>
        <v>2007</v>
      </c>
      <c r="E224" s="7" t="n">
        <f aca="false">IF(VALUE(RIGHT(Raw_Nigeria!D224,2))&gt;12,"",VALUE(RIGHT(Raw_Nigeria!D224,2)))</f>
        <v>3</v>
      </c>
      <c r="F224" s="7" t="n">
        <f aca="false">VALUE(LEFT(Raw_Nigeria!E224,4))</f>
        <v>2007</v>
      </c>
      <c r="G224" s="7" t="n">
        <f aca="false">IF(VALUE(RIGHT(Raw_Nigeria!E224,2))&gt;12,"",VALUE(RIGHT(Raw_Nigeria!E224,2)))</f>
        <v>4</v>
      </c>
      <c r="H224" s="7" t="n">
        <f aca="false">Raw_Nigeria!F224</f>
        <v>2006</v>
      </c>
      <c r="I224" s="7" t="str">
        <f aca="false">UPPER(TRIM(Raw_Nigeria!G224))</f>
        <v>FULL</v>
      </c>
      <c r="J224" s="7" t="str">
        <f aca="false">Raw_Nigeria!H224</f>
        <v>Record</v>
      </c>
      <c r="K224" s="7" t="str">
        <f aca="false">Raw_Nigeria!L224</f>
        <v>12-23 m</v>
      </c>
      <c r="L224" s="7" t="str">
        <f aca="false">IF(Raw_Nigeria!K224="","n/a",Raw_Nigeria!K224)</f>
        <v>0-23 m</v>
      </c>
      <c r="M224" s="7" t="n">
        <f aca="false">IF(Raw_Nigeria!I224="","",Raw_Nigeria!I224)</f>
        <v>18.2</v>
      </c>
      <c r="N224" s="7" t="n">
        <f aca="false">Raw_Nigeria!M224</f>
        <v>11.5</v>
      </c>
      <c r="O224" s="7" t="n">
        <f aca="false">IF(Raw_Nigeria!N224="","",Raw_Nigeria!N224)</f>
        <v>3187</v>
      </c>
      <c r="P224" s="7" t="str">
        <f aca="false">IF(K224="CBAW","Women of child-bearing age","Children")</f>
        <v>Children</v>
      </c>
      <c r="Q224" s="7" t="n">
        <f aca="false">IF(J224="NOT USED",1,0)</f>
        <v>0</v>
      </c>
      <c r="R224" s="7" t="n">
        <f aca="false">IF(AND(P224="Children",Q224=0),1,0)</f>
        <v>1</v>
      </c>
      <c r="S224" s="7" t="n">
        <f aca="false">IF(AND(R224=1,J224="Record or Recall",K224="12-23 m"),1,0)</f>
        <v>0</v>
      </c>
      <c r="T224" s="7" t="n">
        <f aca="false">IF(OR(I224="BCG",I224="DTP1",I224="DTP3",I224="POL3",I224="MCV1",I224="FULL"),1,0)</f>
        <v>1</v>
      </c>
      <c r="U224" s="7" t="n">
        <f aca="false">IF(OR(C224="DHS",C224="MICS"),1,0)</f>
        <v>1</v>
      </c>
      <c r="V224" s="7" t="n">
        <f aca="false">IF(O224="",1,0)</f>
        <v>0</v>
      </c>
      <c r="W224" s="7" t="n">
        <f aca="false">IF(M224="",1,0)</f>
        <v>0</v>
      </c>
      <c r="X224" s="7" t="n">
        <f aca="false">COUNTIFS($B$2:$B$1141,B224,$H$2:$H$1141,H224,$I$2:$I$1141,I224,$J$2:$J$1141,J224,$K$2:$K$1141,K224,$L$2:$L$1141,L224)</f>
        <v>1</v>
      </c>
    </row>
    <row r="225" customFormat="false" ht="15" hidden="false" customHeight="false" outlineLevel="0" collapsed="false">
      <c r="A225" s="7" t="n">
        <f aca="false">ROW()-1</f>
        <v>224</v>
      </c>
      <c r="B225" s="7" t="str">
        <f aca="false">IF(Raw_Nigeria!B225="",TRIM(Raw_Nigeria!C225),TRIM(Raw_Nigeria!B225))</f>
        <v>Nigeria Multiple Indicator Cluster Survey 2007</v>
      </c>
      <c r="C225" s="7" t="str">
        <f aca="false">IF(ISNUMBER(SEARCH("Demographic and Health",B225)),"DHS",IF(OR(ISNUMBER(SEARCH("Multiple Indicator Cluster",B225)),ISNUMBER(SEARCH("MICS",B225))),"MICS",IF(ISNUMBER(SEARCH("Immunization Coverage Survey",B225)),"Coverage survey",IF(ISNUMBER(SEARCH("Nutrition",B225)),"Nutrition survey","Other"))))</f>
        <v>MICS</v>
      </c>
      <c r="D225" s="7" t="n">
        <f aca="false">VALUE(LEFT(Raw_Nigeria!D225,4))</f>
        <v>2007</v>
      </c>
      <c r="E225" s="7" t="n">
        <f aca="false">IF(VALUE(RIGHT(Raw_Nigeria!D225,2))&gt;12,"",VALUE(RIGHT(Raw_Nigeria!D225,2)))</f>
        <v>3</v>
      </c>
      <c r="F225" s="7" t="n">
        <f aca="false">VALUE(LEFT(Raw_Nigeria!E225,4))</f>
        <v>2007</v>
      </c>
      <c r="G225" s="7" t="n">
        <f aca="false">IF(VALUE(RIGHT(Raw_Nigeria!E225,2))&gt;12,"",VALUE(RIGHT(Raw_Nigeria!E225,2)))</f>
        <v>4</v>
      </c>
      <c r="H225" s="7" t="n">
        <f aca="false">Raw_Nigeria!F225</f>
        <v>2006</v>
      </c>
      <c r="I225" s="7" t="str">
        <f aca="false">UPPER(TRIM(Raw_Nigeria!G225))</f>
        <v>FULL</v>
      </c>
      <c r="J225" s="7" t="str">
        <f aca="false">Raw_Nigeria!H225</f>
        <v>Record or Recall</v>
      </c>
      <c r="K225" s="7" t="str">
        <f aca="false">Raw_Nigeria!L225</f>
        <v>12-23 m</v>
      </c>
      <c r="L225" s="7" t="str">
        <f aca="false">IF(Raw_Nigeria!K225="","n/a",Raw_Nigeria!K225)</f>
        <v>0-23 m</v>
      </c>
      <c r="M225" s="7" t="n">
        <f aca="false">IF(Raw_Nigeria!I225="","",Raw_Nigeria!I225)</f>
        <v>18.2</v>
      </c>
      <c r="N225" s="7" t="n">
        <f aca="false">Raw_Nigeria!M225</f>
        <v>16.4</v>
      </c>
      <c r="O225" s="7" t="n">
        <f aca="false">IF(Raw_Nigeria!N225="","",Raw_Nigeria!N225)</f>
        <v>3187</v>
      </c>
      <c r="P225" s="7" t="str">
        <f aca="false">IF(K225="CBAW","Women of child-bearing age","Children")</f>
        <v>Children</v>
      </c>
      <c r="Q225" s="7" t="n">
        <f aca="false">IF(J225="NOT USED",1,0)</f>
        <v>0</v>
      </c>
      <c r="R225" s="7" t="n">
        <f aca="false">IF(AND(P225="Children",Q225=0),1,0)</f>
        <v>1</v>
      </c>
      <c r="S225" s="7" t="n">
        <f aca="false">IF(AND(R225=1,J225="Record or Recall",K225="12-23 m"),1,0)</f>
        <v>1</v>
      </c>
      <c r="T225" s="7" t="n">
        <f aca="false">IF(OR(I225="BCG",I225="DTP1",I225="DTP3",I225="POL3",I225="MCV1",I225="FULL"),1,0)</f>
        <v>1</v>
      </c>
      <c r="U225" s="7" t="n">
        <f aca="false">IF(OR(C225="DHS",C225="MICS"),1,0)</f>
        <v>1</v>
      </c>
      <c r="V225" s="7" t="n">
        <f aca="false">IF(O225="",1,0)</f>
        <v>0</v>
      </c>
      <c r="W225" s="7" t="n">
        <f aca="false">IF(M225="",1,0)</f>
        <v>0</v>
      </c>
      <c r="X225" s="7" t="n">
        <f aca="false">COUNTIFS($B$2:$B$1141,B225,$H$2:$H$1141,H225,$I$2:$I$1141,I225,$J$2:$J$1141,J225,$K$2:$K$1141,K225,$L$2:$L$1141,L225)</f>
        <v>1</v>
      </c>
    </row>
    <row r="226" customFormat="false" ht="15" hidden="false" customHeight="false" outlineLevel="0" collapsed="false">
      <c r="A226" s="7" t="n">
        <f aca="false">ROW()-1</f>
        <v>225</v>
      </c>
      <c r="B226" s="7" t="str">
        <f aca="false">IF(Raw_Nigeria!B226="",TRIM(Raw_Nigeria!C226),TRIM(Raw_Nigeria!B226))</f>
        <v>Nigeria Multiple Indicator Cluster Survey 2007</v>
      </c>
      <c r="C226" s="7" t="str">
        <f aca="false">IF(ISNUMBER(SEARCH("Demographic and Health",B226)),"DHS",IF(OR(ISNUMBER(SEARCH("Multiple Indicator Cluster",B226)),ISNUMBER(SEARCH("MICS",B226))),"MICS",IF(ISNUMBER(SEARCH("Immunization Coverage Survey",B226)),"Coverage survey",IF(ISNUMBER(SEARCH("Nutrition",B226)),"Nutrition survey","Other"))))</f>
        <v>MICS</v>
      </c>
      <c r="D226" s="7" t="n">
        <f aca="false">VALUE(LEFT(Raw_Nigeria!D226,4))</f>
        <v>2007</v>
      </c>
      <c r="E226" s="7" t="n">
        <f aca="false">IF(VALUE(RIGHT(Raw_Nigeria!D226,2))&gt;12,"",VALUE(RIGHT(Raw_Nigeria!D226,2)))</f>
        <v>3</v>
      </c>
      <c r="F226" s="7" t="n">
        <f aca="false">VALUE(LEFT(Raw_Nigeria!E226,4))</f>
        <v>2007</v>
      </c>
      <c r="G226" s="7" t="n">
        <f aca="false">IF(VALUE(RIGHT(Raw_Nigeria!E226,2))&gt;12,"",VALUE(RIGHT(Raw_Nigeria!E226,2)))</f>
        <v>4</v>
      </c>
      <c r="H226" s="7" t="n">
        <f aca="false">Raw_Nigeria!F226</f>
        <v>2006</v>
      </c>
      <c r="I226" s="7" t="str">
        <f aca="false">UPPER(TRIM(Raw_Nigeria!G226))</f>
        <v>FULL</v>
      </c>
      <c r="J226" s="7" t="str">
        <f aca="false">Raw_Nigeria!H226</f>
        <v>Recall</v>
      </c>
      <c r="K226" s="7" t="str">
        <f aca="false">Raw_Nigeria!L226</f>
        <v>12-23 m</v>
      </c>
      <c r="L226" s="7" t="str">
        <f aca="false">IF(Raw_Nigeria!K226="","n/a",Raw_Nigeria!K226)</f>
        <v>0-23 m</v>
      </c>
      <c r="M226" s="7" t="n">
        <f aca="false">IF(Raw_Nigeria!I226="","",Raw_Nigeria!I226)</f>
        <v>18.2</v>
      </c>
      <c r="N226" s="7" t="n">
        <f aca="false">Raw_Nigeria!M226</f>
        <v>5</v>
      </c>
      <c r="O226" s="7" t="n">
        <f aca="false">IF(Raw_Nigeria!N226="","",Raw_Nigeria!N226)</f>
        <v>3187</v>
      </c>
      <c r="P226" s="7" t="str">
        <f aca="false">IF(K226="CBAW","Women of child-bearing age","Children")</f>
        <v>Children</v>
      </c>
      <c r="Q226" s="7" t="n">
        <f aca="false">IF(J226="NOT USED",1,0)</f>
        <v>0</v>
      </c>
      <c r="R226" s="7" t="n">
        <f aca="false">IF(AND(P226="Children",Q226=0),1,0)</f>
        <v>1</v>
      </c>
      <c r="S226" s="7" t="n">
        <f aca="false">IF(AND(R226=1,J226="Record or Recall",K226="12-23 m"),1,0)</f>
        <v>0</v>
      </c>
      <c r="T226" s="7" t="n">
        <f aca="false">IF(OR(I226="BCG",I226="DTP1",I226="DTP3",I226="POL3",I226="MCV1",I226="FULL"),1,0)</f>
        <v>1</v>
      </c>
      <c r="U226" s="7" t="n">
        <f aca="false">IF(OR(C226="DHS",C226="MICS"),1,0)</f>
        <v>1</v>
      </c>
      <c r="V226" s="7" t="n">
        <f aca="false">IF(O226="",1,0)</f>
        <v>0</v>
      </c>
      <c r="W226" s="7" t="n">
        <f aca="false">IF(M226="",1,0)</f>
        <v>0</v>
      </c>
      <c r="X226" s="7" t="n">
        <f aca="false">COUNTIFS($B$2:$B$1141,B226,$H$2:$H$1141,H226,$I$2:$I$1141,I226,$J$2:$J$1141,J226,$K$2:$K$1141,K226,$L$2:$L$1141,L226)</f>
        <v>1</v>
      </c>
    </row>
    <row r="227" customFormat="false" ht="15" hidden="false" customHeight="false" outlineLevel="0" collapsed="false">
      <c r="A227" s="7" t="n">
        <f aca="false">ROW()-1</f>
        <v>226</v>
      </c>
      <c r="B227" s="7" t="str">
        <f aca="false">IF(Raw_Nigeria!B227="",TRIM(Raw_Nigeria!C227),TRIM(Raw_Nigeria!B227))</f>
        <v>Nigeria Multiple Indicator Cluster Survey 2007</v>
      </c>
      <c r="C227" s="7" t="str">
        <f aca="false">IF(ISNUMBER(SEARCH("Demographic and Health",B227)),"DHS",IF(OR(ISNUMBER(SEARCH("Multiple Indicator Cluster",B227)),ISNUMBER(SEARCH("MICS",B227))),"MICS",IF(ISNUMBER(SEARCH("Immunization Coverage Survey",B227)),"Coverage survey",IF(ISNUMBER(SEARCH("Nutrition",B227)),"Nutrition survey","Other"))))</f>
        <v>MICS</v>
      </c>
      <c r="D227" s="7" t="n">
        <f aca="false">VALUE(LEFT(Raw_Nigeria!D227,4))</f>
        <v>2007</v>
      </c>
      <c r="E227" s="7" t="n">
        <f aca="false">IF(VALUE(RIGHT(Raw_Nigeria!D227,2))&gt;12,"",VALUE(RIGHT(Raw_Nigeria!D227,2)))</f>
        <v>3</v>
      </c>
      <c r="F227" s="7" t="n">
        <f aca="false">VALUE(LEFT(Raw_Nigeria!E227,4))</f>
        <v>2007</v>
      </c>
      <c r="G227" s="7" t="n">
        <f aca="false">IF(VALUE(RIGHT(Raw_Nigeria!E227,2))&gt;12,"",VALUE(RIGHT(Raw_Nigeria!E227,2)))</f>
        <v>4</v>
      </c>
      <c r="H227" s="7" t="n">
        <f aca="false">Raw_Nigeria!F227</f>
        <v>2006</v>
      </c>
      <c r="I227" s="7" t="str">
        <f aca="false">UPPER(TRIM(Raw_Nigeria!G227))</f>
        <v>MCV1</v>
      </c>
      <c r="J227" s="7" t="str">
        <f aca="false">Raw_Nigeria!H227</f>
        <v>Record or Recall&lt;12m</v>
      </c>
      <c r="K227" s="7" t="str">
        <f aca="false">Raw_Nigeria!L227</f>
        <v>12-23 m</v>
      </c>
      <c r="L227" s="7" t="str">
        <f aca="false">IF(Raw_Nigeria!K227="","n/a",Raw_Nigeria!K227)</f>
        <v>0-12 m</v>
      </c>
      <c r="M227" s="7" t="n">
        <f aca="false">IF(Raw_Nigeria!I227="","",Raw_Nigeria!I227)</f>
        <v>18.2</v>
      </c>
      <c r="N227" s="7" t="n">
        <f aca="false">Raw_Nigeria!M227</f>
        <v>38.3</v>
      </c>
      <c r="O227" s="7" t="n">
        <f aca="false">IF(Raw_Nigeria!N227="","",Raw_Nigeria!N227)</f>
        <v>3187</v>
      </c>
      <c r="P227" s="7" t="str">
        <f aca="false">IF(K227="CBAW","Women of child-bearing age","Children")</f>
        <v>Children</v>
      </c>
      <c r="Q227" s="7" t="n">
        <f aca="false">IF(J227="NOT USED",1,0)</f>
        <v>0</v>
      </c>
      <c r="R227" s="7" t="n">
        <f aca="false">IF(AND(P227="Children",Q227=0),1,0)</f>
        <v>1</v>
      </c>
      <c r="S227" s="7" t="n">
        <f aca="false">IF(AND(R227=1,J227="Record or Recall",K227="12-23 m"),1,0)</f>
        <v>0</v>
      </c>
      <c r="T227" s="7" t="n">
        <f aca="false">IF(OR(I227="BCG",I227="DTP1",I227="DTP3",I227="POL3",I227="MCV1",I227="FULL"),1,0)</f>
        <v>1</v>
      </c>
      <c r="U227" s="7" t="n">
        <f aca="false">IF(OR(C227="DHS",C227="MICS"),1,0)</f>
        <v>1</v>
      </c>
      <c r="V227" s="7" t="n">
        <f aca="false">IF(O227="",1,0)</f>
        <v>0</v>
      </c>
      <c r="W227" s="7" t="n">
        <f aca="false">IF(M227="",1,0)</f>
        <v>0</v>
      </c>
      <c r="X227" s="7" t="n">
        <f aca="false">COUNTIFS($B$2:$B$1141,B227,$H$2:$H$1141,H227,$I$2:$I$1141,I227,$J$2:$J$1141,J227,$K$2:$K$1141,K227,$L$2:$L$1141,L227)</f>
        <v>1</v>
      </c>
    </row>
    <row r="228" customFormat="false" ht="15" hidden="false" customHeight="false" outlineLevel="0" collapsed="false">
      <c r="A228" s="7" t="n">
        <f aca="false">ROW()-1</f>
        <v>227</v>
      </c>
      <c r="B228" s="7" t="str">
        <f aca="false">IF(Raw_Nigeria!B228="",TRIM(Raw_Nigeria!C228),TRIM(Raw_Nigeria!B228))</f>
        <v>Nigeria Multiple Indicator Cluster Survey 2007</v>
      </c>
      <c r="C228" s="7" t="str">
        <f aca="false">IF(ISNUMBER(SEARCH("Demographic and Health",B228)),"DHS",IF(OR(ISNUMBER(SEARCH("Multiple Indicator Cluster",B228)),ISNUMBER(SEARCH("MICS",B228))),"MICS",IF(ISNUMBER(SEARCH("Immunization Coverage Survey",B228)),"Coverage survey",IF(ISNUMBER(SEARCH("Nutrition",B228)),"Nutrition survey","Other"))))</f>
        <v>MICS</v>
      </c>
      <c r="D228" s="7" t="n">
        <f aca="false">VALUE(LEFT(Raw_Nigeria!D228,4))</f>
        <v>2007</v>
      </c>
      <c r="E228" s="7" t="n">
        <f aca="false">IF(VALUE(RIGHT(Raw_Nigeria!D228,2))&gt;12,"",VALUE(RIGHT(Raw_Nigeria!D228,2)))</f>
        <v>3</v>
      </c>
      <c r="F228" s="7" t="n">
        <f aca="false">VALUE(LEFT(Raw_Nigeria!E228,4))</f>
        <v>2007</v>
      </c>
      <c r="G228" s="7" t="n">
        <f aca="false">IF(VALUE(RIGHT(Raw_Nigeria!E228,2))&gt;12,"",VALUE(RIGHT(Raw_Nigeria!E228,2)))</f>
        <v>4</v>
      </c>
      <c r="H228" s="7" t="n">
        <f aca="false">Raw_Nigeria!F228</f>
        <v>2006</v>
      </c>
      <c r="I228" s="7" t="str">
        <f aca="false">UPPER(TRIM(Raw_Nigeria!G228))</f>
        <v>MCV1</v>
      </c>
      <c r="J228" s="7" t="str">
        <f aca="false">Raw_Nigeria!H228</f>
        <v>Record</v>
      </c>
      <c r="K228" s="7" t="str">
        <f aca="false">Raw_Nigeria!L228</f>
        <v>12-23 m</v>
      </c>
      <c r="L228" s="7" t="str">
        <f aca="false">IF(Raw_Nigeria!K228="","n/a",Raw_Nigeria!K228)</f>
        <v>0-23 m</v>
      </c>
      <c r="M228" s="7" t="n">
        <f aca="false">IF(Raw_Nigeria!I228="","",Raw_Nigeria!I228)</f>
        <v>18.2</v>
      </c>
      <c r="N228" s="7" t="n">
        <f aca="false">Raw_Nigeria!M228</f>
        <v>13.9</v>
      </c>
      <c r="O228" s="7" t="n">
        <f aca="false">IF(Raw_Nigeria!N228="","",Raw_Nigeria!N228)</f>
        <v>3187</v>
      </c>
      <c r="P228" s="7" t="str">
        <f aca="false">IF(K228="CBAW","Women of child-bearing age","Children")</f>
        <v>Children</v>
      </c>
      <c r="Q228" s="7" t="n">
        <f aca="false">IF(J228="NOT USED",1,0)</f>
        <v>0</v>
      </c>
      <c r="R228" s="7" t="n">
        <f aca="false">IF(AND(P228="Children",Q228=0),1,0)</f>
        <v>1</v>
      </c>
      <c r="S228" s="7" t="n">
        <f aca="false">IF(AND(R228=1,J228="Record or Recall",K228="12-23 m"),1,0)</f>
        <v>0</v>
      </c>
      <c r="T228" s="7" t="n">
        <f aca="false">IF(OR(I228="BCG",I228="DTP1",I228="DTP3",I228="POL3",I228="MCV1",I228="FULL"),1,0)</f>
        <v>1</v>
      </c>
      <c r="U228" s="7" t="n">
        <f aca="false">IF(OR(C228="DHS",C228="MICS"),1,0)</f>
        <v>1</v>
      </c>
      <c r="V228" s="7" t="n">
        <f aca="false">IF(O228="",1,0)</f>
        <v>0</v>
      </c>
      <c r="W228" s="7" t="n">
        <f aca="false">IF(M228="",1,0)</f>
        <v>0</v>
      </c>
      <c r="X228" s="7" t="n">
        <f aca="false">COUNTIFS($B$2:$B$1141,B228,$H$2:$H$1141,H228,$I$2:$I$1141,I228,$J$2:$J$1141,J228,$K$2:$K$1141,K228,$L$2:$L$1141,L228)</f>
        <v>1</v>
      </c>
    </row>
    <row r="229" customFormat="false" ht="15" hidden="false" customHeight="false" outlineLevel="0" collapsed="false">
      <c r="A229" s="7" t="n">
        <f aca="false">ROW()-1</f>
        <v>228</v>
      </c>
      <c r="B229" s="7" t="str">
        <f aca="false">IF(Raw_Nigeria!B229="",TRIM(Raw_Nigeria!C229),TRIM(Raw_Nigeria!B229))</f>
        <v>Nigeria Multiple Indicator Cluster Survey 2007</v>
      </c>
      <c r="C229" s="7" t="str">
        <f aca="false">IF(ISNUMBER(SEARCH("Demographic and Health",B229)),"DHS",IF(OR(ISNUMBER(SEARCH("Multiple Indicator Cluster",B229)),ISNUMBER(SEARCH("MICS",B229))),"MICS",IF(ISNUMBER(SEARCH("Immunization Coverage Survey",B229)),"Coverage survey",IF(ISNUMBER(SEARCH("Nutrition",B229)),"Nutrition survey","Other"))))</f>
        <v>MICS</v>
      </c>
      <c r="D229" s="7" t="n">
        <f aca="false">VALUE(LEFT(Raw_Nigeria!D229,4))</f>
        <v>2007</v>
      </c>
      <c r="E229" s="7" t="n">
        <f aca="false">IF(VALUE(RIGHT(Raw_Nigeria!D229,2))&gt;12,"",VALUE(RIGHT(Raw_Nigeria!D229,2)))</f>
        <v>3</v>
      </c>
      <c r="F229" s="7" t="n">
        <f aca="false">VALUE(LEFT(Raw_Nigeria!E229,4))</f>
        <v>2007</v>
      </c>
      <c r="G229" s="7" t="n">
        <f aca="false">IF(VALUE(RIGHT(Raw_Nigeria!E229,2))&gt;12,"",VALUE(RIGHT(Raw_Nigeria!E229,2)))</f>
        <v>4</v>
      </c>
      <c r="H229" s="7" t="n">
        <f aca="false">Raw_Nigeria!F229</f>
        <v>2006</v>
      </c>
      <c r="I229" s="7" t="str">
        <f aca="false">UPPER(TRIM(Raw_Nigeria!G229))</f>
        <v>MCV1</v>
      </c>
      <c r="J229" s="7" t="str">
        <f aca="false">Raw_Nigeria!H229</f>
        <v>Record or Recall</v>
      </c>
      <c r="K229" s="7" t="str">
        <f aca="false">Raw_Nigeria!L229</f>
        <v>12-23 m</v>
      </c>
      <c r="L229" s="7" t="str">
        <f aca="false">IF(Raw_Nigeria!K229="","n/a",Raw_Nigeria!K229)</f>
        <v>0-23 m</v>
      </c>
      <c r="M229" s="7" t="n">
        <f aca="false">IF(Raw_Nigeria!I229="","",Raw_Nigeria!I229)</f>
        <v>18.2</v>
      </c>
      <c r="N229" s="7" t="n">
        <f aca="false">Raw_Nigeria!M229</f>
        <v>44</v>
      </c>
      <c r="O229" s="7" t="n">
        <f aca="false">IF(Raw_Nigeria!N229="","",Raw_Nigeria!N229)</f>
        <v>3187</v>
      </c>
      <c r="P229" s="7" t="str">
        <f aca="false">IF(K229="CBAW","Women of child-bearing age","Children")</f>
        <v>Children</v>
      </c>
      <c r="Q229" s="7" t="n">
        <f aca="false">IF(J229="NOT USED",1,0)</f>
        <v>0</v>
      </c>
      <c r="R229" s="7" t="n">
        <f aca="false">IF(AND(P229="Children",Q229=0),1,0)</f>
        <v>1</v>
      </c>
      <c r="S229" s="7" t="n">
        <f aca="false">IF(AND(R229=1,J229="Record or Recall",K229="12-23 m"),1,0)</f>
        <v>1</v>
      </c>
      <c r="T229" s="7" t="n">
        <f aca="false">IF(OR(I229="BCG",I229="DTP1",I229="DTP3",I229="POL3",I229="MCV1",I229="FULL"),1,0)</f>
        <v>1</v>
      </c>
      <c r="U229" s="7" t="n">
        <f aca="false">IF(OR(C229="DHS",C229="MICS"),1,0)</f>
        <v>1</v>
      </c>
      <c r="V229" s="7" t="n">
        <f aca="false">IF(O229="",1,0)</f>
        <v>0</v>
      </c>
      <c r="W229" s="7" t="n">
        <f aca="false">IF(M229="",1,0)</f>
        <v>0</v>
      </c>
      <c r="X229" s="7" t="n">
        <f aca="false">COUNTIFS($B$2:$B$1141,B229,$H$2:$H$1141,H229,$I$2:$I$1141,I229,$J$2:$J$1141,J229,$K$2:$K$1141,K229,$L$2:$L$1141,L229)</f>
        <v>1</v>
      </c>
    </row>
    <row r="230" customFormat="false" ht="15" hidden="false" customHeight="false" outlineLevel="0" collapsed="false">
      <c r="A230" s="7" t="n">
        <f aca="false">ROW()-1</f>
        <v>229</v>
      </c>
      <c r="B230" s="7" t="str">
        <f aca="false">IF(Raw_Nigeria!B230="",TRIM(Raw_Nigeria!C230),TRIM(Raw_Nigeria!B230))</f>
        <v>Nigeria Multiple Indicator Cluster Survey 2007</v>
      </c>
      <c r="C230" s="7" t="str">
        <f aca="false">IF(ISNUMBER(SEARCH("Demographic and Health",B230)),"DHS",IF(OR(ISNUMBER(SEARCH("Multiple Indicator Cluster",B230)),ISNUMBER(SEARCH("MICS",B230))),"MICS",IF(ISNUMBER(SEARCH("Immunization Coverage Survey",B230)),"Coverage survey",IF(ISNUMBER(SEARCH("Nutrition",B230)),"Nutrition survey","Other"))))</f>
        <v>MICS</v>
      </c>
      <c r="D230" s="7" t="n">
        <f aca="false">VALUE(LEFT(Raw_Nigeria!D230,4))</f>
        <v>2007</v>
      </c>
      <c r="E230" s="7" t="n">
        <f aca="false">IF(VALUE(RIGHT(Raw_Nigeria!D230,2))&gt;12,"",VALUE(RIGHT(Raw_Nigeria!D230,2)))</f>
        <v>3</v>
      </c>
      <c r="F230" s="7" t="n">
        <f aca="false">VALUE(LEFT(Raw_Nigeria!E230,4))</f>
        <v>2007</v>
      </c>
      <c r="G230" s="7" t="n">
        <f aca="false">IF(VALUE(RIGHT(Raw_Nigeria!E230,2))&gt;12,"",VALUE(RIGHT(Raw_Nigeria!E230,2)))</f>
        <v>4</v>
      </c>
      <c r="H230" s="7" t="n">
        <f aca="false">Raw_Nigeria!F230</f>
        <v>2006</v>
      </c>
      <c r="I230" s="7" t="str">
        <f aca="false">UPPER(TRIM(Raw_Nigeria!G230))</f>
        <v>MCV1</v>
      </c>
      <c r="J230" s="7" t="str">
        <f aca="false">Raw_Nigeria!H230</f>
        <v>Recall</v>
      </c>
      <c r="K230" s="7" t="str">
        <f aca="false">Raw_Nigeria!L230</f>
        <v>12-23 m</v>
      </c>
      <c r="L230" s="7" t="str">
        <f aca="false">IF(Raw_Nigeria!K230="","n/a",Raw_Nigeria!K230)</f>
        <v>0-23 m</v>
      </c>
      <c r="M230" s="7" t="n">
        <f aca="false">IF(Raw_Nigeria!I230="","",Raw_Nigeria!I230)</f>
        <v>18.2</v>
      </c>
      <c r="N230" s="7" t="n">
        <f aca="false">Raw_Nigeria!M230</f>
        <v>30.1</v>
      </c>
      <c r="O230" s="7" t="n">
        <f aca="false">IF(Raw_Nigeria!N230="","",Raw_Nigeria!N230)</f>
        <v>3187</v>
      </c>
      <c r="P230" s="7" t="str">
        <f aca="false">IF(K230="CBAW","Women of child-bearing age","Children")</f>
        <v>Children</v>
      </c>
      <c r="Q230" s="7" t="n">
        <f aca="false">IF(J230="NOT USED",1,0)</f>
        <v>0</v>
      </c>
      <c r="R230" s="7" t="n">
        <f aca="false">IF(AND(P230="Children",Q230=0),1,0)</f>
        <v>1</v>
      </c>
      <c r="S230" s="7" t="n">
        <f aca="false">IF(AND(R230=1,J230="Record or Recall",K230="12-23 m"),1,0)</f>
        <v>0</v>
      </c>
      <c r="T230" s="7" t="n">
        <f aca="false">IF(OR(I230="BCG",I230="DTP1",I230="DTP3",I230="POL3",I230="MCV1",I230="FULL"),1,0)</f>
        <v>1</v>
      </c>
      <c r="U230" s="7" t="n">
        <f aca="false">IF(OR(C230="DHS",C230="MICS"),1,0)</f>
        <v>1</v>
      </c>
      <c r="V230" s="7" t="n">
        <f aca="false">IF(O230="",1,0)</f>
        <v>0</v>
      </c>
      <c r="W230" s="7" t="n">
        <f aca="false">IF(M230="",1,0)</f>
        <v>0</v>
      </c>
      <c r="X230" s="7" t="n">
        <f aca="false">COUNTIFS($B$2:$B$1141,B230,$H$2:$H$1141,H230,$I$2:$I$1141,I230,$J$2:$J$1141,J230,$K$2:$K$1141,K230,$L$2:$L$1141,L230)</f>
        <v>1</v>
      </c>
    </row>
    <row r="231" customFormat="false" ht="15" hidden="false" customHeight="false" outlineLevel="0" collapsed="false">
      <c r="A231" s="7" t="n">
        <f aca="false">ROW()-1</f>
        <v>230</v>
      </c>
      <c r="B231" s="7" t="str">
        <f aca="false">IF(Raw_Nigeria!B231="",TRIM(Raw_Nigeria!C231),TRIM(Raw_Nigeria!B231))</f>
        <v>Nigeria Multiple Indicator Cluster Survey 2007</v>
      </c>
      <c r="C231" s="7" t="str">
        <f aca="false">IF(ISNUMBER(SEARCH("Demographic and Health",B231)),"DHS",IF(OR(ISNUMBER(SEARCH("Multiple Indicator Cluster",B231)),ISNUMBER(SEARCH("MICS",B231))),"MICS",IF(ISNUMBER(SEARCH("Immunization Coverage Survey",B231)),"Coverage survey",IF(ISNUMBER(SEARCH("Nutrition",B231)),"Nutrition survey","Other"))))</f>
        <v>MICS</v>
      </c>
      <c r="D231" s="7" t="n">
        <f aca="false">VALUE(LEFT(Raw_Nigeria!D231,4))</f>
        <v>2007</v>
      </c>
      <c r="E231" s="7" t="n">
        <f aca="false">IF(VALUE(RIGHT(Raw_Nigeria!D231,2))&gt;12,"",VALUE(RIGHT(Raw_Nigeria!D231,2)))</f>
        <v>3</v>
      </c>
      <c r="F231" s="7" t="n">
        <f aca="false">VALUE(LEFT(Raw_Nigeria!E231,4))</f>
        <v>2007</v>
      </c>
      <c r="G231" s="7" t="n">
        <f aca="false">IF(VALUE(RIGHT(Raw_Nigeria!E231,2))&gt;12,"",VALUE(RIGHT(Raw_Nigeria!E231,2)))</f>
        <v>4</v>
      </c>
      <c r="H231" s="7" t="n">
        <f aca="false">Raw_Nigeria!F231</f>
        <v>2006</v>
      </c>
      <c r="I231" s="7" t="str">
        <f aca="false">UPPER(TRIM(Raw_Nigeria!G231))</f>
        <v>PAB</v>
      </c>
      <c r="J231" s="7" t="str">
        <f aca="false">Raw_Nigeria!H231</f>
        <v>NOT USED</v>
      </c>
      <c r="K231" s="7" t="str">
        <f aca="false">Raw_Nigeria!L231</f>
        <v>CBAW</v>
      </c>
      <c r="L231" s="7" t="str">
        <f aca="false">IF(Raw_Nigeria!K231="","n/a",Raw_Nigeria!K231)</f>
        <v>n/a</v>
      </c>
      <c r="M231" s="7" t="str">
        <f aca="false">IF(Raw_Nigeria!I231="","",Raw_Nigeria!I231)</f>
        <v/>
      </c>
      <c r="N231" s="7" t="n">
        <f aca="false">Raw_Nigeria!M231</f>
        <v>50.8</v>
      </c>
      <c r="O231" s="7" t="n">
        <f aca="false">IF(Raw_Nigeria!N231="","",Raw_Nigeria!N231)</f>
        <v>6427</v>
      </c>
      <c r="P231" s="7" t="str">
        <f aca="false">IF(K231="CBAW","Women of child-bearing age","Children")</f>
        <v>Women of child-bearing age</v>
      </c>
      <c r="Q231" s="7" t="n">
        <f aca="false">IF(J231="NOT USED",1,0)</f>
        <v>1</v>
      </c>
      <c r="R231" s="7" t="n">
        <f aca="false">IF(AND(P231="Children",Q231=0),1,0)</f>
        <v>0</v>
      </c>
      <c r="S231" s="7" t="n">
        <f aca="false">IF(AND(R231=1,J231="Record or Recall",K231="12-23 m"),1,0)</f>
        <v>0</v>
      </c>
      <c r="T231" s="7" t="n">
        <f aca="false">IF(OR(I231="BCG",I231="DTP1",I231="DTP3",I231="POL3",I231="MCV1",I231="FULL"),1,0)</f>
        <v>0</v>
      </c>
      <c r="U231" s="7" t="n">
        <f aca="false">IF(OR(C231="DHS",C231="MICS"),1,0)</f>
        <v>1</v>
      </c>
      <c r="V231" s="7" t="n">
        <f aca="false">IF(O231="",1,0)</f>
        <v>0</v>
      </c>
      <c r="W231" s="7" t="n">
        <f aca="false">IF(M231="",1,0)</f>
        <v>1</v>
      </c>
      <c r="X231" s="7" t="n">
        <f aca="false">COUNTIFS($B$2:$B$1141,B231,$H$2:$H$1141,H231,$I$2:$I$1141,I231,$J$2:$J$1141,J231,$K$2:$K$1141,K231,$L$2:$L$1141,L231)</f>
        <v>1</v>
      </c>
    </row>
    <row r="232" customFormat="false" ht="15" hidden="false" customHeight="false" outlineLevel="0" collapsed="false">
      <c r="A232" s="7" t="n">
        <f aca="false">ROW()-1</f>
        <v>231</v>
      </c>
      <c r="B232" s="7" t="str">
        <f aca="false">IF(Raw_Nigeria!B232="",TRIM(Raw_Nigeria!C232),TRIM(Raw_Nigeria!B232))</f>
        <v>Nigeria Multiple Indicator Cluster Survey 2007</v>
      </c>
      <c r="C232" s="7" t="str">
        <f aca="false">IF(ISNUMBER(SEARCH("Demographic and Health",B232)),"DHS",IF(OR(ISNUMBER(SEARCH("Multiple Indicator Cluster",B232)),ISNUMBER(SEARCH("MICS",B232))),"MICS",IF(ISNUMBER(SEARCH("Immunization Coverage Survey",B232)),"Coverage survey",IF(ISNUMBER(SEARCH("Nutrition",B232)),"Nutrition survey","Other"))))</f>
        <v>MICS</v>
      </c>
      <c r="D232" s="7" t="n">
        <f aca="false">VALUE(LEFT(Raw_Nigeria!D232,4))</f>
        <v>2007</v>
      </c>
      <c r="E232" s="7" t="n">
        <f aca="false">IF(VALUE(RIGHT(Raw_Nigeria!D232,2))&gt;12,"",VALUE(RIGHT(Raw_Nigeria!D232,2)))</f>
        <v>3</v>
      </c>
      <c r="F232" s="7" t="n">
        <f aca="false">VALUE(LEFT(Raw_Nigeria!E232,4))</f>
        <v>2007</v>
      </c>
      <c r="G232" s="7" t="n">
        <f aca="false">IF(VALUE(RIGHT(Raw_Nigeria!E232,2))&gt;12,"",VALUE(RIGHT(Raw_Nigeria!E232,2)))</f>
        <v>4</v>
      </c>
      <c r="H232" s="7" t="n">
        <f aca="false">Raw_Nigeria!F232</f>
        <v>2006</v>
      </c>
      <c r="I232" s="7" t="str">
        <f aca="false">UPPER(TRIM(Raw_Nigeria!G232))</f>
        <v>POL1</v>
      </c>
      <c r="J232" s="7" t="str">
        <f aca="false">Raw_Nigeria!H232</f>
        <v>Record or Recall&lt;12m</v>
      </c>
      <c r="K232" s="7" t="str">
        <f aca="false">Raw_Nigeria!L232</f>
        <v>12-23 m</v>
      </c>
      <c r="L232" s="7" t="str">
        <f aca="false">IF(Raw_Nigeria!K232="","n/a",Raw_Nigeria!K232)</f>
        <v>0-12 m</v>
      </c>
      <c r="M232" s="7" t="n">
        <f aca="false">IF(Raw_Nigeria!I232="","",Raw_Nigeria!I232)</f>
        <v>18.2</v>
      </c>
      <c r="N232" s="7" t="n">
        <f aca="false">Raw_Nigeria!M232</f>
        <v>52.5</v>
      </c>
      <c r="O232" s="7" t="n">
        <f aca="false">IF(Raw_Nigeria!N232="","",Raw_Nigeria!N232)</f>
        <v>3187</v>
      </c>
      <c r="P232" s="7" t="str">
        <f aca="false">IF(K232="CBAW","Women of child-bearing age","Children")</f>
        <v>Children</v>
      </c>
      <c r="Q232" s="7" t="n">
        <f aca="false">IF(J232="NOT USED",1,0)</f>
        <v>0</v>
      </c>
      <c r="R232" s="7" t="n">
        <f aca="false">IF(AND(P232="Children",Q232=0),1,0)</f>
        <v>1</v>
      </c>
      <c r="S232" s="7" t="n">
        <f aca="false">IF(AND(R232=1,J232="Record or Recall",K232="12-23 m"),1,0)</f>
        <v>0</v>
      </c>
      <c r="T232" s="7" t="n">
        <f aca="false">IF(OR(I232="BCG",I232="DTP1",I232="DTP3",I232="POL3",I232="MCV1",I232="FULL"),1,0)</f>
        <v>0</v>
      </c>
      <c r="U232" s="7" t="n">
        <f aca="false">IF(OR(C232="DHS",C232="MICS"),1,0)</f>
        <v>1</v>
      </c>
      <c r="V232" s="7" t="n">
        <f aca="false">IF(O232="",1,0)</f>
        <v>0</v>
      </c>
      <c r="W232" s="7" t="n">
        <f aca="false">IF(M232="",1,0)</f>
        <v>0</v>
      </c>
      <c r="X232" s="7" t="n">
        <f aca="false">COUNTIFS($B$2:$B$1141,B232,$H$2:$H$1141,H232,$I$2:$I$1141,I232,$J$2:$J$1141,J232,$K$2:$K$1141,K232,$L$2:$L$1141,L232)</f>
        <v>1</v>
      </c>
    </row>
    <row r="233" customFormat="false" ht="15" hidden="false" customHeight="false" outlineLevel="0" collapsed="false">
      <c r="A233" s="7" t="n">
        <f aca="false">ROW()-1</f>
        <v>232</v>
      </c>
      <c r="B233" s="7" t="str">
        <f aca="false">IF(Raw_Nigeria!B233="",TRIM(Raw_Nigeria!C233),TRIM(Raw_Nigeria!B233))</f>
        <v>Nigeria Multiple Indicator Cluster Survey 2007</v>
      </c>
      <c r="C233" s="7" t="str">
        <f aca="false">IF(ISNUMBER(SEARCH("Demographic and Health",B233)),"DHS",IF(OR(ISNUMBER(SEARCH("Multiple Indicator Cluster",B233)),ISNUMBER(SEARCH("MICS",B233))),"MICS",IF(ISNUMBER(SEARCH("Immunization Coverage Survey",B233)),"Coverage survey",IF(ISNUMBER(SEARCH("Nutrition",B233)),"Nutrition survey","Other"))))</f>
        <v>MICS</v>
      </c>
      <c r="D233" s="7" t="n">
        <f aca="false">VALUE(LEFT(Raw_Nigeria!D233,4))</f>
        <v>2007</v>
      </c>
      <c r="E233" s="7" t="n">
        <f aca="false">IF(VALUE(RIGHT(Raw_Nigeria!D233,2))&gt;12,"",VALUE(RIGHT(Raw_Nigeria!D233,2)))</f>
        <v>3</v>
      </c>
      <c r="F233" s="7" t="n">
        <f aca="false">VALUE(LEFT(Raw_Nigeria!E233,4))</f>
        <v>2007</v>
      </c>
      <c r="G233" s="7" t="n">
        <f aca="false">IF(VALUE(RIGHT(Raw_Nigeria!E233,2))&gt;12,"",VALUE(RIGHT(Raw_Nigeria!E233,2)))</f>
        <v>4</v>
      </c>
      <c r="H233" s="7" t="n">
        <f aca="false">Raw_Nigeria!F233</f>
        <v>2006</v>
      </c>
      <c r="I233" s="7" t="str">
        <f aca="false">UPPER(TRIM(Raw_Nigeria!G233))</f>
        <v>POL1</v>
      </c>
      <c r="J233" s="7" t="str">
        <f aca="false">Raw_Nigeria!H233</f>
        <v>Record</v>
      </c>
      <c r="K233" s="7" t="str">
        <f aca="false">Raw_Nigeria!L233</f>
        <v>12-23 m</v>
      </c>
      <c r="L233" s="7" t="str">
        <f aca="false">IF(Raw_Nigeria!K233="","n/a",Raw_Nigeria!K233)</f>
        <v>0-23 m</v>
      </c>
      <c r="M233" s="7" t="n">
        <f aca="false">IF(Raw_Nigeria!I233="","",Raw_Nigeria!I233)</f>
        <v>18.2</v>
      </c>
      <c r="N233" s="7" t="n">
        <f aca="false">Raw_Nigeria!M233</f>
        <v>15.6</v>
      </c>
      <c r="O233" s="7" t="n">
        <f aca="false">IF(Raw_Nigeria!N233="","",Raw_Nigeria!N233)</f>
        <v>3187</v>
      </c>
      <c r="P233" s="7" t="str">
        <f aca="false">IF(K233="CBAW","Women of child-bearing age","Children")</f>
        <v>Children</v>
      </c>
      <c r="Q233" s="7" t="n">
        <f aca="false">IF(J233="NOT USED",1,0)</f>
        <v>0</v>
      </c>
      <c r="R233" s="7" t="n">
        <f aca="false">IF(AND(P233="Children",Q233=0),1,0)</f>
        <v>1</v>
      </c>
      <c r="S233" s="7" t="n">
        <f aca="false">IF(AND(R233=1,J233="Record or Recall",K233="12-23 m"),1,0)</f>
        <v>0</v>
      </c>
      <c r="T233" s="7" t="n">
        <f aca="false">IF(OR(I233="BCG",I233="DTP1",I233="DTP3",I233="POL3",I233="MCV1",I233="FULL"),1,0)</f>
        <v>0</v>
      </c>
      <c r="U233" s="7" t="n">
        <f aca="false">IF(OR(C233="DHS",C233="MICS"),1,0)</f>
        <v>1</v>
      </c>
      <c r="V233" s="7" t="n">
        <f aca="false">IF(O233="",1,0)</f>
        <v>0</v>
      </c>
      <c r="W233" s="7" t="n">
        <f aca="false">IF(M233="",1,0)</f>
        <v>0</v>
      </c>
      <c r="X233" s="7" t="n">
        <f aca="false">COUNTIFS($B$2:$B$1141,B233,$H$2:$H$1141,H233,$I$2:$I$1141,I233,$J$2:$J$1141,J233,$K$2:$K$1141,K233,$L$2:$L$1141,L233)</f>
        <v>1</v>
      </c>
    </row>
    <row r="234" customFormat="false" ht="15" hidden="false" customHeight="false" outlineLevel="0" collapsed="false">
      <c r="A234" s="7" t="n">
        <f aca="false">ROW()-1</f>
        <v>233</v>
      </c>
      <c r="B234" s="7" t="str">
        <f aca="false">IF(Raw_Nigeria!B234="",TRIM(Raw_Nigeria!C234),TRIM(Raw_Nigeria!B234))</f>
        <v>Nigeria Multiple Indicator Cluster Survey 2007</v>
      </c>
      <c r="C234" s="7" t="str">
        <f aca="false">IF(ISNUMBER(SEARCH("Demographic and Health",B234)),"DHS",IF(OR(ISNUMBER(SEARCH("Multiple Indicator Cluster",B234)),ISNUMBER(SEARCH("MICS",B234))),"MICS",IF(ISNUMBER(SEARCH("Immunization Coverage Survey",B234)),"Coverage survey",IF(ISNUMBER(SEARCH("Nutrition",B234)),"Nutrition survey","Other"))))</f>
        <v>MICS</v>
      </c>
      <c r="D234" s="7" t="n">
        <f aca="false">VALUE(LEFT(Raw_Nigeria!D234,4))</f>
        <v>2007</v>
      </c>
      <c r="E234" s="7" t="n">
        <f aca="false">IF(VALUE(RIGHT(Raw_Nigeria!D234,2))&gt;12,"",VALUE(RIGHT(Raw_Nigeria!D234,2)))</f>
        <v>3</v>
      </c>
      <c r="F234" s="7" t="n">
        <f aca="false">VALUE(LEFT(Raw_Nigeria!E234,4))</f>
        <v>2007</v>
      </c>
      <c r="G234" s="7" t="n">
        <f aca="false">IF(VALUE(RIGHT(Raw_Nigeria!E234,2))&gt;12,"",VALUE(RIGHT(Raw_Nigeria!E234,2)))</f>
        <v>4</v>
      </c>
      <c r="H234" s="7" t="n">
        <f aca="false">Raw_Nigeria!F234</f>
        <v>2006</v>
      </c>
      <c r="I234" s="7" t="str">
        <f aca="false">UPPER(TRIM(Raw_Nigeria!G234))</f>
        <v>POL1</v>
      </c>
      <c r="J234" s="7" t="str">
        <f aca="false">Raw_Nigeria!H234</f>
        <v>Record or Recall</v>
      </c>
      <c r="K234" s="7" t="str">
        <f aca="false">Raw_Nigeria!L234</f>
        <v>12-23 m</v>
      </c>
      <c r="L234" s="7" t="str">
        <f aca="false">IF(Raw_Nigeria!K234="","n/a",Raw_Nigeria!K234)</f>
        <v>0-23 m</v>
      </c>
      <c r="M234" s="7" t="n">
        <f aca="false">IF(Raw_Nigeria!I234="","",Raw_Nigeria!I234)</f>
        <v>18.2</v>
      </c>
      <c r="N234" s="7" t="n">
        <f aca="false">Raw_Nigeria!M234</f>
        <v>55.6</v>
      </c>
      <c r="O234" s="7" t="n">
        <f aca="false">IF(Raw_Nigeria!N234="","",Raw_Nigeria!N234)</f>
        <v>3187</v>
      </c>
      <c r="P234" s="7" t="str">
        <f aca="false">IF(K234="CBAW","Women of child-bearing age","Children")</f>
        <v>Children</v>
      </c>
      <c r="Q234" s="7" t="n">
        <f aca="false">IF(J234="NOT USED",1,0)</f>
        <v>0</v>
      </c>
      <c r="R234" s="7" t="n">
        <f aca="false">IF(AND(P234="Children",Q234=0),1,0)</f>
        <v>1</v>
      </c>
      <c r="S234" s="7" t="n">
        <f aca="false">IF(AND(R234=1,J234="Record or Recall",K234="12-23 m"),1,0)</f>
        <v>1</v>
      </c>
      <c r="T234" s="7" t="n">
        <f aca="false">IF(OR(I234="BCG",I234="DTP1",I234="DTP3",I234="POL3",I234="MCV1",I234="FULL"),1,0)</f>
        <v>0</v>
      </c>
      <c r="U234" s="7" t="n">
        <f aca="false">IF(OR(C234="DHS",C234="MICS"),1,0)</f>
        <v>1</v>
      </c>
      <c r="V234" s="7" t="n">
        <f aca="false">IF(O234="",1,0)</f>
        <v>0</v>
      </c>
      <c r="W234" s="7" t="n">
        <f aca="false">IF(M234="",1,0)</f>
        <v>0</v>
      </c>
      <c r="X234" s="7" t="n">
        <f aca="false">COUNTIFS($B$2:$B$1141,B234,$H$2:$H$1141,H234,$I$2:$I$1141,I234,$J$2:$J$1141,J234,$K$2:$K$1141,K234,$L$2:$L$1141,L234)</f>
        <v>1</v>
      </c>
    </row>
    <row r="235" customFormat="false" ht="15" hidden="false" customHeight="false" outlineLevel="0" collapsed="false">
      <c r="A235" s="7" t="n">
        <f aca="false">ROW()-1</f>
        <v>234</v>
      </c>
      <c r="B235" s="7" t="str">
        <f aca="false">IF(Raw_Nigeria!B235="",TRIM(Raw_Nigeria!C235),TRIM(Raw_Nigeria!B235))</f>
        <v>Nigeria Multiple Indicator Cluster Survey 2007</v>
      </c>
      <c r="C235" s="7" t="str">
        <f aca="false">IF(ISNUMBER(SEARCH("Demographic and Health",B235)),"DHS",IF(OR(ISNUMBER(SEARCH("Multiple Indicator Cluster",B235)),ISNUMBER(SEARCH("MICS",B235))),"MICS",IF(ISNUMBER(SEARCH("Immunization Coverage Survey",B235)),"Coverage survey",IF(ISNUMBER(SEARCH("Nutrition",B235)),"Nutrition survey","Other"))))</f>
        <v>MICS</v>
      </c>
      <c r="D235" s="7" t="n">
        <f aca="false">VALUE(LEFT(Raw_Nigeria!D235,4))</f>
        <v>2007</v>
      </c>
      <c r="E235" s="7" t="n">
        <f aca="false">IF(VALUE(RIGHT(Raw_Nigeria!D235,2))&gt;12,"",VALUE(RIGHT(Raw_Nigeria!D235,2)))</f>
        <v>3</v>
      </c>
      <c r="F235" s="7" t="n">
        <f aca="false">VALUE(LEFT(Raw_Nigeria!E235,4))</f>
        <v>2007</v>
      </c>
      <c r="G235" s="7" t="n">
        <f aca="false">IF(VALUE(RIGHT(Raw_Nigeria!E235,2))&gt;12,"",VALUE(RIGHT(Raw_Nigeria!E235,2)))</f>
        <v>4</v>
      </c>
      <c r="H235" s="7" t="n">
        <f aca="false">Raw_Nigeria!F235</f>
        <v>2006</v>
      </c>
      <c r="I235" s="7" t="str">
        <f aca="false">UPPER(TRIM(Raw_Nigeria!G235))</f>
        <v>POL1</v>
      </c>
      <c r="J235" s="7" t="str">
        <f aca="false">Raw_Nigeria!H235</f>
        <v>Recall</v>
      </c>
      <c r="K235" s="7" t="str">
        <f aca="false">Raw_Nigeria!L235</f>
        <v>12-23 m</v>
      </c>
      <c r="L235" s="7" t="str">
        <f aca="false">IF(Raw_Nigeria!K235="","n/a",Raw_Nigeria!K235)</f>
        <v>0-23 m</v>
      </c>
      <c r="M235" s="7" t="n">
        <f aca="false">IF(Raw_Nigeria!I235="","",Raw_Nigeria!I235)</f>
        <v>18.2</v>
      </c>
      <c r="N235" s="7" t="n">
        <f aca="false">Raw_Nigeria!M235</f>
        <v>39.9</v>
      </c>
      <c r="O235" s="7" t="n">
        <f aca="false">IF(Raw_Nigeria!N235="","",Raw_Nigeria!N235)</f>
        <v>3187</v>
      </c>
      <c r="P235" s="7" t="str">
        <f aca="false">IF(K235="CBAW","Women of child-bearing age","Children")</f>
        <v>Children</v>
      </c>
      <c r="Q235" s="7" t="n">
        <f aca="false">IF(J235="NOT USED",1,0)</f>
        <v>0</v>
      </c>
      <c r="R235" s="7" t="n">
        <f aca="false">IF(AND(P235="Children",Q235=0),1,0)</f>
        <v>1</v>
      </c>
      <c r="S235" s="7" t="n">
        <f aca="false">IF(AND(R235=1,J235="Record or Recall",K235="12-23 m"),1,0)</f>
        <v>0</v>
      </c>
      <c r="T235" s="7" t="n">
        <f aca="false">IF(OR(I235="BCG",I235="DTP1",I235="DTP3",I235="POL3",I235="MCV1",I235="FULL"),1,0)</f>
        <v>0</v>
      </c>
      <c r="U235" s="7" t="n">
        <f aca="false">IF(OR(C235="DHS",C235="MICS"),1,0)</f>
        <v>1</v>
      </c>
      <c r="V235" s="7" t="n">
        <f aca="false">IF(O235="",1,0)</f>
        <v>0</v>
      </c>
      <c r="W235" s="7" t="n">
        <f aca="false">IF(M235="",1,0)</f>
        <v>0</v>
      </c>
      <c r="X235" s="7" t="n">
        <f aca="false">COUNTIFS($B$2:$B$1141,B235,$H$2:$H$1141,H235,$I$2:$I$1141,I235,$J$2:$J$1141,J235,$K$2:$K$1141,K235,$L$2:$L$1141,L235)</f>
        <v>1</v>
      </c>
    </row>
    <row r="236" customFormat="false" ht="15" hidden="false" customHeight="false" outlineLevel="0" collapsed="false">
      <c r="A236" s="7" t="n">
        <f aca="false">ROW()-1</f>
        <v>235</v>
      </c>
      <c r="B236" s="7" t="str">
        <f aca="false">IF(Raw_Nigeria!B236="",TRIM(Raw_Nigeria!C236),TRIM(Raw_Nigeria!B236))</f>
        <v>Nigeria Multiple Indicator Cluster Survey 2007</v>
      </c>
      <c r="C236" s="7" t="str">
        <f aca="false">IF(ISNUMBER(SEARCH("Demographic and Health",B236)),"DHS",IF(OR(ISNUMBER(SEARCH("Multiple Indicator Cluster",B236)),ISNUMBER(SEARCH("MICS",B236))),"MICS",IF(ISNUMBER(SEARCH("Immunization Coverage Survey",B236)),"Coverage survey",IF(ISNUMBER(SEARCH("Nutrition",B236)),"Nutrition survey","Other"))))</f>
        <v>MICS</v>
      </c>
      <c r="D236" s="7" t="n">
        <f aca="false">VALUE(LEFT(Raw_Nigeria!D236,4))</f>
        <v>2007</v>
      </c>
      <c r="E236" s="7" t="n">
        <f aca="false">IF(VALUE(RIGHT(Raw_Nigeria!D236,2))&gt;12,"",VALUE(RIGHT(Raw_Nigeria!D236,2)))</f>
        <v>3</v>
      </c>
      <c r="F236" s="7" t="n">
        <f aca="false">VALUE(LEFT(Raw_Nigeria!E236,4))</f>
        <v>2007</v>
      </c>
      <c r="G236" s="7" t="n">
        <f aca="false">IF(VALUE(RIGHT(Raw_Nigeria!E236,2))&gt;12,"",VALUE(RIGHT(Raw_Nigeria!E236,2)))</f>
        <v>4</v>
      </c>
      <c r="H236" s="7" t="n">
        <f aca="false">Raw_Nigeria!F236</f>
        <v>2006</v>
      </c>
      <c r="I236" s="7" t="str">
        <f aca="false">UPPER(TRIM(Raw_Nigeria!G236))</f>
        <v>POL3</v>
      </c>
      <c r="J236" s="7" t="str">
        <f aca="false">Raw_Nigeria!H236</f>
        <v>Record or Recall&lt;12m</v>
      </c>
      <c r="K236" s="7" t="str">
        <f aca="false">Raw_Nigeria!L236</f>
        <v>12-23 m</v>
      </c>
      <c r="L236" s="7" t="str">
        <f aca="false">IF(Raw_Nigeria!K236="","n/a",Raw_Nigeria!K236)</f>
        <v>0-12 m</v>
      </c>
      <c r="M236" s="7" t="n">
        <f aca="false">IF(Raw_Nigeria!I236="","",Raw_Nigeria!I236)</f>
        <v>18.2</v>
      </c>
      <c r="N236" s="7" t="n">
        <f aca="false">Raw_Nigeria!M236</f>
        <v>27.5</v>
      </c>
      <c r="O236" s="7" t="n">
        <f aca="false">IF(Raw_Nigeria!N236="","",Raw_Nigeria!N236)</f>
        <v>3187</v>
      </c>
      <c r="P236" s="7" t="str">
        <f aca="false">IF(K236="CBAW","Women of child-bearing age","Children")</f>
        <v>Children</v>
      </c>
      <c r="Q236" s="7" t="n">
        <f aca="false">IF(J236="NOT USED",1,0)</f>
        <v>0</v>
      </c>
      <c r="R236" s="7" t="n">
        <f aca="false">IF(AND(P236="Children",Q236=0),1,0)</f>
        <v>1</v>
      </c>
      <c r="S236" s="7" t="n">
        <f aca="false">IF(AND(R236=1,J236="Record or Recall",K236="12-23 m"),1,0)</f>
        <v>0</v>
      </c>
      <c r="T236" s="7" t="n">
        <f aca="false">IF(OR(I236="BCG",I236="DTP1",I236="DTP3",I236="POL3",I236="MCV1",I236="FULL"),1,0)</f>
        <v>1</v>
      </c>
      <c r="U236" s="7" t="n">
        <f aca="false">IF(OR(C236="DHS",C236="MICS"),1,0)</f>
        <v>1</v>
      </c>
      <c r="V236" s="7" t="n">
        <f aca="false">IF(O236="",1,0)</f>
        <v>0</v>
      </c>
      <c r="W236" s="7" t="n">
        <f aca="false">IF(M236="",1,0)</f>
        <v>0</v>
      </c>
      <c r="X236" s="7" t="n">
        <f aca="false">COUNTIFS($B$2:$B$1141,B236,$H$2:$H$1141,H236,$I$2:$I$1141,I236,$J$2:$J$1141,J236,$K$2:$K$1141,K236,$L$2:$L$1141,L236)</f>
        <v>1</v>
      </c>
    </row>
    <row r="237" customFormat="false" ht="15" hidden="false" customHeight="false" outlineLevel="0" collapsed="false">
      <c r="A237" s="7" t="n">
        <f aca="false">ROW()-1</f>
        <v>236</v>
      </c>
      <c r="B237" s="7" t="str">
        <f aca="false">IF(Raw_Nigeria!B237="",TRIM(Raw_Nigeria!C237),TRIM(Raw_Nigeria!B237))</f>
        <v>Nigeria Multiple Indicator Cluster Survey 2007</v>
      </c>
      <c r="C237" s="7" t="str">
        <f aca="false">IF(ISNUMBER(SEARCH("Demographic and Health",B237)),"DHS",IF(OR(ISNUMBER(SEARCH("Multiple Indicator Cluster",B237)),ISNUMBER(SEARCH("MICS",B237))),"MICS",IF(ISNUMBER(SEARCH("Immunization Coverage Survey",B237)),"Coverage survey",IF(ISNUMBER(SEARCH("Nutrition",B237)),"Nutrition survey","Other"))))</f>
        <v>MICS</v>
      </c>
      <c r="D237" s="7" t="n">
        <f aca="false">VALUE(LEFT(Raw_Nigeria!D237,4))</f>
        <v>2007</v>
      </c>
      <c r="E237" s="7" t="n">
        <f aca="false">IF(VALUE(RIGHT(Raw_Nigeria!D237,2))&gt;12,"",VALUE(RIGHT(Raw_Nigeria!D237,2)))</f>
        <v>3</v>
      </c>
      <c r="F237" s="7" t="n">
        <f aca="false">VALUE(LEFT(Raw_Nigeria!E237,4))</f>
        <v>2007</v>
      </c>
      <c r="G237" s="7" t="n">
        <f aca="false">IF(VALUE(RIGHT(Raw_Nigeria!E237,2))&gt;12,"",VALUE(RIGHT(Raw_Nigeria!E237,2)))</f>
        <v>4</v>
      </c>
      <c r="H237" s="7" t="n">
        <f aca="false">Raw_Nigeria!F237</f>
        <v>2006</v>
      </c>
      <c r="I237" s="7" t="str">
        <f aca="false">UPPER(TRIM(Raw_Nigeria!G237))</f>
        <v>POL3</v>
      </c>
      <c r="J237" s="7" t="str">
        <f aca="false">Raw_Nigeria!H237</f>
        <v>Record</v>
      </c>
      <c r="K237" s="7" t="str">
        <f aca="false">Raw_Nigeria!L237</f>
        <v>12-23 m</v>
      </c>
      <c r="L237" s="7" t="str">
        <f aca="false">IF(Raw_Nigeria!K237="","n/a",Raw_Nigeria!K237)</f>
        <v>0-23 m</v>
      </c>
      <c r="M237" s="7" t="n">
        <f aca="false">IF(Raw_Nigeria!I237="","",Raw_Nigeria!I237)</f>
        <v>18.2</v>
      </c>
      <c r="N237" s="7" t="n">
        <f aca="false">Raw_Nigeria!M237</f>
        <v>12.9</v>
      </c>
      <c r="O237" s="7" t="n">
        <f aca="false">IF(Raw_Nigeria!N237="","",Raw_Nigeria!N237)</f>
        <v>3187</v>
      </c>
      <c r="P237" s="7" t="str">
        <f aca="false">IF(K237="CBAW","Women of child-bearing age","Children")</f>
        <v>Children</v>
      </c>
      <c r="Q237" s="7" t="n">
        <f aca="false">IF(J237="NOT USED",1,0)</f>
        <v>0</v>
      </c>
      <c r="R237" s="7" t="n">
        <f aca="false">IF(AND(P237="Children",Q237=0),1,0)</f>
        <v>1</v>
      </c>
      <c r="S237" s="7" t="n">
        <f aca="false">IF(AND(R237=1,J237="Record or Recall",K237="12-23 m"),1,0)</f>
        <v>0</v>
      </c>
      <c r="T237" s="7" t="n">
        <f aca="false">IF(OR(I237="BCG",I237="DTP1",I237="DTP3",I237="POL3",I237="MCV1",I237="FULL"),1,0)</f>
        <v>1</v>
      </c>
      <c r="U237" s="7" t="n">
        <f aca="false">IF(OR(C237="DHS",C237="MICS"),1,0)</f>
        <v>1</v>
      </c>
      <c r="V237" s="7" t="n">
        <f aca="false">IF(O237="",1,0)</f>
        <v>0</v>
      </c>
      <c r="W237" s="7" t="n">
        <f aca="false">IF(M237="",1,0)</f>
        <v>0</v>
      </c>
      <c r="X237" s="7" t="n">
        <f aca="false">COUNTIFS($B$2:$B$1141,B237,$H$2:$H$1141,H237,$I$2:$I$1141,I237,$J$2:$J$1141,J237,$K$2:$K$1141,K237,$L$2:$L$1141,L237)</f>
        <v>1</v>
      </c>
    </row>
    <row r="238" customFormat="false" ht="15" hidden="false" customHeight="false" outlineLevel="0" collapsed="false">
      <c r="A238" s="7" t="n">
        <f aca="false">ROW()-1</f>
        <v>237</v>
      </c>
      <c r="B238" s="7" t="str">
        <f aca="false">IF(Raw_Nigeria!B238="",TRIM(Raw_Nigeria!C238),TRIM(Raw_Nigeria!B238))</f>
        <v>Nigeria Multiple Indicator Cluster Survey 2007</v>
      </c>
      <c r="C238" s="7" t="str">
        <f aca="false">IF(ISNUMBER(SEARCH("Demographic and Health",B238)),"DHS",IF(OR(ISNUMBER(SEARCH("Multiple Indicator Cluster",B238)),ISNUMBER(SEARCH("MICS",B238))),"MICS",IF(ISNUMBER(SEARCH("Immunization Coverage Survey",B238)),"Coverage survey",IF(ISNUMBER(SEARCH("Nutrition",B238)),"Nutrition survey","Other"))))</f>
        <v>MICS</v>
      </c>
      <c r="D238" s="7" t="n">
        <f aca="false">VALUE(LEFT(Raw_Nigeria!D238,4))</f>
        <v>2007</v>
      </c>
      <c r="E238" s="7" t="n">
        <f aca="false">IF(VALUE(RIGHT(Raw_Nigeria!D238,2))&gt;12,"",VALUE(RIGHT(Raw_Nigeria!D238,2)))</f>
        <v>3</v>
      </c>
      <c r="F238" s="7" t="n">
        <f aca="false">VALUE(LEFT(Raw_Nigeria!E238,4))</f>
        <v>2007</v>
      </c>
      <c r="G238" s="7" t="n">
        <f aca="false">IF(VALUE(RIGHT(Raw_Nigeria!E238,2))&gt;12,"",VALUE(RIGHT(Raw_Nigeria!E238,2)))</f>
        <v>4</v>
      </c>
      <c r="H238" s="7" t="n">
        <f aca="false">Raw_Nigeria!F238</f>
        <v>2006</v>
      </c>
      <c r="I238" s="7" t="str">
        <f aca="false">UPPER(TRIM(Raw_Nigeria!G238))</f>
        <v>POL3</v>
      </c>
      <c r="J238" s="7" t="str">
        <f aca="false">Raw_Nigeria!H238</f>
        <v>Record or Recall</v>
      </c>
      <c r="K238" s="7" t="str">
        <f aca="false">Raw_Nigeria!L238</f>
        <v>12-23 m</v>
      </c>
      <c r="L238" s="7" t="str">
        <f aca="false">IF(Raw_Nigeria!K238="","n/a",Raw_Nigeria!K238)</f>
        <v>0-23 m</v>
      </c>
      <c r="M238" s="7" t="n">
        <f aca="false">IF(Raw_Nigeria!I238="","",Raw_Nigeria!I238)</f>
        <v>18.2</v>
      </c>
      <c r="N238" s="7" t="n">
        <f aca="false">Raw_Nigeria!M238</f>
        <v>29.4</v>
      </c>
      <c r="O238" s="7" t="n">
        <f aca="false">IF(Raw_Nigeria!N238="","",Raw_Nigeria!N238)</f>
        <v>3187</v>
      </c>
      <c r="P238" s="7" t="str">
        <f aca="false">IF(K238="CBAW","Women of child-bearing age","Children")</f>
        <v>Children</v>
      </c>
      <c r="Q238" s="7" t="n">
        <f aca="false">IF(J238="NOT USED",1,0)</f>
        <v>0</v>
      </c>
      <c r="R238" s="7" t="n">
        <f aca="false">IF(AND(P238="Children",Q238=0),1,0)</f>
        <v>1</v>
      </c>
      <c r="S238" s="7" t="n">
        <f aca="false">IF(AND(R238=1,J238="Record or Recall",K238="12-23 m"),1,0)</f>
        <v>1</v>
      </c>
      <c r="T238" s="7" t="n">
        <f aca="false">IF(OR(I238="BCG",I238="DTP1",I238="DTP3",I238="POL3",I238="MCV1",I238="FULL"),1,0)</f>
        <v>1</v>
      </c>
      <c r="U238" s="7" t="n">
        <f aca="false">IF(OR(C238="DHS",C238="MICS"),1,0)</f>
        <v>1</v>
      </c>
      <c r="V238" s="7" t="n">
        <f aca="false">IF(O238="",1,0)</f>
        <v>0</v>
      </c>
      <c r="W238" s="7" t="n">
        <f aca="false">IF(M238="",1,0)</f>
        <v>0</v>
      </c>
      <c r="X238" s="7" t="n">
        <f aca="false">COUNTIFS($B$2:$B$1141,B238,$H$2:$H$1141,H238,$I$2:$I$1141,I238,$J$2:$J$1141,J238,$K$2:$K$1141,K238,$L$2:$L$1141,L238)</f>
        <v>1</v>
      </c>
    </row>
    <row r="239" customFormat="false" ht="15" hidden="false" customHeight="false" outlineLevel="0" collapsed="false">
      <c r="A239" s="7" t="n">
        <f aca="false">ROW()-1</f>
        <v>238</v>
      </c>
      <c r="B239" s="7" t="str">
        <f aca="false">IF(Raw_Nigeria!B239="",TRIM(Raw_Nigeria!C239),TRIM(Raw_Nigeria!B239))</f>
        <v>Nigeria Multiple Indicator Cluster Survey 2007</v>
      </c>
      <c r="C239" s="7" t="str">
        <f aca="false">IF(ISNUMBER(SEARCH("Demographic and Health",B239)),"DHS",IF(OR(ISNUMBER(SEARCH("Multiple Indicator Cluster",B239)),ISNUMBER(SEARCH("MICS",B239))),"MICS",IF(ISNUMBER(SEARCH("Immunization Coverage Survey",B239)),"Coverage survey",IF(ISNUMBER(SEARCH("Nutrition",B239)),"Nutrition survey","Other"))))</f>
        <v>MICS</v>
      </c>
      <c r="D239" s="7" t="n">
        <f aca="false">VALUE(LEFT(Raw_Nigeria!D239,4))</f>
        <v>2007</v>
      </c>
      <c r="E239" s="7" t="n">
        <f aca="false">IF(VALUE(RIGHT(Raw_Nigeria!D239,2))&gt;12,"",VALUE(RIGHT(Raw_Nigeria!D239,2)))</f>
        <v>3</v>
      </c>
      <c r="F239" s="7" t="n">
        <f aca="false">VALUE(LEFT(Raw_Nigeria!E239,4))</f>
        <v>2007</v>
      </c>
      <c r="G239" s="7" t="n">
        <f aca="false">IF(VALUE(RIGHT(Raw_Nigeria!E239,2))&gt;12,"",VALUE(RIGHT(Raw_Nigeria!E239,2)))</f>
        <v>4</v>
      </c>
      <c r="H239" s="7" t="n">
        <f aca="false">Raw_Nigeria!F239</f>
        <v>2006</v>
      </c>
      <c r="I239" s="7" t="str">
        <f aca="false">UPPER(TRIM(Raw_Nigeria!G239))</f>
        <v>POL3</v>
      </c>
      <c r="J239" s="7" t="str">
        <f aca="false">Raw_Nigeria!H239</f>
        <v>Recall</v>
      </c>
      <c r="K239" s="7" t="str">
        <f aca="false">Raw_Nigeria!L239</f>
        <v>12-23 m</v>
      </c>
      <c r="L239" s="7" t="str">
        <f aca="false">IF(Raw_Nigeria!K239="","n/a",Raw_Nigeria!K239)</f>
        <v>0-23 m</v>
      </c>
      <c r="M239" s="7" t="n">
        <f aca="false">IF(Raw_Nigeria!I239="","",Raw_Nigeria!I239)</f>
        <v>18.2</v>
      </c>
      <c r="N239" s="7" t="n">
        <f aca="false">Raw_Nigeria!M239</f>
        <v>16.5</v>
      </c>
      <c r="O239" s="7" t="n">
        <f aca="false">IF(Raw_Nigeria!N239="","",Raw_Nigeria!N239)</f>
        <v>3187</v>
      </c>
      <c r="P239" s="7" t="str">
        <f aca="false">IF(K239="CBAW","Women of child-bearing age","Children")</f>
        <v>Children</v>
      </c>
      <c r="Q239" s="7" t="n">
        <f aca="false">IF(J239="NOT USED",1,0)</f>
        <v>0</v>
      </c>
      <c r="R239" s="7" t="n">
        <f aca="false">IF(AND(P239="Children",Q239=0),1,0)</f>
        <v>1</v>
      </c>
      <c r="S239" s="7" t="n">
        <f aca="false">IF(AND(R239=1,J239="Record or Recall",K239="12-23 m"),1,0)</f>
        <v>0</v>
      </c>
      <c r="T239" s="7" t="n">
        <f aca="false">IF(OR(I239="BCG",I239="DTP1",I239="DTP3",I239="POL3",I239="MCV1",I239="FULL"),1,0)</f>
        <v>1</v>
      </c>
      <c r="U239" s="7" t="n">
        <f aca="false">IF(OR(C239="DHS",C239="MICS"),1,0)</f>
        <v>1</v>
      </c>
      <c r="V239" s="7" t="n">
        <f aca="false">IF(O239="",1,0)</f>
        <v>0</v>
      </c>
      <c r="W239" s="7" t="n">
        <f aca="false">IF(M239="",1,0)</f>
        <v>0</v>
      </c>
      <c r="X239" s="7" t="n">
        <f aca="false">COUNTIFS($B$2:$B$1141,B239,$H$2:$H$1141,H239,$I$2:$I$1141,I239,$J$2:$J$1141,J239,$K$2:$K$1141,K239,$L$2:$L$1141,L239)</f>
        <v>1</v>
      </c>
    </row>
    <row r="240" customFormat="false" ht="15" hidden="false" customHeight="false" outlineLevel="0" collapsed="false">
      <c r="A240" s="7" t="n">
        <f aca="false">ROW()-1</f>
        <v>239</v>
      </c>
      <c r="B240" s="7" t="str">
        <f aca="false">IF(Raw_Nigeria!B240="",TRIM(Raw_Nigeria!C240),TRIM(Raw_Nigeria!B240))</f>
        <v>Nigeria Multiple Indicator Cluster Survey 2007</v>
      </c>
      <c r="C240" s="7" t="str">
        <f aca="false">IF(ISNUMBER(SEARCH("Demographic and Health",B240)),"DHS",IF(OR(ISNUMBER(SEARCH("Multiple Indicator Cluster",B240)),ISNUMBER(SEARCH("MICS",B240))),"MICS",IF(ISNUMBER(SEARCH("Immunization Coverage Survey",B240)),"Coverage survey",IF(ISNUMBER(SEARCH("Nutrition",B240)),"Nutrition survey","Other"))))</f>
        <v>MICS</v>
      </c>
      <c r="D240" s="7" t="n">
        <f aca="false">VALUE(LEFT(Raw_Nigeria!D240,4))</f>
        <v>2007</v>
      </c>
      <c r="E240" s="7" t="n">
        <f aca="false">IF(VALUE(RIGHT(Raw_Nigeria!D240,2))&gt;12,"",VALUE(RIGHT(Raw_Nigeria!D240,2)))</f>
        <v>3</v>
      </c>
      <c r="F240" s="7" t="n">
        <f aca="false">VALUE(LEFT(Raw_Nigeria!E240,4))</f>
        <v>2007</v>
      </c>
      <c r="G240" s="7" t="n">
        <f aca="false">IF(VALUE(RIGHT(Raw_Nigeria!E240,2))&gt;12,"",VALUE(RIGHT(Raw_Nigeria!E240,2)))</f>
        <v>4</v>
      </c>
      <c r="H240" s="7" t="n">
        <f aca="false">Raw_Nigeria!F240</f>
        <v>2006</v>
      </c>
      <c r="I240" s="7" t="str">
        <f aca="false">UPPER(TRIM(Raw_Nigeria!G240))</f>
        <v>TT2+</v>
      </c>
      <c r="J240" s="7" t="str">
        <f aca="false">Raw_Nigeria!H240</f>
        <v>NOT USED</v>
      </c>
      <c r="K240" s="7" t="str">
        <f aca="false">Raw_Nigeria!L240</f>
        <v>CBAW</v>
      </c>
      <c r="L240" s="7" t="str">
        <f aca="false">IF(Raw_Nigeria!K240="","n/a",Raw_Nigeria!K240)</f>
        <v>n/a</v>
      </c>
      <c r="M240" s="7" t="str">
        <f aca="false">IF(Raw_Nigeria!I240="","",Raw_Nigeria!I240)</f>
        <v/>
      </c>
      <c r="N240" s="7" t="n">
        <f aca="false">Raw_Nigeria!M240</f>
        <v>47.2</v>
      </c>
      <c r="O240" s="7" t="n">
        <f aca="false">IF(Raw_Nigeria!N240="","",Raw_Nigeria!N240)</f>
        <v>6427</v>
      </c>
      <c r="P240" s="7" t="str">
        <f aca="false">IF(K240="CBAW","Women of child-bearing age","Children")</f>
        <v>Women of child-bearing age</v>
      </c>
      <c r="Q240" s="7" t="n">
        <f aca="false">IF(J240="NOT USED",1,0)</f>
        <v>1</v>
      </c>
      <c r="R240" s="7" t="n">
        <f aca="false">IF(AND(P240="Children",Q240=0),1,0)</f>
        <v>0</v>
      </c>
      <c r="S240" s="7" t="n">
        <f aca="false">IF(AND(R240=1,J240="Record or Recall",K240="12-23 m"),1,0)</f>
        <v>0</v>
      </c>
      <c r="T240" s="7" t="n">
        <f aca="false">IF(OR(I240="BCG",I240="DTP1",I240="DTP3",I240="POL3",I240="MCV1",I240="FULL"),1,0)</f>
        <v>0</v>
      </c>
      <c r="U240" s="7" t="n">
        <f aca="false">IF(OR(C240="DHS",C240="MICS"),1,0)</f>
        <v>1</v>
      </c>
      <c r="V240" s="7" t="n">
        <f aca="false">IF(O240="",1,0)</f>
        <v>0</v>
      </c>
      <c r="W240" s="7" t="n">
        <f aca="false">IF(M240="",1,0)</f>
        <v>1</v>
      </c>
      <c r="X240" s="7" t="n">
        <f aca="false">COUNTIFS($B$2:$B$1141,B240,$H$2:$H$1141,H240,$I$2:$I$1141,I240,$J$2:$J$1141,J240,$K$2:$K$1141,K240,$L$2:$L$1141,L240)</f>
        <v>1</v>
      </c>
    </row>
    <row r="241" customFormat="false" ht="15" hidden="false" customHeight="false" outlineLevel="0" collapsed="false">
      <c r="A241" s="7" t="n">
        <f aca="false">ROW()-1</f>
        <v>240</v>
      </c>
      <c r="B241" s="7" t="str">
        <f aca="false">IF(Raw_Nigeria!B241="",TRIM(Raw_Nigeria!C241),TRIM(Raw_Nigeria!B241))</f>
        <v>Nigeria Demographic and Health Survey 2008</v>
      </c>
      <c r="C241" s="7" t="str">
        <f aca="false">IF(ISNUMBER(SEARCH("Demographic and Health",B241)),"DHS",IF(OR(ISNUMBER(SEARCH("Multiple Indicator Cluster",B241)),ISNUMBER(SEARCH("MICS",B241))),"MICS",IF(ISNUMBER(SEARCH("Immunization Coverage Survey",B241)),"Coverage survey",IF(ISNUMBER(SEARCH("Nutrition",B241)),"Nutrition survey","Other"))))</f>
        <v>DHS</v>
      </c>
      <c r="D241" s="7" t="n">
        <f aca="false">VALUE(LEFT(Raw_Nigeria!D241,4))</f>
        <v>2008</v>
      </c>
      <c r="E241" s="7" t="n">
        <f aca="false">IF(VALUE(RIGHT(Raw_Nigeria!D241,2))&gt;12,"",VALUE(RIGHT(Raw_Nigeria!D241,2)))</f>
        <v>6</v>
      </c>
      <c r="F241" s="7" t="n">
        <f aca="false">VALUE(LEFT(Raw_Nigeria!E241,4))</f>
        <v>2008</v>
      </c>
      <c r="G241" s="7" t="n">
        <f aca="false">IF(VALUE(RIGHT(Raw_Nigeria!E241,2))&gt;12,"",VALUE(RIGHT(Raw_Nigeria!E241,2)))</f>
        <v>10</v>
      </c>
      <c r="H241" s="7" t="n">
        <f aca="false">Raw_Nigeria!F241</f>
        <v>2007</v>
      </c>
      <c r="I241" s="7" t="str">
        <f aca="false">UPPER(TRIM(Raw_Nigeria!G241))</f>
        <v>BCG</v>
      </c>
      <c r="J241" s="7" t="str">
        <f aca="false">Raw_Nigeria!H241</f>
        <v>Record or Recall&lt;12m</v>
      </c>
      <c r="K241" s="7" t="str">
        <f aca="false">Raw_Nigeria!L241</f>
        <v>12-23 m</v>
      </c>
      <c r="L241" s="7" t="str">
        <f aca="false">IF(Raw_Nigeria!K241="","n/a",Raw_Nigeria!K241)</f>
        <v>0-12 m</v>
      </c>
      <c r="M241" s="7" t="n">
        <f aca="false">IF(Raw_Nigeria!I241="","",Raw_Nigeria!I241)</f>
        <v>26.1</v>
      </c>
      <c r="N241" s="7" t="n">
        <f aca="false">Raw_Nigeria!M241</f>
        <v>47.9</v>
      </c>
      <c r="O241" s="7" t="n">
        <f aca="false">IF(Raw_Nigeria!N241="","",Raw_Nigeria!N241)</f>
        <v>4945</v>
      </c>
      <c r="P241" s="7" t="str">
        <f aca="false">IF(K241="CBAW","Women of child-bearing age","Children")</f>
        <v>Children</v>
      </c>
      <c r="Q241" s="7" t="n">
        <f aca="false">IF(J241="NOT USED",1,0)</f>
        <v>0</v>
      </c>
      <c r="R241" s="7" t="n">
        <f aca="false">IF(AND(P241="Children",Q241=0),1,0)</f>
        <v>1</v>
      </c>
      <c r="S241" s="7" t="n">
        <f aca="false">IF(AND(R241=1,J241="Record or Recall",K241="12-23 m"),1,0)</f>
        <v>0</v>
      </c>
      <c r="T241" s="7" t="n">
        <f aca="false">IF(OR(I241="BCG",I241="DTP1",I241="DTP3",I241="POL3",I241="MCV1",I241="FULL"),1,0)</f>
        <v>1</v>
      </c>
      <c r="U241" s="7" t="n">
        <f aca="false">IF(OR(C241="DHS",C241="MICS"),1,0)</f>
        <v>1</v>
      </c>
      <c r="V241" s="7" t="n">
        <f aca="false">IF(O241="",1,0)</f>
        <v>0</v>
      </c>
      <c r="W241" s="7" t="n">
        <f aca="false">IF(M241="",1,0)</f>
        <v>0</v>
      </c>
      <c r="X241" s="7" t="n">
        <f aca="false">COUNTIFS($B$2:$B$1141,B241,$H$2:$H$1141,H241,$I$2:$I$1141,I241,$J$2:$J$1141,J241,$K$2:$K$1141,K241,$L$2:$L$1141,L241)</f>
        <v>1</v>
      </c>
    </row>
    <row r="242" customFormat="false" ht="15" hidden="false" customHeight="false" outlineLevel="0" collapsed="false">
      <c r="A242" s="7" t="n">
        <f aca="false">ROW()-1</f>
        <v>241</v>
      </c>
      <c r="B242" s="7" t="str">
        <f aca="false">IF(Raw_Nigeria!B242="",TRIM(Raw_Nigeria!C242),TRIM(Raw_Nigeria!B242))</f>
        <v>Nigeria Demographic and Health Survey 2008</v>
      </c>
      <c r="C242" s="7" t="str">
        <f aca="false">IF(ISNUMBER(SEARCH("Demographic and Health",B242)),"DHS",IF(OR(ISNUMBER(SEARCH("Multiple Indicator Cluster",B242)),ISNUMBER(SEARCH("MICS",B242))),"MICS",IF(ISNUMBER(SEARCH("Immunization Coverage Survey",B242)),"Coverage survey",IF(ISNUMBER(SEARCH("Nutrition",B242)),"Nutrition survey","Other"))))</f>
        <v>DHS</v>
      </c>
      <c r="D242" s="7" t="n">
        <f aca="false">VALUE(LEFT(Raw_Nigeria!D242,4))</f>
        <v>2008</v>
      </c>
      <c r="E242" s="7" t="n">
        <f aca="false">IF(VALUE(RIGHT(Raw_Nigeria!D242,2))&gt;12,"",VALUE(RIGHT(Raw_Nigeria!D242,2)))</f>
        <v>6</v>
      </c>
      <c r="F242" s="7" t="n">
        <f aca="false">VALUE(LEFT(Raw_Nigeria!E242,4))</f>
        <v>2008</v>
      </c>
      <c r="G242" s="7" t="n">
        <f aca="false">IF(VALUE(RIGHT(Raw_Nigeria!E242,2))&gt;12,"",VALUE(RIGHT(Raw_Nigeria!E242,2)))</f>
        <v>10</v>
      </c>
      <c r="H242" s="7" t="n">
        <f aca="false">Raw_Nigeria!F242</f>
        <v>2007</v>
      </c>
      <c r="I242" s="7" t="str">
        <f aca="false">UPPER(TRIM(Raw_Nigeria!G242))</f>
        <v>BCG</v>
      </c>
      <c r="J242" s="7" t="str">
        <f aca="false">Raw_Nigeria!H242</f>
        <v>Record</v>
      </c>
      <c r="K242" s="7" t="str">
        <f aca="false">Raw_Nigeria!L242</f>
        <v>12-23 m</v>
      </c>
      <c r="L242" s="7" t="str">
        <f aca="false">IF(Raw_Nigeria!K242="","n/a",Raw_Nigeria!K242)</f>
        <v>0-23 m</v>
      </c>
      <c r="M242" s="7" t="n">
        <f aca="false">IF(Raw_Nigeria!I242="","",Raw_Nigeria!I242)</f>
        <v>26.1</v>
      </c>
      <c r="N242" s="7" t="n">
        <f aca="false">Raw_Nigeria!M242</f>
        <v>23.7</v>
      </c>
      <c r="O242" s="7" t="n">
        <f aca="false">IF(Raw_Nigeria!N242="","",Raw_Nigeria!N242)</f>
        <v>4945</v>
      </c>
      <c r="P242" s="7" t="str">
        <f aca="false">IF(K242="CBAW","Women of child-bearing age","Children")</f>
        <v>Children</v>
      </c>
      <c r="Q242" s="7" t="n">
        <f aca="false">IF(J242="NOT USED",1,0)</f>
        <v>0</v>
      </c>
      <c r="R242" s="7" t="n">
        <f aca="false">IF(AND(P242="Children",Q242=0),1,0)</f>
        <v>1</v>
      </c>
      <c r="S242" s="7" t="n">
        <f aca="false">IF(AND(R242=1,J242="Record or Recall",K242="12-23 m"),1,0)</f>
        <v>0</v>
      </c>
      <c r="T242" s="7" t="n">
        <f aca="false">IF(OR(I242="BCG",I242="DTP1",I242="DTP3",I242="POL3",I242="MCV1",I242="FULL"),1,0)</f>
        <v>1</v>
      </c>
      <c r="U242" s="7" t="n">
        <f aca="false">IF(OR(C242="DHS",C242="MICS"),1,0)</f>
        <v>1</v>
      </c>
      <c r="V242" s="7" t="n">
        <f aca="false">IF(O242="",1,0)</f>
        <v>0</v>
      </c>
      <c r="W242" s="7" t="n">
        <f aca="false">IF(M242="",1,0)</f>
        <v>0</v>
      </c>
      <c r="X242" s="7" t="n">
        <f aca="false">COUNTIFS($B$2:$B$1141,B242,$H$2:$H$1141,H242,$I$2:$I$1141,I242,$J$2:$J$1141,J242,$K$2:$K$1141,K242,$L$2:$L$1141,L242)</f>
        <v>1</v>
      </c>
    </row>
    <row r="243" customFormat="false" ht="15" hidden="false" customHeight="false" outlineLevel="0" collapsed="false">
      <c r="A243" s="7" t="n">
        <f aca="false">ROW()-1</f>
        <v>242</v>
      </c>
      <c r="B243" s="7" t="str">
        <f aca="false">IF(Raw_Nigeria!B243="",TRIM(Raw_Nigeria!C243),TRIM(Raw_Nigeria!B243))</f>
        <v>Nigeria Demographic and Health Survey 2008</v>
      </c>
      <c r="C243" s="7" t="str">
        <f aca="false">IF(ISNUMBER(SEARCH("Demographic and Health",B243)),"DHS",IF(OR(ISNUMBER(SEARCH("Multiple Indicator Cluster",B243)),ISNUMBER(SEARCH("MICS",B243))),"MICS",IF(ISNUMBER(SEARCH("Immunization Coverage Survey",B243)),"Coverage survey",IF(ISNUMBER(SEARCH("Nutrition",B243)),"Nutrition survey","Other"))))</f>
        <v>DHS</v>
      </c>
      <c r="D243" s="7" t="n">
        <f aca="false">VALUE(LEFT(Raw_Nigeria!D243,4))</f>
        <v>2008</v>
      </c>
      <c r="E243" s="7" t="n">
        <f aca="false">IF(VALUE(RIGHT(Raw_Nigeria!D243,2))&gt;12,"",VALUE(RIGHT(Raw_Nigeria!D243,2)))</f>
        <v>6</v>
      </c>
      <c r="F243" s="7" t="n">
        <f aca="false">VALUE(LEFT(Raw_Nigeria!E243,4))</f>
        <v>2008</v>
      </c>
      <c r="G243" s="7" t="n">
        <f aca="false">IF(VALUE(RIGHT(Raw_Nigeria!E243,2))&gt;12,"",VALUE(RIGHT(Raw_Nigeria!E243,2)))</f>
        <v>10</v>
      </c>
      <c r="H243" s="7" t="n">
        <f aca="false">Raw_Nigeria!F243</f>
        <v>2007</v>
      </c>
      <c r="I243" s="7" t="str">
        <f aca="false">UPPER(TRIM(Raw_Nigeria!G243))</f>
        <v>BCG</v>
      </c>
      <c r="J243" s="7" t="str">
        <f aca="false">Raw_Nigeria!H243</f>
        <v>Record or Recall</v>
      </c>
      <c r="K243" s="7" t="str">
        <f aca="false">Raw_Nigeria!L243</f>
        <v>12-23 m</v>
      </c>
      <c r="L243" s="7" t="str">
        <f aca="false">IF(Raw_Nigeria!K243="","n/a",Raw_Nigeria!K243)</f>
        <v>0-23 m</v>
      </c>
      <c r="M243" s="7" t="n">
        <f aca="false">IF(Raw_Nigeria!I243="","",Raw_Nigeria!I243)</f>
        <v>26.1</v>
      </c>
      <c r="N243" s="7" t="n">
        <f aca="false">Raw_Nigeria!M243</f>
        <v>49.7</v>
      </c>
      <c r="O243" s="7" t="n">
        <f aca="false">IF(Raw_Nigeria!N243="","",Raw_Nigeria!N243)</f>
        <v>4945</v>
      </c>
      <c r="P243" s="7" t="str">
        <f aca="false">IF(K243="CBAW","Women of child-bearing age","Children")</f>
        <v>Children</v>
      </c>
      <c r="Q243" s="7" t="n">
        <f aca="false">IF(J243="NOT USED",1,0)</f>
        <v>0</v>
      </c>
      <c r="R243" s="7" t="n">
        <f aca="false">IF(AND(P243="Children",Q243=0),1,0)</f>
        <v>1</v>
      </c>
      <c r="S243" s="7" t="n">
        <f aca="false">IF(AND(R243=1,J243="Record or Recall",K243="12-23 m"),1,0)</f>
        <v>1</v>
      </c>
      <c r="T243" s="7" t="n">
        <f aca="false">IF(OR(I243="BCG",I243="DTP1",I243="DTP3",I243="POL3",I243="MCV1",I243="FULL"),1,0)</f>
        <v>1</v>
      </c>
      <c r="U243" s="7" t="n">
        <f aca="false">IF(OR(C243="DHS",C243="MICS"),1,0)</f>
        <v>1</v>
      </c>
      <c r="V243" s="7" t="n">
        <f aca="false">IF(O243="",1,0)</f>
        <v>0</v>
      </c>
      <c r="W243" s="7" t="n">
        <f aca="false">IF(M243="",1,0)</f>
        <v>0</v>
      </c>
      <c r="X243" s="7" t="n">
        <f aca="false">COUNTIFS($B$2:$B$1141,B243,$H$2:$H$1141,H243,$I$2:$I$1141,I243,$J$2:$J$1141,J243,$K$2:$K$1141,K243,$L$2:$L$1141,L243)</f>
        <v>1</v>
      </c>
    </row>
    <row r="244" customFormat="false" ht="15" hidden="false" customHeight="false" outlineLevel="0" collapsed="false">
      <c r="A244" s="7" t="n">
        <f aca="false">ROW()-1</f>
        <v>243</v>
      </c>
      <c r="B244" s="7" t="str">
        <f aca="false">IF(Raw_Nigeria!B244="",TRIM(Raw_Nigeria!C244),TRIM(Raw_Nigeria!B244))</f>
        <v>Nigeria Demographic and Health Survey 2008</v>
      </c>
      <c r="C244" s="7" t="str">
        <f aca="false">IF(ISNUMBER(SEARCH("Demographic and Health",B244)),"DHS",IF(OR(ISNUMBER(SEARCH("Multiple Indicator Cluster",B244)),ISNUMBER(SEARCH("MICS",B244))),"MICS",IF(ISNUMBER(SEARCH("Immunization Coverage Survey",B244)),"Coverage survey",IF(ISNUMBER(SEARCH("Nutrition",B244)),"Nutrition survey","Other"))))</f>
        <v>DHS</v>
      </c>
      <c r="D244" s="7" t="n">
        <f aca="false">VALUE(LEFT(Raw_Nigeria!D244,4))</f>
        <v>2008</v>
      </c>
      <c r="E244" s="7" t="n">
        <f aca="false">IF(VALUE(RIGHT(Raw_Nigeria!D244,2))&gt;12,"",VALUE(RIGHT(Raw_Nigeria!D244,2)))</f>
        <v>6</v>
      </c>
      <c r="F244" s="7" t="n">
        <f aca="false">VALUE(LEFT(Raw_Nigeria!E244,4))</f>
        <v>2008</v>
      </c>
      <c r="G244" s="7" t="n">
        <f aca="false">IF(VALUE(RIGHT(Raw_Nigeria!E244,2))&gt;12,"",VALUE(RIGHT(Raw_Nigeria!E244,2)))</f>
        <v>10</v>
      </c>
      <c r="H244" s="7" t="n">
        <f aca="false">Raw_Nigeria!F244</f>
        <v>2007</v>
      </c>
      <c r="I244" s="7" t="str">
        <f aca="false">UPPER(TRIM(Raw_Nigeria!G244))</f>
        <v>BCG</v>
      </c>
      <c r="J244" s="7" t="str">
        <f aca="false">Raw_Nigeria!H244</f>
        <v>Recall</v>
      </c>
      <c r="K244" s="7" t="str">
        <f aca="false">Raw_Nigeria!L244</f>
        <v>12-23 m</v>
      </c>
      <c r="L244" s="7" t="str">
        <f aca="false">IF(Raw_Nigeria!K244="","n/a",Raw_Nigeria!K244)</f>
        <v>0-23 m</v>
      </c>
      <c r="M244" s="7" t="n">
        <f aca="false">IF(Raw_Nigeria!I244="","",Raw_Nigeria!I244)</f>
        <v>26.1</v>
      </c>
      <c r="N244" s="7" t="n">
        <f aca="false">Raw_Nigeria!M244</f>
        <v>25.9</v>
      </c>
      <c r="O244" s="7" t="n">
        <f aca="false">IF(Raw_Nigeria!N244="","",Raw_Nigeria!N244)</f>
        <v>4945</v>
      </c>
      <c r="P244" s="7" t="str">
        <f aca="false">IF(K244="CBAW","Women of child-bearing age","Children")</f>
        <v>Children</v>
      </c>
      <c r="Q244" s="7" t="n">
        <f aca="false">IF(J244="NOT USED",1,0)</f>
        <v>0</v>
      </c>
      <c r="R244" s="7" t="n">
        <f aca="false">IF(AND(P244="Children",Q244=0),1,0)</f>
        <v>1</v>
      </c>
      <c r="S244" s="7" t="n">
        <f aca="false">IF(AND(R244=1,J244="Record or Recall",K244="12-23 m"),1,0)</f>
        <v>0</v>
      </c>
      <c r="T244" s="7" t="n">
        <f aca="false">IF(OR(I244="BCG",I244="DTP1",I244="DTP3",I244="POL3",I244="MCV1",I244="FULL"),1,0)</f>
        <v>1</v>
      </c>
      <c r="U244" s="7" t="n">
        <f aca="false">IF(OR(C244="DHS",C244="MICS"),1,0)</f>
        <v>1</v>
      </c>
      <c r="V244" s="7" t="n">
        <f aca="false">IF(O244="",1,0)</f>
        <v>0</v>
      </c>
      <c r="W244" s="7" t="n">
        <f aca="false">IF(M244="",1,0)</f>
        <v>0</v>
      </c>
      <c r="X244" s="7" t="n">
        <f aca="false">COUNTIFS($B$2:$B$1141,B244,$H$2:$H$1141,H244,$I$2:$I$1141,I244,$J$2:$J$1141,J244,$K$2:$K$1141,K244,$L$2:$L$1141,L244)</f>
        <v>1</v>
      </c>
    </row>
    <row r="245" customFormat="false" ht="15" hidden="false" customHeight="false" outlineLevel="0" collapsed="false">
      <c r="A245" s="7" t="n">
        <f aca="false">ROW()-1</f>
        <v>244</v>
      </c>
      <c r="B245" s="7" t="str">
        <f aca="false">IF(Raw_Nigeria!B245="",TRIM(Raw_Nigeria!C245),TRIM(Raw_Nigeria!B245))</f>
        <v>Nigeria Demographic and Health Survey 2008</v>
      </c>
      <c r="C245" s="7" t="str">
        <f aca="false">IF(ISNUMBER(SEARCH("Demographic and Health",B245)),"DHS",IF(OR(ISNUMBER(SEARCH("Multiple Indicator Cluster",B245)),ISNUMBER(SEARCH("MICS",B245))),"MICS",IF(ISNUMBER(SEARCH("Immunization Coverage Survey",B245)),"Coverage survey",IF(ISNUMBER(SEARCH("Nutrition",B245)),"Nutrition survey","Other"))))</f>
        <v>DHS</v>
      </c>
      <c r="D245" s="7" t="n">
        <f aca="false">VALUE(LEFT(Raw_Nigeria!D245,4))</f>
        <v>2008</v>
      </c>
      <c r="E245" s="7" t="n">
        <f aca="false">IF(VALUE(RIGHT(Raw_Nigeria!D245,2))&gt;12,"",VALUE(RIGHT(Raw_Nigeria!D245,2)))</f>
        <v>6</v>
      </c>
      <c r="F245" s="7" t="n">
        <f aca="false">VALUE(LEFT(Raw_Nigeria!E245,4))</f>
        <v>2008</v>
      </c>
      <c r="G245" s="7" t="n">
        <f aca="false">IF(VALUE(RIGHT(Raw_Nigeria!E245,2))&gt;12,"",VALUE(RIGHT(Raw_Nigeria!E245,2)))</f>
        <v>10</v>
      </c>
      <c r="H245" s="7" t="n">
        <f aca="false">Raw_Nigeria!F245</f>
        <v>2007</v>
      </c>
      <c r="I245" s="7" t="str">
        <f aca="false">UPPER(TRIM(Raw_Nigeria!G245))</f>
        <v>DTP1</v>
      </c>
      <c r="J245" s="7" t="str">
        <f aca="false">Raw_Nigeria!H245</f>
        <v>Record or Recall&lt;12m</v>
      </c>
      <c r="K245" s="7" t="str">
        <f aca="false">Raw_Nigeria!L245</f>
        <v>12-23 m</v>
      </c>
      <c r="L245" s="7" t="str">
        <f aca="false">IF(Raw_Nigeria!K245="","n/a",Raw_Nigeria!K245)</f>
        <v>0-12 m</v>
      </c>
      <c r="M245" s="7" t="n">
        <f aca="false">IF(Raw_Nigeria!I245="","",Raw_Nigeria!I245)</f>
        <v>26.1</v>
      </c>
      <c r="N245" s="7" t="n">
        <f aca="false">Raw_Nigeria!M245</f>
        <v>49.4</v>
      </c>
      <c r="O245" s="7" t="n">
        <f aca="false">IF(Raw_Nigeria!N245="","",Raw_Nigeria!N245)</f>
        <v>4945</v>
      </c>
      <c r="P245" s="7" t="str">
        <f aca="false">IF(K245="CBAW","Women of child-bearing age","Children")</f>
        <v>Children</v>
      </c>
      <c r="Q245" s="7" t="n">
        <f aca="false">IF(J245="NOT USED",1,0)</f>
        <v>0</v>
      </c>
      <c r="R245" s="7" t="n">
        <f aca="false">IF(AND(P245="Children",Q245=0),1,0)</f>
        <v>1</v>
      </c>
      <c r="S245" s="7" t="n">
        <f aca="false">IF(AND(R245=1,J245="Record or Recall",K245="12-23 m"),1,0)</f>
        <v>0</v>
      </c>
      <c r="T245" s="7" t="n">
        <f aca="false">IF(OR(I245="BCG",I245="DTP1",I245="DTP3",I245="POL3",I245="MCV1",I245="FULL"),1,0)</f>
        <v>1</v>
      </c>
      <c r="U245" s="7" t="n">
        <f aca="false">IF(OR(C245="DHS",C245="MICS"),1,0)</f>
        <v>1</v>
      </c>
      <c r="V245" s="7" t="n">
        <f aca="false">IF(O245="",1,0)</f>
        <v>0</v>
      </c>
      <c r="W245" s="7" t="n">
        <f aca="false">IF(M245="",1,0)</f>
        <v>0</v>
      </c>
      <c r="X245" s="7" t="n">
        <f aca="false">COUNTIFS($B$2:$B$1141,B245,$H$2:$H$1141,H245,$I$2:$I$1141,I245,$J$2:$J$1141,J245,$K$2:$K$1141,K245,$L$2:$L$1141,L245)</f>
        <v>1</v>
      </c>
    </row>
    <row r="246" customFormat="false" ht="15" hidden="false" customHeight="false" outlineLevel="0" collapsed="false">
      <c r="A246" s="7" t="n">
        <f aca="false">ROW()-1</f>
        <v>245</v>
      </c>
      <c r="B246" s="7" t="str">
        <f aca="false">IF(Raw_Nigeria!B246="",TRIM(Raw_Nigeria!C246),TRIM(Raw_Nigeria!B246))</f>
        <v>Nigeria Demographic and Health Survey 2008</v>
      </c>
      <c r="C246" s="7" t="str">
        <f aca="false">IF(ISNUMBER(SEARCH("Demographic and Health",B246)),"DHS",IF(OR(ISNUMBER(SEARCH("Multiple Indicator Cluster",B246)),ISNUMBER(SEARCH("MICS",B246))),"MICS",IF(ISNUMBER(SEARCH("Immunization Coverage Survey",B246)),"Coverage survey",IF(ISNUMBER(SEARCH("Nutrition",B246)),"Nutrition survey","Other"))))</f>
        <v>DHS</v>
      </c>
      <c r="D246" s="7" t="n">
        <f aca="false">VALUE(LEFT(Raw_Nigeria!D246,4))</f>
        <v>2008</v>
      </c>
      <c r="E246" s="7" t="n">
        <f aca="false">IF(VALUE(RIGHT(Raw_Nigeria!D246,2))&gt;12,"",VALUE(RIGHT(Raw_Nigeria!D246,2)))</f>
        <v>6</v>
      </c>
      <c r="F246" s="7" t="n">
        <f aca="false">VALUE(LEFT(Raw_Nigeria!E246,4))</f>
        <v>2008</v>
      </c>
      <c r="G246" s="7" t="n">
        <f aca="false">IF(VALUE(RIGHT(Raw_Nigeria!E246,2))&gt;12,"",VALUE(RIGHT(Raw_Nigeria!E246,2)))</f>
        <v>10</v>
      </c>
      <c r="H246" s="7" t="n">
        <f aca="false">Raw_Nigeria!F246</f>
        <v>2007</v>
      </c>
      <c r="I246" s="7" t="str">
        <f aca="false">UPPER(TRIM(Raw_Nigeria!G246))</f>
        <v>DTP1</v>
      </c>
      <c r="J246" s="7" t="str">
        <f aca="false">Raw_Nigeria!H246</f>
        <v>Record</v>
      </c>
      <c r="K246" s="7" t="str">
        <f aca="false">Raw_Nigeria!L246</f>
        <v>12-23 m</v>
      </c>
      <c r="L246" s="7" t="str">
        <f aca="false">IF(Raw_Nigeria!K246="","n/a",Raw_Nigeria!K246)</f>
        <v>0-23 m</v>
      </c>
      <c r="M246" s="7" t="n">
        <f aca="false">IF(Raw_Nigeria!I246="","",Raw_Nigeria!I246)</f>
        <v>26.1</v>
      </c>
      <c r="N246" s="7" t="n">
        <f aca="false">Raw_Nigeria!M246</f>
        <v>24.9</v>
      </c>
      <c r="O246" s="7" t="n">
        <f aca="false">IF(Raw_Nigeria!N246="","",Raw_Nigeria!N246)</f>
        <v>4945</v>
      </c>
      <c r="P246" s="7" t="str">
        <f aca="false">IF(K246="CBAW","Women of child-bearing age","Children")</f>
        <v>Children</v>
      </c>
      <c r="Q246" s="7" t="n">
        <f aca="false">IF(J246="NOT USED",1,0)</f>
        <v>0</v>
      </c>
      <c r="R246" s="7" t="n">
        <f aca="false">IF(AND(P246="Children",Q246=0),1,0)</f>
        <v>1</v>
      </c>
      <c r="S246" s="7" t="n">
        <f aca="false">IF(AND(R246=1,J246="Record or Recall",K246="12-23 m"),1,0)</f>
        <v>0</v>
      </c>
      <c r="T246" s="7" t="n">
        <f aca="false">IF(OR(I246="BCG",I246="DTP1",I246="DTP3",I246="POL3",I246="MCV1",I246="FULL"),1,0)</f>
        <v>1</v>
      </c>
      <c r="U246" s="7" t="n">
        <f aca="false">IF(OR(C246="DHS",C246="MICS"),1,0)</f>
        <v>1</v>
      </c>
      <c r="V246" s="7" t="n">
        <f aca="false">IF(O246="",1,0)</f>
        <v>0</v>
      </c>
      <c r="W246" s="7" t="n">
        <f aca="false">IF(M246="",1,0)</f>
        <v>0</v>
      </c>
      <c r="X246" s="7" t="n">
        <f aca="false">COUNTIFS($B$2:$B$1141,B246,$H$2:$H$1141,H246,$I$2:$I$1141,I246,$J$2:$J$1141,J246,$K$2:$K$1141,K246,$L$2:$L$1141,L246)</f>
        <v>1</v>
      </c>
    </row>
    <row r="247" customFormat="false" ht="15" hidden="false" customHeight="false" outlineLevel="0" collapsed="false">
      <c r="A247" s="7" t="n">
        <f aca="false">ROW()-1</f>
        <v>246</v>
      </c>
      <c r="B247" s="7" t="str">
        <f aca="false">IF(Raw_Nigeria!B247="",TRIM(Raw_Nigeria!C247),TRIM(Raw_Nigeria!B247))</f>
        <v>Nigeria Demographic and Health Survey 2008</v>
      </c>
      <c r="C247" s="7" t="str">
        <f aca="false">IF(ISNUMBER(SEARCH("Demographic and Health",B247)),"DHS",IF(OR(ISNUMBER(SEARCH("Multiple Indicator Cluster",B247)),ISNUMBER(SEARCH("MICS",B247))),"MICS",IF(ISNUMBER(SEARCH("Immunization Coverage Survey",B247)),"Coverage survey",IF(ISNUMBER(SEARCH("Nutrition",B247)),"Nutrition survey","Other"))))</f>
        <v>DHS</v>
      </c>
      <c r="D247" s="7" t="n">
        <f aca="false">VALUE(LEFT(Raw_Nigeria!D247,4))</f>
        <v>2008</v>
      </c>
      <c r="E247" s="7" t="n">
        <f aca="false">IF(VALUE(RIGHT(Raw_Nigeria!D247,2))&gt;12,"",VALUE(RIGHT(Raw_Nigeria!D247,2)))</f>
        <v>6</v>
      </c>
      <c r="F247" s="7" t="n">
        <f aca="false">VALUE(LEFT(Raw_Nigeria!E247,4))</f>
        <v>2008</v>
      </c>
      <c r="G247" s="7" t="n">
        <f aca="false">IF(VALUE(RIGHT(Raw_Nigeria!E247,2))&gt;12,"",VALUE(RIGHT(Raw_Nigeria!E247,2)))</f>
        <v>10</v>
      </c>
      <c r="H247" s="7" t="n">
        <f aca="false">Raw_Nigeria!F247</f>
        <v>2007</v>
      </c>
      <c r="I247" s="7" t="str">
        <f aca="false">UPPER(TRIM(Raw_Nigeria!G247))</f>
        <v>DTP1</v>
      </c>
      <c r="J247" s="7" t="str">
        <f aca="false">Raw_Nigeria!H247</f>
        <v>Record or Recall</v>
      </c>
      <c r="K247" s="7" t="str">
        <f aca="false">Raw_Nigeria!L247</f>
        <v>12-23 m</v>
      </c>
      <c r="L247" s="7" t="str">
        <f aca="false">IF(Raw_Nigeria!K247="","n/a",Raw_Nigeria!K247)</f>
        <v>0-23 m</v>
      </c>
      <c r="M247" s="7" t="n">
        <f aca="false">IF(Raw_Nigeria!I247="","",Raw_Nigeria!I247)</f>
        <v>26.1</v>
      </c>
      <c r="N247" s="7" t="n">
        <f aca="false">Raw_Nigeria!M247</f>
        <v>52</v>
      </c>
      <c r="O247" s="7" t="n">
        <f aca="false">IF(Raw_Nigeria!N247="","",Raw_Nigeria!N247)</f>
        <v>4945</v>
      </c>
      <c r="P247" s="7" t="str">
        <f aca="false">IF(K247="CBAW","Women of child-bearing age","Children")</f>
        <v>Children</v>
      </c>
      <c r="Q247" s="7" t="n">
        <f aca="false">IF(J247="NOT USED",1,0)</f>
        <v>0</v>
      </c>
      <c r="R247" s="7" t="n">
        <f aca="false">IF(AND(P247="Children",Q247=0),1,0)</f>
        <v>1</v>
      </c>
      <c r="S247" s="7" t="n">
        <f aca="false">IF(AND(R247=1,J247="Record or Recall",K247="12-23 m"),1,0)</f>
        <v>1</v>
      </c>
      <c r="T247" s="7" t="n">
        <f aca="false">IF(OR(I247="BCG",I247="DTP1",I247="DTP3",I247="POL3",I247="MCV1",I247="FULL"),1,0)</f>
        <v>1</v>
      </c>
      <c r="U247" s="7" t="n">
        <f aca="false">IF(OR(C247="DHS",C247="MICS"),1,0)</f>
        <v>1</v>
      </c>
      <c r="V247" s="7" t="n">
        <f aca="false">IF(O247="",1,0)</f>
        <v>0</v>
      </c>
      <c r="W247" s="7" t="n">
        <f aca="false">IF(M247="",1,0)</f>
        <v>0</v>
      </c>
      <c r="X247" s="7" t="n">
        <f aca="false">COUNTIFS($B$2:$B$1141,B247,$H$2:$H$1141,H247,$I$2:$I$1141,I247,$J$2:$J$1141,J247,$K$2:$K$1141,K247,$L$2:$L$1141,L247)</f>
        <v>1</v>
      </c>
    </row>
    <row r="248" customFormat="false" ht="15" hidden="false" customHeight="false" outlineLevel="0" collapsed="false">
      <c r="A248" s="7" t="n">
        <f aca="false">ROW()-1</f>
        <v>247</v>
      </c>
      <c r="B248" s="7" t="str">
        <f aca="false">IF(Raw_Nigeria!B248="",TRIM(Raw_Nigeria!C248),TRIM(Raw_Nigeria!B248))</f>
        <v>Nigeria Demographic and Health Survey 2008</v>
      </c>
      <c r="C248" s="7" t="str">
        <f aca="false">IF(ISNUMBER(SEARCH("Demographic and Health",B248)),"DHS",IF(OR(ISNUMBER(SEARCH("Multiple Indicator Cluster",B248)),ISNUMBER(SEARCH("MICS",B248))),"MICS",IF(ISNUMBER(SEARCH("Immunization Coverage Survey",B248)),"Coverage survey",IF(ISNUMBER(SEARCH("Nutrition",B248)),"Nutrition survey","Other"))))</f>
        <v>DHS</v>
      </c>
      <c r="D248" s="7" t="n">
        <f aca="false">VALUE(LEFT(Raw_Nigeria!D248,4))</f>
        <v>2008</v>
      </c>
      <c r="E248" s="7" t="n">
        <f aca="false">IF(VALUE(RIGHT(Raw_Nigeria!D248,2))&gt;12,"",VALUE(RIGHT(Raw_Nigeria!D248,2)))</f>
        <v>6</v>
      </c>
      <c r="F248" s="7" t="n">
        <f aca="false">VALUE(LEFT(Raw_Nigeria!E248,4))</f>
        <v>2008</v>
      </c>
      <c r="G248" s="7" t="n">
        <f aca="false">IF(VALUE(RIGHT(Raw_Nigeria!E248,2))&gt;12,"",VALUE(RIGHT(Raw_Nigeria!E248,2)))</f>
        <v>10</v>
      </c>
      <c r="H248" s="7" t="n">
        <f aca="false">Raw_Nigeria!F248</f>
        <v>2007</v>
      </c>
      <c r="I248" s="7" t="str">
        <f aca="false">UPPER(TRIM(Raw_Nigeria!G248))</f>
        <v>DTP1</v>
      </c>
      <c r="J248" s="7" t="str">
        <f aca="false">Raw_Nigeria!H248</f>
        <v>Recall</v>
      </c>
      <c r="K248" s="7" t="str">
        <f aca="false">Raw_Nigeria!L248</f>
        <v>12-23 m</v>
      </c>
      <c r="L248" s="7" t="str">
        <f aca="false">IF(Raw_Nigeria!K248="","n/a",Raw_Nigeria!K248)</f>
        <v>0-23 m</v>
      </c>
      <c r="M248" s="7" t="n">
        <f aca="false">IF(Raw_Nigeria!I248="","",Raw_Nigeria!I248)</f>
        <v>26.1</v>
      </c>
      <c r="N248" s="7" t="n">
        <f aca="false">Raw_Nigeria!M248</f>
        <v>27.1</v>
      </c>
      <c r="O248" s="7" t="n">
        <f aca="false">IF(Raw_Nigeria!N248="","",Raw_Nigeria!N248)</f>
        <v>4945</v>
      </c>
      <c r="P248" s="7" t="str">
        <f aca="false">IF(K248="CBAW","Women of child-bearing age","Children")</f>
        <v>Children</v>
      </c>
      <c r="Q248" s="7" t="n">
        <f aca="false">IF(J248="NOT USED",1,0)</f>
        <v>0</v>
      </c>
      <c r="R248" s="7" t="n">
        <f aca="false">IF(AND(P248="Children",Q248=0),1,0)</f>
        <v>1</v>
      </c>
      <c r="S248" s="7" t="n">
        <f aca="false">IF(AND(R248=1,J248="Record or Recall",K248="12-23 m"),1,0)</f>
        <v>0</v>
      </c>
      <c r="T248" s="7" t="n">
        <f aca="false">IF(OR(I248="BCG",I248="DTP1",I248="DTP3",I248="POL3",I248="MCV1",I248="FULL"),1,0)</f>
        <v>1</v>
      </c>
      <c r="U248" s="7" t="n">
        <f aca="false">IF(OR(C248="DHS",C248="MICS"),1,0)</f>
        <v>1</v>
      </c>
      <c r="V248" s="7" t="n">
        <f aca="false">IF(O248="",1,0)</f>
        <v>0</v>
      </c>
      <c r="W248" s="7" t="n">
        <f aca="false">IF(M248="",1,0)</f>
        <v>0</v>
      </c>
      <c r="X248" s="7" t="n">
        <f aca="false">COUNTIFS($B$2:$B$1141,B248,$H$2:$H$1141,H248,$I$2:$I$1141,I248,$J$2:$J$1141,J248,$K$2:$K$1141,K248,$L$2:$L$1141,L248)</f>
        <v>1</v>
      </c>
    </row>
    <row r="249" customFormat="false" ht="15" hidden="false" customHeight="false" outlineLevel="0" collapsed="false">
      <c r="A249" s="7" t="n">
        <f aca="false">ROW()-1</f>
        <v>248</v>
      </c>
      <c r="B249" s="7" t="str">
        <f aca="false">IF(Raw_Nigeria!B249="",TRIM(Raw_Nigeria!C249),TRIM(Raw_Nigeria!B249))</f>
        <v>Nigeria Demographic and Health Survey 2008</v>
      </c>
      <c r="C249" s="7" t="str">
        <f aca="false">IF(ISNUMBER(SEARCH("Demographic and Health",B249)),"DHS",IF(OR(ISNUMBER(SEARCH("Multiple Indicator Cluster",B249)),ISNUMBER(SEARCH("MICS",B249))),"MICS",IF(ISNUMBER(SEARCH("Immunization Coverage Survey",B249)),"Coverage survey",IF(ISNUMBER(SEARCH("Nutrition",B249)),"Nutrition survey","Other"))))</f>
        <v>DHS</v>
      </c>
      <c r="D249" s="7" t="n">
        <f aca="false">VALUE(LEFT(Raw_Nigeria!D249,4))</f>
        <v>2008</v>
      </c>
      <c r="E249" s="7" t="n">
        <f aca="false">IF(VALUE(RIGHT(Raw_Nigeria!D249,2))&gt;12,"",VALUE(RIGHT(Raw_Nigeria!D249,2)))</f>
        <v>6</v>
      </c>
      <c r="F249" s="7" t="n">
        <f aca="false">VALUE(LEFT(Raw_Nigeria!E249,4))</f>
        <v>2008</v>
      </c>
      <c r="G249" s="7" t="n">
        <f aca="false">IF(VALUE(RIGHT(Raw_Nigeria!E249,2))&gt;12,"",VALUE(RIGHT(Raw_Nigeria!E249,2)))</f>
        <v>10</v>
      </c>
      <c r="H249" s="7" t="n">
        <f aca="false">Raw_Nigeria!F249</f>
        <v>2007</v>
      </c>
      <c r="I249" s="7" t="str">
        <f aca="false">UPPER(TRIM(Raw_Nigeria!G249))</f>
        <v>DTP3</v>
      </c>
      <c r="J249" s="7" t="str">
        <f aca="false">Raw_Nigeria!H249</f>
        <v>Record or Recall&lt;12m</v>
      </c>
      <c r="K249" s="7" t="str">
        <f aca="false">Raw_Nigeria!L249</f>
        <v>12-23 m</v>
      </c>
      <c r="L249" s="7" t="str">
        <f aca="false">IF(Raw_Nigeria!K249="","n/a",Raw_Nigeria!K249)</f>
        <v>0-12 m</v>
      </c>
      <c r="M249" s="7" t="n">
        <f aca="false">IF(Raw_Nigeria!I249="","",Raw_Nigeria!I249)</f>
        <v>26.1</v>
      </c>
      <c r="N249" s="7" t="n">
        <f aca="false">Raw_Nigeria!M249</f>
        <v>32.8</v>
      </c>
      <c r="O249" s="7" t="n">
        <f aca="false">IF(Raw_Nigeria!N249="","",Raw_Nigeria!N249)</f>
        <v>4945</v>
      </c>
      <c r="P249" s="7" t="str">
        <f aca="false">IF(K249="CBAW","Women of child-bearing age","Children")</f>
        <v>Children</v>
      </c>
      <c r="Q249" s="7" t="n">
        <f aca="false">IF(J249="NOT USED",1,0)</f>
        <v>0</v>
      </c>
      <c r="R249" s="7" t="n">
        <f aca="false">IF(AND(P249="Children",Q249=0),1,0)</f>
        <v>1</v>
      </c>
      <c r="S249" s="7" t="n">
        <f aca="false">IF(AND(R249=1,J249="Record or Recall",K249="12-23 m"),1,0)</f>
        <v>0</v>
      </c>
      <c r="T249" s="7" t="n">
        <f aca="false">IF(OR(I249="BCG",I249="DTP1",I249="DTP3",I249="POL3",I249="MCV1",I249="FULL"),1,0)</f>
        <v>1</v>
      </c>
      <c r="U249" s="7" t="n">
        <f aca="false">IF(OR(C249="DHS",C249="MICS"),1,0)</f>
        <v>1</v>
      </c>
      <c r="V249" s="7" t="n">
        <f aca="false">IF(O249="",1,0)</f>
        <v>0</v>
      </c>
      <c r="W249" s="7" t="n">
        <f aca="false">IF(M249="",1,0)</f>
        <v>0</v>
      </c>
      <c r="X249" s="7" t="n">
        <f aca="false">COUNTIFS($B$2:$B$1141,B249,$H$2:$H$1141,H249,$I$2:$I$1141,I249,$J$2:$J$1141,J249,$K$2:$K$1141,K249,$L$2:$L$1141,L249)</f>
        <v>1</v>
      </c>
    </row>
    <row r="250" customFormat="false" ht="15" hidden="false" customHeight="false" outlineLevel="0" collapsed="false">
      <c r="A250" s="7" t="n">
        <f aca="false">ROW()-1</f>
        <v>249</v>
      </c>
      <c r="B250" s="7" t="str">
        <f aca="false">IF(Raw_Nigeria!B250="",TRIM(Raw_Nigeria!C250),TRIM(Raw_Nigeria!B250))</f>
        <v>Nigeria Demographic and Health Survey 2008</v>
      </c>
      <c r="C250" s="7" t="str">
        <f aca="false">IF(ISNUMBER(SEARCH("Demographic and Health",B250)),"DHS",IF(OR(ISNUMBER(SEARCH("Multiple Indicator Cluster",B250)),ISNUMBER(SEARCH("MICS",B250))),"MICS",IF(ISNUMBER(SEARCH("Immunization Coverage Survey",B250)),"Coverage survey",IF(ISNUMBER(SEARCH("Nutrition",B250)),"Nutrition survey","Other"))))</f>
        <v>DHS</v>
      </c>
      <c r="D250" s="7" t="n">
        <f aca="false">VALUE(LEFT(Raw_Nigeria!D250,4))</f>
        <v>2008</v>
      </c>
      <c r="E250" s="7" t="n">
        <f aca="false">IF(VALUE(RIGHT(Raw_Nigeria!D250,2))&gt;12,"",VALUE(RIGHT(Raw_Nigeria!D250,2)))</f>
        <v>6</v>
      </c>
      <c r="F250" s="7" t="n">
        <f aca="false">VALUE(LEFT(Raw_Nigeria!E250,4))</f>
        <v>2008</v>
      </c>
      <c r="G250" s="7" t="n">
        <f aca="false">IF(VALUE(RIGHT(Raw_Nigeria!E250,2))&gt;12,"",VALUE(RIGHT(Raw_Nigeria!E250,2)))</f>
        <v>10</v>
      </c>
      <c r="H250" s="7" t="n">
        <f aca="false">Raw_Nigeria!F250</f>
        <v>2007</v>
      </c>
      <c r="I250" s="7" t="str">
        <f aca="false">UPPER(TRIM(Raw_Nigeria!G250))</f>
        <v>DTP3</v>
      </c>
      <c r="J250" s="7" t="str">
        <f aca="false">Raw_Nigeria!H250</f>
        <v>Record</v>
      </c>
      <c r="K250" s="7" t="str">
        <f aca="false">Raw_Nigeria!L250</f>
        <v>12-23 m</v>
      </c>
      <c r="L250" s="7" t="str">
        <f aca="false">IF(Raw_Nigeria!K250="","n/a",Raw_Nigeria!K250)</f>
        <v>0-23 m</v>
      </c>
      <c r="M250" s="7" t="n">
        <f aca="false">IF(Raw_Nigeria!I250="","",Raw_Nigeria!I250)</f>
        <v>26.1</v>
      </c>
      <c r="N250" s="7" t="n">
        <f aca="false">Raw_Nigeria!M250</f>
        <v>20.2</v>
      </c>
      <c r="O250" s="7" t="n">
        <f aca="false">IF(Raw_Nigeria!N250="","",Raw_Nigeria!N250)</f>
        <v>4945</v>
      </c>
      <c r="P250" s="7" t="str">
        <f aca="false">IF(K250="CBAW","Women of child-bearing age","Children")</f>
        <v>Children</v>
      </c>
      <c r="Q250" s="7" t="n">
        <f aca="false">IF(J250="NOT USED",1,0)</f>
        <v>0</v>
      </c>
      <c r="R250" s="7" t="n">
        <f aca="false">IF(AND(P250="Children",Q250=0),1,0)</f>
        <v>1</v>
      </c>
      <c r="S250" s="7" t="n">
        <f aca="false">IF(AND(R250=1,J250="Record or Recall",K250="12-23 m"),1,0)</f>
        <v>0</v>
      </c>
      <c r="T250" s="7" t="n">
        <f aca="false">IF(OR(I250="BCG",I250="DTP1",I250="DTP3",I250="POL3",I250="MCV1",I250="FULL"),1,0)</f>
        <v>1</v>
      </c>
      <c r="U250" s="7" t="n">
        <f aca="false">IF(OR(C250="DHS",C250="MICS"),1,0)</f>
        <v>1</v>
      </c>
      <c r="V250" s="7" t="n">
        <f aca="false">IF(O250="",1,0)</f>
        <v>0</v>
      </c>
      <c r="W250" s="7" t="n">
        <f aca="false">IF(M250="",1,0)</f>
        <v>0</v>
      </c>
      <c r="X250" s="7" t="n">
        <f aca="false">COUNTIFS($B$2:$B$1141,B250,$H$2:$H$1141,H250,$I$2:$I$1141,I250,$J$2:$J$1141,J250,$K$2:$K$1141,K250,$L$2:$L$1141,L250)</f>
        <v>1</v>
      </c>
    </row>
    <row r="251" customFormat="false" ht="15" hidden="false" customHeight="false" outlineLevel="0" collapsed="false">
      <c r="A251" s="7" t="n">
        <f aca="false">ROW()-1</f>
        <v>250</v>
      </c>
      <c r="B251" s="7" t="str">
        <f aca="false">IF(Raw_Nigeria!B251="",TRIM(Raw_Nigeria!C251),TRIM(Raw_Nigeria!B251))</f>
        <v>Nigeria Demographic and Health Survey 2008</v>
      </c>
      <c r="C251" s="7" t="str">
        <f aca="false">IF(ISNUMBER(SEARCH("Demographic and Health",B251)),"DHS",IF(OR(ISNUMBER(SEARCH("Multiple Indicator Cluster",B251)),ISNUMBER(SEARCH("MICS",B251))),"MICS",IF(ISNUMBER(SEARCH("Immunization Coverage Survey",B251)),"Coverage survey",IF(ISNUMBER(SEARCH("Nutrition",B251)),"Nutrition survey","Other"))))</f>
        <v>DHS</v>
      </c>
      <c r="D251" s="7" t="n">
        <f aca="false">VALUE(LEFT(Raw_Nigeria!D251,4))</f>
        <v>2008</v>
      </c>
      <c r="E251" s="7" t="n">
        <f aca="false">IF(VALUE(RIGHT(Raw_Nigeria!D251,2))&gt;12,"",VALUE(RIGHT(Raw_Nigeria!D251,2)))</f>
        <v>6</v>
      </c>
      <c r="F251" s="7" t="n">
        <f aca="false">VALUE(LEFT(Raw_Nigeria!E251,4))</f>
        <v>2008</v>
      </c>
      <c r="G251" s="7" t="n">
        <f aca="false">IF(VALUE(RIGHT(Raw_Nigeria!E251,2))&gt;12,"",VALUE(RIGHT(Raw_Nigeria!E251,2)))</f>
        <v>10</v>
      </c>
      <c r="H251" s="7" t="n">
        <f aca="false">Raw_Nigeria!F251</f>
        <v>2007</v>
      </c>
      <c r="I251" s="7" t="str">
        <f aca="false">UPPER(TRIM(Raw_Nigeria!G251))</f>
        <v>DTP3</v>
      </c>
      <c r="J251" s="7" t="str">
        <f aca="false">Raw_Nigeria!H251</f>
        <v>Record or Recall</v>
      </c>
      <c r="K251" s="7" t="str">
        <f aca="false">Raw_Nigeria!L251</f>
        <v>12-23 m</v>
      </c>
      <c r="L251" s="7" t="str">
        <f aca="false">IF(Raw_Nigeria!K251="","n/a",Raw_Nigeria!K251)</f>
        <v>0-23 m</v>
      </c>
      <c r="M251" s="7" t="n">
        <f aca="false">IF(Raw_Nigeria!I251="","",Raw_Nigeria!I251)</f>
        <v>26.1</v>
      </c>
      <c r="N251" s="7" t="n">
        <f aca="false">Raw_Nigeria!M251</f>
        <v>35.4</v>
      </c>
      <c r="O251" s="7" t="n">
        <f aca="false">IF(Raw_Nigeria!N251="","",Raw_Nigeria!N251)</f>
        <v>4945</v>
      </c>
      <c r="P251" s="7" t="str">
        <f aca="false">IF(K251="CBAW","Women of child-bearing age","Children")</f>
        <v>Children</v>
      </c>
      <c r="Q251" s="7" t="n">
        <f aca="false">IF(J251="NOT USED",1,0)</f>
        <v>0</v>
      </c>
      <c r="R251" s="7" t="n">
        <f aca="false">IF(AND(P251="Children",Q251=0),1,0)</f>
        <v>1</v>
      </c>
      <c r="S251" s="7" t="n">
        <f aca="false">IF(AND(R251=1,J251="Record or Recall",K251="12-23 m"),1,0)</f>
        <v>1</v>
      </c>
      <c r="T251" s="7" t="n">
        <f aca="false">IF(OR(I251="BCG",I251="DTP1",I251="DTP3",I251="POL3",I251="MCV1",I251="FULL"),1,0)</f>
        <v>1</v>
      </c>
      <c r="U251" s="7" t="n">
        <f aca="false">IF(OR(C251="DHS",C251="MICS"),1,0)</f>
        <v>1</v>
      </c>
      <c r="V251" s="7" t="n">
        <f aca="false">IF(O251="",1,0)</f>
        <v>0</v>
      </c>
      <c r="W251" s="7" t="n">
        <f aca="false">IF(M251="",1,0)</f>
        <v>0</v>
      </c>
      <c r="X251" s="7" t="n">
        <f aca="false">COUNTIFS($B$2:$B$1141,B251,$H$2:$H$1141,H251,$I$2:$I$1141,I251,$J$2:$J$1141,J251,$K$2:$K$1141,K251,$L$2:$L$1141,L251)</f>
        <v>1</v>
      </c>
    </row>
    <row r="252" customFormat="false" ht="15" hidden="false" customHeight="false" outlineLevel="0" collapsed="false">
      <c r="A252" s="7" t="n">
        <f aca="false">ROW()-1</f>
        <v>251</v>
      </c>
      <c r="B252" s="7" t="str">
        <f aca="false">IF(Raw_Nigeria!B252="",TRIM(Raw_Nigeria!C252),TRIM(Raw_Nigeria!B252))</f>
        <v>Nigeria Demographic and Health Survey 2008</v>
      </c>
      <c r="C252" s="7" t="str">
        <f aca="false">IF(ISNUMBER(SEARCH("Demographic and Health",B252)),"DHS",IF(OR(ISNUMBER(SEARCH("Multiple Indicator Cluster",B252)),ISNUMBER(SEARCH("MICS",B252))),"MICS",IF(ISNUMBER(SEARCH("Immunization Coverage Survey",B252)),"Coverage survey",IF(ISNUMBER(SEARCH("Nutrition",B252)),"Nutrition survey","Other"))))</f>
        <v>DHS</v>
      </c>
      <c r="D252" s="7" t="n">
        <f aca="false">VALUE(LEFT(Raw_Nigeria!D252,4))</f>
        <v>2008</v>
      </c>
      <c r="E252" s="7" t="n">
        <f aca="false">IF(VALUE(RIGHT(Raw_Nigeria!D252,2))&gt;12,"",VALUE(RIGHT(Raw_Nigeria!D252,2)))</f>
        <v>6</v>
      </c>
      <c r="F252" s="7" t="n">
        <f aca="false">VALUE(LEFT(Raw_Nigeria!E252,4))</f>
        <v>2008</v>
      </c>
      <c r="G252" s="7" t="n">
        <f aca="false">IF(VALUE(RIGHT(Raw_Nigeria!E252,2))&gt;12,"",VALUE(RIGHT(Raw_Nigeria!E252,2)))</f>
        <v>10</v>
      </c>
      <c r="H252" s="7" t="n">
        <f aca="false">Raw_Nigeria!F252</f>
        <v>2007</v>
      </c>
      <c r="I252" s="7" t="str">
        <f aca="false">UPPER(TRIM(Raw_Nigeria!G252))</f>
        <v>DTP3</v>
      </c>
      <c r="J252" s="7" t="str">
        <f aca="false">Raw_Nigeria!H252</f>
        <v>Recall</v>
      </c>
      <c r="K252" s="7" t="str">
        <f aca="false">Raw_Nigeria!L252</f>
        <v>12-23 m</v>
      </c>
      <c r="L252" s="7" t="str">
        <f aca="false">IF(Raw_Nigeria!K252="","n/a",Raw_Nigeria!K252)</f>
        <v>0-23 m</v>
      </c>
      <c r="M252" s="7" t="n">
        <f aca="false">IF(Raw_Nigeria!I252="","",Raw_Nigeria!I252)</f>
        <v>26.1</v>
      </c>
      <c r="N252" s="7" t="n">
        <f aca="false">Raw_Nigeria!M252</f>
        <v>15.2</v>
      </c>
      <c r="O252" s="7" t="n">
        <f aca="false">IF(Raw_Nigeria!N252="","",Raw_Nigeria!N252)</f>
        <v>4945</v>
      </c>
      <c r="P252" s="7" t="str">
        <f aca="false">IF(K252="CBAW","Women of child-bearing age","Children")</f>
        <v>Children</v>
      </c>
      <c r="Q252" s="7" t="n">
        <f aca="false">IF(J252="NOT USED",1,0)</f>
        <v>0</v>
      </c>
      <c r="R252" s="7" t="n">
        <f aca="false">IF(AND(P252="Children",Q252=0),1,0)</f>
        <v>1</v>
      </c>
      <c r="S252" s="7" t="n">
        <f aca="false">IF(AND(R252=1,J252="Record or Recall",K252="12-23 m"),1,0)</f>
        <v>0</v>
      </c>
      <c r="T252" s="7" t="n">
        <f aca="false">IF(OR(I252="BCG",I252="DTP1",I252="DTP3",I252="POL3",I252="MCV1",I252="FULL"),1,0)</f>
        <v>1</v>
      </c>
      <c r="U252" s="7" t="n">
        <f aca="false">IF(OR(C252="DHS",C252="MICS"),1,0)</f>
        <v>1</v>
      </c>
      <c r="V252" s="7" t="n">
        <f aca="false">IF(O252="",1,0)</f>
        <v>0</v>
      </c>
      <c r="W252" s="7" t="n">
        <f aca="false">IF(M252="",1,0)</f>
        <v>0</v>
      </c>
      <c r="X252" s="7" t="n">
        <f aca="false">COUNTIFS($B$2:$B$1141,B252,$H$2:$H$1141,H252,$I$2:$I$1141,I252,$J$2:$J$1141,J252,$K$2:$K$1141,K252,$L$2:$L$1141,L252)</f>
        <v>1</v>
      </c>
    </row>
    <row r="253" customFormat="false" ht="15" hidden="false" customHeight="false" outlineLevel="0" collapsed="false">
      <c r="A253" s="7" t="n">
        <f aca="false">ROW()-1</f>
        <v>252</v>
      </c>
      <c r="B253" s="7" t="str">
        <f aca="false">IF(Raw_Nigeria!B253="",TRIM(Raw_Nigeria!C253),TRIM(Raw_Nigeria!B253))</f>
        <v>Nigeria Demographic and Health Survey 2008</v>
      </c>
      <c r="C253" s="7" t="str">
        <f aca="false">IF(ISNUMBER(SEARCH("Demographic and Health",B253)),"DHS",IF(OR(ISNUMBER(SEARCH("Multiple Indicator Cluster",B253)),ISNUMBER(SEARCH("MICS",B253))),"MICS",IF(ISNUMBER(SEARCH("Immunization Coverage Survey",B253)),"Coverage survey",IF(ISNUMBER(SEARCH("Nutrition",B253)),"Nutrition survey","Other"))))</f>
        <v>DHS</v>
      </c>
      <c r="D253" s="7" t="n">
        <f aca="false">VALUE(LEFT(Raw_Nigeria!D253,4))</f>
        <v>2008</v>
      </c>
      <c r="E253" s="7" t="n">
        <f aca="false">IF(VALUE(RIGHT(Raw_Nigeria!D253,2))&gt;12,"",VALUE(RIGHT(Raw_Nigeria!D253,2)))</f>
        <v>6</v>
      </c>
      <c r="F253" s="7" t="n">
        <f aca="false">VALUE(LEFT(Raw_Nigeria!E253,4))</f>
        <v>2008</v>
      </c>
      <c r="G253" s="7" t="n">
        <f aca="false">IF(VALUE(RIGHT(Raw_Nigeria!E253,2))&gt;12,"",VALUE(RIGHT(Raw_Nigeria!E253,2)))</f>
        <v>10</v>
      </c>
      <c r="H253" s="7" t="n">
        <f aca="false">Raw_Nigeria!F253</f>
        <v>2007</v>
      </c>
      <c r="I253" s="7" t="str">
        <f aca="false">UPPER(TRIM(Raw_Nigeria!G253))</f>
        <v>FULL</v>
      </c>
      <c r="J253" s="7" t="str">
        <f aca="false">Raw_Nigeria!H253</f>
        <v>Record or Recall&lt;12m</v>
      </c>
      <c r="K253" s="7" t="str">
        <f aca="false">Raw_Nigeria!L253</f>
        <v>12-23 m</v>
      </c>
      <c r="L253" s="7" t="str">
        <f aca="false">IF(Raw_Nigeria!K253="","n/a",Raw_Nigeria!K253)</f>
        <v>0-12 m</v>
      </c>
      <c r="M253" s="7" t="n">
        <f aca="false">IF(Raw_Nigeria!I253="","",Raw_Nigeria!I253)</f>
        <v>26.1</v>
      </c>
      <c r="N253" s="7" t="n">
        <f aca="false">Raw_Nigeria!M253</f>
        <v>19.2</v>
      </c>
      <c r="O253" s="7" t="n">
        <f aca="false">IF(Raw_Nigeria!N253="","",Raw_Nigeria!N253)</f>
        <v>4945</v>
      </c>
      <c r="P253" s="7" t="str">
        <f aca="false">IF(K253="CBAW","Women of child-bearing age","Children")</f>
        <v>Children</v>
      </c>
      <c r="Q253" s="7" t="n">
        <f aca="false">IF(J253="NOT USED",1,0)</f>
        <v>0</v>
      </c>
      <c r="R253" s="7" t="n">
        <f aca="false">IF(AND(P253="Children",Q253=0),1,0)</f>
        <v>1</v>
      </c>
      <c r="S253" s="7" t="n">
        <f aca="false">IF(AND(R253=1,J253="Record or Recall",K253="12-23 m"),1,0)</f>
        <v>0</v>
      </c>
      <c r="T253" s="7" t="n">
        <f aca="false">IF(OR(I253="BCG",I253="DTP1",I253="DTP3",I253="POL3",I253="MCV1",I253="FULL"),1,0)</f>
        <v>1</v>
      </c>
      <c r="U253" s="7" t="n">
        <f aca="false">IF(OR(C253="DHS",C253="MICS"),1,0)</f>
        <v>1</v>
      </c>
      <c r="V253" s="7" t="n">
        <f aca="false">IF(O253="",1,0)</f>
        <v>0</v>
      </c>
      <c r="W253" s="7" t="n">
        <f aca="false">IF(M253="",1,0)</f>
        <v>0</v>
      </c>
      <c r="X253" s="7" t="n">
        <f aca="false">COUNTIFS($B$2:$B$1141,B253,$H$2:$H$1141,H253,$I$2:$I$1141,I253,$J$2:$J$1141,J253,$K$2:$K$1141,K253,$L$2:$L$1141,L253)</f>
        <v>1</v>
      </c>
    </row>
    <row r="254" customFormat="false" ht="15" hidden="false" customHeight="false" outlineLevel="0" collapsed="false">
      <c r="A254" s="7" t="n">
        <f aca="false">ROW()-1</f>
        <v>253</v>
      </c>
      <c r="B254" s="7" t="str">
        <f aca="false">IF(Raw_Nigeria!B254="",TRIM(Raw_Nigeria!C254),TRIM(Raw_Nigeria!B254))</f>
        <v>Nigeria Demographic and Health Survey 2008</v>
      </c>
      <c r="C254" s="7" t="str">
        <f aca="false">IF(ISNUMBER(SEARCH("Demographic and Health",B254)),"DHS",IF(OR(ISNUMBER(SEARCH("Multiple Indicator Cluster",B254)),ISNUMBER(SEARCH("MICS",B254))),"MICS",IF(ISNUMBER(SEARCH("Immunization Coverage Survey",B254)),"Coverage survey",IF(ISNUMBER(SEARCH("Nutrition",B254)),"Nutrition survey","Other"))))</f>
        <v>DHS</v>
      </c>
      <c r="D254" s="7" t="n">
        <f aca="false">VALUE(LEFT(Raw_Nigeria!D254,4))</f>
        <v>2008</v>
      </c>
      <c r="E254" s="7" t="n">
        <f aca="false">IF(VALUE(RIGHT(Raw_Nigeria!D254,2))&gt;12,"",VALUE(RIGHT(Raw_Nigeria!D254,2)))</f>
        <v>6</v>
      </c>
      <c r="F254" s="7" t="n">
        <f aca="false">VALUE(LEFT(Raw_Nigeria!E254,4))</f>
        <v>2008</v>
      </c>
      <c r="G254" s="7" t="n">
        <f aca="false">IF(VALUE(RIGHT(Raw_Nigeria!E254,2))&gt;12,"",VALUE(RIGHT(Raw_Nigeria!E254,2)))</f>
        <v>10</v>
      </c>
      <c r="H254" s="7" t="n">
        <f aca="false">Raw_Nigeria!F254</f>
        <v>2007</v>
      </c>
      <c r="I254" s="7" t="str">
        <f aca="false">UPPER(TRIM(Raw_Nigeria!G254))</f>
        <v>FULL</v>
      </c>
      <c r="J254" s="7" t="str">
        <f aca="false">Raw_Nigeria!H254</f>
        <v>Record</v>
      </c>
      <c r="K254" s="7" t="str">
        <f aca="false">Raw_Nigeria!L254</f>
        <v>12-23 m</v>
      </c>
      <c r="L254" s="7" t="str">
        <f aca="false">IF(Raw_Nigeria!K254="","n/a",Raw_Nigeria!K254)</f>
        <v>0-23 m</v>
      </c>
      <c r="M254" s="7" t="n">
        <f aca="false">IF(Raw_Nigeria!I254="","",Raw_Nigeria!I254)</f>
        <v>26.1</v>
      </c>
      <c r="N254" s="7" t="n">
        <f aca="false">Raw_Nigeria!M254</f>
        <v>15.7</v>
      </c>
      <c r="O254" s="7" t="n">
        <f aca="false">IF(Raw_Nigeria!N254="","",Raw_Nigeria!N254)</f>
        <v>4945</v>
      </c>
      <c r="P254" s="7" t="str">
        <f aca="false">IF(K254="CBAW","Women of child-bearing age","Children")</f>
        <v>Children</v>
      </c>
      <c r="Q254" s="7" t="n">
        <f aca="false">IF(J254="NOT USED",1,0)</f>
        <v>0</v>
      </c>
      <c r="R254" s="7" t="n">
        <f aca="false">IF(AND(P254="Children",Q254=0),1,0)</f>
        <v>1</v>
      </c>
      <c r="S254" s="7" t="n">
        <f aca="false">IF(AND(R254=1,J254="Record or Recall",K254="12-23 m"),1,0)</f>
        <v>0</v>
      </c>
      <c r="T254" s="7" t="n">
        <f aca="false">IF(OR(I254="BCG",I254="DTP1",I254="DTP3",I254="POL3",I254="MCV1",I254="FULL"),1,0)</f>
        <v>1</v>
      </c>
      <c r="U254" s="7" t="n">
        <f aca="false">IF(OR(C254="DHS",C254="MICS"),1,0)</f>
        <v>1</v>
      </c>
      <c r="V254" s="7" t="n">
        <f aca="false">IF(O254="",1,0)</f>
        <v>0</v>
      </c>
      <c r="W254" s="7" t="n">
        <f aca="false">IF(M254="",1,0)</f>
        <v>0</v>
      </c>
      <c r="X254" s="7" t="n">
        <f aca="false">COUNTIFS($B$2:$B$1141,B254,$H$2:$H$1141,H254,$I$2:$I$1141,I254,$J$2:$J$1141,J254,$K$2:$K$1141,K254,$L$2:$L$1141,L254)</f>
        <v>1</v>
      </c>
    </row>
    <row r="255" customFormat="false" ht="15" hidden="false" customHeight="false" outlineLevel="0" collapsed="false">
      <c r="A255" s="7" t="n">
        <f aca="false">ROW()-1</f>
        <v>254</v>
      </c>
      <c r="B255" s="7" t="str">
        <f aca="false">IF(Raw_Nigeria!B255="",TRIM(Raw_Nigeria!C255),TRIM(Raw_Nigeria!B255))</f>
        <v>Nigeria Demographic and Health Survey 2008</v>
      </c>
      <c r="C255" s="7" t="str">
        <f aca="false">IF(ISNUMBER(SEARCH("Demographic and Health",B255)),"DHS",IF(OR(ISNUMBER(SEARCH("Multiple Indicator Cluster",B255)),ISNUMBER(SEARCH("MICS",B255))),"MICS",IF(ISNUMBER(SEARCH("Immunization Coverage Survey",B255)),"Coverage survey",IF(ISNUMBER(SEARCH("Nutrition",B255)),"Nutrition survey","Other"))))</f>
        <v>DHS</v>
      </c>
      <c r="D255" s="7" t="n">
        <f aca="false">VALUE(LEFT(Raw_Nigeria!D255,4))</f>
        <v>2008</v>
      </c>
      <c r="E255" s="7" t="n">
        <f aca="false">IF(VALUE(RIGHT(Raw_Nigeria!D255,2))&gt;12,"",VALUE(RIGHT(Raw_Nigeria!D255,2)))</f>
        <v>6</v>
      </c>
      <c r="F255" s="7" t="n">
        <f aca="false">VALUE(LEFT(Raw_Nigeria!E255,4))</f>
        <v>2008</v>
      </c>
      <c r="G255" s="7" t="n">
        <f aca="false">IF(VALUE(RIGHT(Raw_Nigeria!E255,2))&gt;12,"",VALUE(RIGHT(Raw_Nigeria!E255,2)))</f>
        <v>10</v>
      </c>
      <c r="H255" s="7" t="n">
        <f aca="false">Raw_Nigeria!F255</f>
        <v>2007</v>
      </c>
      <c r="I255" s="7" t="str">
        <f aca="false">UPPER(TRIM(Raw_Nigeria!G255))</f>
        <v>FULL</v>
      </c>
      <c r="J255" s="7" t="str">
        <f aca="false">Raw_Nigeria!H255</f>
        <v>Record or Recall</v>
      </c>
      <c r="K255" s="7" t="str">
        <f aca="false">Raw_Nigeria!L255</f>
        <v>12-23 m</v>
      </c>
      <c r="L255" s="7" t="str">
        <f aca="false">IF(Raw_Nigeria!K255="","n/a",Raw_Nigeria!K255)</f>
        <v>0-23 m</v>
      </c>
      <c r="M255" s="7" t="n">
        <f aca="false">IF(Raw_Nigeria!I255="","",Raw_Nigeria!I255)</f>
        <v>26.1</v>
      </c>
      <c r="N255" s="7" t="n">
        <f aca="false">Raw_Nigeria!M255</f>
        <v>22.7</v>
      </c>
      <c r="O255" s="7" t="n">
        <f aca="false">IF(Raw_Nigeria!N255="","",Raw_Nigeria!N255)</f>
        <v>4945</v>
      </c>
      <c r="P255" s="7" t="str">
        <f aca="false">IF(K255="CBAW","Women of child-bearing age","Children")</f>
        <v>Children</v>
      </c>
      <c r="Q255" s="7" t="n">
        <f aca="false">IF(J255="NOT USED",1,0)</f>
        <v>0</v>
      </c>
      <c r="R255" s="7" t="n">
        <f aca="false">IF(AND(P255="Children",Q255=0),1,0)</f>
        <v>1</v>
      </c>
      <c r="S255" s="7" t="n">
        <f aca="false">IF(AND(R255=1,J255="Record or Recall",K255="12-23 m"),1,0)</f>
        <v>1</v>
      </c>
      <c r="T255" s="7" t="n">
        <f aca="false">IF(OR(I255="BCG",I255="DTP1",I255="DTP3",I255="POL3",I255="MCV1",I255="FULL"),1,0)</f>
        <v>1</v>
      </c>
      <c r="U255" s="7" t="n">
        <f aca="false">IF(OR(C255="DHS",C255="MICS"),1,0)</f>
        <v>1</v>
      </c>
      <c r="V255" s="7" t="n">
        <f aca="false">IF(O255="",1,0)</f>
        <v>0</v>
      </c>
      <c r="W255" s="7" t="n">
        <f aca="false">IF(M255="",1,0)</f>
        <v>0</v>
      </c>
      <c r="X255" s="7" t="n">
        <f aca="false">COUNTIFS($B$2:$B$1141,B255,$H$2:$H$1141,H255,$I$2:$I$1141,I255,$J$2:$J$1141,J255,$K$2:$K$1141,K255,$L$2:$L$1141,L255)</f>
        <v>1</v>
      </c>
    </row>
    <row r="256" customFormat="false" ht="15" hidden="false" customHeight="false" outlineLevel="0" collapsed="false">
      <c r="A256" s="7" t="n">
        <f aca="false">ROW()-1</f>
        <v>255</v>
      </c>
      <c r="B256" s="7" t="str">
        <f aca="false">IF(Raw_Nigeria!B256="",TRIM(Raw_Nigeria!C256),TRIM(Raw_Nigeria!B256))</f>
        <v>Nigeria Demographic and Health Survey 2008</v>
      </c>
      <c r="C256" s="7" t="str">
        <f aca="false">IF(ISNUMBER(SEARCH("Demographic and Health",B256)),"DHS",IF(OR(ISNUMBER(SEARCH("Multiple Indicator Cluster",B256)),ISNUMBER(SEARCH("MICS",B256))),"MICS",IF(ISNUMBER(SEARCH("Immunization Coverage Survey",B256)),"Coverage survey",IF(ISNUMBER(SEARCH("Nutrition",B256)),"Nutrition survey","Other"))))</f>
        <v>DHS</v>
      </c>
      <c r="D256" s="7" t="n">
        <f aca="false">VALUE(LEFT(Raw_Nigeria!D256,4))</f>
        <v>2008</v>
      </c>
      <c r="E256" s="7" t="n">
        <f aca="false">IF(VALUE(RIGHT(Raw_Nigeria!D256,2))&gt;12,"",VALUE(RIGHT(Raw_Nigeria!D256,2)))</f>
        <v>6</v>
      </c>
      <c r="F256" s="7" t="n">
        <f aca="false">VALUE(LEFT(Raw_Nigeria!E256,4))</f>
        <v>2008</v>
      </c>
      <c r="G256" s="7" t="n">
        <f aca="false">IF(VALUE(RIGHT(Raw_Nigeria!E256,2))&gt;12,"",VALUE(RIGHT(Raw_Nigeria!E256,2)))</f>
        <v>10</v>
      </c>
      <c r="H256" s="7" t="n">
        <f aca="false">Raw_Nigeria!F256</f>
        <v>2007</v>
      </c>
      <c r="I256" s="7" t="str">
        <f aca="false">UPPER(TRIM(Raw_Nigeria!G256))</f>
        <v>FULL</v>
      </c>
      <c r="J256" s="7" t="str">
        <f aca="false">Raw_Nigeria!H256</f>
        <v>Recall</v>
      </c>
      <c r="K256" s="7" t="str">
        <f aca="false">Raw_Nigeria!L256</f>
        <v>12-23 m</v>
      </c>
      <c r="L256" s="7" t="str">
        <f aca="false">IF(Raw_Nigeria!K256="","n/a",Raw_Nigeria!K256)</f>
        <v>0-23 m</v>
      </c>
      <c r="M256" s="7" t="n">
        <f aca="false">IF(Raw_Nigeria!I256="","",Raw_Nigeria!I256)</f>
        <v>26.1</v>
      </c>
      <c r="N256" s="7" t="n">
        <f aca="false">Raw_Nigeria!M256</f>
        <v>7</v>
      </c>
      <c r="O256" s="7" t="n">
        <f aca="false">IF(Raw_Nigeria!N256="","",Raw_Nigeria!N256)</f>
        <v>4945</v>
      </c>
      <c r="P256" s="7" t="str">
        <f aca="false">IF(K256="CBAW","Women of child-bearing age","Children")</f>
        <v>Children</v>
      </c>
      <c r="Q256" s="7" t="n">
        <f aca="false">IF(J256="NOT USED",1,0)</f>
        <v>0</v>
      </c>
      <c r="R256" s="7" t="n">
        <f aca="false">IF(AND(P256="Children",Q256=0),1,0)</f>
        <v>1</v>
      </c>
      <c r="S256" s="7" t="n">
        <f aca="false">IF(AND(R256=1,J256="Record or Recall",K256="12-23 m"),1,0)</f>
        <v>0</v>
      </c>
      <c r="T256" s="7" t="n">
        <f aca="false">IF(OR(I256="BCG",I256="DTP1",I256="DTP3",I256="POL3",I256="MCV1",I256="FULL"),1,0)</f>
        <v>1</v>
      </c>
      <c r="U256" s="7" t="n">
        <f aca="false">IF(OR(C256="DHS",C256="MICS"),1,0)</f>
        <v>1</v>
      </c>
      <c r="V256" s="7" t="n">
        <f aca="false">IF(O256="",1,0)</f>
        <v>0</v>
      </c>
      <c r="W256" s="7" t="n">
        <f aca="false">IF(M256="",1,0)</f>
        <v>0</v>
      </c>
      <c r="X256" s="7" t="n">
        <f aca="false">COUNTIFS($B$2:$B$1141,B256,$H$2:$H$1141,H256,$I$2:$I$1141,I256,$J$2:$J$1141,J256,$K$2:$K$1141,K256,$L$2:$L$1141,L256)</f>
        <v>1</v>
      </c>
    </row>
    <row r="257" customFormat="false" ht="15" hidden="false" customHeight="false" outlineLevel="0" collapsed="false">
      <c r="A257" s="7" t="n">
        <f aca="false">ROW()-1</f>
        <v>256</v>
      </c>
      <c r="B257" s="7" t="str">
        <f aca="false">IF(Raw_Nigeria!B257="",TRIM(Raw_Nigeria!C257),TRIM(Raw_Nigeria!B257))</f>
        <v>Nigeria Demographic and Health Survey 2008</v>
      </c>
      <c r="C257" s="7" t="str">
        <f aca="false">IF(ISNUMBER(SEARCH("Demographic and Health",B257)),"DHS",IF(OR(ISNUMBER(SEARCH("Multiple Indicator Cluster",B257)),ISNUMBER(SEARCH("MICS",B257))),"MICS",IF(ISNUMBER(SEARCH("Immunization Coverage Survey",B257)),"Coverage survey",IF(ISNUMBER(SEARCH("Nutrition",B257)),"Nutrition survey","Other"))))</f>
        <v>DHS</v>
      </c>
      <c r="D257" s="7" t="n">
        <f aca="false">VALUE(LEFT(Raw_Nigeria!D257,4))</f>
        <v>2008</v>
      </c>
      <c r="E257" s="7" t="n">
        <f aca="false">IF(VALUE(RIGHT(Raw_Nigeria!D257,2))&gt;12,"",VALUE(RIGHT(Raw_Nigeria!D257,2)))</f>
        <v>6</v>
      </c>
      <c r="F257" s="7" t="n">
        <f aca="false">VALUE(LEFT(Raw_Nigeria!E257,4))</f>
        <v>2008</v>
      </c>
      <c r="G257" s="7" t="n">
        <f aca="false">IF(VALUE(RIGHT(Raw_Nigeria!E257,2))&gt;12,"",VALUE(RIGHT(Raw_Nigeria!E257,2)))</f>
        <v>10</v>
      </c>
      <c r="H257" s="7" t="n">
        <f aca="false">Raw_Nigeria!F257</f>
        <v>2007</v>
      </c>
      <c r="I257" s="7" t="str">
        <f aca="false">UPPER(TRIM(Raw_Nigeria!G257))</f>
        <v>MCV1</v>
      </c>
      <c r="J257" s="7" t="str">
        <f aca="false">Raw_Nigeria!H257</f>
        <v>Record or Recall&lt;12m</v>
      </c>
      <c r="K257" s="7" t="str">
        <f aca="false">Raw_Nigeria!L257</f>
        <v>12-23 m</v>
      </c>
      <c r="L257" s="7" t="str">
        <f aca="false">IF(Raw_Nigeria!K257="","n/a",Raw_Nigeria!K257)</f>
        <v>0-12 m</v>
      </c>
      <c r="M257" s="7" t="n">
        <f aca="false">IF(Raw_Nigeria!I257="","",Raw_Nigeria!I257)</f>
        <v>26.1</v>
      </c>
      <c r="N257" s="7" t="n">
        <f aca="false">Raw_Nigeria!M257</f>
        <v>33.6</v>
      </c>
      <c r="O257" s="7" t="n">
        <f aca="false">IF(Raw_Nigeria!N257="","",Raw_Nigeria!N257)</f>
        <v>4945</v>
      </c>
      <c r="P257" s="7" t="str">
        <f aca="false">IF(K257="CBAW","Women of child-bearing age","Children")</f>
        <v>Children</v>
      </c>
      <c r="Q257" s="7" t="n">
        <f aca="false">IF(J257="NOT USED",1,0)</f>
        <v>0</v>
      </c>
      <c r="R257" s="7" t="n">
        <f aca="false">IF(AND(P257="Children",Q257=0),1,0)</f>
        <v>1</v>
      </c>
      <c r="S257" s="7" t="n">
        <f aca="false">IF(AND(R257=1,J257="Record or Recall",K257="12-23 m"),1,0)</f>
        <v>0</v>
      </c>
      <c r="T257" s="7" t="n">
        <f aca="false">IF(OR(I257="BCG",I257="DTP1",I257="DTP3",I257="POL3",I257="MCV1",I257="FULL"),1,0)</f>
        <v>1</v>
      </c>
      <c r="U257" s="7" t="n">
        <f aca="false">IF(OR(C257="DHS",C257="MICS"),1,0)</f>
        <v>1</v>
      </c>
      <c r="V257" s="7" t="n">
        <f aca="false">IF(O257="",1,0)</f>
        <v>0</v>
      </c>
      <c r="W257" s="7" t="n">
        <f aca="false">IF(M257="",1,0)</f>
        <v>0</v>
      </c>
      <c r="X257" s="7" t="n">
        <f aca="false">COUNTIFS($B$2:$B$1141,B257,$H$2:$H$1141,H257,$I$2:$I$1141,I257,$J$2:$J$1141,J257,$K$2:$K$1141,K257,$L$2:$L$1141,L257)</f>
        <v>1</v>
      </c>
    </row>
    <row r="258" customFormat="false" ht="15" hidden="false" customHeight="false" outlineLevel="0" collapsed="false">
      <c r="A258" s="7" t="n">
        <f aca="false">ROW()-1</f>
        <v>257</v>
      </c>
      <c r="B258" s="7" t="str">
        <f aca="false">IF(Raw_Nigeria!B258="",TRIM(Raw_Nigeria!C258),TRIM(Raw_Nigeria!B258))</f>
        <v>Nigeria Demographic and Health Survey 2008</v>
      </c>
      <c r="C258" s="7" t="str">
        <f aca="false">IF(ISNUMBER(SEARCH("Demographic and Health",B258)),"DHS",IF(OR(ISNUMBER(SEARCH("Multiple Indicator Cluster",B258)),ISNUMBER(SEARCH("MICS",B258))),"MICS",IF(ISNUMBER(SEARCH("Immunization Coverage Survey",B258)),"Coverage survey",IF(ISNUMBER(SEARCH("Nutrition",B258)),"Nutrition survey","Other"))))</f>
        <v>DHS</v>
      </c>
      <c r="D258" s="7" t="n">
        <f aca="false">VALUE(LEFT(Raw_Nigeria!D258,4))</f>
        <v>2008</v>
      </c>
      <c r="E258" s="7" t="n">
        <f aca="false">IF(VALUE(RIGHT(Raw_Nigeria!D258,2))&gt;12,"",VALUE(RIGHT(Raw_Nigeria!D258,2)))</f>
        <v>6</v>
      </c>
      <c r="F258" s="7" t="n">
        <f aca="false">VALUE(LEFT(Raw_Nigeria!E258,4))</f>
        <v>2008</v>
      </c>
      <c r="G258" s="7" t="n">
        <f aca="false">IF(VALUE(RIGHT(Raw_Nigeria!E258,2))&gt;12,"",VALUE(RIGHT(Raw_Nigeria!E258,2)))</f>
        <v>10</v>
      </c>
      <c r="H258" s="7" t="n">
        <f aca="false">Raw_Nigeria!F258</f>
        <v>2007</v>
      </c>
      <c r="I258" s="7" t="str">
        <f aca="false">UPPER(TRIM(Raw_Nigeria!G258))</f>
        <v>MCV1</v>
      </c>
      <c r="J258" s="7" t="str">
        <f aca="false">Raw_Nigeria!H258</f>
        <v>Record</v>
      </c>
      <c r="K258" s="7" t="str">
        <f aca="false">Raw_Nigeria!L258</f>
        <v>12-23 m</v>
      </c>
      <c r="L258" s="7" t="str">
        <f aca="false">IF(Raw_Nigeria!K258="","n/a",Raw_Nigeria!K258)</f>
        <v>0-23 m</v>
      </c>
      <c r="M258" s="7" t="n">
        <f aca="false">IF(Raw_Nigeria!I258="","",Raw_Nigeria!I258)</f>
        <v>26.1</v>
      </c>
      <c r="N258" s="7" t="n">
        <f aca="false">Raw_Nigeria!M258</f>
        <v>19.4</v>
      </c>
      <c r="O258" s="7" t="n">
        <f aca="false">IF(Raw_Nigeria!N258="","",Raw_Nigeria!N258)</f>
        <v>4945</v>
      </c>
      <c r="P258" s="7" t="str">
        <f aca="false">IF(K258="CBAW","Women of child-bearing age","Children")</f>
        <v>Children</v>
      </c>
      <c r="Q258" s="7" t="n">
        <f aca="false">IF(J258="NOT USED",1,0)</f>
        <v>0</v>
      </c>
      <c r="R258" s="7" t="n">
        <f aca="false">IF(AND(P258="Children",Q258=0),1,0)</f>
        <v>1</v>
      </c>
      <c r="S258" s="7" t="n">
        <f aca="false">IF(AND(R258=1,J258="Record or Recall",K258="12-23 m"),1,0)</f>
        <v>0</v>
      </c>
      <c r="T258" s="7" t="n">
        <f aca="false">IF(OR(I258="BCG",I258="DTP1",I258="DTP3",I258="POL3",I258="MCV1",I258="FULL"),1,0)</f>
        <v>1</v>
      </c>
      <c r="U258" s="7" t="n">
        <f aca="false">IF(OR(C258="DHS",C258="MICS"),1,0)</f>
        <v>1</v>
      </c>
      <c r="V258" s="7" t="n">
        <f aca="false">IF(O258="",1,0)</f>
        <v>0</v>
      </c>
      <c r="W258" s="7" t="n">
        <f aca="false">IF(M258="",1,0)</f>
        <v>0</v>
      </c>
      <c r="X258" s="7" t="n">
        <f aca="false">COUNTIFS($B$2:$B$1141,B258,$H$2:$H$1141,H258,$I$2:$I$1141,I258,$J$2:$J$1141,J258,$K$2:$K$1141,K258,$L$2:$L$1141,L258)</f>
        <v>1</v>
      </c>
    </row>
    <row r="259" customFormat="false" ht="15" hidden="false" customHeight="false" outlineLevel="0" collapsed="false">
      <c r="A259" s="7" t="n">
        <f aca="false">ROW()-1</f>
        <v>258</v>
      </c>
      <c r="B259" s="7" t="str">
        <f aca="false">IF(Raw_Nigeria!B259="",TRIM(Raw_Nigeria!C259),TRIM(Raw_Nigeria!B259))</f>
        <v>Nigeria Demographic and Health Survey 2008</v>
      </c>
      <c r="C259" s="7" t="str">
        <f aca="false">IF(ISNUMBER(SEARCH("Demographic and Health",B259)),"DHS",IF(OR(ISNUMBER(SEARCH("Multiple Indicator Cluster",B259)),ISNUMBER(SEARCH("MICS",B259))),"MICS",IF(ISNUMBER(SEARCH("Immunization Coverage Survey",B259)),"Coverage survey",IF(ISNUMBER(SEARCH("Nutrition",B259)),"Nutrition survey","Other"))))</f>
        <v>DHS</v>
      </c>
      <c r="D259" s="7" t="n">
        <f aca="false">VALUE(LEFT(Raw_Nigeria!D259,4))</f>
        <v>2008</v>
      </c>
      <c r="E259" s="7" t="n">
        <f aca="false">IF(VALUE(RIGHT(Raw_Nigeria!D259,2))&gt;12,"",VALUE(RIGHT(Raw_Nigeria!D259,2)))</f>
        <v>6</v>
      </c>
      <c r="F259" s="7" t="n">
        <f aca="false">VALUE(LEFT(Raw_Nigeria!E259,4))</f>
        <v>2008</v>
      </c>
      <c r="G259" s="7" t="n">
        <f aca="false">IF(VALUE(RIGHT(Raw_Nigeria!E259,2))&gt;12,"",VALUE(RIGHT(Raw_Nigeria!E259,2)))</f>
        <v>10</v>
      </c>
      <c r="H259" s="7" t="n">
        <f aca="false">Raw_Nigeria!F259</f>
        <v>2007</v>
      </c>
      <c r="I259" s="7" t="str">
        <f aca="false">UPPER(TRIM(Raw_Nigeria!G259))</f>
        <v>MCV1</v>
      </c>
      <c r="J259" s="7" t="str">
        <f aca="false">Raw_Nigeria!H259</f>
        <v>Record or Recall</v>
      </c>
      <c r="K259" s="7" t="str">
        <f aca="false">Raw_Nigeria!L259</f>
        <v>12-23 m</v>
      </c>
      <c r="L259" s="7" t="str">
        <f aca="false">IF(Raw_Nigeria!K259="","n/a",Raw_Nigeria!K259)</f>
        <v>0-23 m</v>
      </c>
      <c r="M259" s="7" t="n">
        <f aca="false">IF(Raw_Nigeria!I259="","",Raw_Nigeria!I259)</f>
        <v>26.1</v>
      </c>
      <c r="N259" s="7" t="n">
        <f aca="false">Raw_Nigeria!M259</f>
        <v>41.4</v>
      </c>
      <c r="O259" s="7" t="n">
        <f aca="false">IF(Raw_Nigeria!N259="","",Raw_Nigeria!N259)</f>
        <v>4945</v>
      </c>
      <c r="P259" s="7" t="str">
        <f aca="false">IF(K259="CBAW","Women of child-bearing age","Children")</f>
        <v>Children</v>
      </c>
      <c r="Q259" s="7" t="n">
        <f aca="false">IF(J259="NOT USED",1,0)</f>
        <v>0</v>
      </c>
      <c r="R259" s="7" t="n">
        <f aca="false">IF(AND(P259="Children",Q259=0),1,0)</f>
        <v>1</v>
      </c>
      <c r="S259" s="7" t="n">
        <f aca="false">IF(AND(R259=1,J259="Record or Recall",K259="12-23 m"),1,0)</f>
        <v>1</v>
      </c>
      <c r="T259" s="7" t="n">
        <f aca="false">IF(OR(I259="BCG",I259="DTP1",I259="DTP3",I259="POL3",I259="MCV1",I259="FULL"),1,0)</f>
        <v>1</v>
      </c>
      <c r="U259" s="7" t="n">
        <f aca="false">IF(OR(C259="DHS",C259="MICS"),1,0)</f>
        <v>1</v>
      </c>
      <c r="V259" s="7" t="n">
        <f aca="false">IF(O259="",1,0)</f>
        <v>0</v>
      </c>
      <c r="W259" s="7" t="n">
        <f aca="false">IF(M259="",1,0)</f>
        <v>0</v>
      </c>
      <c r="X259" s="7" t="n">
        <f aca="false">COUNTIFS($B$2:$B$1141,B259,$H$2:$H$1141,H259,$I$2:$I$1141,I259,$J$2:$J$1141,J259,$K$2:$K$1141,K259,$L$2:$L$1141,L259)</f>
        <v>1</v>
      </c>
    </row>
    <row r="260" customFormat="false" ht="15" hidden="false" customHeight="false" outlineLevel="0" collapsed="false">
      <c r="A260" s="7" t="n">
        <f aca="false">ROW()-1</f>
        <v>259</v>
      </c>
      <c r="B260" s="7" t="str">
        <f aca="false">IF(Raw_Nigeria!B260="",TRIM(Raw_Nigeria!C260),TRIM(Raw_Nigeria!B260))</f>
        <v>Nigeria Demographic and Health Survey 2008</v>
      </c>
      <c r="C260" s="7" t="str">
        <f aca="false">IF(ISNUMBER(SEARCH("Demographic and Health",B260)),"DHS",IF(OR(ISNUMBER(SEARCH("Multiple Indicator Cluster",B260)),ISNUMBER(SEARCH("MICS",B260))),"MICS",IF(ISNUMBER(SEARCH("Immunization Coverage Survey",B260)),"Coverage survey",IF(ISNUMBER(SEARCH("Nutrition",B260)),"Nutrition survey","Other"))))</f>
        <v>DHS</v>
      </c>
      <c r="D260" s="7" t="n">
        <f aca="false">VALUE(LEFT(Raw_Nigeria!D260,4))</f>
        <v>2008</v>
      </c>
      <c r="E260" s="7" t="n">
        <f aca="false">IF(VALUE(RIGHT(Raw_Nigeria!D260,2))&gt;12,"",VALUE(RIGHT(Raw_Nigeria!D260,2)))</f>
        <v>6</v>
      </c>
      <c r="F260" s="7" t="n">
        <f aca="false">VALUE(LEFT(Raw_Nigeria!E260,4))</f>
        <v>2008</v>
      </c>
      <c r="G260" s="7" t="n">
        <f aca="false">IF(VALUE(RIGHT(Raw_Nigeria!E260,2))&gt;12,"",VALUE(RIGHT(Raw_Nigeria!E260,2)))</f>
        <v>10</v>
      </c>
      <c r="H260" s="7" t="n">
        <f aca="false">Raw_Nigeria!F260</f>
        <v>2007</v>
      </c>
      <c r="I260" s="7" t="str">
        <f aca="false">UPPER(TRIM(Raw_Nigeria!G260))</f>
        <v>MCV1</v>
      </c>
      <c r="J260" s="7" t="str">
        <f aca="false">Raw_Nigeria!H260</f>
        <v>Recall</v>
      </c>
      <c r="K260" s="7" t="str">
        <f aca="false">Raw_Nigeria!L260</f>
        <v>12-23 m</v>
      </c>
      <c r="L260" s="7" t="str">
        <f aca="false">IF(Raw_Nigeria!K260="","n/a",Raw_Nigeria!K260)</f>
        <v>0-23 m</v>
      </c>
      <c r="M260" s="7" t="n">
        <f aca="false">IF(Raw_Nigeria!I260="","",Raw_Nigeria!I260)</f>
        <v>26.1</v>
      </c>
      <c r="N260" s="7" t="n">
        <f aca="false">Raw_Nigeria!M260</f>
        <v>22.1</v>
      </c>
      <c r="O260" s="7" t="n">
        <f aca="false">IF(Raw_Nigeria!N260="","",Raw_Nigeria!N260)</f>
        <v>4945</v>
      </c>
      <c r="P260" s="7" t="str">
        <f aca="false">IF(K260="CBAW","Women of child-bearing age","Children")</f>
        <v>Children</v>
      </c>
      <c r="Q260" s="7" t="n">
        <f aca="false">IF(J260="NOT USED",1,0)</f>
        <v>0</v>
      </c>
      <c r="R260" s="7" t="n">
        <f aca="false">IF(AND(P260="Children",Q260=0),1,0)</f>
        <v>1</v>
      </c>
      <c r="S260" s="7" t="n">
        <f aca="false">IF(AND(R260=1,J260="Record or Recall",K260="12-23 m"),1,0)</f>
        <v>0</v>
      </c>
      <c r="T260" s="7" t="n">
        <f aca="false">IF(OR(I260="BCG",I260="DTP1",I260="DTP3",I260="POL3",I260="MCV1",I260="FULL"),1,0)</f>
        <v>1</v>
      </c>
      <c r="U260" s="7" t="n">
        <f aca="false">IF(OR(C260="DHS",C260="MICS"),1,0)</f>
        <v>1</v>
      </c>
      <c r="V260" s="7" t="n">
        <f aca="false">IF(O260="",1,0)</f>
        <v>0</v>
      </c>
      <c r="W260" s="7" t="n">
        <f aca="false">IF(M260="",1,0)</f>
        <v>0</v>
      </c>
      <c r="X260" s="7" t="n">
        <f aca="false">COUNTIFS($B$2:$B$1141,B260,$H$2:$H$1141,H260,$I$2:$I$1141,I260,$J$2:$J$1141,J260,$K$2:$K$1141,K260,$L$2:$L$1141,L260)</f>
        <v>1</v>
      </c>
    </row>
    <row r="261" customFormat="false" ht="15" hidden="false" customHeight="false" outlineLevel="0" collapsed="false">
      <c r="A261" s="7" t="n">
        <f aca="false">ROW()-1</f>
        <v>260</v>
      </c>
      <c r="B261" s="7" t="str">
        <f aca="false">IF(Raw_Nigeria!B261="",TRIM(Raw_Nigeria!C261),TRIM(Raw_Nigeria!B261))</f>
        <v>Nigeria Demographic and Health Survey 2008</v>
      </c>
      <c r="C261" s="7" t="str">
        <f aca="false">IF(ISNUMBER(SEARCH("Demographic and Health",B261)),"DHS",IF(OR(ISNUMBER(SEARCH("Multiple Indicator Cluster",B261)),ISNUMBER(SEARCH("MICS",B261))),"MICS",IF(ISNUMBER(SEARCH("Immunization Coverage Survey",B261)),"Coverage survey",IF(ISNUMBER(SEARCH("Nutrition",B261)),"Nutrition survey","Other"))))</f>
        <v>DHS</v>
      </c>
      <c r="D261" s="7" t="n">
        <f aca="false">VALUE(LEFT(Raw_Nigeria!D261,4))</f>
        <v>2008</v>
      </c>
      <c r="E261" s="7" t="n">
        <f aca="false">IF(VALUE(RIGHT(Raw_Nigeria!D261,2))&gt;12,"",VALUE(RIGHT(Raw_Nigeria!D261,2)))</f>
        <v>6</v>
      </c>
      <c r="F261" s="7" t="n">
        <f aca="false">VALUE(LEFT(Raw_Nigeria!E261,4))</f>
        <v>2008</v>
      </c>
      <c r="G261" s="7" t="n">
        <f aca="false">IF(VALUE(RIGHT(Raw_Nigeria!E261,2))&gt;12,"",VALUE(RIGHT(Raw_Nigeria!E261,2)))</f>
        <v>10</v>
      </c>
      <c r="H261" s="7" t="n">
        <f aca="false">Raw_Nigeria!F261</f>
        <v>2007</v>
      </c>
      <c r="I261" s="7" t="str">
        <f aca="false">UPPER(TRIM(Raw_Nigeria!G261))</f>
        <v>PAB</v>
      </c>
      <c r="J261" s="7" t="str">
        <f aca="false">Raw_Nigeria!H261</f>
        <v>NOT USED</v>
      </c>
      <c r="K261" s="7" t="str">
        <f aca="false">Raw_Nigeria!L261</f>
        <v>CBAW</v>
      </c>
      <c r="L261" s="7" t="str">
        <f aca="false">IF(Raw_Nigeria!K261="","n/a",Raw_Nigeria!K261)</f>
        <v>n/a</v>
      </c>
      <c r="M261" s="7" t="str">
        <f aca="false">IF(Raw_Nigeria!I261="","",Raw_Nigeria!I261)</f>
        <v/>
      </c>
      <c r="N261" s="7" t="n">
        <f aca="false">Raw_Nigeria!M261</f>
        <v>48</v>
      </c>
      <c r="O261" s="7" t="n">
        <f aca="false">IF(Raw_Nigeria!N261="","",Raw_Nigeria!N261)</f>
        <v>17635</v>
      </c>
      <c r="P261" s="7" t="str">
        <f aca="false">IF(K261="CBAW","Women of child-bearing age","Children")</f>
        <v>Women of child-bearing age</v>
      </c>
      <c r="Q261" s="7" t="n">
        <f aca="false">IF(J261="NOT USED",1,0)</f>
        <v>1</v>
      </c>
      <c r="R261" s="7" t="n">
        <f aca="false">IF(AND(P261="Children",Q261=0),1,0)</f>
        <v>0</v>
      </c>
      <c r="S261" s="7" t="n">
        <f aca="false">IF(AND(R261=1,J261="Record or Recall",K261="12-23 m"),1,0)</f>
        <v>0</v>
      </c>
      <c r="T261" s="7" t="n">
        <f aca="false">IF(OR(I261="BCG",I261="DTP1",I261="DTP3",I261="POL3",I261="MCV1",I261="FULL"),1,0)</f>
        <v>0</v>
      </c>
      <c r="U261" s="7" t="n">
        <f aca="false">IF(OR(C261="DHS",C261="MICS"),1,0)</f>
        <v>1</v>
      </c>
      <c r="V261" s="7" t="n">
        <f aca="false">IF(O261="",1,0)</f>
        <v>0</v>
      </c>
      <c r="W261" s="7" t="n">
        <f aca="false">IF(M261="",1,0)</f>
        <v>1</v>
      </c>
      <c r="X261" s="7" t="n">
        <f aca="false">COUNTIFS($B$2:$B$1141,B261,$H$2:$H$1141,H261,$I$2:$I$1141,I261,$J$2:$J$1141,J261,$K$2:$K$1141,K261,$L$2:$L$1141,L261)</f>
        <v>1</v>
      </c>
    </row>
    <row r="262" customFormat="false" ht="15" hidden="false" customHeight="false" outlineLevel="0" collapsed="false">
      <c r="A262" s="7" t="n">
        <f aca="false">ROW()-1</f>
        <v>261</v>
      </c>
      <c r="B262" s="7" t="str">
        <f aca="false">IF(Raw_Nigeria!B262="",TRIM(Raw_Nigeria!C262),TRIM(Raw_Nigeria!B262))</f>
        <v>Nigeria Demographic and Health Survey 2008</v>
      </c>
      <c r="C262" s="7" t="str">
        <f aca="false">IF(ISNUMBER(SEARCH("Demographic and Health",B262)),"DHS",IF(OR(ISNUMBER(SEARCH("Multiple Indicator Cluster",B262)),ISNUMBER(SEARCH("MICS",B262))),"MICS",IF(ISNUMBER(SEARCH("Immunization Coverage Survey",B262)),"Coverage survey",IF(ISNUMBER(SEARCH("Nutrition",B262)),"Nutrition survey","Other"))))</f>
        <v>DHS</v>
      </c>
      <c r="D262" s="7" t="n">
        <f aca="false">VALUE(LEFT(Raw_Nigeria!D262,4))</f>
        <v>2008</v>
      </c>
      <c r="E262" s="7" t="n">
        <f aca="false">IF(VALUE(RIGHT(Raw_Nigeria!D262,2))&gt;12,"",VALUE(RIGHT(Raw_Nigeria!D262,2)))</f>
        <v>6</v>
      </c>
      <c r="F262" s="7" t="n">
        <f aca="false">VALUE(LEFT(Raw_Nigeria!E262,4))</f>
        <v>2008</v>
      </c>
      <c r="G262" s="7" t="n">
        <f aca="false">IF(VALUE(RIGHT(Raw_Nigeria!E262,2))&gt;12,"",VALUE(RIGHT(Raw_Nigeria!E262,2)))</f>
        <v>10</v>
      </c>
      <c r="H262" s="7" t="n">
        <f aca="false">Raw_Nigeria!F262</f>
        <v>2007</v>
      </c>
      <c r="I262" s="7" t="str">
        <f aca="false">UPPER(TRIM(Raw_Nigeria!G262))</f>
        <v>POL1</v>
      </c>
      <c r="J262" s="7" t="str">
        <f aca="false">Raw_Nigeria!H262</f>
        <v>Record or Recall&lt;12m</v>
      </c>
      <c r="K262" s="7" t="str">
        <f aca="false">Raw_Nigeria!L262</f>
        <v>12-23 m</v>
      </c>
      <c r="L262" s="7" t="str">
        <f aca="false">IF(Raw_Nigeria!K262="","n/a",Raw_Nigeria!K262)</f>
        <v>0-12 m</v>
      </c>
      <c r="M262" s="7" t="n">
        <f aca="false">IF(Raw_Nigeria!I262="","",Raw_Nigeria!I262)</f>
        <v>26.1</v>
      </c>
      <c r="N262" s="7" t="n">
        <f aca="false">Raw_Nigeria!M262</f>
        <v>64.1</v>
      </c>
      <c r="O262" s="7" t="n">
        <f aca="false">IF(Raw_Nigeria!N262="","",Raw_Nigeria!N262)</f>
        <v>4945</v>
      </c>
      <c r="P262" s="7" t="str">
        <f aca="false">IF(K262="CBAW","Women of child-bearing age","Children")</f>
        <v>Children</v>
      </c>
      <c r="Q262" s="7" t="n">
        <f aca="false">IF(J262="NOT USED",1,0)</f>
        <v>0</v>
      </c>
      <c r="R262" s="7" t="n">
        <f aca="false">IF(AND(P262="Children",Q262=0),1,0)</f>
        <v>1</v>
      </c>
      <c r="S262" s="7" t="n">
        <f aca="false">IF(AND(R262=1,J262="Record or Recall",K262="12-23 m"),1,0)</f>
        <v>0</v>
      </c>
      <c r="T262" s="7" t="n">
        <f aca="false">IF(OR(I262="BCG",I262="DTP1",I262="DTP3",I262="POL3",I262="MCV1",I262="FULL"),1,0)</f>
        <v>0</v>
      </c>
      <c r="U262" s="7" t="n">
        <f aca="false">IF(OR(C262="DHS",C262="MICS"),1,0)</f>
        <v>1</v>
      </c>
      <c r="V262" s="7" t="n">
        <f aca="false">IF(O262="",1,0)</f>
        <v>0</v>
      </c>
      <c r="W262" s="7" t="n">
        <f aca="false">IF(M262="",1,0)</f>
        <v>0</v>
      </c>
      <c r="X262" s="7" t="n">
        <f aca="false">COUNTIFS($B$2:$B$1141,B262,$H$2:$H$1141,H262,$I$2:$I$1141,I262,$J$2:$J$1141,J262,$K$2:$K$1141,K262,$L$2:$L$1141,L262)</f>
        <v>1</v>
      </c>
    </row>
    <row r="263" customFormat="false" ht="15" hidden="false" customHeight="false" outlineLevel="0" collapsed="false">
      <c r="A263" s="7" t="n">
        <f aca="false">ROW()-1</f>
        <v>262</v>
      </c>
      <c r="B263" s="7" t="str">
        <f aca="false">IF(Raw_Nigeria!B263="",TRIM(Raw_Nigeria!C263),TRIM(Raw_Nigeria!B263))</f>
        <v>Nigeria Demographic and Health Survey 2008</v>
      </c>
      <c r="C263" s="7" t="str">
        <f aca="false">IF(ISNUMBER(SEARCH("Demographic and Health",B263)),"DHS",IF(OR(ISNUMBER(SEARCH("Multiple Indicator Cluster",B263)),ISNUMBER(SEARCH("MICS",B263))),"MICS",IF(ISNUMBER(SEARCH("Immunization Coverage Survey",B263)),"Coverage survey",IF(ISNUMBER(SEARCH("Nutrition",B263)),"Nutrition survey","Other"))))</f>
        <v>DHS</v>
      </c>
      <c r="D263" s="7" t="n">
        <f aca="false">VALUE(LEFT(Raw_Nigeria!D263,4))</f>
        <v>2008</v>
      </c>
      <c r="E263" s="7" t="n">
        <f aca="false">IF(VALUE(RIGHT(Raw_Nigeria!D263,2))&gt;12,"",VALUE(RIGHT(Raw_Nigeria!D263,2)))</f>
        <v>6</v>
      </c>
      <c r="F263" s="7" t="n">
        <f aca="false">VALUE(LEFT(Raw_Nigeria!E263,4))</f>
        <v>2008</v>
      </c>
      <c r="G263" s="7" t="n">
        <f aca="false">IF(VALUE(RIGHT(Raw_Nigeria!E263,2))&gt;12,"",VALUE(RIGHT(Raw_Nigeria!E263,2)))</f>
        <v>10</v>
      </c>
      <c r="H263" s="7" t="n">
        <f aca="false">Raw_Nigeria!F263</f>
        <v>2007</v>
      </c>
      <c r="I263" s="7" t="str">
        <f aca="false">UPPER(TRIM(Raw_Nigeria!G263))</f>
        <v>POL1</v>
      </c>
      <c r="J263" s="7" t="str">
        <f aca="false">Raw_Nigeria!H263</f>
        <v>Record</v>
      </c>
      <c r="K263" s="7" t="str">
        <f aca="false">Raw_Nigeria!L263</f>
        <v>12-23 m</v>
      </c>
      <c r="L263" s="7" t="str">
        <f aca="false">IF(Raw_Nigeria!K263="","n/a",Raw_Nigeria!K263)</f>
        <v>0-23 m</v>
      </c>
      <c r="M263" s="7" t="n">
        <f aca="false">IF(Raw_Nigeria!I263="","",Raw_Nigeria!I263)</f>
        <v>26.1</v>
      </c>
      <c r="N263" s="7" t="n">
        <f aca="false">Raw_Nigeria!M263</f>
        <v>24.4</v>
      </c>
      <c r="O263" s="7" t="n">
        <f aca="false">IF(Raw_Nigeria!N263="","",Raw_Nigeria!N263)</f>
        <v>4945</v>
      </c>
      <c r="P263" s="7" t="str">
        <f aca="false">IF(K263="CBAW","Women of child-bearing age","Children")</f>
        <v>Children</v>
      </c>
      <c r="Q263" s="7" t="n">
        <f aca="false">IF(J263="NOT USED",1,0)</f>
        <v>0</v>
      </c>
      <c r="R263" s="7" t="n">
        <f aca="false">IF(AND(P263="Children",Q263=0),1,0)</f>
        <v>1</v>
      </c>
      <c r="S263" s="7" t="n">
        <f aca="false">IF(AND(R263=1,J263="Record or Recall",K263="12-23 m"),1,0)</f>
        <v>0</v>
      </c>
      <c r="T263" s="7" t="n">
        <f aca="false">IF(OR(I263="BCG",I263="DTP1",I263="DTP3",I263="POL3",I263="MCV1",I263="FULL"),1,0)</f>
        <v>0</v>
      </c>
      <c r="U263" s="7" t="n">
        <f aca="false">IF(OR(C263="DHS",C263="MICS"),1,0)</f>
        <v>1</v>
      </c>
      <c r="V263" s="7" t="n">
        <f aca="false">IF(O263="",1,0)</f>
        <v>0</v>
      </c>
      <c r="W263" s="7" t="n">
        <f aca="false">IF(M263="",1,0)</f>
        <v>0</v>
      </c>
      <c r="X263" s="7" t="n">
        <f aca="false">COUNTIFS($B$2:$B$1141,B263,$H$2:$H$1141,H263,$I$2:$I$1141,I263,$J$2:$J$1141,J263,$K$2:$K$1141,K263,$L$2:$L$1141,L263)</f>
        <v>1</v>
      </c>
    </row>
    <row r="264" customFormat="false" ht="15" hidden="false" customHeight="false" outlineLevel="0" collapsed="false">
      <c r="A264" s="7" t="n">
        <f aca="false">ROW()-1</f>
        <v>263</v>
      </c>
      <c r="B264" s="7" t="str">
        <f aca="false">IF(Raw_Nigeria!B264="",TRIM(Raw_Nigeria!C264),TRIM(Raw_Nigeria!B264))</f>
        <v>Nigeria Demographic and Health Survey 2008</v>
      </c>
      <c r="C264" s="7" t="str">
        <f aca="false">IF(ISNUMBER(SEARCH("Demographic and Health",B264)),"DHS",IF(OR(ISNUMBER(SEARCH("Multiple Indicator Cluster",B264)),ISNUMBER(SEARCH("MICS",B264))),"MICS",IF(ISNUMBER(SEARCH("Immunization Coverage Survey",B264)),"Coverage survey",IF(ISNUMBER(SEARCH("Nutrition",B264)),"Nutrition survey","Other"))))</f>
        <v>DHS</v>
      </c>
      <c r="D264" s="7" t="n">
        <f aca="false">VALUE(LEFT(Raw_Nigeria!D264,4))</f>
        <v>2008</v>
      </c>
      <c r="E264" s="7" t="n">
        <f aca="false">IF(VALUE(RIGHT(Raw_Nigeria!D264,2))&gt;12,"",VALUE(RIGHT(Raw_Nigeria!D264,2)))</f>
        <v>6</v>
      </c>
      <c r="F264" s="7" t="n">
        <f aca="false">VALUE(LEFT(Raw_Nigeria!E264,4))</f>
        <v>2008</v>
      </c>
      <c r="G264" s="7" t="n">
        <f aca="false">IF(VALUE(RIGHT(Raw_Nigeria!E264,2))&gt;12,"",VALUE(RIGHT(Raw_Nigeria!E264,2)))</f>
        <v>10</v>
      </c>
      <c r="H264" s="7" t="n">
        <f aca="false">Raw_Nigeria!F264</f>
        <v>2007</v>
      </c>
      <c r="I264" s="7" t="str">
        <f aca="false">UPPER(TRIM(Raw_Nigeria!G264))</f>
        <v>POL1</v>
      </c>
      <c r="J264" s="7" t="str">
        <f aca="false">Raw_Nigeria!H264</f>
        <v>Record or Recall</v>
      </c>
      <c r="K264" s="7" t="str">
        <f aca="false">Raw_Nigeria!L264</f>
        <v>12-23 m</v>
      </c>
      <c r="L264" s="7" t="str">
        <f aca="false">IF(Raw_Nigeria!K264="","n/a",Raw_Nigeria!K264)</f>
        <v>0-23 m</v>
      </c>
      <c r="M264" s="7" t="n">
        <f aca="false">IF(Raw_Nigeria!I264="","",Raw_Nigeria!I264)</f>
        <v>26.1</v>
      </c>
      <c r="N264" s="7" t="n">
        <f aca="false">Raw_Nigeria!M264</f>
        <v>67.8</v>
      </c>
      <c r="O264" s="7" t="n">
        <f aca="false">IF(Raw_Nigeria!N264="","",Raw_Nigeria!N264)</f>
        <v>4945</v>
      </c>
      <c r="P264" s="7" t="str">
        <f aca="false">IF(K264="CBAW","Women of child-bearing age","Children")</f>
        <v>Children</v>
      </c>
      <c r="Q264" s="7" t="n">
        <f aca="false">IF(J264="NOT USED",1,0)</f>
        <v>0</v>
      </c>
      <c r="R264" s="7" t="n">
        <f aca="false">IF(AND(P264="Children",Q264=0),1,0)</f>
        <v>1</v>
      </c>
      <c r="S264" s="7" t="n">
        <f aca="false">IF(AND(R264=1,J264="Record or Recall",K264="12-23 m"),1,0)</f>
        <v>1</v>
      </c>
      <c r="T264" s="7" t="n">
        <f aca="false">IF(OR(I264="BCG",I264="DTP1",I264="DTP3",I264="POL3",I264="MCV1",I264="FULL"),1,0)</f>
        <v>0</v>
      </c>
      <c r="U264" s="7" t="n">
        <f aca="false">IF(OR(C264="DHS",C264="MICS"),1,0)</f>
        <v>1</v>
      </c>
      <c r="V264" s="7" t="n">
        <f aca="false">IF(O264="",1,0)</f>
        <v>0</v>
      </c>
      <c r="W264" s="7" t="n">
        <f aca="false">IF(M264="",1,0)</f>
        <v>0</v>
      </c>
      <c r="X264" s="7" t="n">
        <f aca="false">COUNTIFS($B$2:$B$1141,B264,$H$2:$H$1141,H264,$I$2:$I$1141,I264,$J$2:$J$1141,J264,$K$2:$K$1141,K264,$L$2:$L$1141,L264)</f>
        <v>1</v>
      </c>
    </row>
    <row r="265" customFormat="false" ht="15" hidden="false" customHeight="false" outlineLevel="0" collapsed="false">
      <c r="A265" s="7" t="n">
        <f aca="false">ROW()-1</f>
        <v>264</v>
      </c>
      <c r="B265" s="7" t="str">
        <f aca="false">IF(Raw_Nigeria!B265="",TRIM(Raw_Nigeria!C265),TRIM(Raw_Nigeria!B265))</f>
        <v>Nigeria Demographic and Health Survey 2008</v>
      </c>
      <c r="C265" s="7" t="str">
        <f aca="false">IF(ISNUMBER(SEARCH("Demographic and Health",B265)),"DHS",IF(OR(ISNUMBER(SEARCH("Multiple Indicator Cluster",B265)),ISNUMBER(SEARCH("MICS",B265))),"MICS",IF(ISNUMBER(SEARCH("Immunization Coverage Survey",B265)),"Coverage survey",IF(ISNUMBER(SEARCH("Nutrition",B265)),"Nutrition survey","Other"))))</f>
        <v>DHS</v>
      </c>
      <c r="D265" s="7" t="n">
        <f aca="false">VALUE(LEFT(Raw_Nigeria!D265,4))</f>
        <v>2008</v>
      </c>
      <c r="E265" s="7" t="n">
        <f aca="false">IF(VALUE(RIGHT(Raw_Nigeria!D265,2))&gt;12,"",VALUE(RIGHT(Raw_Nigeria!D265,2)))</f>
        <v>6</v>
      </c>
      <c r="F265" s="7" t="n">
        <f aca="false">VALUE(LEFT(Raw_Nigeria!E265,4))</f>
        <v>2008</v>
      </c>
      <c r="G265" s="7" t="n">
        <f aca="false">IF(VALUE(RIGHT(Raw_Nigeria!E265,2))&gt;12,"",VALUE(RIGHT(Raw_Nigeria!E265,2)))</f>
        <v>10</v>
      </c>
      <c r="H265" s="7" t="n">
        <f aca="false">Raw_Nigeria!F265</f>
        <v>2007</v>
      </c>
      <c r="I265" s="7" t="str">
        <f aca="false">UPPER(TRIM(Raw_Nigeria!G265))</f>
        <v>POL1</v>
      </c>
      <c r="J265" s="7" t="str">
        <f aca="false">Raw_Nigeria!H265</f>
        <v>Recall</v>
      </c>
      <c r="K265" s="7" t="str">
        <f aca="false">Raw_Nigeria!L265</f>
        <v>12-23 m</v>
      </c>
      <c r="L265" s="7" t="str">
        <f aca="false">IF(Raw_Nigeria!K265="","n/a",Raw_Nigeria!K265)</f>
        <v>0-23 m</v>
      </c>
      <c r="M265" s="7" t="n">
        <f aca="false">IF(Raw_Nigeria!I265="","",Raw_Nigeria!I265)</f>
        <v>26.1</v>
      </c>
      <c r="N265" s="7" t="n">
        <f aca="false">Raw_Nigeria!M265</f>
        <v>43.4</v>
      </c>
      <c r="O265" s="7" t="n">
        <f aca="false">IF(Raw_Nigeria!N265="","",Raw_Nigeria!N265)</f>
        <v>4945</v>
      </c>
      <c r="P265" s="7" t="str">
        <f aca="false">IF(K265="CBAW","Women of child-bearing age","Children")</f>
        <v>Children</v>
      </c>
      <c r="Q265" s="7" t="n">
        <f aca="false">IF(J265="NOT USED",1,0)</f>
        <v>0</v>
      </c>
      <c r="R265" s="7" t="n">
        <f aca="false">IF(AND(P265="Children",Q265=0),1,0)</f>
        <v>1</v>
      </c>
      <c r="S265" s="7" t="n">
        <f aca="false">IF(AND(R265=1,J265="Record or Recall",K265="12-23 m"),1,0)</f>
        <v>0</v>
      </c>
      <c r="T265" s="7" t="n">
        <f aca="false">IF(OR(I265="BCG",I265="DTP1",I265="DTP3",I265="POL3",I265="MCV1",I265="FULL"),1,0)</f>
        <v>0</v>
      </c>
      <c r="U265" s="7" t="n">
        <f aca="false">IF(OR(C265="DHS",C265="MICS"),1,0)</f>
        <v>1</v>
      </c>
      <c r="V265" s="7" t="n">
        <f aca="false">IF(O265="",1,0)</f>
        <v>0</v>
      </c>
      <c r="W265" s="7" t="n">
        <f aca="false">IF(M265="",1,0)</f>
        <v>0</v>
      </c>
      <c r="X265" s="7" t="n">
        <f aca="false">COUNTIFS($B$2:$B$1141,B265,$H$2:$H$1141,H265,$I$2:$I$1141,I265,$J$2:$J$1141,J265,$K$2:$K$1141,K265,$L$2:$L$1141,L265)</f>
        <v>1</v>
      </c>
    </row>
    <row r="266" customFormat="false" ht="15" hidden="false" customHeight="false" outlineLevel="0" collapsed="false">
      <c r="A266" s="7" t="n">
        <f aca="false">ROW()-1</f>
        <v>265</v>
      </c>
      <c r="B266" s="7" t="str">
        <f aca="false">IF(Raw_Nigeria!B266="",TRIM(Raw_Nigeria!C266),TRIM(Raw_Nigeria!B266))</f>
        <v>Nigeria Demographic and Health Survey 2008</v>
      </c>
      <c r="C266" s="7" t="str">
        <f aca="false">IF(ISNUMBER(SEARCH("Demographic and Health",B266)),"DHS",IF(OR(ISNUMBER(SEARCH("Multiple Indicator Cluster",B266)),ISNUMBER(SEARCH("MICS",B266))),"MICS",IF(ISNUMBER(SEARCH("Immunization Coverage Survey",B266)),"Coverage survey",IF(ISNUMBER(SEARCH("Nutrition",B266)),"Nutrition survey","Other"))))</f>
        <v>DHS</v>
      </c>
      <c r="D266" s="7" t="n">
        <f aca="false">VALUE(LEFT(Raw_Nigeria!D266,4))</f>
        <v>2008</v>
      </c>
      <c r="E266" s="7" t="n">
        <f aca="false">IF(VALUE(RIGHT(Raw_Nigeria!D266,2))&gt;12,"",VALUE(RIGHT(Raw_Nigeria!D266,2)))</f>
        <v>6</v>
      </c>
      <c r="F266" s="7" t="n">
        <f aca="false">VALUE(LEFT(Raw_Nigeria!E266,4))</f>
        <v>2008</v>
      </c>
      <c r="G266" s="7" t="n">
        <f aca="false">IF(VALUE(RIGHT(Raw_Nigeria!E266,2))&gt;12,"",VALUE(RIGHT(Raw_Nigeria!E266,2)))</f>
        <v>10</v>
      </c>
      <c r="H266" s="7" t="n">
        <f aca="false">Raw_Nigeria!F266</f>
        <v>2007</v>
      </c>
      <c r="I266" s="7" t="str">
        <f aca="false">UPPER(TRIM(Raw_Nigeria!G266))</f>
        <v>POL3</v>
      </c>
      <c r="J266" s="7" t="str">
        <f aca="false">Raw_Nigeria!H266</f>
        <v>Record or Recall&lt;12m</v>
      </c>
      <c r="K266" s="7" t="str">
        <f aca="false">Raw_Nigeria!L266</f>
        <v>12-23 m</v>
      </c>
      <c r="L266" s="7" t="str">
        <f aca="false">IF(Raw_Nigeria!K266="","n/a",Raw_Nigeria!K266)</f>
        <v>0-12 m</v>
      </c>
      <c r="M266" s="7" t="n">
        <f aca="false">IF(Raw_Nigeria!I266="","",Raw_Nigeria!I266)</f>
        <v>26.1</v>
      </c>
      <c r="N266" s="7" t="n">
        <f aca="false">Raw_Nigeria!M266</f>
        <v>36</v>
      </c>
      <c r="O266" s="7" t="n">
        <f aca="false">IF(Raw_Nigeria!N266="","",Raw_Nigeria!N266)</f>
        <v>4945</v>
      </c>
      <c r="P266" s="7" t="str">
        <f aca="false">IF(K266="CBAW","Women of child-bearing age","Children")</f>
        <v>Children</v>
      </c>
      <c r="Q266" s="7" t="n">
        <f aca="false">IF(J266="NOT USED",1,0)</f>
        <v>0</v>
      </c>
      <c r="R266" s="7" t="n">
        <f aca="false">IF(AND(P266="Children",Q266=0),1,0)</f>
        <v>1</v>
      </c>
      <c r="S266" s="7" t="n">
        <f aca="false">IF(AND(R266=1,J266="Record or Recall",K266="12-23 m"),1,0)</f>
        <v>0</v>
      </c>
      <c r="T266" s="7" t="n">
        <f aca="false">IF(OR(I266="BCG",I266="DTP1",I266="DTP3",I266="POL3",I266="MCV1",I266="FULL"),1,0)</f>
        <v>1</v>
      </c>
      <c r="U266" s="7" t="n">
        <f aca="false">IF(OR(C266="DHS",C266="MICS"),1,0)</f>
        <v>1</v>
      </c>
      <c r="V266" s="7" t="n">
        <f aca="false">IF(O266="",1,0)</f>
        <v>0</v>
      </c>
      <c r="W266" s="7" t="n">
        <f aca="false">IF(M266="",1,0)</f>
        <v>0</v>
      </c>
      <c r="X266" s="7" t="n">
        <f aca="false">COUNTIFS($B$2:$B$1141,B266,$H$2:$H$1141,H266,$I$2:$I$1141,I266,$J$2:$J$1141,J266,$K$2:$K$1141,K266,$L$2:$L$1141,L266)</f>
        <v>1</v>
      </c>
    </row>
    <row r="267" customFormat="false" ht="15" hidden="false" customHeight="false" outlineLevel="0" collapsed="false">
      <c r="A267" s="7" t="n">
        <f aca="false">ROW()-1</f>
        <v>266</v>
      </c>
      <c r="B267" s="7" t="str">
        <f aca="false">IF(Raw_Nigeria!B267="",TRIM(Raw_Nigeria!C267),TRIM(Raw_Nigeria!B267))</f>
        <v>Nigeria Demographic and Health Survey 2008</v>
      </c>
      <c r="C267" s="7" t="str">
        <f aca="false">IF(ISNUMBER(SEARCH("Demographic and Health",B267)),"DHS",IF(OR(ISNUMBER(SEARCH("Multiple Indicator Cluster",B267)),ISNUMBER(SEARCH("MICS",B267))),"MICS",IF(ISNUMBER(SEARCH("Immunization Coverage Survey",B267)),"Coverage survey",IF(ISNUMBER(SEARCH("Nutrition",B267)),"Nutrition survey","Other"))))</f>
        <v>DHS</v>
      </c>
      <c r="D267" s="7" t="n">
        <f aca="false">VALUE(LEFT(Raw_Nigeria!D267,4))</f>
        <v>2008</v>
      </c>
      <c r="E267" s="7" t="n">
        <f aca="false">IF(VALUE(RIGHT(Raw_Nigeria!D267,2))&gt;12,"",VALUE(RIGHT(Raw_Nigeria!D267,2)))</f>
        <v>6</v>
      </c>
      <c r="F267" s="7" t="n">
        <f aca="false">VALUE(LEFT(Raw_Nigeria!E267,4))</f>
        <v>2008</v>
      </c>
      <c r="G267" s="7" t="n">
        <f aca="false">IF(VALUE(RIGHT(Raw_Nigeria!E267,2))&gt;12,"",VALUE(RIGHT(Raw_Nigeria!E267,2)))</f>
        <v>10</v>
      </c>
      <c r="H267" s="7" t="n">
        <f aca="false">Raw_Nigeria!F267</f>
        <v>2007</v>
      </c>
      <c r="I267" s="7" t="str">
        <f aca="false">UPPER(TRIM(Raw_Nigeria!G267))</f>
        <v>POL3</v>
      </c>
      <c r="J267" s="7" t="str">
        <f aca="false">Raw_Nigeria!H267</f>
        <v>Record</v>
      </c>
      <c r="K267" s="7" t="str">
        <f aca="false">Raw_Nigeria!L267</f>
        <v>12-23 m</v>
      </c>
      <c r="L267" s="7" t="str">
        <f aca="false">IF(Raw_Nigeria!K267="","n/a",Raw_Nigeria!K267)</f>
        <v>0-23 m</v>
      </c>
      <c r="M267" s="7" t="n">
        <f aca="false">IF(Raw_Nigeria!I267="","",Raw_Nigeria!I267)</f>
        <v>26.1</v>
      </c>
      <c r="N267" s="7" t="n">
        <f aca="false">Raw_Nigeria!M267</f>
        <v>19.2</v>
      </c>
      <c r="O267" s="7" t="n">
        <f aca="false">IF(Raw_Nigeria!N267="","",Raw_Nigeria!N267)</f>
        <v>4945</v>
      </c>
      <c r="P267" s="7" t="str">
        <f aca="false">IF(K267="CBAW","Women of child-bearing age","Children")</f>
        <v>Children</v>
      </c>
      <c r="Q267" s="7" t="n">
        <f aca="false">IF(J267="NOT USED",1,0)</f>
        <v>0</v>
      </c>
      <c r="R267" s="7" t="n">
        <f aca="false">IF(AND(P267="Children",Q267=0),1,0)</f>
        <v>1</v>
      </c>
      <c r="S267" s="7" t="n">
        <f aca="false">IF(AND(R267=1,J267="Record or Recall",K267="12-23 m"),1,0)</f>
        <v>0</v>
      </c>
      <c r="T267" s="7" t="n">
        <f aca="false">IF(OR(I267="BCG",I267="DTP1",I267="DTP3",I267="POL3",I267="MCV1",I267="FULL"),1,0)</f>
        <v>1</v>
      </c>
      <c r="U267" s="7" t="n">
        <f aca="false">IF(OR(C267="DHS",C267="MICS"),1,0)</f>
        <v>1</v>
      </c>
      <c r="V267" s="7" t="n">
        <f aca="false">IF(O267="",1,0)</f>
        <v>0</v>
      </c>
      <c r="W267" s="7" t="n">
        <f aca="false">IF(M267="",1,0)</f>
        <v>0</v>
      </c>
      <c r="X267" s="7" t="n">
        <f aca="false">COUNTIFS($B$2:$B$1141,B267,$H$2:$H$1141,H267,$I$2:$I$1141,I267,$J$2:$J$1141,J267,$K$2:$K$1141,K267,$L$2:$L$1141,L267)</f>
        <v>1</v>
      </c>
    </row>
    <row r="268" customFormat="false" ht="15" hidden="false" customHeight="false" outlineLevel="0" collapsed="false">
      <c r="A268" s="7" t="n">
        <f aca="false">ROW()-1</f>
        <v>267</v>
      </c>
      <c r="B268" s="7" t="str">
        <f aca="false">IF(Raw_Nigeria!B268="",TRIM(Raw_Nigeria!C268),TRIM(Raw_Nigeria!B268))</f>
        <v>Nigeria Demographic and Health Survey 2008</v>
      </c>
      <c r="C268" s="7" t="str">
        <f aca="false">IF(ISNUMBER(SEARCH("Demographic and Health",B268)),"DHS",IF(OR(ISNUMBER(SEARCH("Multiple Indicator Cluster",B268)),ISNUMBER(SEARCH("MICS",B268))),"MICS",IF(ISNUMBER(SEARCH("Immunization Coverage Survey",B268)),"Coverage survey",IF(ISNUMBER(SEARCH("Nutrition",B268)),"Nutrition survey","Other"))))</f>
        <v>DHS</v>
      </c>
      <c r="D268" s="7" t="n">
        <f aca="false">VALUE(LEFT(Raw_Nigeria!D268,4))</f>
        <v>2008</v>
      </c>
      <c r="E268" s="7" t="n">
        <f aca="false">IF(VALUE(RIGHT(Raw_Nigeria!D268,2))&gt;12,"",VALUE(RIGHT(Raw_Nigeria!D268,2)))</f>
        <v>6</v>
      </c>
      <c r="F268" s="7" t="n">
        <f aca="false">VALUE(LEFT(Raw_Nigeria!E268,4))</f>
        <v>2008</v>
      </c>
      <c r="G268" s="7" t="n">
        <f aca="false">IF(VALUE(RIGHT(Raw_Nigeria!E268,2))&gt;12,"",VALUE(RIGHT(Raw_Nigeria!E268,2)))</f>
        <v>10</v>
      </c>
      <c r="H268" s="7" t="n">
        <f aca="false">Raw_Nigeria!F268</f>
        <v>2007</v>
      </c>
      <c r="I268" s="7" t="str">
        <f aca="false">UPPER(TRIM(Raw_Nigeria!G268))</f>
        <v>POL3</v>
      </c>
      <c r="J268" s="7" t="str">
        <f aca="false">Raw_Nigeria!H268</f>
        <v>Record or Recall</v>
      </c>
      <c r="K268" s="7" t="str">
        <f aca="false">Raw_Nigeria!L268</f>
        <v>12-23 m</v>
      </c>
      <c r="L268" s="7" t="str">
        <f aca="false">IF(Raw_Nigeria!K268="","n/a",Raw_Nigeria!K268)</f>
        <v>0-23 m</v>
      </c>
      <c r="M268" s="7" t="n">
        <f aca="false">IF(Raw_Nigeria!I268="","",Raw_Nigeria!I268)</f>
        <v>26.1</v>
      </c>
      <c r="N268" s="7" t="n">
        <f aca="false">Raw_Nigeria!M268</f>
        <v>38.7</v>
      </c>
      <c r="O268" s="7" t="n">
        <f aca="false">IF(Raw_Nigeria!N268="","",Raw_Nigeria!N268)</f>
        <v>4945</v>
      </c>
      <c r="P268" s="7" t="str">
        <f aca="false">IF(K268="CBAW","Women of child-bearing age","Children")</f>
        <v>Children</v>
      </c>
      <c r="Q268" s="7" t="n">
        <f aca="false">IF(J268="NOT USED",1,0)</f>
        <v>0</v>
      </c>
      <c r="R268" s="7" t="n">
        <f aca="false">IF(AND(P268="Children",Q268=0),1,0)</f>
        <v>1</v>
      </c>
      <c r="S268" s="7" t="n">
        <f aca="false">IF(AND(R268=1,J268="Record or Recall",K268="12-23 m"),1,0)</f>
        <v>1</v>
      </c>
      <c r="T268" s="7" t="n">
        <f aca="false">IF(OR(I268="BCG",I268="DTP1",I268="DTP3",I268="POL3",I268="MCV1",I268="FULL"),1,0)</f>
        <v>1</v>
      </c>
      <c r="U268" s="7" t="n">
        <f aca="false">IF(OR(C268="DHS",C268="MICS"),1,0)</f>
        <v>1</v>
      </c>
      <c r="V268" s="7" t="n">
        <f aca="false">IF(O268="",1,0)</f>
        <v>0</v>
      </c>
      <c r="W268" s="7" t="n">
        <f aca="false">IF(M268="",1,0)</f>
        <v>0</v>
      </c>
      <c r="X268" s="7" t="n">
        <f aca="false">COUNTIFS($B$2:$B$1141,B268,$H$2:$H$1141,H268,$I$2:$I$1141,I268,$J$2:$J$1141,J268,$K$2:$K$1141,K268,$L$2:$L$1141,L268)</f>
        <v>1</v>
      </c>
    </row>
    <row r="269" customFormat="false" ht="15" hidden="false" customHeight="false" outlineLevel="0" collapsed="false">
      <c r="A269" s="7" t="n">
        <f aca="false">ROW()-1</f>
        <v>268</v>
      </c>
      <c r="B269" s="7" t="str">
        <f aca="false">IF(Raw_Nigeria!B269="",TRIM(Raw_Nigeria!C269),TRIM(Raw_Nigeria!B269))</f>
        <v>Nigeria Demographic and Health Survey 2008</v>
      </c>
      <c r="C269" s="7" t="str">
        <f aca="false">IF(ISNUMBER(SEARCH("Demographic and Health",B269)),"DHS",IF(OR(ISNUMBER(SEARCH("Multiple Indicator Cluster",B269)),ISNUMBER(SEARCH("MICS",B269))),"MICS",IF(ISNUMBER(SEARCH("Immunization Coverage Survey",B269)),"Coverage survey",IF(ISNUMBER(SEARCH("Nutrition",B269)),"Nutrition survey","Other"))))</f>
        <v>DHS</v>
      </c>
      <c r="D269" s="7" t="n">
        <f aca="false">VALUE(LEFT(Raw_Nigeria!D269,4))</f>
        <v>2008</v>
      </c>
      <c r="E269" s="7" t="n">
        <f aca="false">IF(VALUE(RIGHT(Raw_Nigeria!D269,2))&gt;12,"",VALUE(RIGHT(Raw_Nigeria!D269,2)))</f>
        <v>6</v>
      </c>
      <c r="F269" s="7" t="n">
        <f aca="false">VALUE(LEFT(Raw_Nigeria!E269,4))</f>
        <v>2008</v>
      </c>
      <c r="G269" s="7" t="n">
        <f aca="false">IF(VALUE(RIGHT(Raw_Nigeria!E269,2))&gt;12,"",VALUE(RIGHT(Raw_Nigeria!E269,2)))</f>
        <v>10</v>
      </c>
      <c r="H269" s="7" t="n">
        <f aca="false">Raw_Nigeria!F269</f>
        <v>2007</v>
      </c>
      <c r="I269" s="7" t="str">
        <f aca="false">UPPER(TRIM(Raw_Nigeria!G269))</f>
        <v>POL3</v>
      </c>
      <c r="J269" s="7" t="str">
        <f aca="false">Raw_Nigeria!H269</f>
        <v>Recall</v>
      </c>
      <c r="K269" s="7" t="str">
        <f aca="false">Raw_Nigeria!L269</f>
        <v>12-23 m</v>
      </c>
      <c r="L269" s="7" t="str">
        <f aca="false">IF(Raw_Nigeria!K269="","n/a",Raw_Nigeria!K269)</f>
        <v>0-23 m</v>
      </c>
      <c r="M269" s="7" t="n">
        <f aca="false">IF(Raw_Nigeria!I269="","",Raw_Nigeria!I269)</f>
        <v>26.1</v>
      </c>
      <c r="N269" s="7" t="n">
        <f aca="false">Raw_Nigeria!M269</f>
        <v>19.5</v>
      </c>
      <c r="O269" s="7" t="n">
        <f aca="false">IF(Raw_Nigeria!N269="","",Raw_Nigeria!N269)</f>
        <v>4945</v>
      </c>
      <c r="P269" s="7" t="str">
        <f aca="false">IF(K269="CBAW","Women of child-bearing age","Children")</f>
        <v>Children</v>
      </c>
      <c r="Q269" s="7" t="n">
        <f aca="false">IF(J269="NOT USED",1,0)</f>
        <v>0</v>
      </c>
      <c r="R269" s="7" t="n">
        <f aca="false">IF(AND(P269="Children",Q269=0),1,0)</f>
        <v>1</v>
      </c>
      <c r="S269" s="7" t="n">
        <f aca="false">IF(AND(R269=1,J269="Record or Recall",K269="12-23 m"),1,0)</f>
        <v>0</v>
      </c>
      <c r="T269" s="7" t="n">
        <f aca="false">IF(OR(I269="BCG",I269="DTP1",I269="DTP3",I269="POL3",I269="MCV1",I269="FULL"),1,0)</f>
        <v>1</v>
      </c>
      <c r="U269" s="7" t="n">
        <f aca="false">IF(OR(C269="DHS",C269="MICS"),1,0)</f>
        <v>1</v>
      </c>
      <c r="V269" s="7" t="n">
        <f aca="false">IF(O269="",1,0)</f>
        <v>0</v>
      </c>
      <c r="W269" s="7" t="n">
        <f aca="false">IF(M269="",1,0)</f>
        <v>0</v>
      </c>
      <c r="X269" s="7" t="n">
        <f aca="false">COUNTIFS($B$2:$B$1141,B269,$H$2:$H$1141,H269,$I$2:$I$1141,I269,$J$2:$J$1141,J269,$K$2:$K$1141,K269,$L$2:$L$1141,L269)</f>
        <v>1</v>
      </c>
    </row>
    <row r="270" customFormat="false" ht="15" hidden="false" customHeight="false" outlineLevel="0" collapsed="false">
      <c r="A270" s="7" t="n">
        <f aca="false">ROW()-1</f>
        <v>269</v>
      </c>
      <c r="B270" s="7" t="str">
        <f aca="false">IF(Raw_Nigeria!B270="",TRIM(Raw_Nigeria!C270),TRIM(Raw_Nigeria!B270))</f>
        <v>Nigeria Demographic and Health Survey 2008</v>
      </c>
      <c r="C270" s="7" t="str">
        <f aca="false">IF(ISNUMBER(SEARCH("Demographic and Health",B270)),"DHS",IF(OR(ISNUMBER(SEARCH("Multiple Indicator Cluster",B270)),ISNUMBER(SEARCH("MICS",B270))),"MICS",IF(ISNUMBER(SEARCH("Immunization Coverage Survey",B270)),"Coverage survey",IF(ISNUMBER(SEARCH("Nutrition",B270)),"Nutrition survey","Other"))))</f>
        <v>DHS</v>
      </c>
      <c r="D270" s="7" t="n">
        <f aca="false">VALUE(LEFT(Raw_Nigeria!D270,4))</f>
        <v>2008</v>
      </c>
      <c r="E270" s="7" t="n">
        <f aca="false">IF(VALUE(RIGHT(Raw_Nigeria!D270,2))&gt;12,"",VALUE(RIGHT(Raw_Nigeria!D270,2)))</f>
        <v>6</v>
      </c>
      <c r="F270" s="7" t="n">
        <f aca="false">VALUE(LEFT(Raw_Nigeria!E270,4))</f>
        <v>2008</v>
      </c>
      <c r="G270" s="7" t="n">
        <f aca="false">IF(VALUE(RIGHT(Raw_Nigeria!E270,2))&gt;12,"",VALUE(RIGHT(Raw_Nigeria!E270,2)))</f>
        <v>10</v>
      </c>
      <c r="H270" s="7" t="n">
        <f aca="false">Raw_Nigeria!F270</f>
        <v>2007</v>
      </c>
      <c r="I270" s="7" t="str">
        <f aca="false">UPPER(TRIM(Raw_Nigeria!G270))</f>
        <v>TT2+</v>
      </c>
      <c r="J270" s="7" t="str">
        <f aca="false">Raw_Nigeria!H270</f>
        <v>NOT USED</v>
      </c>
      <c r="K270" s="7" t="str">
        <f aca="false">Raw_Nigeria!L270</f>
        <v>CBAW</v>
      </c>
      <c r="L270" s="7" t="str">
        <f aca="false">IF(Raw_Nigeria!K270="","n/a",Raw_Nigeria!K270)</f>
        <v>n/a</v>
      </c>
      <c r="M270" s="7" t="str">
        <f aca="false">IF(Raw_Nigeria!I270="","",Raw_Nigeria!I270)</f>
        <v/>
      </c>
      <c r="N270" s="7" t="n">
        <f aca="false">Raw_Nigeria!M270</f>
        <v>45.3</v>
      </c>
      <c r="O270" s="7" t="n">
        <f aca="false">IF(Raw_Nigeria!N270="","",Raw_Nigeria!N270)</f>
        <v>17635</v>
      </c>
      <c r="P270" s="7" t="str">
        <f aca="false">IF(K270="CBAW","Women of child-bearing age","Children")</f>
        <v>Women of child-bearing age</v>
      </c>
      <c r="Q270" s="7" t="n">
        <f aca="false">IF(J270="NOT USED",1,0)</f>
        <v>1</v>
      </c>
      <c r="R270" s="7" t="n">
        <f aca="false">IF(AND(P270="Children",Q270=0),1,0)</f>
        <v>0</v>
      </c>
      <c r="S270" s="7" t="n">
        <f aca="false">IF(AND(R270=1,J270="Record or Recall",K270="12-23 m"),1,0)</f>
        <v>0</v>
      </c>
      <c r="T270" s="7" t="n">
        <f aca="false">IF(OR(I270="BCG",I270="DTP1",I270="DTP3",I270="POL3",I270="MCV1",I270="FULL"),1,0)</f>
        <v>0</v>
      </c>
      <c r="U270" s="7" t="n">
        <f aca="false">IF(OR(C270="DHS",C270="MICS"),1,0)</f>
        <v>1</v>
      </c>
      <c r="V270" s="7" t="n">
        <f aca="false">IF(O270="",1,0)</f>
        <v>0</v>
      </c>
      <c r="W270" s="7" t="n">
        <f aca="false">IF(M270="",1,0)</f>
        <v>1</v>
      </c>
      <c r="X270" s="7" t="n">
        <f aca="false">COUNTIFS($B$2:$B$1141,B270,$H$2:$H$1141,H270,$I$2:$I$1141,I270,$J$2:$J$1141,J270,$K$2:$K$1141,K270,$L$2:$L$1141,L270)</f>
        <v>1</v>
      </c>
    </row>
    <row r="271" customFormat="false" ht="15" hidden="false" customHeight="false" outlineLevel="0" collapsed="false">
      <c r="A271" s="7" t="n">
        <f aca="false">ROW()-1</f>
        <v>270</v>
      </c>
      <c r="B271" s="7" t="str">
        <f aca="false">IF(Raw_Nigeria!B271="",TRIM(Raw_Nigeria!C271),TRIM(Raw_Nigeria!B271))</f>
        <v>Nigeria 2010 National Immunization Coverage Survey</v>
      </c>
      <c r="C271" s="7" t="str">
        <f aca="false">IF(ISNUMBER(SEARCH("Demographic and Health",B271)),"DHS",IF(OR(ISNUMBER(SEARCH("Multiple Indicator Cluster",B271)),ISNUMBER(SEARCH("MICS",B271))),"MICS",IF(ISNUMBER(SEARCH("Immunization Coverage Survey",B271)),"Coverage survey",IF(ISNUMBER(SEARCH("Nutrition",B271)),"Nutrition survey","Other"))))</f>
        <v>Coverage survey</v>
      </c>
      <c r="D271" s="7" t="n">
        <f aca="false">VALUE(LEFT(Raw_Nigeria!D271,4))</f>
        <v>2010</v>
      </c>
      <c r="E271" s="7" t="n">
        <f aca="false">IF(VALUE(RIGHT(Raw_Nigeria!D271,2))&gt;12,"",VALUE(RIGHT(Raw_Nigeria!D271,2)))</f>
        <v>10</v>
      </c>
      <c r="F271" s="7" t="n">
        <f aca="false">VALUE(LEFT(Raw_Nigeria!E271,4))</f>
        <v>2010</v>
      </c>
      <c r="G271" s="7" t="n">
        <f aca="false">IF(VALUE(RIGHT(Raw_Nigeria!E271,2))&gt;12,"",VALUE(RIGHT(Raw_Nigeria!E271,2)))</f>
        <v>10</v>
      </c>
      <c r="H271" s="7" t="n">
        <f aca="false">Raw_Nigeria!F271</f>
        <v>2009</v>
      </c>
      <c r="I271" s="7" t="str">
        <f aca="false">UPPER(TRIM(Raw_Nigeria!G271))</f>
        <v>BCG</v>
      </c>
      <c r="J271" s="7" t="str">
        <f aca="false">Raw_Nigeria!H271</f>
        <v>Record</v>
      </c>
      <c r="K271" s="7" t="str">
        <f aca="false">Raw_Nigeria!L271</f>
        <v>12-23 m</v>
      </c>
      <c r="L271" s="7" t="str">
        <f aca="false">IF(Raw_Nigeria!K271="","n/a",Raw_Nigeria!K271)</f>
        <v>0-23 m</v>
      </c>
      <c r="M271" s="7" t="n">
        <f aca="false">IF(Raw_Nigeria!I271="","",Raw_Nigeria!I271)</f>
        <v>39.9</v>
      </c>
      <c r="N271" s="7" t="n">
        <f aca="false">Raw_Nigeria!M271</f>
        <v>32.7</v>
      </c>
      <c r="O271" s="7" t="n">
        <f aca="false">IF(Raw_Nigeria!N271="","",Raw_Nigeria!N271)</f>
        <v>19551</v>
      </c>
      <c r="P271" s="7" t="str">
        <f aca="false">IF(K271="CBAW","Women of child-bearing age","Children")</f>
        <v>Children</v>
      </c>
      <c r="Q271" s="7" t="n">
        <f aca="false">IF(J271="NOT USED",1,0)</f>
        <v>0</v>
      </c>
      <c r="R271" s="7" t="n">
        <f aca="false">IF(AND(P271="Children",Q271=0),1,0)</f>
        <v>1</v>
      </c>
      <c r="S271" s="7" t="n">
        <f aca="false">IF(AND(R271=1,J271="Record or Recall",K271="12-23 m"),1,0)</f>
        <v>0</v>
      </c>
      <c r="T271" s="7" t="n">
        <f aca="false">IF(OR(I271="BCG",I271="DTP1",I271="DTP3",I271="POL3",I271="MCV1",I271="FULL"),1,0)</f>
        <v>1</v>
      </c>
      <c r="U271" s="7" t="n">
        <f aca="false">IF(OR(C271="DHS",C271="MICS"),1,0)</f>
        <v>0</v>
      </c>
      <c r="V271" s="7" t="n">
        <f aca="false">IF(O271="",1,0)</f>
        <v>0</v>
      </c>
      <c r="W271" s="7" t="n">
        <f aca="false">IF(M271="",1,0)</f>
        <v>0</v>
      </c>
      <c r="X271" s="7" t="n">
        <f aca="false">COUNTIFS($B$2:$B$1141,B271,$H$2:$H$1141,H271,$I$2:$I$1141,I271,$J$2:$J$1141,J271,$K$2:$K$1141,K271,$L$2:$L$1141,L271)</f>
        <v>1</v>
      </c>
    </row>
    <row r="272" customFormat="false" ht="15" hidden="false" customHeight="false" outlineLevel="0" collapsed="false">
      <c r="A272" s="7" t="n">
        <f aca="false">ROW()-1</f>
        <v>271</v>
      </c>
      <c r="B272" s="7" t="str">
        <f aca="false">IF(Raw_Nigeria!B272="",TRIM(Raw_Nigeria!C272),TRIM(Raw_Nigeria!B272))</f>
        <v>Nigeria 2010 National Immunization Coverage Survey</v>
      </c>
      <c r="C272" s="7" t="str">
        <f aca="false">IF(ISNUMBER(SEARCH("Demographic and Health",B272)),"DHS",IF(OR(ISNUMBER(SEARCH("Multiple Indicator Cluster",B272)),ISNUMBER(SEARCH("MICS",B272))),"MICS",IF(ISNUMBER(SEARCH("Immunization Coverage Survey",B272)),"Coverage survey",IF(ISNUMBER(SEARCH("Nutrition",B272)),"Nutrition survey","Other"))))</f>
        <v>Coverage survey</v>
      </c>
      <c r="D272" s="7" t="n">
        <f aca="false">VALUE(LEFT(Raw_Nigeria!D272,4))</f>
        <v>2010</v>
      </c>
      <c r="E272" s="7" t="n">
        <f aca="false">IF(VALUE(RIGHT(Raw_Nigeria!D272,2))&gt;12,"",VALUE(RIGHT(Raw_Nigeria!D272,2)))</f>
        <v>10</v>
      </c>
      <c r="F272" s="7" t="n">
        <f aca="false">VALUE(LEFT(Raw_Nigeria!E272,4))</f>
        <v>2010</v>
      </c>
      <c r="G272" s="7" t="n">
        <f aca="false">IF(VALUE(RIGHT(Raw_Nigeria!E272,2))&gt;12,"",VALUE(RIGHT(Raw_Nigeria!E272,2)))</f>
        <v>10</v>
      </c>
      <c r="H272" s="7" t="n">
        <f aca="false">Raw_Nigeria!F272</f>
        <v>2009</v>
      </c>
      <c r="I272" s="7" t="str">
        <f aca="false">UPPER(TRIM(Raw_Nigeria!G272))</f>
        <v>BCG</v>
      </c>
      <c r="J272" s="7" t="str">
        <f aca="false">Raw_Nigeria!H272</f>
        <v>Record or Recall</v>
      </c>
      <c r="K272" s="7" t="str">
        <f aca="false">Raw_Nigeria!L272</f>
        <v>12-23 m</v>
      </c>
      <c r="L272" s="7" t="str">
        <f aca="false">IF(Raw_Nigeria!K272="","n/a",Raw_Nigeria!K272)</f>
        <v>0-23 m</v>
      </c>
      <c r="M272" s="7" t="n">
        <f aca="false">IF(Raw_Nigeria!I272="","",Raw_Nigeria!I272)</f>
        <v>39.9</v>
      </c>
      <c r="N272" s="7" t="n">
        <f aca="false">Raw_Nigeria!M272</f>
        <v>76.4</v>
      </c>
      <c r="O272" s="7" t="n">
        <f aca="false">IF(Raw_Nigeria!N272="","",Raw_Nigeria!N272)</f>
        <v>19551</v>
      </c>
      <c r="P272" s="7" t="str">
        <f aca="false">IF(K272="CBAW","Women of child-bearing age","Children")</f>
        <v>Children</v>
      </c>
      <c r="Q272" s="7" t="n">
        <f aca="false">IF(J272="NOT USED",1,0)</f>
        <v>0</v>
      </c>
      <c r="R272" s="7" t="n">
        <f aca="false">IF(AND(P272="Children",Q272=0),1,0)</f>
        <v>1</v>
      </c>
      <c r="S272" s="7" t="n">
        <f aca="false">IF(AND(R272=1,J272="Record or Recall",K272="12-23 m"),1,0)</f>
        <v>1</v>
      </c>
      <c r="T272" s="7" t="n">
        <f aca="false">IF(OR(I272="BCG",I272="DTP1",I272="DTP3",I272="POL3",I272="MCV1",I272="FULL"),1,0)</f>
        <v>1</v>
      </c>
      <c r="U272" s="7" t="n">
        <f aca="false">IF(OR(C272="DHS",C272="MICS"),1,0)</f>
        <v>0</v>
      </c>
      <c r="V272" s="7" t="n">
        <f aca="false">IF(O272="",1,0)</f>
        <v>0</v>
      </c>
      <c r="W272" s="7" t="n">
        <f aca="false">IF(M272="",1,0)</f>
        <v>0</v>
      </c>
      <c r="X272" s="7" t="n">
        <f aca="false">COUNTIFS($B$2:$B$1141,B272,$H$2:$H$1141,H272,$I$2:$I$1141,I272,$J$2:$J$1141,J272,$K$2:$K$1141,K272,$L$2:$L$1141,L272)</f>
        <v>1</v>
      </c>
    </row>
    <row r="273" customFormat="false" ht="15" hidden="false" customHeight="false" outlineLevel="0" collapsed="false">
      <c r="A273" s="7" t="n">
        <f aca="false">ROW()-1</f>
        <v>272</v>
      </c>
      <c r="B273" s="7" t="str">
        <f aca="false">IF(Raw_Nigeria!B273="",TRIM(Raw_Nigeria!C273),TRIM(Raw_Nigeria!B273))</f>
        <v>Nigeria 2010 National Immunization Coverage Survey</v>
      </c>
      <c r="C273" s="7" t="str">
        <f aca="false">IF(ISNUMBER(SEARCH("Demographic and Health",B273)),"DHS",IF(OR(ISNUMBER(SEARCH("Multiple Indicator Cluster",B273)),ISNUMBER(SEARCH("MICS",B273))),"MICS",IF(ISNUMBER(SEARCH("Immunization Coverage Survey",B273)),"Coverage survey",IF(ISNUMBER(SEARCH("Nutrition",B273)),"Nutrition survey","Other"))))</f>
        <v>Coverage survey</v>
      </c>
      <c r="D273" s="7" t="n">
        <f aca="false">VALUE(LEFT(Raw_Nigeria!D273,4))</f>
        <v>2010</v>
      </c>
      <c r="E273" s="7" t="n">
        <f aca="false">IF(VALUE(RIGHT(Raw_Nigeria!D273,2))&gt;12,"",VALUE(RIGHT(Raw_Nigeria!D273,2)))</f>
        <v>10</v>
      </c>
      <c r="F273" s="7" t="n">
        <f aca="false">VALUE(LEFT(Raw_Nigeria!E273,4))</f>
        <v>2010</v>
      </c>
      <c r="G273" s="7" t="n">
        <f aca="false">IF(VALUE(RIGHT(Raw_Nigeria!E273,2))&gt;12,"",VALUE(RIGHT(Raw_Nigeria!E273,2)))</f>
        <v>10</v>
      </c>
      <c r="H273" s="7" t="n">
        <f aca="false">Raw_Nigeria!F273</f>
        <v>2009</v>
      </c>
      <c r="I273" s="7" t="str">
        <f aca="false">UPPER(TRIM(Raw_Nigeria!G273))</f>
        <v>DTP1</v>
      </c>
      <c r="J273" s="7" t="str">
        <f aca="false">Raw_Nigeria!H273</f>
        <v>Record</v>
      </c>
      <c r="K273" s="7" t="str">
        <f aca="false">Raw_Nigeria!L273</f>
        <v>12-23 m</v>
      </c>
      <c r="L273" s="7" t="str">
        <f aca="false">IF(Raw_Nigeria!K273="","n/a",Raw_Nigeria!K273)</f>
        <v>0-23 m</v>
      </c>
      <c r="M273" s="7" t="n">
        <f aca="false">IF(Raw_Nigeria!I273="","",Raw_Nigeria!I273)</f>
        <v>39.9</v>
      </c>
      <c r="N273" s="7" t="n">
        <f aca="false">Raw_Nigeria!M273</f>
        <v>28.9</v>
      </c>
      <c r="O273" s="7" t="n">
        <f aca="false">IF(Raw_Nigeria!N273="","",Raw_Nigeria!N273)</f>
        <v>19551</v>
      </c>
      <c r="P273" s="7" t="str">
        <f aca="false">IF(K273="CBAW","Women of child-bearing age","Children")</f>
        <v>Children</v>
      </c>
      <c r="Q273" s="7" t="n">
        <f aca="false">IF(J273="NOT USED",1,0)</f>
        <v>0</v>
      </c>
      <c r="R273" s="7" t="n">
        <f aca="false">IF(AND(P273="Children",Q273=0),1,0)</f>
        <v>1</v>
      </c>
      <c r="S273" s="7" t="n">
        <f aca="false">IF(AND(R273=1,J273="Record or Recall",K273="12-23 m"),1,0)</f>
        <v>0</v>
      </c>
      <c r="T273" s="7" t="n">
        <f aca="false">IF(OR(I273="BCG",I273="DTP1",I273="DTP3",I273="POL3",I273="MCV1",I273="FULL"),1,0)</f>
        <v>1</v>
      </c>
      <c r="U273" s="7" t="n">
        <f aca="false">IF(OR(C273="DHS",C273="MICS"),1,0)</f>
        <v>0</v>
      </c>
      <c r="V273" s="7" t="n">
        <f aca="false">IF(O273="",1,0)</f>
        <v>0</v>
      </c>
      <c r="W273" s="7" t="n">
        <f aca="false">IF(M273="",1,0)</f>
        <v>0</v>
      </c>
      <c r="X273" s="7" t="n">
        <f aca="false">COUNTIFS($B$2:$B$1141,B273,$H$2:$H$1141,H273,$I$2:$I$1141,I273,$J$2:$J$1141,J273,$K$2:$K$1141,K273,$L$2:$L$1141,L273)</f>
        <v>1</v>
      </c>
    </row>
    <row r="274" customFormat="false" ht="15" hidden="false" customHeight="false" outlineLevel="0" collapsed="false">
      <c r="A274" s="7" t="n">
        <f aca="false">ROW()-1</f>
        <v>273</v>
      </c>
      <c r="B274" s="7" t="str">
        <f aca="false">IF(Raw_Nigeria!B274="",TRIM(Raw_Nigeria!C274),TRIM(Raw_Nigeria!B274))</f>
        <v>Nigeria 2010 National Immunization Coverage Survey</v>
      </c>
      <c r="C274" s="7" t="str">
        <f aca="false">IF(ISNUMBER(SEARCH("Demographic and Health",B274)),"DHS",IF(OR(ISNUMBER(SEARCH("Multiple Indicator Cluster",B274)),ISNUMBER(SEARCH("MICS",B274))),"MICS",IF(ISNUMBER(SEARCH("Immunization Coverage Survey",B274)),"Coverage survey",IF(ISNUMBER(SEARCH("Nutrition",B274)),"Nutrition survey","Other"))))</f>
        <v>Coverage survey</v>
      </c>
      <c r="D274" s="7" t="n">
        <f aca="false">VALUE(LEFT(Raw_Nigeria!D274,4))</f>
        <v>2010</v>
      </c>
      <c r="E274" s="7" t="n">
        <f aca="false">IF(VALUE(RIGHT(Raw_Nigeria!D274,2))&gt;12,"",VALUE(RIGHT(Raw_Nigeria!D274,2)))</f>
        <v>10</v>
      </c>
      <c r="F274" s="7" t="n">
        <f aca="false">VALUE(LEFT(Raw_Nigeria!E274,4))</f>
        <v>2010</v>
      </c>
      <c r="G274" s="7" t="n">
        <f aca="false">IF(VALUE(RIGHT(Raw_Nigeria!E274,2))&gt;12,"",VALUE(RIGHT(Raw_Nigeria!E274,2)))</f>
        <v>10</v>
      </c>
      <c r="H274" s="7" t="n">
        <f aca="false">Raw_Nigeria!F274</f>
        <v>2009</v>
      </c>
      <c r="I274" s="7" t="str">
        <f aca="false">UPPER(TRIM(Raw_Nigeria!G274))</f>
        <v>DTP1</v>
      </c>
      <c r="J274" s="7" t="str">
        <f aca="false">Raw_Nigeria!H274</f>
        <v>Record or Recall</v>
      </c>
      <c r="K274" s="7" t="str">
        <f aca="false">Raw_Nigeria!L274</f>
        <v>12-23 m</v>
      </c>
      <c r="L274" s="7" t="str">
        <f aca="false">IF(Raw_Nigeria!K274="","n/a",Raw_Nigeria!K274)</f>
        <v>0-23 m</v>
      </c>
      <c r="M274" s="7" t="n">
        <f aca="false">IF(Raw_Nigeria!I274="","",Raw_Nigeria!I274)</f>
        <v>39.9</v>
      </c>
      <c r="N274" s="7" t="n">
        <f aca="false">Raw_Nigeria!M274</f>
        <v>73.4</v>
      </c>
      <c r="O274" s="7" t="n">
        <f aca="false">IF(Raw_Nigeria!N274="","",Raw_Nigeria!N274)</f>
        <v>19551</v>
      </c>
      <c r="P274" s="7" t="str">
        <f aca="false">IF(K274="CBAW","Women of child-bearing age","Children")</f>
        <v>Children</v>
      </c>
      <c r="Q274" s="7" t="n">
        <f aca="false">IF(J274="NOT USED",1,0)</f>
        <v>0</v>
      </c>
      <c r="R274" s="7" t="n">
        <f aca="false">IF(AND(P274="Children",Q274=0),1,0)</f>
        <v>1</v>
      </c>
      <c r="S274" s="7" t="n">
        <f aca="false">IF(AND(R274=1,J274="Record or Recall",K274="12-23 m"),1,0)</f>
        <v>1</v>
      </c>
      <c r="T274" s="7" t="n">
        <f aca="false">IF(OR(I274="BCG",I274="DTP1",I274="DTP3",I274="POL3",I274="MCV1",I274="FULL"),1,0)</f>
        <v>1</v>
      </c>
      <c r="U274" s="7" t="n">
        <f aca="false">IF(OR(C274="DHS",C274="MICS"),1,0)</f>
        <v>0</v>
      </c>
      <c r="V274" s="7" t="n">
        <f aca="false">IF(O274="",1,0)</f>
        <v>0</v>
      </c>
      <c r="W274" s="7" t="n">
        <f aca="false">IF(M274="",1,0)</f>
        <v>0</v>
      </c>
      <c r="X274" s="7" t="n">
        <f aca="false">COUNTIFS($B$2:$B$1141,B274,$H$2:$H$1141,H274,$I$2:$I$1141,I274,$J$2:$J$1141,J274,$K$2:$K$1141,K274,$L$2:$L$1141,L274)</f>
        <v>1</v>
      </c>
    </row>
    <row r="275" customFormat="false" ht="15" hidden="false" customHeight="false" outlineLevel="0" collapsed="false">
      <c r="A275" s="7" t="n">
        <f aca="false">ROW()-1</f>
        <v>274</v>
      </c>
      <c r="B275" s="7" t="str">
        <f aca="false">IF(Raw_Nigeria!B275="",TRIM(Raw_Nigeria!C275),TRIM(Raw_Nigeria!B275))</f>
        <v>Nigeria 2010 National Immunization Coverage Survey</v>
      </c>
      <c r="C275" s="7" t="str">
        <f aca="false">IF(ISNUMBER(SEARCH("Demographic and Health",B275)),"DHS",IF(OR(ISNUMBER(SEARCH("Multiple Indicator Cluster",B275)),ISNUMBER(SEARCH("MICS",B275))),"MICS",IF(ISNUMBER(SEARCH("Immunization Coverage Survey",B275)),"Coverage survey",IF(ISNUMBER(SEARCH("Nutrition",B275)),"Nutrition survey","Other"))))</f>
        <v>Coverage survey</v>
      </c>
      <c r="D275" s="7" t="n">
        <f aca="false">VALUE(LEFT(Raw_Nigeria!D275,4))</f>
        <v>2010</v>
      </c>
      <c r="E275" s="7" t="n">
        <f aca="false">IF(VALUE(RIGHT(Raw_Nigeria!D275,2))&gt;12,"",VALUE(RIGHT(Raw_Nigeria!D275,2)))</f>
        <v>10</v>
      </c>
      <c r="F275" s="7" t="n">
        <f aca="false">VALUE(LEFT(Raw_Nigeria!E275,4))</f>
        <v>2010</v>
      </c>
      <c r="G275" s="7" t="n">
        <f aca="false">IF(VALUE(RIGHT(Raw_Nigeria!E275,2))&gt;12,"",VALUE(RIGHT(Raw_Nigeria!E275,2)))</f>
        <v>10</v>
      </c>
      <c r="H275" s="7" t="n">
        <f aca="false">Raw_Nigeria!F275</f>
        <v>2009</v>
      </c>
      <c r="I275" s="7" t="str">
        <f aca="false">UPPER(TRIM(Raw_Nigeria!G275))</f>
        <v>DTP3</v>
      </c>
      <c r="J275" s="7" t="str">
        <f aca="false">Raw_Nigeria!H275</f>
        <v>Record</v>
      </c>
      <c r="K275" s="7" t="str">
        <f aca="false">Raw_Nigeria!L275</f>
        <v>12-23 m</v>
      </c>
      <c r="L275" s="7" t="str">
        <f aca="false">IF(Raw_Nigeria!K275="","n/a",Raw_Nigeria!K275)</f>
        <v>0-23 m</v>
      </c>
      <c r="M275" s="7" t="n">
        <f aca="false">IF(Raw_Nigeria!I275="","",Raw_Nigeria!I275)</f>
        <v>39.9</v>
      </c>
      <c r="N275" s="7" t="n">
        <f aca="false">Raw_Nigeria!M275</f>
        <v>24.7</v>
      </c>
      <c r="O275" s="7" t="n">
        <f aca="false">IF(Raw_Nigeria!N275="","",Raw_Nigeria!N275)</f>
        <v>19551</v>
      </c>
      <c r="P275" s="7" t="str">
        <f aca="false">IF(K275="CBAW","Women of child-bearing age","Children")</f>
        <v>Children</v>
      </c>
      <c r="Q275" s="7" t="n">
        <f aca="false">IF(J275="NOT USED",1,0)</f>
        <v>0</v>
      </c>
      <c r="R275" s="7" t="n">
        <f aca="false">IF(AND(P275="Children",Q275=0),1,0)</f>
        <v>1</v>
      </c>
      <c r="S275" s="7" t="n">
        <f aca="false">IF(AND(R275=1,J275="Record or Recall",K275="12-23 m"),1,0)</f>
        <v>0</v>
      </c>
      <c r="T275" s="7" t="n">
        <f aca="false">IF(OR(I275="BCG",I275="DTP1",I275="DTP3",I275="POL3",I275="MCV1",I275="FULL"),1,0)</f>
        <v>1</v>
      </c>
      <c r="U275" s="7" t="n">
        <f aca="false">IF(OR(C275="DHS",C275="MICS"),1,0)</f>
        <v>0</v>
      </c>
      <c r="V275" s="7" t="n">
        <f aca="false">IF(O275="",1,0)</f>
        <v>0</v>
      </c>
      <c r="W275" s="7" t="n">
        <f aca="false">IF(M275="",1,0)</f>
        <v>0</v>
      </c>
      <c r="X275" s="7" t="n">
        <f aca="false">COUNTIFS($B$2:$B$1141,B275,$H$2:$H$1141,H275,$I$2:$I$1141,I275,$J$2:$J$1141,J275,$K$2:$K$1141,K275,$L$2:$L$1141,L275)</f>
        <v>1</v>
      </c>
    </row>
    <row r="276" customFormat="false" ht="15" hidden="false" customHeight="false" outlineLevel="0" collapsed="false">
      <c r="A276" s="7" t="n">
        <f aca="false">ROW()-1</f>
        <v>275</v>
      </c>
      <c r="B276" s="7" t="str">
        <f aca="false">IF(Raw_Nigeria!B276="",TRIM(Raw_Nigeria!C276),TRIM(Raw_Nigeria!B276))</f>
        <v>Nigeria 2010 National Immunization Coverage Survey</v>
      </c>
      <c r="C276" s="7" t="str">
        <f aca="false">IF(ISNUMBER(SEARCH("Demographic and Health",B276)),"DHS",IF(OR(ISNUMBER(SEARCH("Multiple Indicator Cluster",B276)),ISNUMBER(SEARCH("MICS",B276))),"MICS",IF(ISNUMBER(SEARCH("Immunization Coverage Survey",B276)),"Coverage survey",IF(ISNUMBER(SEARCH("Nutrition",B276)),"Nutrition survey","Other"))))</f>
        <v>Coverage survey</v>
      </c>
      <c r="D276" s="7" t="n">
        <f aca="false">VALUE(LEFT(Raw_Nigeria!D276,4))</f>
        <v>2010</v>
      </c>
      <c r="E276" s="7" t="n">
        <f aca="false">IF(VALUE(RIGHT(Raw_Nigeria!D276,2))&gt;12,"",VALUE(RIGHT(Raw_Nigeria!D276,2)))</f>
        <v>10</v>
      </c>
      <c r="F276" s="7" t="n">
        <f aca="false">VALUE(LEFT(Raw_Nigeria!E276,4))</f>
        <v>2010</v>
      </c>
      <c r="G276" s="7" t="n">
        <f aca="false">IF(VALUE(RIGHT(Raw_Nigeria!E276,2))&gt;12,"",VALUE(RIGHT(Raw_Nigeria!E276,2)))</f>
        <v>10</v>
      </c>
      <c r="H276" s="7" t="n">
        <f aca="false">Raw_Nigeria!F276</f>
        <v>2009</v>
      </c>
      <c r="I276" s="7" t="str">
        <f aca="false">UPPER(TRIM(Raw_Nigeria!G276))</f>
        <v>DTP3</v>
      </c>
      <c r="J276" s="7" t="str">
        <f aca="false">Raw_Nigeria!H276</f>
        <v>Record or Recall</v>
      </c>
      <c r="K276" s="7" t="str">
        <f aca="false">Raw_Nigeria!L276</f>
        <v>12-23 m</v>
      </c>
      <c r="L276" s="7" t="str">
        <f aca="false">IF(Raw_Nigeria!K276="","n/a",Raw_Nigeria!K276)</f>
        <v>0-23 m</v>
      </c>
      <c r="M276" s="7" t="n">
        <f aca="false">IF(Raw_Nigeria!I276="","",Raw_Nigeria!I276)</f>
        <v>39.9</v>
      </c>
      <c r="N276" s="7" t="n">
        <f aca="false">Raw_Nigeria!M276</f>
        <v>67.7</v>
      </c>
      <c r="O276" s="7" t="n">
        <f aca="false">IF(Raw_Nigeria!N276="","",Raw_Nigeria!N276)</f>
        <v>19551</v>
      </c>
      <c r="P276" s="7" t="str">
        <f aca="false">IF(K276="CBAW","Women of child-bearing age","Children")</f>
        <v>Children</v>
      </c>
      <c r="Q276" s="7" t="n">
        <f aca="false">IF(J276="NOT USED",1,0)</f>
        <v>0</v>
      </c>
      <c r="R276" s="7" t="n">
        <f aca="false">IF(AND(P276="Children",Q276=0),1,0)</f>
        <v>1</v>
      </c>
      <c r="S276" s="7" t="n">
        <f aca="false">IF(AND(R276=1,J276="Record or Recall",K276="12-23 m"),1,0)</f>
        <v>1</v>
      </c>
      <c r="T276" s="7" t="n">
        <f aca="false">IF(OR(I276="BCG",I276="DTP1",I276="DTP3",I276="POL3",I276="MCV1",I276="FULL"),1,0)</f>
        <v>1</v>
      </c>
      <c r="U276" s="7" t="n">
        <f aca="false">IF(OR(C276="DHS",C276="MICS"),1,0)</f>
        <v>0</v>
      </c>
      <c r="V276" s="7" t="n">
        <f aca="false">IF(O276="",1,0)</f>
        <v>0</v>
      </c>
      <c r="W276" s="7" t="n">
        <f aca="false">IF(M276="",1,0)</f>
        <v>0</v>
      </c>
      <c r="X276" s="7" t="n">
        <f aca="false">COUNTIFS($B$2:$B$1141,B276,$H$2:$H$1141,H276,$I$2:$I$1141,I276,$J$2:$J$1141,J276,$K$2:$K$1141,K276,$L$2:$L$1141,L276)</f>
        <v>1</v>
      </c>
    </row>
    <row r="277" customFormat="false" ht="15" hidden="false" customHeight="false" outlineLevel="0" collapsed="false">
      <c r="A277" s="7" t="n">
        <f aca="false">ROW()-1</f>
        <v>276</v>
      </c>
      <c r="B277" s="7" t="str">
        <f aca="false">IF(Raw_Nigeria!B277="",TRIM(Raw_Nigeria!C277),TRIM(Raw_Nigeria!B277))</f>
        <v>Nigeria 2010 National Immunization Coverage Survey</v>
      </c>
      <c r="C277" s="7" t="str">
        <f aca="false">IF(ISNUMBER(SEARCH("Demographic and Health",B277)),"DHS",IF(OR(ISNUMBER(SEARCH("Multiple Indicator Cluster",B277)),ISNUMBER(SEARCH("MICS",B277))),"MICS",IF(ISNUMBER(SEARCH("Immunization Coverage Survey",B277)),"Coverage survey",IF(ISNUMBER(SEARCH("Nutrition",B277)),"Nutrition survey","Other"))))</f>
        <v>Coverage survey</v>
      </c>
      <c r="D277" s="7" t="n">
        <f aca="false">VALUE(LEFT(Raw_Nigeria!D277,4))</f>
        <v>2010</v>
      </c>
      <c r="E277" s="7" t="n">
        <f aca="false">IF(VALUE(RIGHT(Raw_Nigeria!D277,2))&gt;12,"",VALUE(RIGHT(Raw_Nigeria!D277,2)))</f>
        <v>10</v>
      </c>
      <c r="F277" s="7" t="n">
        <f aca="false">VALUE(LEFT(Raw_Nigeria!E277,4))</f>
        <v>2010</v>
      </c>
      <c r="G277" s="7" t="n">
        <f aca="false">IF(VALUE(RIGHT(Raw_Nigeria!E277,2))&gt;12,"",VALUE(RIGHT(Raw_Nigeria!E277,2)))</f>
        <v>10</v>
      </c>
      <c r="H277" s="7" t="n">
        <f aca="false">Raw_Nigeria!F277</f>
        <v>2009</v>
      </c>
      <c r="I277" s="7" t="str">
        <f aca="false">UPPER(TRIM(Raw_Nigeria!G277))</f>
        <v>MCV1</v>
      </c>
      <c r="J277" s="7" t="str">
        <f aca="false">Raw_Nigeria!H277</f>
        <v>Record</v>
      </c>
      <c r="K277" s="7" t="str">
        <f aca="false">Raw_Nigeria!L277</f>
        <v>12-23 m</v>
      </c>
      <c r="L277" s="7" t="str">
        <f aca="false">IF(Raw_Nigeria!K277="","n/a",Raw_Nigeria!K277)</f>
        <v>0-23 m</v>
      </c>
      <c r="M277" s="7" t="n">
        <f aca="false">IF(Raw_Nigeria!I277="","",Raw_Nigeria!I277)</f>
        <v>39.9</v>
      </c>
      <c r="N277" s="7" t="n">
        <f aca="false">Raw_Nigeria!M277</f>
        <v>21.5</v>
      </c>
      <c r="O277" s="7" t="n">
        <f aca="false">IF(Raw_Nigeria!N277="","",Raw_Nigeria!N277)</f>
        <v>19551</v>
      </c>
      <c r="P277" s="7" t="str">
        <f aca="false">IF(K277="CBAW","Women of child-bearing age","Children")</f>
        <v>Children</v>
      </c>
      <c r="Q277" s="7" t="n">
        <f aca="false">IF(J277="NOT USED",1,0)</f>
        <v>0</v>
      </c>
      <c r="R277" s="7" t="n">
        <f aca="false">IF(AND(P277="Children",Q277=0),1,0)</f>
        <v>1</v>
      </c>
      <c r="S277" s="7" t="n">
        <f aca="false">IF(AND(R277=1,J277="Record or Recall",K277="12-23 m"),1,0)</f>
        <v>0</v>
      </c>
      <c r="T277" s="7" t="n">
        <f aca="false">IF(OR(I277="BCG",I277="DTP1",I277="DTP3",I277="POL3",I277="MCV1",I277="FULL"),1,0)</f>
        <v>1</v>
      </c>
      <c r="U277" s="7" t="n">
        <f aca="false">IF(OR(C277="DHS",C277="MICS"),1,0)</f>
        <v>0</v>
      </c>
      <c r="V277" s="7" t="n">
        <f aca="false">IF(O277="",1,0)</f>
        <v>0</v>
      </c>
      <c r="W277" s="7" t="n">
        <f aca="false">IF(M277="",1,0)</f>
        <v>0</v>
      </c>
      <c r="X277" s="7" t="n">
        <f aca="false">COUNTIFS($B$2:$B$1141,B277,$H$2:$H$1141,H277,$I$2:$I$1141,I277,$J$2:$J$1141,J277,$K$2:$K$1141,K277,$L$2:$L$1141,L277)</f>
        <v>1</v>
      </c>
    </row>
    <row r="278" customFormat="false" ht="15" hidden="false" customHeight="false" outlineLevel="0" collapsed="false">
      <c r="A278" s="7" t="n">
        <f aca="false">ROW()-1</f>
        <v>277</v>
      </c>
      <c r="B278" s="7" t="str">
        <f aca="false">IF(Raw_Nigeria!B278="",TRIM(Raw_Nigeria!C278),TRIM(Raw_Nigeria!B278))</f>
        <v>Nigeria 2010 National Immunization Coverage Survey</v>
      </c>
      <c r="C278" s="7" t="str">
        <f aca="false">IF(ISNUMBER(SEARCH("Demographic and Health",B278)),"DHS",IF(OR(ISNUMBER(SEARCH("Multiple Indicator Cluster",B278)),ISNUMBER(SEARCH("MICS",B278))),"MICS",IF(ISNUMBER(SEARCH("Immunization Coverage Survey",B278)),"Coverage survey",IF(ISNUMBER(SEARCH("Nutrition",B278)),"Nutrition survey","Other"))))</f>
        <v>Coverage survey</v>
      </c>
      <c r="D278" s="7" t="n">
        <f aca="false">VALUE(LEFT(Raw_Nigeria!D278,4))</f>
        <v>2010</v>
      </c>
      <c r="E278" s="7" t="n">
        <f aca="false">IF(VALUE(RIGHT(Raw_Nigeria!D278,2))&gt;12,"",VALUE(RIGHT(Raw_Nigeria!D278,2)))</f>
        <v>10</v>
      </c>
      <c r="F278" s="7" t="n">
        <f aca="false">VALUE(LEFT(Raw_Nigeria!E278,4))</f>
        <v>2010</v>
      </c>
      <c r="G278" s="7" t="n">
        <f aca="false">IF(VALUE(RIGHT(Raw_Nigeria!E278,2))&gt;12,"",VALUE(RIGHT(Raw_Nigeria!E278,2)))</f>
        <v>10</v>
      </c>
      <c r="H278" s="7" t="n">
        <f aca="false">Raw_Nigeria!F278</f>
        <v>2009</v>
      </c>
      <c r="I278" s="7" t="str">
        <f aca="false">UPPER(TRIM(Raw_Nigeria!G278))</f>
        <v>MCV1</v>
      </c>
      <c r="J278" s="7" t="str">
        <f aca="false">Raw_Nigeria!H278</f>
        <v>Record or Recall</v>
      </c>
      <c r="K278" s="7" t="str">
        <f aca="false">Raw_Nigeria!L278</f>
        <v>12-23 m</v>
      </c>
      <c r="L278" s="7" t="str">
        <f aca="false">IF(Raw_Nigeria!K278="","n/a",Raw_Nigeria!K278)</f>
        <v>0-23 m</v>
      </c>
      <c r="M278" s="7" t="n">
        <f aca="false">IF(Raw_Nigeria!I278="","",Raw_Nigeria!I278)</f>
        <v>39.9</v>
      </c>
      <c r="N278" s="7" t="n">
        <f aca="false">Raw_Nigeria!M278</f>
        <v>63.6</v>
      </c>
      <c r="O278" s="7" t="n">
        <f aca="false">IF(Raw_Nigeria!N278="","",Raw_Nigeria!N278)</f>
        <v>19551</v>
      </c>
      <c r="P278" s="7" t="str">
        <f aca="false">IF(K278="CBAW","Women of child-bearing age","Children")</f>
        <v>Children</v>
      </c>
      <c r="Q278" s="7" t="n">
        <f aca="false">IF(J278="NOT USED",1,0)</f>
        <v>0</v>
      </c>
      <c r="R278" s="7" t="n">
        <f aca="false">IF(AND(P278="Children",Q278=0),1,0)</f>
        <v>1</v>
      </c>
      <c r="S278" s="7" t="n">
        <f aca="false">IF(AND(R278=1,J278="Record or Recall",K278="12-23 m"),1,0)</f>
        <v>1</v>
      </c>
      <c r="T278" s="7" t="n">
        <f aca="false">IF(OR(I278="BCG",I278="DTP1",I278="DTP3",I278="POL3",I278="MCV1",I278="FULL"),1,0)</f>
        <v>1</v>
      </c>
      <c r="U278" s="7" t="n">
        <f aca="false">IF(OR(C278="DHS",C278="MICS"),1,0)</f>
        <v>0</v>
      </c>
      <c r="V278" s="7" t="n">
        <f aca="false">IF(O278="",1,0)</f>
        <v>0</v>
      </c>
      <c r="W278" s="7" t="n">
        <f aca="false">IF(M278="",1,0)</f>
        <v>0</v>
      </c>
      <c r="X278" s="7" t="n">
        <f aca="false">COUNTIFS($B$2:$B$1141,B278,$H$2:$H$1141,H278,$I$2:$I$1141,I278,$J$2:$J$1141,J278,$K$2:$K$1141,K278,$L$2:$L$1141,L278)</f>
        <v>1</v>
      </c>
    </row>
    <row r="279" customFormat="false" ht="15" hidden="false" customHeight="false" outlineLevel="0" collapsed="false">
      <c r="A279" s="7" t="n">
        <f aca="false">ROW()-1</f>
        <v>278</v>
      </c>
      <c r="B279" s="7" t="str">
        <f aca="false">IF(Raw_Nigeria!B279="",TRIM(Raw_Nigeria!C279),TRIM(Raw_Nigeria!B279))</f>
        <v>Nigeria 2010 National Immunization Coverage Survey</v>
      </c>
      <c r="C279" s="7" t="str">
        <f aca="false">IF(ISNUMBER(SEARCH("Demographic and Health",B279)),"DHS",IF(OR(ISNUMBER(SEARCH("Multiple Indicator Cluster",B279)),ISNUMBER(SEARCH("MICS",B279))),"MICS",IF(ISNUMBER(SEARCH("Immunization Coverage Survey",B279)),"Coverage survey",IF(ISNUMBER(SEARCH("Nutrition",B279)),"Nutrition survey","Other"))))</f>
        <v>Coverage survey</v>
      </c>
      <c r="D279" s="7" t="n">
        <f aca="false">VALUE(LEFT(Raw_Nigeria!D279,4))</f>
        <v>2010</v>
      </c>
      <c r="E279" s="7" t="n">
        <f aca="false">IF(VALUE(RIGHT(Raw_Nigeria!D279,2))&gt;12,"",VALUE(RIGHT(Raw_Nigeria!D279,2)))</f>
        <v>10</v>
      </c>
      <c r="F279" s="7" t="n">
        <f aca="false">VALUE(LEFT(Raw_Nigeria!E279,4))</f>
        <v>2010</v>
      </c>
      <c r="G279" s="7" t="n">
        <f aca="false">IF(VALUE(RIGHT(Raw_Nigeria!E279,2))&gt;12,"",VALUE(RIGHT(Raw_Nigeria!E279,2)))</f>
        <v>10</v>
      </c>
      <c r="H279" s="7" t="n">
        <f aca="false">Raw_Nigeria!F279</f>
        <v>2009</v>
      </c>
      <c r="I279" s="7" t="str">
        <f aca="false">UPPER(TRIM(Raw_Nigeria!G279))</f>
        <v>POL1</v>
      </c>
      <c r="J279" s="7" t="str">
        <f aca="false">Raw_Nigeria!H279</f>
        <v>Record</v>
      </c>
      <c r="K279" s="7" t="str">
        <f aca="false">Raw_Nigeria!L279</f>
        <v>12-23 m</v>
      </c>
      <c r="L279" s="7" t="str">
        <f aca="false">IF(Raw_Nigeria!K279="","n/a",Raw_Nigeria!K279)</f>
        <v>0-23 m</v>
      </c>
      <c r="M279" s="7" t="n">
        <f aca="false">IF(Raw_Nigeria!I279="","",Raw_Nigeria!I279)</f>
        <v>39.9</v>
      </c>
      <c r="N279" s="7" t="n">
        <f aca="false">Raw_Nigeria!M279</f>
        <v>27.3</v>
      </c>
      <c r="O279" s="7" t="n">
        <f aca="false">IF(Raw_Nigeria!N279="","",Raw_Nigeria!N279)</f>
        <v>19551</v>
      </c>
      <c r="P279" s="7" t="str">
        <f aca="false">IF(K279="CBAW","Women of child-bearing age","Children")</f>
        <v>Children</v>
      </c>
      <c r="Q279" s="7" t="n">
        <f aca="false">IF(J279="NOT USED",1,0)</f>
        <v>0</v>
      </c>
      <c r="R279" s="7" t="n">
        <f aca="false">IF(AND(P279="Children",Q279=0),1,0)</f>
        <v>1</v>
      </c>
      <c r="S279" s="7" t="n">
        <f aca="false">IF(AND(R279=1,J279="Record or Recall",K279="12-23 m"),1,0)</f>
        <v>0</v>
      </c>
      <c r="T279" s="7" t="n">
        <f aca="false">IF(OR(I279="BCG",I279="DTP1",I279="DTP3",I279="POL3",I279="MCV1",I279="FULL"),1,0)</f>
        <v>0</v>
      </c>
      <c r="U279" s="7" t="n">
        <f aca="false">IF(OR(C279="DHS",C279="MICS"),1,0)</f>
        <v>0</v>
      </c>
      <c r="V279" s="7" t="n">
        <f aca="false">IF(O279="",1,0)</f>
        <v>0</v>
      </c>
      <c r="W279" s="7" t="n">
        <f aca="false">IF(M279="",1,0)</f>
        <v>0</v>
      </c>
      <c r="X279" s="7" t="n">
        <f aca="false">COUNTIFS($B$2:$B$1141,B279,$H$2:$H$1141,H279,$I$2:$I$1141,I279,$J$2:$J$1141,J279,$K$2:$K$1141,K279,$L$2:$L$1141,L279)</f>
        <v>1</v>
      </c>
    </row>
    <row r="280" customFormat="false" ht="15" hidden="false" customHeight="false" outlineLevel="0" collapsed="false">
      <c r="A280" s="7" t="n">
        <f aca="false">ROW()-1</f>
        <v>279</v>
      </c>
      <c r="B280" s="7" t="str">
        <f aca="false">IF(Raw_Nigeria!B280="",TRIM(Raw_Nigeria!C280),TRIM(Raw_Nigeria!B280))</f>
        <v>Nigeria 2010 National Immunization Coverage Survey</v>
      </c>
      <c r="C280" s="7" t="str">
        <f aca="false">IF(ISNUMBER(SEARCH("Demographic and Health",B280)),"DHS",IF(OR(ISNUMBER(SEARCH("Multiple Indicator Cluster",B280)),ISNUMBER(SEARCH("MICS",B280))),"MICS",IF(ISNUMBER(SEARCH("Immunization Coverage Survey",B280)),"Coverage survey",IF(ISNUMBER(SEARCH("Nutrition",B280)),"Nutrition survey","Other"))))</f>
        <v>Coverage survey</v>
      </c>
      <c r="D280" s="7" t="n">
        <f aca="false">VALUE(LEFT(Raw_Nigeria!D280,4))</f>
        <v>2010</v>
      </c>
      <c r="E280" s="7" t="n">
        <f aca="false">IF(VALUE(RIGHT(Raw_Nigeria!D280,2))&gt;12,"",VALUE(RIGHT(Raw_Nigeria!D280,2)))</f>
        <v>10</v>
      </c>
      <c r="F280" s="7" t="n">
        <f aca="false">VALUE(LEFT(Raw_Nigeria!E280,4))</f>
        <v>2010</v>
      </c>
      <c r="G280" s="7" t="n">
        <f aca="false">IF(VALUE(RIGHT(Raw_Nigeria!E280,2))&gt;12,"",VALUE(RIGHT(Raw_Nigeria!E280,2)))</f>
        <v>10</v>
      </c>
      <c r="H280" s="7" t="n">
        <f aca="false">Raw_Nigeria!F280</f>
        <v>2009</v>
      </c>
      <c r="I280" s="7" t="str">
        <f aca="false">UPPER(TRIM(Raw_Nigeria!G280))</f>
        <v>POL1</v>
      </c>
      <c r="J280" s="7" t="str">
        <f aca="false">Raw_Nigeria!H280</f>
        <v>Record or Recall</v>
      </c>
      <c r="K280" s="7" t="str">
        <f aca="false">Raw_Nigeria!L280</f>
        <v>12-23 m</v>
      </c>
      <c r="L280" s="7" t="str">
        <f aca="false">IF(Raw_Nigeria!K280="","n/a",Raw_Nigeria!K280)</f>
        <v>0-23 m</v>
      </c>
      <c r="M280" s="7" t="n">
        <f aca="false">IF(Raw_Nigeria!I280="","",Raw_Nigeria!I280)</f>
        <v>39.9</v>
      </c>
      <c r="N280" s="7" t="n">
        <f aca="false">Raw_Nigeria!M280</f>
        <v>78.1</v>
      </c>
      <c r="O280" s="7" t="n">
        <f aca="false">IF(Raw_Nigeria!N280="","",Raw_Nigeria!N280)</f>
        <v>19551</v>
      </c>
      <c r="P280" s="7" t="str">
        <f aca="false">IF(K280="CBAW","Women of child-bearing age","Children")</f>
        <v>Children</v>
      </c>
      <c r="Q280" s="7" t="n">
        <f aca="false">IF(J280="NOT USED",1,0)</f>
        <v>0</v>
      </c>
      <c r="R280" s="7" t="n">
        <f aca="false">IF(AND(P280="Children",Q280=0),1,0)</f>
        <v>1</v>
      </c>
      <c r="S280" s="7" t="n">
        <f aca="false">IF(AND(R280=1,J280="Record or Recall",K280="12-23 m"),1,0)</f>
        <v>1</v>
      </c>
      <c r="T280" s="7" t="n">
        <f aca="false">IF(OR(I280="BCG",I280="DTP1",I280="DTP3",I280="POL3",I280="MCV1",I280="FULL"),1,0)</f>
        <v>0</v>
      </c>
      <c r="U280" s="7" t="n">
        <f aca="false">IF(OR(C280="DHS",C280="MICS"),1,0)</f>
        <v>0</v>
      </c>
      <c r="V280" s="7" t="n">
        <f aca="false">IF(O280="",1,0)</f>
        <v>0</v>
      </c>
      <c r="W280" s="7" t="n">
        <f aca="false">IF(M280="",1,0)</f>
        <v>0</v>
      </c>
      <c r="X280" s="7" t="n">
        <f aca="false">COUNTIFS($B$2:$B$1141,B280,$H$2:$H$1141,H280,$I$2:$I$1141,I280,$J$2:$J$1141,J280,$K$2:$K$1141,K280,$L$2:$L$1141,L280)</f>
        <v>1</v>
      </c>
    </row>
    <row r="281" customFormat="false" ht="15" hidden="false" customHeight="false" outlineLevel="0" collapsed="false">
      <c r="A281" s="7" t="n">
        <f aca="false">ROW()-1</f>
        <v>280</v>
      </c>
      <c r="B281" s="7" t="str">
        <f aca="false">IF(Raw_Nigeria!B281="",TRIM(Raw_Nigeria!C281),TRIM(Raw_Nigeria!B281))</f>
        <v>Nigeria 2010 National Immunization Coverage Survey</v>
      </c>
      <c r="C281" s="7" t="str">
        <f aca="false">IF(ISNUMBER(SEARCH("Demographic and Health",B281)),"DHS",IF(OR(ISNUMBER(SEARCH("Multiple Indicator Cluster",B281)),ISNUMBER(SEARCH("MICS",B281))),"MICS",IF(ISNUMBER(SEARCH("Immunization Coverage Survey",B281)),"Coverage survey",IF(ISNUMBER(SEARCH("Nutrition",B281)),"Nutrition survey","Other"))))</f>
        <v>Coverage survey</v>
      </c>
      <c r="D281" s="7" t="n">
        <f aca="false">VALUE(LEFT(Raw_Nigeria!D281,4))</f>
        <v>2010</v>
      </c>
      <c r="E281" s="7" t="n">
        <f aca="false">IF(VALUE(RIGHT(Raw_Nigeria!D281,2))&gt;12,"",VALUE(RIGHT(Raw_Nigeria!D281,2)))</f>
        <v>10</v>
      </c>
      <c r="F281" s="7" t="n">
        <f aca="false">VALUE(LEFT(Raw_Nigeria!E281,4))</f>
        <v>2010</v>
      </c>
      <c r="G281" s="7" t="n">
        <f aca="false">IF(VALUE(RIGHT(Raw_Nigeria!E281,2))&gt;12,"",VALUE(RIGHT(Raw_Nigeria!E281,2)))</f>
        <v>10</v>
      </c>
      <c r="H281" s="7" t="n">
        <f aca="false">Raw_Nigeria!F281</f>
        <v>2009</v>
      </c>
      <c r="I281" s="7" t="str">
        <f aca="false">UPPER(TRIM(Raw_Nigeria!G281))</f>
        <v>POL3</v>
      </c>
      <c r="J281" s="7" t="str">
        <f aca="false">Raw_Nigeria!H281</f>
        <v>Record</v>
      </c>
      <c r="K281" s="7" t="str">
        <f aca="false">Raw_Nigeria!L281</f>
        <v>12-23 m</v>
      </c>
      <c r="L281" s="7" t="str">
        <f aca="false">IF(Raw_Nigeria!K281="","n/a",Raw_Nigeria!K281)</f>
        <v>0-23 m</v>
      </c>
      <c r="M281" s="7" t="n">
        <f aca="false">IF(Raw_Nigeria!I281="","",Raw_Nigeria!I281)</f>
        <v>39.9</v>
      </c>
      <c r="N281" s="7" t="n">
        <f aca="false">Raw_Nigeria!M281</f>
        <v>23.4</v>
      </c>
      <c r="O281" s="7" t="n">
        <f aca="false">IF(Raw_Nigeria!N281="","",Raw_Nigeria!N281)</f>
        <v>19551</v>
      </c>
      <c r="P281" s="7" t="str">
        <f aca="false">IF(K281="CBAW","Women of child-bearing age","Children")</f>
        <v>Children</v>
      </c>
      <c r="Q281" s="7" t="n">
        <f aca="false">IF(J281="NOT USED",1,0)</f>
        <v>0</v>
      </c>
      <c r="R281" s="7" t="n">
        <f aca="false">IF(AND(P281="Children",Q281=0),1,0)</f>
        <v>1</v>
      </c>
      <c r="S281" s="7" t="n">
        <f aca="false">IF(AND(R281=1,J281="Record or Recall",K281="12-23 m"),1,0)</f>
        <v>0</v>
      </c>
      <c r="T281" s="7" t="n">
        <f aca="false">IF(OR(I281="BCG",I281="DTP1",I281="DTP3",I281="POL3",I281="MCV1",I281="FULL"),1,0)</f>
        <v>1</v>
      </c>
      <c r="U281" s="7" t="n">
        <f aca="false">IF(OR(C281="DHS",C281="MICS"),1,0)</f>
        <v>0</v>
      </c>
      <c r="V281" s="7" t="n">
        <f aca="false">IF(O281="",1,0)</f>
        <v>0</v>
      </c>
      <c r="W281" s="7" t="n">
        <f aca="false">IF(M281="",1,0)</f>
        <v>0</v>
      </c>
      <c r="X281" s="7" t="n">
        <f aca="false">COUNTIFS($B$2:$B$1141,B281,$H$2:$H$1141,H281,$I$2:$I$1141,I281,$J$2:$J$1141,J281,$K$2:$K$1141,K281,$L$2:$L$1141,L281)</f>
        <v>1</v>
      </c>
    </row>
    <row r="282" customFormat="false" ht="15" hidden="false" customHeight="false" outlineLevel="0" collapsed="false">
      <c r="A282" s="7" t="n">
        <f aca="false">ROW()-1</f>
        <v>281</v>
      </c>
      <c r="B282" s="7" t="str">
        <f aca="false">IF(Raw_Nigeria!B282="",TRIM(Raw_Nigeria!C282),TRIM(Raw_Nigeria!B282))</f>
        <v>Nigeria 2010 National Immunization Coverage Survey</v>
      </c>
      <c r="C282" s="7" t="str">
        <f aca="false">IF(ISNUMBER(SEARCH("Demographic and Health",B282)),"DHS",IF(OR(ISNUMBER(SEARCH("Multiple Indicator Cluster",B282)),ISNUMBER(SEARCH("MICS",B282))),"MICS",IF(ISNUMBER(SEARCH("Immunization Coverage Survey",B282)),"Coverage survey",IF(ISNUMBER(SEARCH("Nutrition",B282)),"Nutrition survey","Other"))))</f>
        <v>Coverage survey</v>
      </c>
      <c r="D282" s="7" t="n">
        <f aca="false">VALUE(LEFT(Raw_Nigeria!D282,4))</f>
        <v>2010</v>
      </c>
      <c r="E282" s="7" t="n">
        <f aca="false">IF(VALUE(RIGHT(Raw_Nigeria!D282,2))&gt;12,"",VALUE(RIGHT(Raw_Nigeria!D282,2)))</f>
        <v>10</v>
      </c>
      <c r="F282" s="7" t="n">
        <f aca="false">VALUE(LEFT(Raw_Nigeria!E282,4))</f>
        <v>2010</v>
      </c>
      <c r="G282" s="7" t="n">
        <f aca="false">IF(VALUE(RIGHT(Raw_Nigeria!E282,2))&gt;12,"",VALUE(RIGHT(Raw_Nigeria!E282,2)))</f>
        <v>10</v>
      </c>
      <c r="H282" s="7" t="n">
        <f aca="false">Raw_Nigeria!F282</f>
        <v>2009</v>
      </c>
      <c r="I282" s="7" t="str">
        <f aca="false">UPPER(TRIM(Raw_Nigeria!G282))</f>
        <v>POL3</v>
      </c>
      <c r="J282" s="7" t="str">
        <f aca="false">Raw_Nigeria!H282</f>
        <v>Record or Recall</v>
      </c>
      <c r="K282" s="7" t="str">
        <f aca="false">Raw_Nigeria!L282</f>
        <v>12-23 m</v>
      </c>
      <c r="L282" s="7" t="str">
        <f aca="false">IF(Raw_Nigeria!K282="","n/a",Raw_Nigeria!K282)</f>
        <v>0-23 m</v>
      </c>
      <c r="M282" s="7" t="n">
        <f aca="false">IF(Raw_Nigeria!I282="","",Raw_Nigeria!I282)</f>
        <v>39.9</v>
      </c>
      <c r="N282" s="7" t="n">
        <f aca="false">Raw_Nigeria!M282</f>
        <v>74</v>
      </c>
      <c r="O282" s="7" t="n">
        <f aca="false">IF(Raw_Nigeria!N282="","",Raw_Nigeria!N282)</f>
        <v>19551</v>
      </c>
      <c r="P282" s="7" t="str">
        <f aca="false">IF(K282="CBAW","Women of child-bearing age","Children")</f>
        <v>Children</v>
      </c>
      <c r="Q282" s="7" t="n">
        <f aca="false">IF(J282="NOT USED",1,0)</f>
        <v>0</v>
      </c>
      <c r="R282" s="7" t="n">
        <f aca="false">IF(AND(P282="Children",Q282=0),1,0)</f>
        <v>1</v>
      </c>
      <c r="S282" s="7" t="n">
        <f aca="false">IF(AND(R282=1,J282="Record or Recall",K282="12-23 m"),1,0)</f>
        <v>1</v>
      </c>
      <c r="T282" s="7" t="n">
        <f aca="false">IF(OR(I282="BCG",I282="DTP1",I282="DTP3",I282="POL3",I282="MCV1",I282="FULL"),1,0)</f>
        <v>1</v>
      </c>
      <c r="U282" s="7" t="n">
        <f aca="false">IF(OR(C282="DHS",C282="MICS"),1,0)</f>
        <v>0</v>
      </c>
      <c r="V282" s="7" t="n">
        <f aca="false">IF(O282="",1,0)</f>
        <v>0</v>
      </c>
      <c r="W282" s="7" t="n">
        <f aca="false">IF(M282="",1,0)</f>
        <v>0</v>
      </c>
      <c r="X282" s="7" t="n">
        <f aca="false">COUNTIFS($B$2:$B$1141,B282,$H$2:$H$1141,H282,$I$2:$I$1141,I282,$J$2:$J$1141,J282,$K$2:$K$1141,K282,$L$2:$L$1141,L282)</f>
        <v>1</v>
      </c>
    </row>
    <row r="283" customFormat="false" ht="15" hidden="false" customHeight="false" outlineLevel="0" collapsed="false">
      <c r="A283" s="7" t="n">
        <f aca="false">ROW()-1</f>
        <v>282</v>
      </c>
      <c r="B283" s="7" t="str">
        <f aca="false">IF(Raw_Nigeria!B283="",TRIM(Raw_Nigeria!C283),TRIM(Raw_Nigeria!B283))</f>
        <v>Nigeria 2010 National Immunization Coverage Survey</v>
      </c>
      <c r="C283" s="7" t="str">
        <f aca="false">IF(ISNUMBER(SEARCH("Demographic and Health",B283)),"DHS",IF(OR(ISNUMBER(SEARCH("Multiple Indicator Cluster",B283)),ISNUMBER(SEARCH("MICS",B283))),"MICS",IF(ISNUMBER(SEARCH("Immunization Coverage Survey",B283)),"Coverage survey",IF(ISNUMBER(SEARCH("Nutrition",B283)),"Nutrition survey","Other"))))</f>
        <v>Coverage survey</v>
      </c>
      <c r="D283" s="7" t="n">
        <f aca="false">VALUE(LEFT(Raw_Nigeria!D283,4))</f>
        <v>2010</v>
      </c>
      <c r="E283" s="7" t="n">
        <f aca="false">IF(VALUE(RIGHT(Raw_Nigeria!D283,2))&gt;12,"",VALUE(RIGHT(Raw_Nigeria!D283,2)))</f>
        <v>10</v>
      </c>
      <c r="F283" s="7" t="n">
        <f aca="false">VALUE(LEFT(Raw_Nigeria!E283,4))</f>
        <v>2010</v>
      </c>
      <c r="G283" s="7" t="n">
        <f aca="false">IF(VALUE(RIGHT(Raw_Nigeria!E283,2))&gt;12,"",VALUE(RIGHT(Raw_Nigeria!E283,2)))</f>
        <v>10</v>
      </c>
      <c r="H283" s="7" t="n">
        <f aca="false">Raw_Nigeria!F283</f>
        <v>2009</v>
      </c>
      <c r="I283" s="7" t="str">
        <f aca="false">UPPER(TRIM(Raw_Nigeria!G283))</f>
        <v>TT2+</v>
      </c>
      <c r="J283" s="7" t="str">
        <f aca="false">Raw_Nigeria!H283</f>
        <v>Record or Recall</v>
      </c>
      <c r="K283" s="7" t="str">
        <f aca="false">Raw_Nigeria!L283</f>
        <v>CBAW</v>
      </c>
      <c r="L283" s="7" t="str">
        <f aca="false">IF(Raw_Nigeria!K283="","n/a",Raw_Nigeria!K283)</f>
        <v>n/a</v>
      </c>
      <c r="M283" s="7" t="str">
        <f aca="false">IF(Raw_Nigeria!I283="","",Raw_Nigeria!I283)</f>
        <v/>
      </c>
      <c r="N283" s="7" t="n">
        <f aca="false">Raw_Nigeria!M283</f>
        <v>58.3</v>
      </c>
      <c r="O283" s="7" t="n">
        <f aca="false">IF(Raw_Nigeria!N283="","",Raw_Nigeria!N283)</f>
        <v>19551</v>
      </c>
      <c r="P283" s="7" t="str">
        <f aca="false">IF(K283="CBAW","Women of child-bearing age","Children")</f>
        <v>Women of child-bearing age</v>
      </c>
      <c r="Q283" s="7" t="n">
        <f aca="false">IF(J283="NOT USED",1,0)</f>
        <v>0</v>
      </c>
      <c r="R283" s="7" t="n">
        <f aca="false">IF(AND(P283="Children",Q283=0),1,0)</f>
        <v>0</v>
      </c>
      <c r="S283" s="7" t="n">
        <f aca="false">IF(AND(R283=1,J283="Record or Recall",K283="12-23 m"),1,0)</f>
        <v>0</v>
      </c>
      <c r="T283" s="7" t="n">
        <f aca="false">IF(OR(I283="BCG",I283="DTP1",I283="DTP3",I283="POL3",I283="MCV1",I283="FULL"),1,0)</f>
        <v>0</v>
      </c>
      <c r="U283" s="7" t="n">
        <f aca="false">IF(OR(C283="DHS",C283="MICS"),1,0)</f>
        <v>0</v>
      </c>
      <c r="V283" s="7" t="n">
        <f aca="false">IF(O283="",1,0)</f>
        <v>0</v>
      </c>
      <c r="W283" s="7" t="n">
        <f aca="false">IF(M283="",1,0)</f>
        <v>1</v>
      </c>
      <c r="X283" s="7" t="n">
        <f aca="false">COUNTIFS($B$2:$B$1141,B283,$H$2:$H$1141,H283,$I$2:$I$1141,I283,$J$2:$J$1141,J283,$K$2:$K$1141,K283,$L$2:$L$1141,L283)</f>
        <v>1</v>
      </c>
    </row>
    <row r="284" customFormat="false" ht="15" hidden="false" customHeight="false" outlineLevel="0" collapsed="false">
      <c r="A284" s="7" t="n">
        <f aca="false">ROW()-1</f>
        <v>283</v>
      </c>
      <c r="B284" s="7" t="str">
        <f aca="false">IF(Raw_Nigeria!B284="",TRIM(Raw_Nigeria!C284),TRIM(Raw_Nigeria!B284))</f>
        <v>Nigeria 2010 National Immunization Coverage Survey</v>
      </c>
      <c r="C284" s="7" t="str">
        <f aca="false">IF(ISNUMBER(SEARCH("Demographic and Health",B284)),"DHS",IF(OR(ISNUMBER(SEARCH("Multiple Indicator Cluster",B284)),ISNUMBER(SEARCH("MICS",B284))),"MICS",IF(ISNUMBER(SEARCH("Immunization Coverage Survey",B284)),"Coverage survey",IF(ISNUMBER(SEARCH("Nutrition",B284)),"Nutrition survey","Other"))))</f>
        <v>Coverage survey</v>
      </c>
      <c r="D284" s="7" t="n">
        <f aca="false">VALUE(LEFT(Raw_Nigeria!D284,4))</f>
        <v>2010</v>
      </c>
      <c r="E284" s="7" t="n">
        <f aca="false">IF(VALUE(RIGHT(Raw_Nigeria!D284,2))&gt;12,"",VALUE(RIGHT(Raw_Nigeria!D284,2)))</f>
        <v>10</v>
      </c>
      <c r="F284" s="7" t="n">
        <f aca="false">VALUE(LEFT(Raw_Nigeria!E284,4))</f>
        <v>2010</v>
      </c>
      <c r="G284" s="7" t="n">
        <f aca="false">IF(VALUE(RIGHT(Raw_Nigeria!E284,2))&gt;12,"",VALUE(RIGHT(Raw_Nigeria!E284,2)))</f>
        <v>10</v>
      </c>
      <c r="H284" s="7" t="n">
        <f aca="false">Raw_Nigeria!F284</f>
        <v>2009</v>
      </c>
      <c r="I284" s="7" t="str">
        <f aca="false">UPPER(TRIM(Raw_Nigeria!G284))</f>
        <v>YFV</v>
      </c>
      <c r="J284" s="7" t="str">
        <f aca="false">Raw_Nigeria!H284</f>
        <v>Record</v>
      </c>
      <c r="K284" s="7" t="str">
        <f aca="false">Raw_Nigeria!L284</f>
        <v>12-23 m</v>
      </c>
      <c r="L284" s="7" t="str">
        <f aca="false">IF(Raw_Nigeria!K284="","n/a",Raw_Nigeria!K284)</f>
        <v>0-23 m</v>
      </c>
      <c r="M284" s="7" t="n">
        <f aca="false">IF(Raw_Nigeria!I284="","",Raw_Nigeria!I284)</f>
        <v>39.9</v>
      </c>
      <c r="N284" s="7" t="n">
        <f aca="false">Raw_Nigeria!M284</f>
        <v>20.5</v>
      </c>
      <c r="O284" s="7" t="n">
        <f aca="false">IF(Raw_Nigeria!N284="","",Raw_Nigeria!N284)</f>
        <v>19551</v>
      </c>
      <c r="P284" s="7" t="str">
        <f aca="false">IF(K284="CBAW","Women of child-bearing age","Children")</f>
        <v>Children</v>
      </c>
      <c r="Q284" s="7" t="n">
        <f aca="false">IF(J284="NOT USED",1,0)</f>
        <v>0</v>
      </c>
      <c r="R284" s="7" t="n">
        <f aca="false">IF(AND(P284="Children",Q284=0),1,0)</f>
        <v>1</v>
      </c>
      <c r="S284" s="7" t="n">
        <f aca="false">IF(AND(R284=1,J284="Record or Recall",K284="12-23 m"),1,0)</f>
        <v>0</v>
      </c>
      <c r="T284" s="7" t="n">
        <f aca="false">IF(OR(I284="BCG",I284="DTP1",I284="DTP3",I284="POL3",I284="MCV1",I284="FULL"),1,0)</f>
        <v>0</v>
      </c>
      <c r="U284" s="7" t="n">
        <f aca="false">IF(OR(C284="DHS",C284="MICS"),1,0)</f>
        <v>0</v>
      </c>
      <c r="V284" s="7" t="n">
        <f aca="false">IF(O284="",1,0)</f>
        <v>0</v>
      </c>
      <c r="W284" s="7" t="n">
        <f aca="false">IF(M284="",1,0)</f>
        <v>0</v>
      </c>
      <c r="X284" s="7" t="n">
        <f aca="false">COUNTIFS($B$2:$B$1141,B284,$H$2:$H$1141,H284,$I$2:$I$1141,I284,$J$2:$J$1141,J284,$K$2:$K$1141,K284,$L$2:$L$1141,L284)</f>
        <v>1</v>
      </c>
    </row>
    <row r="285" customFormat="false" ht="15" hidden="false" customHeight="false" outlineLevel="0" collapsed="false">
      <c r="A285" s="7" t="n">
        <f aca="false">ROW()-1</f>
        <v>284</v>
      </c>
      <c r="B285" s="7" t="str">
        <f aca="false">IF(Raw_Nigeria!B285="",TRIM(Raw_Nigeria!C285),TRIM(Raw_Nigeria!B285))</f>
        <v>Nigeria 2010 National Immunization Coverage Survey</v>
      </c>
      <c r="C285" s="7" t="str">
        <f aca="false">IF(ISNUMBER(SEARCH("Demographic and Health",B285)),"DHS",IF(OR(ISNUMBER(SEARCH("Multiple Indicator Cluster",B285)),ISNUMBER(SEARCH("MICS",B285))),"MICS",IF(ISNUMBER(SEARCH("Immunization Coverage Survey",B285)),"Coverage survey",IF(ISNUMBER(SEARCH("Nutrition",B285)),"Nutrition survey","Other"))))</f>
        <v>Coverage survey</v>
      </c>
      <c r="D285" s="7" t="n">
        <f aca="false">VALUE(LEFT(Raw_Nigeria!D285,4))</f>
        <v>2010</v>
      </c>
      <c r="E285" s="7" t="n">
        <f aca="false">IF(VALUE(RIGHT(Raw_Nigeria!D285,2))&gt;12,"",VALUE(RIGHT(Raw_Nigeria!D285,2)))</f>
        <v>10</v>
      </c>
      <c r="F285" s="7" t="n">
        <f aca="false">VALUE(LEFT(Raw_Nigeria!E285,4))</f>
        <v>2010</v>
      </c>
      <c r="G285" s="7" t="n">
        <f aca="false">IF(VALUE(RIGHT(Raw_Nigeria!E285,2))&gt;12,"",VALUE(RIGHT(Raw_Nigeria!E285,2)))</f>
        <v>10</v>
      </c>
      <c r="H285" s="7" t="n">
        <f aca="false">Raw_Nigeria!F285</f>
        <v>2009</v>
      </c>
      <c r="I285" s="7" t="str">
        <f aca="false">UPPER(TRIM(Raw_Nigeria!G285))</f>
        <v>YFV</v>
      </c>
      <c r="J285" s="7" t="str">
        <f aca="false">Raw_Nigeria!H285</f>
        <v>Record or Recall</v>
      </c>
      <c r="K285" s="7" t="str">
        <f aca="false">Raw_Nigeria!L285</f>
        <v>12-23 m</v>
      </c>
      <c r="L285" s="7" t="str">
        <f aca="false">IF(Raw_Nigeria!K285="","n/a",Raw_Nigeria!K285)</f>
        <v>0-23 m</v>
      </c>
      <c r="M285" s="7" t="n">
        <f aca="false">IF(Raw_Nigeria!I285="","",Raw_Nigeria!I285)</f>
        <v>39.9</v>
      </c>
      <c r="N285" s="7" t="n">
        <f aca="false">Raw_Nigeria!M285</f>
        <v>60.1</v>
      </c>
      <c r="O285" s="7" t="n">
        <f aca="false">IF(Raw_Nigeria!N285="","",Raw_Nigeria!N285)</f>
        <v>19551</v>
      </c>
      <c r="P285" s="7" t="str">
        <f aca="false">IF(K285="CBAW","Women of child-bearing age","Children")</f>
        <v>Children</v>
      </c>
      <c r="Q285" s="7" t="n">
        <f aca="false">IF(J285="NOT USED",1,0)</f>
        <v>0</v>
      </c>
      <c r="R285" s="7" t="n">
        <f aca="false">IF(AND(P285="Children",Q285=0),1,0)</f>
        <v>1</v>
      </c>
      <c r="S285" s="7" t="n">
        <f aca="false">IF(AND(R285=1,J285="Record or Recall",K285="12-23 m"),1,0)</f>
        <v>1</v>
      </c>
      <c r="T285" s="7" t="n">
        <f aca="false">IF(OR(I285="BCG",I285="DTP1",I285="DTP3",I285="POL3",I285="MCV1",I285="FULL"),1,0)</f>
        <v>0</v>
      </c>
      <c r="U285" s="7" t="n">
        <f aca="false">IF(OR(C285="DHS",C285="MICS"),1,0)</f>
        <v>0</v>
      </c>
      <c r="V285" s="7" t="n">
        <f aca="false">IF(O285="",1,0)</f>
        <v>0</v>
      </c>
      <c r="W285" s="7" t="n">
        <f aca="false">IF(M285="",1,0)</f>
        <v>0</v>
      </c>
      <c r="X285" s="7" t="n">
        <f aca="false">COUNTIFS($B$2:$B$1141,B285,$H$2:$H$1141,H285,$I$2:$I$1141,I285,$J$2:$J$1141,J285,$K$2:$K$1141,K285,$L$2:$L$1141,L285)</f>
        <v>1</v>
      </c>
    </row>
    <row r="286" customFormat="false" ht="15" hidden="false" customHeight="false" outlineLevel="0" collapsed="false">
      <c r="A286" s="7" t="n">
        <f aca="false">ROW()-1</f>
        <v>285</v>
      </c>
      <c r="B286" s="7" t="str">
        <f aca="false">IF(Raw_Nigeria!B286="",TRIM(Raw_Nigeria!C286),TRIM(Raw_Nigeria!B286))</f>
        <v>Nigeria Multiple Indicator Cluster Survey 2011</v>
      </c>
      <c r="C286" s="7" t="str">
        <f aca="false">IF(ISNUMBER(SEARCH("Demographic and Health",B286)),"DHS",IF(OR(ISNUMBER(SEARCH("Multiple Indicator Cluster",B286)),ISNUMBER(SEARCH("MICS",B286))),"MICS",IF(ISNUMBER(SEARCH("Immunization Coverage Survey",B286)),"Coverage survey",IF(ISNUMBER(SEARCH("Nutrition",B286)),"Nutrition survey","Other"))))</f>
        <v>MICS</v>
      </c>
      <c r="D286" s="7" t="n">
        <f aca="false">VALUE(LEFT(Raw_Nigeria!D286,4))</f>
        <v>2011</v>
      </c>
      <c r="E286" s="7" t="n">
        <f aca="false">IF(VALUE(RIGHT(Raw_Nigeria!D286,2))&gt;12,"",VALUE(RIGHT(Raw_Nigeria!D286,2)))</f>
        <v>2</v>
      </c>
      <c r="F286" s="7" t="n">
        <f aca="false">VALUE(LEFT(Raw_Nigeria!E286,4))</f>
        <v>2011</v>
      </c>
      <c r="G286" s="7" t="n">
        <f aca="false">IF(VALUE(RIGHT(Raw_Nigeria!E286,2))&gt;12,"",VALUE(RIGHT(Raw_Nigeria!E286,2)))</f>
        <v>3</v>
      </c>
      <c r="H286" s="7" t="n">
        <f aca="false">Raw_Nigeria!F286</f>
        <v>2010</v>
      </c>
      <c r="I286" s="7" t="str">
        <f aca="false">UPPER(TRIM(Raw_Nigeria!G286))</f>
        <v>BCG</v>
      </c>
      <c r="J286" s="7" t="str">
        <f aca="false">Raw_Nigeria!H286</f>
        <v>Record or Recall&lt;12m</v>
      </c>
      <c r="K286" s="7" t="str">
        <f aca="false">Raw_Nigeria!L286</f>
        <v>12-23 m</v>
      </c>
      <c r="L286" s="7" t="str">
        <f aca="false">IF(Raw_Nigeria!K286="","n/a",Raw_Nigeria!K286)</f>
        <v>0-12 m</v>
      </c>
      <c r="M286" s="7" t="n">
        <f aca="false">IF(Raw_Nigeria!I286="","",Raw_Nigeria!I286)</f>
        <v>24.4</v>
      </c>
      <c r="N286" s="7" t="n">
        <f aca="false">Raw_Nigeria!M286</f>
        <v>61.7</v>
      </c>
      <c r="O286" s="7" t="str">
        <f aca="false">IF(Raw_Nigeria!N286="","",Raw_Nigeria!N286)</f>
        <v/>
      </c>
      <c r="P286" s="7" t="str">
        <f aca="false">IF(K286="CBAW","Women of child-bearing age","Children")</f>
        <v>Children</v>
      </c>
      <c r="Q286" s="7" t="n">
        <f aca="false">IF(J286="NOT USED",1,0)</f>
        <v>0</v>
      </c>
      <c r="R286" s="7" t="n">
        <f aca="false">IF(AND(P286="Children",Q286=0),1,0)</f>
        <v>1</v>
      </c>
      <c r="S286" s="7" t="n">
        <f aca="false">IF(AND(R286=1,J286="Record or Recall",K286="12-23 m"),1,0)</f>
        <v>0</v>
      </c>
      <c r="T286" s="7" t="n">
        <f aca="false">IF(OR(I286="BCG",I286="DTP1",I286="DTP3",I286="POL3",I286="MCV1",I286="FULL"),1,0)</f>
        <v>1</v>
      </c>
      <c r="U286" s="7" t="n">
        <f aca="false">IF(OR(C286="DHS",C286="MICS"),1,0)</f>
        <v>1</v>
      </c>
      <c r="V286" s="7" t="n">
        <f aca="false">IF(O286="",1,0)</f>
        <v>1</v>
      </c>
      <c r="W286" s="7" t="n">
        <f aca="false">IF(M286="",1,0)</f>
        <v>0</v>
      </c>
      <c r="X286" s="7" t="n">
        <f aca="false">COUNTIFS($B$2:$B$1141,B286,$H$2:$H$1141,H286,$I$2:$I$1141,I286,$J$2:$J$1141,J286,$K$2:$K$1141,K286,$L$2:$L$1141,L286)</f>
        <v>1</v>
      </c>
    </row>
    <row r="287" customFormat="false" ht="15" hidden="false" customHeight="false" outlineLevel="0" collapsed="false">
      <c r="A287" s="7" t="n">
        <f aca="false">ROW()-1</f>
        <v>286</v>
      </c>
      <c r="B287" s="7" t="str">
        <f aca="false">IF(Raw_Nigeria!B287="",TRIM(Raw_Nigeria!C287),TRIM(Raw_Nigeria!B287))</f>
        <v>Nigeria Multiple Indicator Cluster Survey 2011</v>
      </c>
      <c r="C287" s="7" t="str">
        <f aca="false">IF(ISNUMBER(SEARCH("Demographic and Health",B287)),"DHS",IF(OR(ISNUMBER(SEARCH("Multiple Indicator Cluster",B287)),ISNUMBER(SEARCH("MICS",B287))),"MICS",IF(ISNUMBER(SEARCH("Immunization Coverage Survey",B287)),"Coverage survey",IF(ISNUMBER(SEARCH("Nutrition",B287)),"Nutrition survey","Other"))))</f>
        <v>MICS</v>
      </c>
      <c r="D287" s="7" t="n">
        <f aca="false">VALUE(LEFT(Raw_Nigeria!D287,4))</f>
        <v>2011</v>
      </c>
      <c r="E287" s="7" t="n">
        <f aca="false">IF(VALUE(RIGHT(Raw_Nigeria!D287,2))&gt;12,"",VALUE(RIGHT(Raw_Nigeria!D287,2)))</f>
        <v>2</v>
      </c>
      <c r="F287" s="7" t="n">
        <f aca="false">VALUE(LEFT(Raw_Nigeria!E287,4))</f>
        <v>2011</v>
      </c>
      <c r="G287" s="7" t="n">
        <f aca="false">IF(VALUE(RIGHT(Raw_Nigeria!E287,2))&gt;12,"",VALUE(RIGHT(Raw_Nigeria!E287,2)))</f>
        <v>3</v>
      </c>
      <c r="H287" s="7" t="n">
        <f aca="false">Raw_Nigeria!F287</f>
        <v>2010</v>
      </c>
      <c r="I287" s="7" t="str">
        <f aca="false">UPPER(TRIM(Raw_Nigeria!G287))</f>
        <v>BCG</v>
      </c>
      <c r="J287" s="7" t="str">
        <f aca="false">Raw_Nigeria!H287</f>
        <v>Record</v>
      </c>
      <c r="K287" s="7" t="str">
        <f aca="false">Raw_Nigeria!L287</f>
        <v>12-23 m</v>
      </c>
      <c r="L287" s="7" t="str">
        <f aca="false">IF(Raw_Nigeria!K287="","n/a",Raw_Nigeria!K287)</f>
        <v>0-23 m</v>
      </c>
      <c r="M287" s="7" t="n">
        <f aca="false">IF(Raw_Nigeria!I287="","",Raw_Nigeria!I287)</f>
        <v>24.4</v>
      </c>
      <c r="N287" s="7" t="n">
        <f aca="false">Raw_Nigeria!M287</f>
        <v>28.5</v>
      </c>
      <c r="O287" s="7" t="str">
        <f aca="false">IF(Raw_Nigeria!N287="","",Raw_Nigeria!N287)</f>
        <v/>
      </c>
      <c r="P287" s="7" t="str">
        <f aca="false">IF(K287="CBAW","Women of child-bearing age","Children")</f>
        <v>Children</v>
      </c>
      <c r="Q287" s="7" t="n">
        <f aca="false">IF(J287="NOT USED",1,0)</f>
        <v>0</v>
      </c>
      <c r="R287" s="7" t="n">
        <f aca="false">IF(AND(P287="Children",Q287=0),1,0)</f>
        <v>1</v>
      </c>
      <c r="S287" s="7" t="n">
        <f aca="false">IF(AND(R287=1,J287="Record or Recall",K287="12-23 m"),1,0)</f>
        <v>0</v>
      </c>
      <c r="T287" s="7" t="n">
        <f aca="false">IF(OR(I287="BCG",I287="DTP1",I287="DTP3",I287="POL3",I287="MCV1",I287="FULL"),1,0)</f>
        <v>1</v>
      </c>
      <c r="U287" s="7" t="n">
        <f aca="false">IF(OR(C287="DHS",C287="MICS"),1,0)</f>
        <v>1</v>
      </c>
      <c r="V287" s="7" t="n">
        <f aca="false">IF(O287="",1,0)</f>
        <v>1</v>
      </c>
      <c r="W287" s="7" t="n">
        <f aca="false">IF(M287="",1,0)</f>
        <v>0</v>
      </c>
      <c r="X287" s="7" t="n">
        <f aca="false">COUNTIFS($B$2:$B$1141,B287,$H$2:$H$1141,H287,$I$2:$I$1141,I287,$J$2:$J$1141,J287,$K$2:$K$1141,K287,$L$2:$L$1141,L287)</f>
        <v>1</v>
      </c>
    </row>
    <row r="288" customFormat="false" ht="15" hidden="false" customHeight="false" outlineLevel="0" collapsed="false">
      <c r="A288" s="7" t="n">
        <f aca="false">ROW()-1</f>
        <v>287</v>
      </c>
      <c r="B288" s="7" t="str">
        <f aca="false">IF(Raw_Nigeria!B288="",TRIM(Raw_Nigeria!C288),TRIM(Raw_Nigeria!B288))</f>
        <v>Nigeria Multiple Indicator Cluster Survey 2011</v>
      </c>
      <c r="C288" s="7" t="str">
        <f aca="false">IF(ISNUMBER(SEARCH("Demographic and Health",B288)),"DHS",IF(OR(ISNUMBER(SEARCH("Multiple Indicator Cluster",B288)),ISNUMBER(SEARCH("MICS",B288))),"MICS",IF(ISNUMBER(SEARCH("Immunization Coverage Survey",B288)),"Coverage survey",IF(ISNUMBER(SEARCH("Nutrition",B288)),"Nutrition survey","Other"))))</f>
        <v>MICS</v>
      </c>
      <c r="D288" s="7" t="n">
        <f aca="false">VALUE(LEFT(Raw_Nigeria!D288,4))</f>
        <v>2011</v>
      </c>
      <c r="E288" s="7" t="n">
        <f aca="false">IF(VALUE(RIGHT(Raw_Nigeria!D288,2))&gt;12,"",VALUE(RIGHT(Raw_Nigeria!D288,2)))</f>
        <v>2</v>
      </c>
      <c r="F288" s="7" t="n">
        <f aca="false">VALUE(LEFT(Raw_Nigeria!E288,4))</f>
        <v>2011</v>
      </c>
      <c r="G288" s="7" t="n">
        <f aca="false">IF(VALUE(RIGHT(Raw_Nigeria!E288,2))&gt;12,"",VALUE(RIGHT(Raw_Nigeria!E288,2)))</f>
        <v>3</v>
      </c>
      <c r="H288" s="7" t="n">
        <f aca="false">Raw_Nigeria!F288</f>
        <v>2010</v>
      </c>
      <c r="I288" s="7" t="str">
        <f aca="false">UPPER(TRIM(Raw_Nigeria!G288))</f>
        <v>BCG</v>
      </c>
      <c r="J288" s="7" t="str">
        <f aca="false">Raw_Nigeria!H288</f>
        <v>Record or Recall</v>
      </c>
      <c r="K288" s="7" t="str">
        <f aca="false">Raw_Nigeria!L288</f>
        <v>12-23 m</v>
      </c>
      <c r="L288" s="7" t="str">
        <f aca="false">IF(Raw_Nigeria!K288="","n/a",Raw_Nigeria!K288)</f>
        <v>0-23 m</v>
      </c>
      <c r="M288" s="7" t="n">
        <f aca="false">IF(Raw_Nigeria!I288="","",Raw_Nigeria!I288)</f>
        <v>24.4</v>
      </c>
      <c r="N288" s="7" t="n">
        <f aca="false">Raw_Nigeria!M288</f>
        <v>62.4</v>
      </c>
      <c r="O288" s="7" t="n">
        <f aca="false">IF(Raw_Nigeria!N288="","",Raw_Nigeria!N288)</f>
        <v>4986</v>
      </c>
      <c r="P288" s="7" t="str">
        <f aca="false">IF(K288="CBAW","Women of child-bearing age","Children")</f>
        <v>Children</v>
      </c>
      <c r="Q288" s="7" t="n">
        <f aca="false">IF(J288="NOT USED",1,0)</f>
        <v>0</v>
      </c>
      <c r="R288" s="7" t="n">
        <f aca="false">IF(AND(P288="Children",Q288=0),1,0)</f>
        <v>1</v>
      </c>
      <c r="S288" s="7" t="n">
        <f aca="false">IF(AND(R288=1,J288="Record or Recall",K288="12-23 m"),1,0)</f>
        <v>1</v>
      </c>
      <c r="T288" s="7" t="n">
        <f aca="false">IF(OR(I288="BCG",I288="DTP1",I288="DTP3",I288="POL3",I288="MCV1",I288="FULL"),1,0)</f>
        <v>1</v>
      </c>
      <c r="U288" s="7" t="n">
        <f aca="false">IF(OR(C288="DHS",C288="MICS"),1,0)</f>
        <v>1</v>
      </c>
      <c r="V288" s="7" t="n">
        <f aca="false">IF(O288="",1,0)</f>
        <v>0</v>
      </c>
      <c r="W288" s="7" t="n">
        <f aca="false">IF(M288="",1,0)</f>
        <v>0</v>
      </c>
      <c r="X288" s="7" t="n">
        <f aca="false">COUNTIFS($B$2:$B$1141,B288,$H$2:$H$1141,H288,$I$2:$I$1141,I288,$J$2:$J$1141,J288,$K$2:$K$1141,K288,$L$2:$L$1141,L288)</f>
        <v>1</v>
      </c>
    </row>
    <row r="289" customFormat="false" ht="15" hidden="false" customHeight="false" outlineLevel="0" collapsed="false">
      <c r="A289" s="7" t="n">
        <f aca="false">ROW()-1</f>
        <v>288</v>
      </c>
      <c r="B289" s="7" t="str">
        <f aca="false">IF(Raw_Nigeria!B289="",TRIM(Raw_Nigeria!C289),TRIM(Raw_Nigeria!B289))</f>
        <v>Nigeria Multiple Indicator Cluster Survey 2011</v>
      </c>
      <c r="C289" s="7" t="str">
        <f aca="false">IF(ISNUMBER(SEARCH("Demographic and Health",B289)),"DHS",IF(OR(ISNUMBER(SEARCH("Multiple Indicator Cluster",B289)),ISNUMBER(SEARCH("MICS",B289))),"MICS",IF(ISNUMBER(SEARCH("Immunization Coverage Survey",B289)),"Coverage survey",IF(ISNUMBER(SEARCH("Nutrition",B289)),"Nutrition survey","Other"))))</f>
        <v>MICS</v>
      </c>
      <c r="D289" s="7" t="n">
        <f aca="false">VALUE(LEFT(Raw_Nigeria!D289,4))</f>
        <v>2011</v>
      </c>
      <c r="E289" s="7" t="n">
        <f aca="false">IF(VALUE(RIGHT(Raw_Nigeria!D289,2))&gt;12,"",VALUE(RIGHT(Raw_Nigeria!D289,2)))</f>
        <v>2</v>
      </c>
      <c r="F289" s="7" t="n">
        <f aca="false">VALUE(LEFT(Raw_Nigeria!E289,4))</f>
        <v>2011</v>
      </c>
      <c r="G289" s="7" t="n">
        <f aca="false">IF(VALUE(RIGHT(Raw_Nigeria!E289,2))&gt;12,"",VALUE(RIGHT(Raw_Nigeria!E289,2)))</f>
        <v>3</v>
      </c>
      <c r="H289" s="7" t="n">
        <f aca="false">Raw_Nigeria!F289</f>
        <v>2010</v>
      </c>
      <c r="I289" s="7" t="str">
        <f aca="false">UPPER(TRIM(Raw_Nigeria!G289))</f>
        <v>BCG</v>
      </c>
      <c r="J289" s="7" t="str">
        <f aca="false">Raw_Nigeria!H289</f>
        <v>Recall</v>
      </c>
      <c r="K289" s="7" t="str">
        <f aca="false">Raw_Nigeria!L289</f>
        <v>12-23 m</v>
      </c>
      <c r="L289" s="7" t="str">
        <f aca="false">IF(Raw_Nigeria!K289="","n/a",Raw_Nigeria!K289)</f>
        <v>0-23 m</v>
      </c>
      <c r="M289" s="7" t="n">
        <f aca="false">IF(Raw_Nigeria!I289="","",Raw_Nigeria!I289)</f>
        <v>24.4</v>
      </c>
      <c r="N289" s="7" t="n">
        <f aca="false">Raw_Nigeria!M289</f>
        <v>33.9</v>
      </c>
      <c r="O289" s="7" t="str">
        <f aca="false">IF(Raw_Nigeria!N289="","",Raw_Nigeria!N289)</f>
        <v/>
      </c>
      <c r="P289" s="7" t="str">
        <f aca="false">IF(K289="CBAW","Women of child-bearing age","Children")</f>
        <v>Children</v>
      </c>
      <c r="Q289" s="7" t="n">
        <f aca="false">IF(J289="NOT USED",1,0)</f>
        <v>0</v>
      </c>
      <c r="R289" s="7" t="n">
        <f aca="false">IF(AND(P289="Children",Q289=0),1,0)</f>
        <v>1</v>
      </c>
      <c r="S289" s="7" t="n">
        <f aca="false">IF(AND(R289=1,J289="Record or Recall",K289="12-23 m"),1,0)</f>
        <v>0</v>
      </c>
      <c r="T289" s="7" t="n">
        <f aca="false">IF(OR(I289="BCG",I289="DTP1",I289="DTP3",I289="POL3",I289="MCV1",I289="FULL"),1,0)</f>
        <v>1</v>
      </c>
      <c r="U289" s="7" t="n">
        <f aca="false">IF(OR(C289="DHS",C289="MICS"),1,0)</f>
        <v>1</v>
      </c>
      <c r="V289" s="7" t="n">
        <f aca="false">IF(O289="",1,0)</f>
        <v>1</v>
      </c>
      <c r="W289" s="7" t="n">
        <f aca="false">IF(M289="",1,0)</f>
        <v>0</v>
      </c>
      <c r="X289" s="7" t="n">
        <f aca="false">COUNTIFS($B$2:$B$1141,B289,$H$2:$H$1141,H289,$I$2:$I$1141,I289,$J$2:$J$1141,J289,$K$2:$K$1141,K289,$L$2:$L$1141,L289)</f>
        <v>1</v>
      </c>
    </row>
    <row r="290" customFormat="false" ht="15" hidden="false" customHeight="false" outlineLevel="0" collapsed="false">
      <c r="A290" s="7" t="n">
        <f aca="false">ROW()-1</f>
        <v>289</v>
      </c>
      <c r="B290" s="7" t="str">
        <f aca="false">IF(Raw_Nigeria!B290="",TRIM(Raw_Nigeria!C290),TRIM(Raw_Nigeria!B290))</f>
        <v>Nigeria Multiple Indicator Cluster Survey 2011</v>
      </c>
      <c r="C290" s="7" t="str">
        <f aca="false">IF(ISNUMBER(SEARCH("Demographic and Health",B290)),"DHS",IF(OR(ISNUMBER(SEARCH("Multiple Indicator Cluster",B290)),ISNUMBER(SEARCH("MICS",B290))),"MICS",IF(ISNUMBER(SEARCH("Immunization Coverage Survey",B290)),"Coverage survey",IF(ISNUMBER(SEARCH("Nutrition",B290)),"Nutrition survey","Other"))))</f>
        <v>MICS</v>
      </c>
      <c r="D290" s="7" t="n">
        <f aca="false">VALUE(LEFT(Raw_Nigeria!D290,4))</f>
        <v>2011</v>
      </c>
      <c r="E290" s="7" t="n">
        <f aca="false">IF(VALUE(RIGHT(Raw_Nigeria!D290,2))&gt;12,"",VALUE(RIGHT(Raw_Nigeria!D290,2)))</f>
        <v>2</v>
      </c>
      <c r="F290" s="7" t="n">
        <f aca="false">VALUE(LEFT(Raw_Nigeria!E290,4))</f>
        <v>2011</v>
      </c>
      <c r="G290" s="7" t="n">
        <f aca="false">IF(VALUE(RIGHT(Raw_Nigeria!E290,2))&gt;12,"",VALUE(RIGHT(Raw_Nigeria!E290,2)))</f>
        <v>3</v>
      </c>
      <c r="H290" s="7" t="n">
        <f aca="false">Raw_Nigeria!F290</f>
        <v>2010</v>
      </c>
      <c r="I290" s="7" t="str">
        <f aca="false">UPPER(TRIM(Raw_Nigeria!G290))</f>
        <v>DTP1</v>
      </c>
      <c r="J290" s="7" t="str">
        <f aca="false">Raw_Nigeria!H290</f>
        <v>Record or Recall&lt;12m</v>
      </c>
      <c r="K290" s="7" t="str">
        <f aca="false">Raw_Nigeria!L290</f>
        <v>12-23 m</v>
      </c>
      <c r="L290" s="7" t="str">
        <f aca="false">IF(Raw_Nigeria!K290="","n/a",Raw_Nigeria!K290)</f>
        <v>0-12 m</v>
      </c>
      <c r="M290" s="7" t="n">
        <f aca="false">IF(Raw_Nigeria!I290="","",Raw_Nigeria!I290)</f>
        <v>24.4</v>
      </c>
      <c r="N290" s="7" t="n">
        <f aca="false">Raw_Nigeria!M290</f>
        <v>59.3</v>
      </c>
      <c r="O290" s="7" t="str">
        <f aca="false">IF(Raw_Nigeria!N290="","",Raw_Nigeria!N290)</f>
        <v/>
      </c>
      <c r="P290" s="7" t="str">
        <f aca="false">IF(K290="CBAW","Women of child-bearing age","Children")</f>
        <v>Children</v>
      </c>
      <c r="Q290" s="7" t="n">
        <f aca="false">IF(J290="NOT USED",1,0)</f>
        <v>0</v>
      </c>
      <c r="R290" s="7" t="n">
        <f aca="false">IF(AND(P290="Children",Q290=0),1,0)</f>
        <v>1</v>
      </c>
      <c r="S290" s="7" t="n">
        <f aca="false">IF(AND(R290=1,J290="Record or Recall",K290="12-23 m"),1,0)</f>
        <v>0</v>
      </c>
      <c r="T290" s="7" t="n">
        <f aca="false">IF(OR(I290="BCG",I290="DTP1",I290="DTP3",I290="POL3",I290="MCV1",I290="FULL"),1,0)</f>
        <v>1</v>
      </c>
      <c r="U290" s="7" t="n">
        <f aca="false">IF(OR(C290="DHS",C290="MICS"),1,0)</f>
        <v>1</v>
      </c>
      <c r="V290" s="7" t="n">
        <f aca="false">IF(O290="",1,0)</f>
        <v>1</v>
      </c>
      <c r="W290" s="7" t="n">
        <f aca="false">IF(M290="",1,0)</f>
        <v>0</v>
      </c>
      <c r="X290" s="7" t="n">
        <f aca="false">COUNTIFS($B$2:$B$1141,B290,$H$2:$H$1141,H290,$I$2:$I$1141,I290,$J$2:$J$1141,J290,$K$2:$K$1141,K290,$L$2:$L$1141,L290)</f>
        <v>1</v>
      </c>
    </row>
    <row r="291" customFormat="false" ht="15" hidden="false" customHeight="false" outlineLevel="0" collapsed="false">
      <c r="A291" s="7" t="n">
        <f aca="false">ROW()-1</f>
        <v>290</v>
      </c>
      <c r="B291" s="7" t="str">
        <f aca="false">IF(Raw_Nigeria!B291="",TRIM(Raw_Nigeria!C291),TRIM(Raw_Nigeria!B291))</f>
        <v>Nigeria Multiple Indicator Cluster Survey 2011</v>
      </c>
      <c r="C291" s="7" t="str">
        <f aca="false">IF(ISNUMBER(SEARCH("Demographic and Health",B291)),"DHS",IF(OR(ISNUMBER(SEARCH("Multiple Indicator Cluster",B291)),ISNUMBER(SEARCH("MICS",B291))),"MICS",IF(ISNUMBER(SEARCH("Immunization Coverage Survey",B291)),"Coverage survey",IF(ISNUMBER(SEARCH("Nutrition",B291)),"Nutrition survey","Other"))))</f>
        <v>MICS</v>
      </c>
      <c r="D291" s="7" t="n">
        <f aca="false">VALUE(LEFT(Raw_Nigeria!D291,4))</f>
        <v>2011</v>
      </c>
      <c r="E291" s="7" t="n">
        <f aca="false">IF(VALUE(RIGHT(Raw_Nigeria!D291,2))&gt;12,"",VALUE(RIGHT(Raw_Nigeria!D291,2)))</f>
        <v>2</v>
      </c>
      <c r="F291" s="7" t="n">
        <f aca="false">VALUE(LEFT(Raw_Nigeria!E291,4))</f>
        <v>2011</v>
      </c>
      <c r="G291" s="7" t="n">
        <f aca="false">IF(VALUE(RIGHT(Raw_Nigeria!E291,2))&gt;12,"",VALUE(RIGHT(Raw_Nigeria!E291,2)))</f>
        <v>3</v>
      </c>
      <c r="H291" s="7" t="n">
        <f aca="false">Raw_Nigeria!F291</f>
        <v>2010</v>
      </c>
      <c r="I291" s="7" t="str">
        <f aca="false">UPPER(TRIM(Raw_Nigeria!G291))</f>
        <v>DTP1</v>
      </c>
      <c r="J291" s="7" t="str">
        <f aca="false">Raw_Nigeria!H291</f>
        <v>Record</v>
      </c>
      <c r="K291" s="7" t="str">
        <f aca="false">Raw_Nigeria!L291</f>
        <v>12-23 m</v>
      </c>
      <c r="L291" s="7" t="str">
        <f aca="false">IF(Raw_Nigeria!K291="","n/a",Raw_Nigeria!K291)</f>
        <v>0-23 m</v>
      </c>
      <c r="M291" s="7" t="n">
        <f aca="false">IF(Raw_Nigeria!I291="","",Raw_Nigeria!I291)</f>
        <v>24.4</v>
      </c>
      <c r="N291" s="7" t="n">
        <f aca="false">Raw_Nigeria!M291</f>
        <v>29.3</v>
      </c>
      <c r="O291" s="7" t="str">
        <f aca="false">IF(Raw_Nigeria!N291="","",Raw_Nigeria!N291)</f>
        <v/>
      </c>
      <c r="P291" s="7" t="str">
        <f aca="false">IF(K291="CBAW","Women of child-bearing age","Children")</f>
        <v>Children</v>
      </c>
      <c r="Q291" s="7" t="n">
        <f aca="false">IF(J291="NOT USED",1,0)</f>
        <v>0</v>
      </c>
      <c r="R291" s="7" t="n">
        <f aca="false">IF(AND(P291="Children",Q291=0),1,0)</f>
        <v>1</v>
      </c>
      <c r="S291" s="7" t="n">
        <f aca="false">IF(AND(R291=1,J291="Record or Recall",K291="12-23 m"),1,0)</f>
        <v>0</v>
      </c>
      <c r="T291" s="7" t="n">
        <f aca="false">IF(OR(I291="BCG",I291="DTP1",I291="DTP3",I291="POL3",I291="MCV1",I291="FULL"),1,0)</f>
        <v>1</v>
      </c>
      <c r="U291" s="7" t="n">
        <f aca="false">IF(OR(C291="DHS",C291="MICS"),1,0)</f>
        <v>1</v>
      </c>
      <c r="V291" s="7" t="n">
        <f aca="false">IF(O291="",1,0)</f>
        <v>1</v>
      </c>
      <c r="W291" s="7" t="n">
        <f aca="false">IF(M291="",1,0)</f>
        <v>0</v>
      </c>
      <c r="X291" s="7" t="n">
        <f aca="false">COUNTIFS($B$2:$B$1141,B291,$H$2:$H$1141,H291,$I$2:$I$1141,I291,$J$2:$J$1141,J291,$K$2:$K$1141,K291,$L$2:$L$1141,L291)</f>
        <v>1</v>
      </c>
    </row>
    <row r="292" customFormat="false" ht="15" hidden="false" customHeight="false" outlineLevel="0" collapsed="false">
      <c r="A292" s="7" t="n">
        <f aca="false">ROW()-1</f>
        <v>291</v>
      </c>
      <c r="B292" s="7" t="str">
        <f aca="false">IF(Raw_Nigeria!B292="",TRIM(Raw_Nigeria!C292),TRIM(Raw_Nigeria!B292))</f>
        <v>Nigeria Multiple Indicator Cluster Survey 2011</v>
      </c>
      <c r="C292" s="7" t="str">
        <f aca="false">IF(ISNUMBER(SEARCH("Demographic and Health",B292)),"DHS",IF(OR(ISNUMBER(SEARCH("Multiple Indicator Cluster",B292)),ISNUMBER(SEARCH("MICS",B292))),"MICS",IF(ISNUMBER(SEARCH("Immunization Coverage Survey",B292)),"Coverage survey",IF(ISNUMBER(SEARCH("Nutrition",B292)),"Nutrition survey","Other"))))</f>
        <v>MICS</v>
      </c>
      <c r="D292" s="7" t="n">
        <f aca="false">VALUE(LEFT(Raw_Nigeria!D292,4))</f>
        <v>2011</v>
      </c>
      <c r="E292" s="7" t="n">
        <f aca="false">IF(VALUE(RIGHT(Raw_Nigeria!D292,2))&gt;12,"",VALUE(RIGHT(Raw_Nigeria!D292,2)))</f>
        <v>2</v>
      </c>
      <c r="F292" s="7" t="n">
        <f aca="false">VALUE(LEFT(Raw_Nigeria!E292,4))</f>
        <v>2011</v>
      </c>
      <c r="G292" s="7" t="n">
        <f aca="false">IF(VALUE(RIGHT(Raw_Nigeria!E292,2))&gt;12,"",VALUE(RIGHT(Raw_Nigeria!E292,2)))</f>
        <v>3</v>
      </c>
      <c r="H292" s="7" t="n">
        <f aca="false">Raw_Nigeria!F292</f>
        <v>2010</v>
      </c>
      <c r="I292" s="7" t="str">
        <f aca="false">UPPER(TRIM(Raw_Nigeria!G292))</f>
        <v>DTP1</v>
      </c>
      <c r="J292" s="7" t="str">
        <f aca="false">Raw_Nigeria!H292</f>
        <v>Record or Recall</v>
      </c>
      <c r="K292" s="7" t="str">
        <f aca="false">Raw_Nigeria!L292</f>
        <v>12-23 m</v>
      </c>
      <c r="L292" s="7" t="str">
        <f aca="false">IF(Raw_Nigeria!K292="","n/a",Raw_Nigeria!K292)</f>
        <v>0-23 m</v>
      </c>
      <c r="M292" s="7" t="n">
        <f aca="false">IF(Raw_Nigeria!I292="","",Raw_Nigeria!I292)</f>
        <v>24.4</v>
      </c>
      <c r="N292" s="7" t="n">
        <f aca="false">Raw_Nigeria!M292</f>
        <v>60.4</v>
      </c>
      <c r="O292" s="7" t="n">
        <f aca="false">IF(Raw_Nigeria!N292="","",Raw_Nigeria!N292)</f>
        <v>4986</v>
      </c>
      <c r="P292" s="7" t="str">
        <f aca="false">IF(K292="CBAW","Women of child-bearing age","Children")</f>
        <v>Children</v>
      </c>
      <c r="Q292" s="7" t="n">
        <f aca="false">IF(J292="NOT USED",1,0)</f>
        <v>0</v>
      </c>
      <c r="R292" s="7" t="n">
        <f aca="false">IF(AND(P292="Children",Q292=0),1,0)</f>
        <v>1</v>
      </c>
      <c r="S292" s="7" t="n">
        <f aca="false">IF(AND(R292=1,J292="Record or Recall",K292="12-23 m"),1,0)</f>
        <v>1</v>
      </c>
      <c r="T292" s="7" t="n">
        <f aca="false">IF(OR(I292="BCG",I292="DTP1",I292="DTP3",I292="POL3",I292="MCV1",I292="FULL"),1,0)</f>
        <v>1</v>
      </c>
      <c r="U292" s="7" t="n">
        <f aca="false">IF(OR(C292="DHS",C292="MICS"),1,0)</f>
        <v>1</v>
      </c>
      <c r="V292" s="7" t="n">
        <f aca="false">IF(O292="",1,0)</f>
        <v>0</v>
      </c>
      <c r="W292" s="7" t="n">
        <f aca="false">IF(M292="",1,0)</f>
        <v>0</v>
      </c>
      <c r="X292" s="7" t="n">
        <f aca="false">COUNTIFS($B$2:$B$1141,B292,$H$2:$H$1141,H292,$I$2:$I$1141,I292,$J$2:$J$1141,J292,$K$2:$K$1141,K292,$L$2:$L$1141,L292)</f>
        <v>1</v>
      </c>
    </row>
    <row r="293" customFormat="false" ht="15" hidden="false" customHeight="false" outlineLevel="0" collapsed="false">
      <c r="A293" s="7" t="n">
        <f aca="false">ROW()-1</f>
        <v>292</v>
      </c>
      <c r="B293" s="7" t="str">
        <f aca="false">IF(Raw_Nigeria!B293="",TRIM(Raw_Nigeria!C293),TRIM(Raw_Nigeria!B293))</f>
        <v>Nigeria Multiple Indicator Cluster Survey 2011</v>
      </c>
      <c r="C293" s="7" t="str">
        <f aca="false">IF(ISNUMBER(SEARCH("Demographic and Health",B293)),"DHS",IF(OR(ISNUMBER(SEARCH("Multiple Indicator Cluster",B293)),ISNUMBER(SEARCH("MICS",B293))),"MICS",IF(ISNUMBER(SEARCH("Immunization Coverage Survey",B293)),"Coverage survey",IF(ISNUMBER(SEARCH("Nutrition",B293)),"Nutrition survey","Other"))))</f>
        <v>MICS</v>
      </c>
      <c r="D293" s="7" t="n">
        <f aca="false">VALUE(LEFT(Raw_Nigeria!D293,4))</f>
        <v>2011</v>
      </c>
      <c r="E293" s="7" t="n">
        <f aca="false">IF(VALUE(RIGHT(Raw_Nigeria!D293,2))&gt;12,"",VALUE(RIGHT(Raw_Nigeria!D293,2)))</f>
        <v>2</v>
      </c>
      <c r="F293" s="7" t="n">
        <f aca="false">VALUE(LEFT(Raw_Nigeria!E293,4))</f>
        <v>2011</v>
      </c>
      <c r="G293" s="7" t="n">
        <f aca="false">IF(VALUE(RIGHT(Raw_Nigeria!E293,2))&gt;12,"",VALUE(RIGHT(Raw_Nigeria!E293,2)))</f>
        <v>3</v>
      </c>
      <c r="H293" s="7" t="n">
        <f aca="false">Raw_Nigeria!F293</f>
        <v>2010</v>
      </c>
      <c r="I293" s="7" t="str">
        <f aca="false">UPPER(TRIM(Raw_Nigeria!G293))</f>
        <v>DTP1</v>
      </c>
      <c r="J293" s="7" t="str">
        <f aca="false">Raw_Nigeria!H293</f>
        <v>Recall</v>
      </c>
      <c r="K293" s="7" t="str">
        <f aca="false">Raw_Nigeria!L293</f>
        <v>12-23 m</v>
      </c>
      <c r="L293" s="7" t="str">
        <f aca="false">IF(Raw_Nigeria!K293="","n/a",Raw_Nigeria!K293)</f>
        <v>0-23 m</v>
      </c>
      <c r="M293" s="7" t="n">
        <f aca="false">IF(Raw_Nigeria!I293="","",Raw_Nigeria!I293)</f>
        <v>24.4</v>
      </c>
      <c r="N293" s="7" t="n">
        <f aca="false">Raw_Nigeria!M293</f>
        <v>31.1</v>
      </c>
      <c r="O293" s="7" t="str">
        <f aca="false">IF(Raw_Nigeria!N293="","",Raw_Nigeria!N293)</f>
        <v/>
      </c>
      <c r="P293" s="7" t="str">
        <f aca="false">IF(K293="CBAW","Women of child-bearing age","Children")</f>
        <v>Children</v>
      </c>
      <c r="Q293" s="7" t="n">
        <f aca="false">IF(J293="NOT USED",1,0)</f>
        <v>0</v>
      </c>
      <c r="R293" s="7" t="n">
        <f aca="false">IF(AND(P293="Children",Q293=0),1,0)</f>
        <v>1</v>
      </c>
      <c r="S293" s="7" t="n">
        <f aca="false">IF(AND(R293=1,J293="Record or Recall",K293="12-23 m"),1,0)</f>
        <v>0</v>
      </c>
      <c r="T293" s="7" t="n">
        <f aca="false">IF(OR(I293="BCG",I293="DTP1",I293="DTP3",I293="POL3",I293="MCV1",I293="FULL"),1,0)</f>
        <v>1</v>
      </c>
      <c r="U293" s="7" t="n">
        <f aca="false">IF(OR(C293="DHS",C293="MICS"),1,0)</f>
        <v>1</v>
      </c>
      <c r="V293" s="7" t="n">
        <f aca="false">IF(O293="",1,0)</f>
        <v>1</v>
      </c>
      <c r="W293" s="7" t="n">
        <f aca="false">IF(M293="",1,0)</f>
        <v>0</v>
      </c>
      <c r="X293" s="7" t="n">
        <f aca="false">COUNTIFS($B$2:$B$1141,B293,$H$2:$H$1141,H293,$I$2:$I$1141,I293,$J$2:$J$1141,J293,$K$2:$K$1141,K293,$L$2:$L$1141,L293)</f>
        <v>1</v>
      </c>
    </row>
    <row r="294" customFormat="false" ht="15" hidden="false" customHeight="false" outlineLevel="0" collapsed="false">
      <c r="A294" s="7" t="n">
        <f aca="false">ROW()-1</f>
        <v>293</v>
      </c>
      <c r="B294" s="7" t="str">
        <f aca="false">IF(Raw_Nigeria!B294="",TRIM(Raw_Nigeria!C294),TRIM(Raw_Nigeria!B294))</f>
        <v>Nigeria Multiple Indicator Cluster Survey 2011</v>
      </c>
      <c r="C294" s="7" t="str">
        <f aca="false">IF(ISNUMBER(SEARCH("Demographic and Health",B294)),"DHS",IF(OR(ISNUMBER(SEARCH("Multiple Indicator Cluster",B294)),ISNUMBER(SEARCH("MICS",B294))),"MICS",IF(ISNUMBER(SEARCH("Immunization Coverage Survey",B294)),"Coverage survey",IF(ISNUMBER(SEARCH("Nutrition",B294)),"Nutrition survey","Other"))))</f>
        <v>MICS</v>
      </c>
      <c r="D294" s="7" t="n">
        <f aca="false">VALUE(LEFT(Raw_Nigeria!D294,4))</f>
        <v>2011</v>
      </c>
      <c r="E294" s="7" t="n">
        <f aca="false">IF(VALUE(RIGHT(Raw_Nigeria!D294,2))&gt;12,"",VALUE(RIGHT(Raw_Nigeria!D294,2)))</f>
        <v>2</v>
      </c>
      <c r="F294" s="7" t="n">
        <f aca="false">VALUE(LEFT(Raw_Nigeria!E294,4))</f>
        <v>2011</v>
      </c>
      <c r="G294" s="7" t="n">
        <f aca="false">IF(VALUE(RIGHT(Raw_Nigeria!E294,2))&gt;12,"",VALUE(RIGHT(Raw_Nigeria!E294,2)))</f>
        <v>3</v>
      </c>
      <c r="H294" s="7" t="n">
        <f aca="false">Raw_Nigeria!F294</f>
        <v>2010</v>
      </c>
      <c r="I294" s="7" t="str">
        <f aca="false">UPPER(TRIM(Raw_Nigeria!G294))</f>
        <v>DTP3</v>
      </c>
      <c r="J294" s="7" t="str">
        <f aca="false">Raw_Nigeria!H294</f>
        <v>Record or Recall&lt;12m</v>
      </c>
      <c r="K294" s="7" t="str">
        <f aca="false">Raw_Nigeria!L294</f>
        <v>12-23 m</v>
      </c>
      <c r="L294" s="7" t="str">
        <f aca="false">IF(Raw_Nigeria!K294="","n/a",Raw_Nigeria!K294)</f>
        <v>0-12 m</v>
      </c>
      <c r="M294" s="7" t="n">
        <f aca="false">IF(Raw_Nigeria!I294="","",Raw_Nigeria!I294)</f>
        <v>24.4</v>
      </c>
      <c r="N294" s="7" t="n">
        <f aca="false">Raw_Nigeria!M294</f>
        <v>42.6</v>
      </c>
      <c r="O294" s="7" t="n">
        <f aca="false">IF(Raw_Nigeria!N294="","",Raw_Nigeria!N294)</f>
        <v>4986</v>
      </c>
      <c r="P294" s="7" t="str">
        <f aca="false">IF(K294="CBAW","Women of child-bearing age","Children")</f>
        <v>Children</v>
      </c>
      <c r="Q294" s="7" t="n">
        <f aca="false">IF(J294="NOT USED",1,0)</f>
        <v>0</v>
      </c>
      <c r="R294" s="7" t="n">
        <f aca="false">IF(AND(P294="Children",Q294=0),1,0)</f>
        <v>1</v>
      </c>
      <c r="S294" s="7" t="n">
        <f aca="false">IF(AND(R294=1,J294="Record or Recall",K294="12-23 m"),1,0)</f>
        <v>0</v>
      </c>
      <c r="T294" s="7" t="n">
        <f aca="false">IF(OR(I294="BCG",I294="DTP1",I294="DTP3",I294="POL3",I294="MCV1",I294="FULL"),1,0)</f>
        <v>1</v>
      </c>
      <c r="U294" s="7" t="n">
        <f aca="false">IF(OR(C294="DHS",C294="MICS"),1,0)</f>
        <v>1</v>
      </c>
      <c r="V294" s="7" t="n">
        <f aca="false">IF(O294="",1,0)</f>
        <v>0</v>
      </c>
      <c r="W294" s="7" t="n">
        <f aca="false">IF(M294="",1,0)</f>
        <v>0</v>
      </c>
      <c r="X294" s="7" t="n">
        <f aca="false">COUNTIFS($B$2:$B$1141,B294,$H$2:$H$1141,H294,$I$2:$I$1141,I294,$J$2:$J$1141,J294,$K$2:$K$1141,K294,$L$2:$L$1141,L294)</f>
        <v>1</v>
      </c>
    </row>
    <row r="295" customFormat="false" ht="15" hidden="false" customHeight="false" outlineLevel="0" collapsed="false">
      <c r="A295" s="7" t="n">
        <f aca="false">ROW()-1</f>
        <v>294</v>
      </c>
      <c r="B295" s="7" t="str">
        <f aca="false">IF(Raw_Nigeria!B295="",TRIM(Raw_Nigeria!C295),TRIM(Raw_Nigeria!B295))</f>
        <v>Nigeria Multiple Indicator Cluster Survey 2011</v>
      </c>
      <c r="C295" s="7" t="str">
        <f aca="false">IF(ISNUMBER(SEARCH("Demographic and Health",B295)),"DHS",IF(OR(ISNUMBER(SEARCH("Multiple Indicator Cluster",B295)),ISNUMBER(SEARCH("MICS",B295))),"MICS",IF(ISNUMBER(SEARCH("Immunization Coverage Survey",B295)),"Coverage survey",IF(ISNUMBER(SEARCH("Nutrition",B295)),"Nutrition survey","Other"))))</f>
        <v>MICS</v>
      </c>
      <c r="D295" s="7" t="n">
        <f aca="false">VALUE(LEFT(Raw_Nigeria!D295,4))</f>
        <v>2011</v>
      </c>
      <c r="E295" s="7" t="n">
        <f aca="false">IF(VALUE(RIGHT(Raw_Nigeria!D295,2))&gt;12,"",VALUE(RIGHT(Raw_Nigeria!D295,2)))</f>
        <v>2</v>
      </c>
      <c r="F295" s="7" t="n">
        <f aca="false">VALUE(LEFT(Raw_Nigeria!E295,4))</f>
        <v>2011</v>
      </c>
      <c r="G295" s="7" t="n">
        <f aca="false">IF(VALUE(RIGHT(Raw_Nigeria!E295,2))&gt;12,"",VALUE(RIGHT(Raw_Nigeria!E295,2)))</f>
        <v>3</v>
      </c>
      <c r="H295" s="7" t="n">
        <f aca="false">Raw_Nigeria!F295</f>
        <v>2010</v>
      </c>
      <c r="I295" s="7" t="str">
        <f aca="false">UPPER(TRIM(Raw_Nigeria!G295))</f>
        <v>DTP3</v>
      </c>
      <c r="J295" s="7" t="str">
        <f aca="false">Raw_Nigeria!H295</f>
        <v>Record</v>
      </c>
      <c r="K295" s="7" t="str">
        <f aca="false">Raw_Nigeria!L295</f>
        <v>12-23 m</v>
      </c>
      <c r="L295" s="7" t="str">
        <f aca="false">IF(Raw_Nigeria!K295="","n/a",Raw_Nigeria!K295)</f>
        <v>0-23 m</v>
      </c>
      <c r="M295" s="7" t="n">
        <f aca="false">IF(Raw_Nigeria!I295="","",Raw_Nigeria!I295)</f>
        <v>24.4</v>
      </c>
      <c r="N295" s="7" t="n">
        <f aca="false">Raw_Nigeria!M295</f>
        <v>26.5</v>
      </c>
      <c r="O295" s="7" t="str">
        <f aca="false">IF(Raw_Nigeria!N295="","",Raw_Nigeria!N295)</f>
        <v/>
      </c>
      <c r="P295" s="7" t="str">
        <f aca="false">IF(K295="CBAW","Women of child-bearing age","Children")</f>
        <v>Children</v>
      </c>
      <c r="Q295" s="7" t="n">
        <f aca="false">IF(J295="NOT USED",1,0)</f>
        <v>0</v>
      </c>
      <c r="R295" s="7" t="n">
        <f aca="false">IF(AND(P295="Children",Q295=0),1,0)</f>
        <v>1</v>
      </c>
      <c r="S295" s="7" t="n">
        <f aca="false">IF(AND(R295=1,J295="Record or Recall",K295="12-23 m"),1,0)</f>
        <v>0</v>
      </c>
      <c r="T295" s="7" t="n">
        <f aca="false">IF(OR(I295="BCG",I295="DTP1",I295="DTP3",I295="POL3",I295="MCV1",I295="FULL"),1,0)</f>
        <v>1</v>
      </c>
      <c r="U295" s="7" t="n">
        <f aca="false">IF(OR(C295="DHS",C295="MICS"),1,0)</f>
        <v>1</v>
      </c>
      <c r="V295" s="7" t="n">
        <f aca="false">IF(O295="",1,0)</f>
        <v>1</v>
      </c>
      <c r="W295" s="7" t="n">
        <f aca="false">IF(M295="",1,0)</f>
        <v>0</v>
      </c>
      <c r="X295" s="7" t="n">
        <f aca="false">COUNTIFS($B$2:$B$1141,B295,$H$2:$H$1141,H295,$I$2:$I$1141,I295,$J$2:$J$1141,J295,$K$2:$K$1141,K295,$L$2:$L$1141,L295)</f>
        <v>1</v>
      </c>
    </row>
    <row r="296" customFormat="false" ht="15" hidden="false" customHeight="false" outlineLevel="0" collapsed="false">
      <c r="A296" s="7" t="n">
        <f aca="false">ROW()-1</f>
        <v>295</v>
      </c>
      <c r="B296" s="7" t="str">
        <f aca="false">IF(Raw_Nigeria!B296="",TRIM(Raw_Nigeria!C296),TRIM(Raw_Nigeria!B296))</f>
        <v>Nigeria Multiple Indicator Cluster Survey 2011</v>
      </c>
      <c r="C296" s="7" t="str">
        <f aca="false">IF(ISNUMBER(SEARCH("Demographic and Health",B296)),"DHS",IF(OR(ISNUMBER(SEARCH("Multiple Indicator Cluster",B296)),ISNUMBER(SEARCH("MICS",B296))),"MICS",IF(ISNUMBER(SEARCH("Immunization Coverage Survey",B296)),"Coverage survey",IF(ISNUMBER(SEARCH("Nutrition",B296)),"Nutrition survey","Other"))))</f>
        <v>MICS</v>
      </c>
      <c r="D296" s="7" t="n">
        <f aca="false">VALUE(LEFT(Raw_Nigeria!D296,4))</f>
        <v>2011</v>
      </c>
      <c r="E296" s="7" t="n">
        <f aca="false">IF(VALUE(RIGHT(Raw_Nigeria!D296,2))&gt;12,"",VALUE(RIGHT(Raw_Nigeria!D296,2)))</f>
        <v>2</v>
      </c>
      <c r="F296" s="7" t="n">
        <f aca="false">VALUE(LEFT(Raw_Nigeria!E296,4))</f>
        <v>2011</v>
      </c>
      <c r="G296" s="7" t="n">
        <f aca="false">IF(VALUE(RIGHT(Raw_Nigeria!E296,2))&gt;12,"",VALUE(RIGHT(Raw_Nigeria!E296,2)))</f>
        <v>3</v>
      </c>
      <c r="H296" s="7" t="n">
        <f aca="false">Raw_Nigeria!F296</f>
        <v>2010</v>
      </c>
      <c r="I296" s="7" t="str">
        <f aca="false">UPPER(TRIM(Raw_Nigeria!G296))</f>
        <v>DTP3</v>
      </c>
      <c r="J296" s="7" t="str">
        <f aca="false">Raw_Nigeria!H296</f>
        <v>Record or Recall</v>
      </c>
      <c r="K296" s="7" t="str">
        <f aca="false">Raw_Nigeria!L296</f>
        <v>12-23 m</v>
      </c>
      <c r="L296" s="7" t="str">
        <f aca="false">IF(Raw_Nigeria!K296="","n/a",Raw_Nigeria!K296)</f>
        <v>0-23 m</v>
      </c>
      <c r="M296" s="7" t="n">
        <f aca="false">IF(Raw_Nigeria!I296="","",Raw_Nigeria!I296)</f>
        <v>24.4</v>
      </c>
      <c r="N296" s="7" t="n">
        <f aca="false">Raw_Nigeria!M296</f>
        <v>44.7</v>
      </c>
      <c r="O296" s="7" t="n">
        <f aca="false">IF(Raw_Nigeria!N296="","",Raw_Nigeria!N296)</f>
        <v>4986</v>
      </c>
      <c r="P296" s="7" t="str">
        <f aca="false">IF(K296="CBAW","Women of child-bearing age","Children")</f>
        <v>Children</v>
      </c>
      <c r="Q296" s="7" t="n">
        <f aca="false">IF(J296="NOT USED",1,0)</f>
        <v>0</v>
      </c>
      <c r="R296" s="7" t="n">
        <f aca="false">IF(AND(P296="Children",Q296=0),1,0)</f>
        <v>1</v>
      </c>
      <c r="S296" s="7" t="n">
        <f aca="false">IF(AND(R296=1,J296="Record or Recall",K296="12-23 m"),1,0)</f>
        <v>1</v>
      </c>
      <c r="T296" s="7" t="n">
        <f aca="false">IF(OR(I296="BCG",I296="DTP1",I296="DTP3",I296="POL3",I296="MCV1",I296="FULL"),1,0)</f>
        <v>1</v>
      </c>
      <c r="U296" s="7" t="n">
        <f aca="false">IF(OR(C296="DHS",C296="MICS"),1,0)</f>
        <v>1</v>
      </c>
      <c r="V296" s="7" t="n">
        <f aca="false">IF(O296="",1,0)</f>
        <v>0</v>
      </c>
      <c r="W296" s="7" t="n">
        <f aca="false">IF(M296="",1,0)</f>
        <v>0</v>
      </c>
      <c r="X296" s="7" t="n">
        <f aca="false">COUNTIFS($B$2:$B$1141,B296,$H$2:$H$1141,H296,$I$2:$I$1141,I296,$J$2:$J$1141,J296,$K$2:$K$1141,K296,$L$2:$L$1141,L296)</f>
        <v>1</v>
      </c>
    </row>
    <row r="297" customFormat="false" ht="15" hidden="false" customHeight="false" outlineLevel="0" collapsed="false">
      <c r="A297" s="7" t="n">
        <f aca="false">ROW()-1</f>
        <v>296</v>
      </c>
      <c r="B297" s="7" t="str">
        <f aca="false">IF(Raw_Nigeria!B297="",TRIM(Raw_Nigeria!C297),TRIM(Raw_Nigeria!B297))</f>
        <v>Nigeria Multiple Indicator Cluster Survey 2011</v>
      </c>
      <c r="C297" s="7" t="str">
        <f aca="false">IF(ISNUMBER(SEARCH("Demographic and Health",B297)),"DHS",IF(OR(ISNUMBER(SEARCH("Multiple Indicator Cluster",B297)),ISNUMBER(SEARCH("MICS",B297))),"MICS",IF(ISNUMBER(SEARCH("Immunization Coverage Survey",B297)),"Coverage survey",IF(ISNUMBER(SEARCH("Nutrition",B297)),"Nutrition survey","Other"))))</f>
        <v>MICS</v>
      </c>
      <c r="D297" s="7" t="n">
        <f aca="false">VALUE(LEFT(Raw_Nigeria!D297,4))</f>
        <v>2011</v>
      </c>
      <c r="E297" s="7" t="n">
        <f aca="false">IF(VALUE(RIGHT(Raw_Nigeria!D297,2))&gt;12,"",VALUE(RIGHT(Raw_Nigeria!D297,2)))</f>
        <v>2</v>
      </c>
      <c r="F297" s="7" t="n">
        <f aca="false">VALUE(LEFT(Raw_Nigeria!E297,4))</f>
        <v>2011</v>
      </c>
      <c r="G297" s="7" t="n">
        <f aca="false">IF(VALUE(RIGHT(Raw_Nigeria!E297,2))&gt;12,"",VALUE(RIGHT(Raw_Nigeria!E297,2)))</f>
        <v>3</v>
      </c>
      <c r="H297" s="7" t="n">
        <f aca="false">Raw_Nigeria!F297</f>
        <v>2010</v>
      </c>
      <c r="I297" s="7" t="str">
        <f aca="false">UPPER(TRIM(Raw_Nigeria!G297))</f>
        <v>DTP3</v>
      </c>
      <c r="J297" s="7" t="str">
        <f aca="false">Raw_Nigeria!H297</f>
        <v>Recall</v>
      </c>
      <c r="K297" s="7" t="str">
        <f aca="false">Raw_Nigeria!L297</f>
        <v>12-23 m</v>
      </c>
      <c r="L297" s="7" t="str">
        <f aca="false">IF(Raw_Nigeria!K297="","n/a",Raw_Nigeria!K297)</f>
        <v>0-23 m</v>
      </c>
      <c r="M297" s="7" t="n">
        <f aca="false">IF(Raw_Nigeria!I297="","",Raw_Nigeria!I297)</f>
        <v>24.4</v>
      </c>
      <c r="N297" s="7" t="n">
        <f aca="false">Raw_Nigeria!M297</f>
        <v>18.2</v>
      </c>
      <c r="O297" s="7" t="str">
        <f aca="false">IF(Raw_Nigeria!N297="","",Raw_Nigeria!N297)</f>
        <v/>
      </c>
      <c r="P297" s="7" t="str">
        <f aca="false">IF(K297="CBAW","Women of child-bearing age","Children")</f>
        <v>Children</v>
      </c>
      <c r="Q297" s="7" t="n">
        <f aca="false">IF(J297="NOT USED",1,0)</f>
        <v>0</v>
      </c>
      <c r="R297" s="7" t="n">
        <f aca="false">IF(AND(P297="Children",Q297=0),1,0)</f>
        <v>1</v>
      </c>
      <c r="S297" s="7" t="n">
        <f aca="false">IF(AND(R297=1,J297="Record or Recall",K297="12-23 m"),1,0)</f>
        <v>0</v>
      </c>
      <c r="T297" s="7" t="n">
        <f aca="false">IF(OR(I297="BCG",I297="DTP1",I297="DTP3",I297="POL3",I297="MCV1",I297="FULL"),1,0)</f>
        <v>1</v>
      </c>
      <c r="U297" s="7" t="n">
        <f aca="false">IF(OR(C297="DHS",C297="MICS"),1,0)</f>
        <v>1</v>
      </c>
      <c r="V297" s="7" t="n">
        <f aca="false">IF(O297="",1,0)</f>
        <v>1</v>
      </c>
      <c r="W297" s="7" t="n">
        <f aca="false">IF(M297="",1,0)</f>
        <v>0</v>
      </c>
      <c r="X297" s="7" t="n">
        <f aca="false">COUNTIFS($B$2:$B$1141,B297,$H$2:$H$1141,H297,$I$2:$I$1141,I297,$J$2:$J$1141,J297,$K$2:$K$1141,K297,$L$2:$L$1141,L297)</f>
        <v>1</v>
      </c>
    </row>
    <row r="298" customFormat="false" ht="15" hidden="false" customHeight="false" outlineLevel="0" collapsed="false">
      <c r="A298" s="7" t="n">
        <f aca="false">ROW()-1</f>
        <v>297</v>
      </c>
      <c r="B298" s="7" t="str">
        <f aca="false">IF(Raw_Nigeria!B298="",TRIM(Raw_Nigeria!C298),TRIM(Raw_Nigeria!B298))</f>
        <v>Nigeria Multiple Indicator Cluster Survey 2011</v>
      </c>
      <c r="C298" s="7" t="str">
        <f aca="false">IF(ISNUMBER(SEARCH("Demographic and Health",B298)),"DHS",IF(OR(ISNUMBER(SEARCH("Multiple Indicator Cluster",B298)),ISNUMBER(SEARCH("MICS",B298))),"MICS",IF(ISNUMBER(SEARCH("Immunization Coverage Survey",B298)),"Coverage survey",IF(ISNUMBER(SEARCH("Nutrition",B298)),"Nutrition survey","Other"))))</f>
        <v>MICS</v>
      </c>
      <c r="D298" s="7" t="n">
        <f aca="false">VALUE(LEFT(Raw_Nigeria!D298,4))</f>
        <v>2011</v>
      </c>
      <c r="E298" s="7" t="n">
        <f aca="false">IF(VALUE(RIGHT(Raw_Nigeria!D298,2))&gt;12,"",VALUE(RIGHT(Raw_Nigeria!D298,2)))</f>
        <v>2</v>
      </c>
      <c r="F298" s="7" t="n">
        <f aca="false">VALUE(LEFT(Raw_Nigeria!E298,4))</f>
        <v>2011</v>
      </c>
      <c r="G298" s="7" t="n">
        <f aca="false">IF(VALUE(RIGHT(Raw_Nigeria!E298,2))&gt;12,"",VALUE(RIGHT(Raw_Nigeria!E298,2)))</f>
        <v>3</v>
      </c>
      <c r="H298" s="7" t="n">
        <f aca="false">Raw_Nigeria!F298</f>
        <v>2010</v>
      </c>
      <c r="I298" s="7" t="str">
        <f aca="false">UPPER(TRIM(Raw_Nigeria!G298))</f>
        <v>FULL</v>
      </c>
      <c r="J298" s="7" t="str">
        <f aca="false">Raw_Nigeria!H298</f>
        <v>Record or Recall&lt;12m</v>
      </c>
      <c r="K298" s="7" t="str">
        <f aca="false">Raw_Nigeria!L298</f>
        <v>12-23 m</v>
      </c>
      <c r="L298" s="7" t="str">
        <f aca="false">IF(Raw_Nigeria!K298="","n/a",Raw_Nigeria!K298)</f>
        <v>0-12 m</v>
      </c>
      <c r="M298" s="7" t="n">
        <f aca="false">IF(Raw_Nigeria!I298="","",Raw_Nigeria!I298)</f>
        <v>24.4</v>
      </c>
      <c r="N298" s="7" t="n">
        <f aca="false">Raw_Nigeria!M298</f>
        <v>19.6</v>
      </c>
      <c r="O298" s="7" t="n">
        <f aca="false">IF(Raw_Nigeria!N298="","",Raw_Nigeria!N298)</f>
        <v>4986</v>
      </c>
      <c r="P298" s="7" t="str">
        <f aca="false">IF(K298="CBAW","Women of child-bearing age","Children")</f>
        <v>Children</v>
      </c>
      <c r="Q298" s="7" t="n">
        <f aca="false">IF(J298="NOT USED",1,0)</f>
        <v>0</v>
      </c>
      <c r="R298" s="7" t="n">
        <f aca="false">IF(AND(P298="Children",Q298=0),1,0)</f>
        <v>1</v>
      </c>
      <c r="S298" s="7" t="n">
        <f aca="false">IF(AND(R298=1,J298="Record or Recall",K298="12-23 m"),1,0)</f>
        <v>0</v>
      </c>
      <c r="T298" s="7" t="n">
        <f aca="false">IF(OR(I298="BCG",I298="DTP1",I298="DTP3",I298="POL3",I298="MCV1",I298="FULL"),1,0)</f>
        <v>1</v>
      </c>
      <c r="U298" s="7" t="n">
        <f aca="false">IF(OR(C298="DHS",C298="MICS"),1,0)</f>
        <v>1</v>
      </c>
      <c r="V298" s="7" t="n">
        <f aca="false">IF(O298="",1,0)</f>
        <v>0</v>
      </c>
      <c r="W298" s="7" t="n">
        <f aca="false">IF(M298="",1,0)</f>
        <v>0</v>
      </c>
      <c r="X298" s="7" t="n">
        <f aca="false">COUNTIFS($B$2:$B$1141,B298,$H$2:$H$1141,H298,$I$2:$I$1141,I298,$J$2:$J$1141,J298,$K$2:$K$1141,K298,$L$2:$L$1141,L298)</f>
        <v>1</v>
      </c>
    </row>
    <row r="299" customFormat="false" ht="15" hidden="false" customHeight="false" outlineLevel="0" collapsed="false">
      <c r="A299" s="7" t="n">
        <f aca="false">ROW()-1</f>
        <v>298</v>
      </c>
      <c r="B299" s="7" t="str">
        <f aca="false">IF(Raw_Nigeria!B299="",TRIM(Raw_Nigeria!C299),TRIM(Raw_Nigeria!B299))</f>
        <v>Nigeria Multiple Indicator Cluster Survey 2011</v>
      </c>
      <c r="C299" s="7" t="str">
        <f aca="false">IF(ISNUMBER(SEARCH("Demographic and Health",B299)),"DHS",IF(OR(ISNUMBER(SEARCH("Multiple Indicator Cluster",B299)),ISNUMBER(SEARCH("MICS",B299))),"MICS",IF(ISNUMBER(SEARCH("Immunization Coverage Survey",B299)),"Coverage survey",IF(ISNUMBER(SEARCH("Nutrition",B299)),"Nutrition survey","Other"))))</f>
        <v>MICS</v>
      </c>
      <c r="D299" s="7" t="n">
        <f aca="false">VALUE(LEFT(Raw_Nigeria!D299,4))</f>
        <v>2011</v>
      </c>
      <c r="E299" s="7" t="n">
        <f aca="false">IF(VALUE(RIGHT(Raw_Nigeria!D299,2))&gt;12,"",VALUE(RIGHT(Raw_Nigeria!D299,2)))</f>
        <v>2</v>
      </c>
      <c r="F299" s="7" t="n">
        <f aca="false">VALUE(LEFT(Raw_Nigeria!E299,4))</f>
        <v>2011</v>
      </c>
      <c r="G299" s="7" t="n">
        <f aca="false">IF(VALUE(RIGHT(Raw_Nigeria!E299,2))&gt;12,"",VALUE(RIGHT(Raw_Nigeria!E299,2)))</f>
        <v>3</v>
      </c>
      <c r="H299" s="7" t="n">
        <f aca="false">Raw_Nigeria!F299</f>
        <v>2010</v>
      </c>
      <c r="I299" s="7" t="str">
        <f aca="false">UPPER(TRIM(Raw_Nigeria!G299))</f>
        <v>FULL</v>
      </c>
      <c r="J299" s="7" t="str">
        <f aca="false">Raw_Nigeria!H299</f>
        <v>Record</v>
      </c>
      <c r="K299" s="7" t="str">
        <f aca="false">Raw_Nigeria!L299</f>
        <v>12-23 m</v>
      </c>
      <c r="L299" s="7" t="str">
        <f aca="false">IF(Raw_Nigeria!K299="","n/a",Raw_Nigeria!K299)</f>
        <v>0-23 m</v>
      </c>
      <c r="M299" s="7" t="n">
        <f aca="false">IF(Raw_Nigeria!I299="","",Raw_Nigeria!I299)</f>
        <v>24.4</v>
      </c>
      <c r="N299" s="7" t="n">
        <f aca="false">Raw_Nigeria!M299</f>
        <v>23</v>
      </c>
      <c r="O299" s="7" t="str">
        <f aca="false">IF(Raw_Nigeria!N299="","",Raw_Nigeria!N299)</f>
        <v/>
      </c>
      <c r="P299" s="7" t="str">
        <f aca="false">IF(K299="CBAW","Women of child-bearing age","Children")</f>
        <v>Children</v>
      </c>
      <c r="Q299" s="7" t="n">
        <f aca="false">IF(J299="NOT USED",1,0)</f>
        <v>0</v>
      </c>
      <c r="R299" s="7" t="n">
        <f aca="false">IF(AND(P299="Children",Q299=0),1,0)</f>
        <v>1</v>
      </c>
      <c r="S299" s="7" t="n">
        <f aca="false">IF(AND(R299=1,J299="Record or Recall",K299="12-23 m"),1,0)</f>
        <v>0</v>
      </c>
      <c r="T299" s="7" t="n">
        <f aca="false">IF(OR(I299="BCG",I299="DTP1",I299="DTP3",I299="POL3",I299="MCV1",I299="FULL"),1,0)</f>
        <v>1</v>
      </c>
      <c r="U299" s="7" t="n">
        <f aca="false">IF(OR(C299="DHS",C299="MICS"),1,0)</f>
        <v>1</v>
      </c>
      <c r="V299" s="7" t="n">
        <f aca="false">IF(O299="",1,0)</f>
        <v>1</v>
      </c>
      <c r="W299" s="7" t="n">
        <f aca="false">IF(M299="",1,0)</f>
        <v>0</v>
      </c>
      <c r="X299" s="7" t="n">
        <f aca="false">COUNTIFS($B$2:$B$1141,B299,$H$2:$H$1141,H299,$I$2:$I$1141,I299,$J$2:$J$1141,J299,$K$2:$K$1141,K299,$L$2:$L$1141,L299)</f>
        <v>1</v>
      </c>
    </row>
    <row r="300" customFormat="false" ht="15" hidden="false" customHeight="false" outlineLevel="0" collapsed="false">
      <c r="A300" s="7" t="n">
        <f aca="false">ROW()-1</f>
        <v>299</v>
      </c>
      <c r="B300" s="7" t="str">
        <f aca="false">IF(Raw_Nigeria!B300="",TRIM(Raw_Nigeria!C300),TRIM(Raw_Nigeria!B300))</f>
        <v>Nigeria Multiple Indicator Cluster Survey 2011</v>
      </c>
      <c r="C300" s="7" t="str">
        <f aca="false">IF(ISNUMBER(SEARCH("Demographic and Health",B300)),"DHS",IF(OR(ISNUMBER(SEARCH("Multiple Indicator Cluster",B300)),ISNUMBER(SEARCH("MICS",B300))),"MICS",IF(ISNUMBER(SEARCH("Immunization Coverage Survey",B300)),"Coverage survey",IF(ISNUMBER(SEARCH("Nutrition",B300)),"Nutrition survey","Other"))))</f>
        <v>MICS</v>
      </c>
      <c r="D300" s="7" t="n">
        <f aca="false">VALUE(LEFT(Raw_Nigeria!D300,4))</f>
        <v>2011</v>
      </c>
      <c r="E300" s="7" t="n">
        <f aca="false">IF(VALUE(RIGHT(Raw_Nigeria!D300,2))&gt;12,"",VALUE(RIGHT(Raw_Nigeria!D300,2)))</f>
        <v>2</v>
      </c>
      <c r="F300" s="7" t="n">
        <f aca="false">VALUE(LEFT(Raw_Nigeria!E300,4))</f>
        <v>2011</v>
      </c>
      <c r="G300" s="7" t="n">
        <f aca="false">IF(VALUE(RIGHT(Raw_Nigeria!E300,2))&gt;12,"",VALUE(RIGHT(Raw_Nigeria!E300,2)))</f>
        <v>3</v>
      </c>
      <c r="H300" s="7" t="n">
        <f aca="false">Raw_Nigeria!F300</f>
        <v>2010</v>
      </c>
      <c r="I300" s="7" t="str">
        <f aca="false">UPPER(TRIM(Raw_Nigeria!G300))</f>
        <v>FULL</v>
      </c>
      <c r="J300" s="7" t="str">
        <f aca="false">Raw_Nigeria!H300</f>
        <v>Record or Recall</v>
      </c>
      <c r="K300" s="7" t="str">
        <f aca="false">Raw_Nigeria!L300</f>
        <v>12-23 m</v>
      </c>
      <c r="L300" s="7" t="str">
        <f aca="false">IF(Raw_Nigeria!K300="","n/a",Raw_Nigeria!K300)</f>
        <v>0-23 m</v>
      </c>
      <c r="M300" s="7" t="n">
        <f aca="false">IF(Raw_Nigeria!I300="","",Raw_Nigeria!I300)</f>
        <v>24.4</v>
      </c>
      <c r="N300" s="7" t="n">
        <f aca="false">Raw_Nigeria!M300</f>
        <v>27.6</v>
      </c>
      <c r="O300" s="7" t="n">
        <f aca="false">IF(Raw_Nigeria!N300="","",Raw_Nigeria!N300)</f>
        <v>4986</v>
      </c>
      <c r="P300" s="7" t="str">
        <f aca="false">IF(K300="CBAW","Women of child-bearing age","Children")</f>
        <v>Children</v>
      </c>
      <c r="Q300" s="7" t="n">
        <f aca="false">IF(J300="NOT USED",1,0)</f>
        <v>0</v>
      </c>
      <c r="R300" s="7" t="n">
        <f aca="false">IF(AND(P300="Children",Q300=0),1,0)</f>
        <v>1</v>
      </c>
      <c r="S300" s="7" t="n">
        <f aca="false">IF(AND(R300=1,J300="Record or Recall",K300="12-23 m"),1,0)</f>
        <v>1</v>
      </c>
      <c r="T300" s="7" t="n">
        <f aca="false">IF(OR(I300="BCG",I300="DTP1",I300="DTP3",I300="POL3",I300="MCV1",I300="FULL"),1,0)</f>
        <v>1</v>
      </c>
      <c r="U300" s="7" t="n">
        <f aca="false">IF(OR(C300="DHS",C300="MICS"),1,0)</f>
        <v>1</v>
      </c>
      <c r="V300" s="7" t="n">
        <f aca="false">IF(O300="",1,0)</f>
        <v>0</v>
      </c>
      <c r="W300" s="7" t="n">
        <f aca="false">IF(M300="",1,0)</f>
        <v>0</v>
      </c>
      <c r="X300" s="7" t="n">
        <f aca="false">COUNTIFS($B$2:$B$1141,B300,$H$2:$H$1141,H300,$I$2:$I$1141,I300,$J$2:$J$1141,J300,$K$2:$K$1141,K300,$L$2:$L$1141,L300)</f>
        <v>1</v>
      </c>
    </row>
    <row r="301" customFormat="false" ht="15" hidden="false" customHeight="false" outlineLevel="0" collapsed="false">
      <c r="A301" s="7" t="n">
        <f aca="false">ROW()-1</f>
        <v>300</v>
      </c>
      <c r="B301" s="7" t="str">
        <f aca="false">IF(Raw_Nigeria!B301="",TRIM(Raw_Nigeria!C301),TRIM(Raw_Nigeria!B301))</f>
        <v>Nigeria Multiple Indicator Cluster Survey 2011</v>
      </c>
      <c r="C301" s="7" t="str">
        <f aca="false">IF(ISNUMBER(SEARCH("Demographic and Health",B301)),"DHS",IF(OR(ISNUMBER(SEARCH("Multiple Indicator Cluster",B301)),ISNUMBER(SEARCH("MICS",B301))),"MICS",IF(ISNUMBER(SEARCH("Immunization Coverage Survey",B301)),"Coverage survey",IF(ISNUMBER(SEARCH("Nutrition",B301)),"Nutrition survey","Other"))))</f>
        <v>MICS</v>
      </c>
      <c r="D301" s="7" t="n">
        <f aca="false">VALUE(LEFT(Raw_Nigeria!D301,4))</f>
        <v>2011</v>
      </c>
      <c r="E301" s="7" t="n">
        <f aca="false">IF(VALUE(RIGHT(Raw_Nigeria!D301,2))&gt;12,"",VALUE(RIGHT(Raw_Nigeria!D301,2)))</f>
        <v>2</v>
      </c>
      <c r="F301" s="7" t="n">
        <f aca="false">VALUE(LEFT(Raw_Nigeria!E301,4))</f>
        <v>2011</v>
      </c>
      <c r="G301" s="7" t="n">
        <f aca="false">IF(VALUE(RIGHT(Raw_Nigeria!E301,2))&gt;12,"",VALUE(RIGHT(Raw_Nigeria!E301,2)))</f>
        <v>3</v>
      </c>
      <c r="H301" s="7" t="n">
        <f aca="false">Raw_Nigeria!F301</f>
        <v>2010</v>
      </c>
      <c r="I301" s="7" t="str">
        <f aca="false">UPPER(TRIM(Raw_Nigeria!G301))</f>
        <v>FULL</v>
      </c>
      <c r="J301" s="7" t="str">
        <f aca="false">Raw_Nigeria!H301</f>
        <v>Recall</v>
      </c>
      <c r="K301" s="7" t="str">
        <f aca="false">Raw_Nigeria!L301</f>
        <v>12-23 m</v>
      </c>
      <c r="L301" s="7" t="str">
        <f aca="false">IF(Raw_Nigeria!K301="","n/a",Raw_Nigeria!K301)</f>
        <v>0-23 m</v>
      </c>
      <c r="M301" s="7" t="n">
        <f aca="false">IF(Raw_Nigeria!I301="","",Raw_Nigeria!I301)</f>
        <v>24.4</v>
      </c>
      <c r="N301" s="7" t="n">
        <f aca="false">Raw_Nigeria!M301</f>
        <v>4.6</v>
      </c>
      <c r="O301" s="7" t="str">
        <f aca="false">IF(Raw_Nigeria!N301="","",Raw_Nigeria!N301)</f>
        <v/>
      </c>
      <c r="P301" s="7" t="str">
        <f aca="false">IF(K301="CBAW","Women of child-bearing age","Children")</f>
        <v>Children</v>
      </c>
      <c r="Q301" s="7" t="n">
        <f aca="false">IF(J301="NOT USED",1,0)</f>
        <v>0</v>
      </c>
      <c r="R301" s="7" t="n">
        <f aca="false">IF(AND(P301="Children",Q301=0),1,0)</f>
        <v>1</v>
      </c>
      <c r="S301" s="7" t="n">
        <f aca="false">IF(AND(R301=1,J301="Record or Recall",K301="12-23 m"),1,0)</f>
        <v>0</v>
      </c>
      <c r="T301" s="7" t="n">
        <f aca="false">IF(OR(I301="BCG",I301="DTP1",I301="DTP3",I301="POL3",I301="MCV1",I301="FULL"),1,0)</f>
        <v>1</v>
      </c>
      <c r="U301" s="7" t="n">
        <f aca="false">IF(OR(C301="DHS",C301="MICS"),1,0)</f>
        <v>1</v>
      </c>
      <c r="V301" s="7" t="n">
        <f aca="false">IF(O301="",1,0)</f>
        <v>1</v>
      </c>
      <c r="W301" s="7" t="n">
        <f aca="false">IF(M301="",1,0)</f>
        <v>0</v>
      </c>
      <c r="X301" s="7" t="n">
        <f aca="false">COUNTIFS($B$2:$B$1141,B301,$H$2:$H$1141,H301,$I$2:$I$1141,I301,$J$2:$J$1141,J301,$K$2:$K$1141,K301,$L$2:$L$1141,L301)</f>
        <v>1</v>
      </c>
    </row>
    <row r="302" customFormat="false" ht="15" hidden="false" customHeight="false" outlineLevel="0" collapsed="false">
      <c r="A302" s="7" t="n">
        <f aca="false">ROW()-1</f>
        <v>301</v>
      </c>
      <c r="B302" s="7" t="str">
        <f aca="false">IF(Raw_Nigeria!B302="",TRIM(Raw_Nigeria!C302),TRIM(Raw_Nigeria!B302))</f>
        <v>Nigeria Multiple Indicator Cluster Survey 2011</v>
      </c>
      <c r="C302" s="7" t="str">
        <f aca="false">IF(ISNUMBER(SEARCH("Demographic and Health",B302)),"DHS",IF(OR(ISNUMBER(SEARCH("Multiple Indicator Cluster",B302)),ISNUMBER(SEARCH("MICS",B302))),"MICS",IF(ISNUMBER(SEARCH("Immunization Coverage Survey",B302)),"Coverage survey",IF(ISNUMBER(SEARCH("Nutrition",B302)),"Nutrition survey","Other"))))</f>
        <v>MICS</v>
      </c>
      <c r="D302" s="7" t="n">
        <f aca="false">VALUE(LEFT(Raw_Nigeria!D302,4))</f>
        <v>2011</v>
      </c>
      <c r="E302" s="7" t="n">
        <f aca="false">IF(VALUE(RIGHT(Raw_Nigeria!D302,2))&gt;12,"",VALUE(RIGHT(Raw_Nigeria!D302,2)))</f>
        <v>2</v>
      </c>
      <c r="F302" s="7" t="n">
        <f aca="false">VALUE(LEFT(Raw_Nigeria!E302,4))</f>
        <v>2011</v>
      </c>
      <c r="G302" s="7" t="n">
        <f aca="false">IF(VALUE(RIGHT(Raw_Nigeria!E302,2))&gt;12,"",VALUE(RIGHT(Raw_Nigeria!E302,2)))</f>
        <v>3</v>
      </c>
      <c r="H302" s="7" t="n">
        <f aca="false">Raw_Nigeria!F302</f>
        <v>2010</v>
      </c>
      <c r="I302" s="7" t="str">
        <f aca="false">UPPER(TRIM(Raw_Nigeria!G302))</f>
        <v>HEPB1</v>
      </c>
      <c r="J302" s="7" t="str">
        <f aca="false">Raw_Nigeria!H302</f>
        <v>Record or Recall&lt;12m</v>
      </c>
      <c r="K302" s="7" t="str">
        <f aca="false">Raw_Nigeria!L302</f>
        <v>12-23 m</v>
      </c>
      <c r="L302" s="7" t="str">
        <f aca="false">IF(Raw_Nigeria!K302="","n/a",Raw_Nigeria!K302)</f>
        <v>0-12 m</v>
      </c>
      <c r="M302" s="7" t="n">
        <f aca="false">IF(Raw_Nigeria!I302="","",Raw_Nigeria!I302)</f>
        <v>24.4</v>
      </c>
      <c r="N302" s="7" t="n">
        <f aca="false">Raw_Nigeria!M302</f>
        <v>54.1</v>
      </c>
      <c r="O302" s="7" t="n">
        <f aca="false">IF(Raw_Nigeria!N302="","",Raw_Nigeria!N302)</f>
        <v>4986</v>
      </c>
      <c r="P302" s="7" t="str">
        <f aca="false">IF(K302="CBAW","Women of child-bearing age","Children")</f>
        <v>Children</v>
      </c>
      <c r="Q302" s="7" t="n">
        <f aca="false">IF(J302="NOT USED",1,0)</f>
        <v>0</v>
      </c>
      <c r="R302" s="7" t="n">
        <f aca="false">IF(AND(P302="Children",Q302=0),1,0)</f>
        <v>1</v>
      </c>
      <c r="S302" s="7" t="n">
        <f aca="false">IF(AND(R302=1,J302="Record or Recall",K302="12-23 m"),1,0)</f>
        <v>0</v>
      </c>
      <c r="T302" s="7" t="n">
        <f aca="false">IF(OR(I302="BCG",I302="DTP1",I302="DTP3",I302="POL3",I302="MCV1",I302="FULL"),1,0)</f>
        <v>0</v>
      </c>
      <c r="U302" s="7" t="n">
        <f aca="false">IF(OR(C302="DHS",C302="MICS"),1,0)</f>
        <v>1</v>
      </c>
      <c r="V302" s="7" t="n">
        <f aca="false">IF(O302="",1,0)</f>
        <v>0</v>
      </c>
      <c r="W302" s="7" t="n">
        <f aca="false">IF(M302="",1,0)</f>
        <v>0</v>
      </c>
      <c r="X302" s="7" t="n">
        <f aca="false">COUNTIFS($B$2:$B$1141,B302,$H$2:$H$1141,H302,$I$2:$I$1141,I302,$J$2:$J$1141,J302,$K$2:$K$1141,K302,$L$2:$L$1141,L302)</f>
        <v>1</v>
      </c>
    </row>
    <row r="303" customFormat="false" ht="15" hidden="false" customHeight="false" outlineLevel="0" collapsed="false">
      <c r="A303" s="7" t="n">
        <f aca="false">ROW()-1</f>
        <v>302</v>
      </c>
      <c r="B303" s="7" t="str">
        <f aca="false">IF(Raw_Nigeria!B303="",TRIM(Raw_Nigeria!C303),TRIM(Raw_Nigeria!B303))</f>
        <v>Nigeria Multiple Indicator Cluster Survey 2011</v>
      </c>
      <c r="C303" s="7" t="str">
        <f aca="false">IF(ISNUMBER(SEARCH("Demographic and Health",B303)),"DHS",IF(OR(ISNUMBER(SEARCH("Multiple Indicator Cluster",B303)),ISNUMBER(SEARCH("MICS",B303))),"MICS",IF(ISNUMBER(SEARCH("Immunization Coverage Survey",B303)),"Coverage survey",IF(ISNUMBER(SEARCH("Nutrition",B303)),"Nutrition survey","Other"))))</f>
        <v>MICS</v>
      </c>
      <c r="D303" s="7" t="n">
        <f aca="false">VALUE(LEFT(Raw_Nigeria!D303,4))</f>
        <v>2011</v>
      </c>
      <c r="E303" s="7" t="n">
        <f aca="false">IF(VALUE(RIGHT(Raw_Nigeria!D303,2))&gt;12,"",VALUE(RIGHT(Raw_Nigeria!D303,2)))</f>
        <v>2</v>
      </c>
      <c r="F303" s="7" t="n">
        <f aca="false">VALUE(LEFT(Raw_Nigeria!E303,4))</f>
        <v>2011</v>
      </c>
      <c r="G303" s="7" t="n">
        <f aca="false">IF(VALUE(RIGHT(Raw_Nigeria!E303,2))&gt;12,"",VALUE(RIGHT(Raw_Nigeria!E303,2)))</f>
        <v>3</v>
      </c>
      <c r="H303" s="7" t="n">
        <f aca="false">Raw_Nigeria!F303</f>
        <v>2010</v>
      </c>
      <c r="I303" s="7" t="str">
        <f aca="false">UPPER(TRIM(Raw_Nigeria!G303))</f>
        <v>HEPB1</v>
      </c>
      <c r="J303" s="7" t="str">
        <f aca="false">Raw_Nigeria!H303</f>
        <v>Record</v>
      </c>
      <c r="K303" s="7" t="str">
        <f aca="false">Raw_Nigeria!L303</f>
        <v>12-23 m</v>
      </c>
      <c r="L303" s="7" t="str">
        <f aca="false">IF(Raw_Nigeria!K303="","n/a",Raw_Nigeria!K303)</f>
        <v>0-23 m</v>
      </c>
      <c r="M303" s="7" t="n">
        <f aca="false">IF(Raw_Nigeria!I303="","",Raw_Nigeria!I303)</f>
        <v>24.4</v>
      </c>
      <c r="N303" s="7" t="n">
        <f aca="false">Raw_Nigeria!M303</f>
        <v>28.8</v>
      </c>
      <c r="O303" s="7" t="str">
        <f aca="false">IF(Raw_Nigeria!N303="","",Raw_Nigeria!N303)</f>
        <v/>
      </c>
      <c r="P303" s="7" t="str">
        <f aca="false">IF(K303="CBAW","Women of child-bearing age","Children")</f>
        <v>Children</v>
      </c>
      <c r="Q303" s="7" t="n">
        <f aca="false">IF(J303="NOT USED",1,0)</f>
        <v>0</v>
      </c>
      <c r="R303" s="7" t="n">
        <f aca="false">IF(AND(P303="Children",Q303=0),1,0)</f>
        <v>1</v>
      </c>
      <c r="S303" s="7" t="n">
        <f aca="false">IF(AND(R303=1,J303="Record or Recall",K303="12-23 m"),1,0)</f>
        <v>0</v>
      </c>
      <c r="T303" s="7" t="n">
        <f aca="false">IF(OR(I303="BCG",I303="DTP1",I303="DTP3",I303="POL3",I303="MCV1",I303="FULL"),1,0)</f>
        <v>0</v>
      </c>
      <c r="U303" s="7" t="n">
        <f aca="false">IF(OR(C303="DHS",C303="MICS"),1,0)</f>
        <v>1</v>
      </c>
      <c r="V303" s="7" t="n">
        <f aca="false">IF(O303="",1,0)</f>
        <v>1</v>
      </c>
      <c r="W303" s="7" t="n">
        <f aca="false">IF(M303="",1,0)</f>
        <v>0</v>
      </c>
      <c r="X303" s="7" t="n">
        <f aca="false">COUNTIFS($B$2:$B$1141,B303,$H$2:$H$1141,H303,$I$2:$I$1141,I303,$J$2:$J$1141,J303,$K$2:$K$1141,K303,$L$2:$L$1141,L303)</f>
        <v>1</v>
      </c>
    </row>
    <row r="304" customFormat="false" ht="15" hidden="false" customHeight="false" outlineLevel="0" collapsed="false">
      <c r="A304" s="7" t="n">
        <f aca="false">ROW()-1</f>
        <v>303</v>
      </c>
      <c r="B304" s="7" t="str">
        <f aca="false">IF(Raw_Nigeria!B304="",TRIM(Raw_Nigeria!C304),TRIM(Raw_Nigeria!B304))</f>
        <v>Nigeria Multiple Indicator Cluster Survey 2011</v>
      </c>
      <c r="C304" s="7" t="str">
        <f aca="false">IF(ISNUMBER(SEARCH("Demographic and Health",B304)),"DHS",IF(OR(ISNUMBER(SEARCH("Multiple Indicator Cluster",B304)),ISNUMBER(SEARCH("MICS",B304))),"MICS",IF(ISNUMBER(SEARCH("Immunization Coverage Survey",B304)),"Coverage survey",IF(ISNUMBER(SEARCH("Nutrition",B304)),"Nutrition survey","Other"))))</f>
        <v>MICS</v>
      </c>
      <c r="D304" s="7" t="n">
        <f aca="false">VALUE(LEFT(Raw_Nigeria!D304,4))</f>
        <v>2011</v>
      </c>
      <c r="E304" s="7" t="n">
        <f aca="false">IF(VALUE(RIGHT(Raw_Nigeria!D304,2))&gt;12,"",VALUE(RIGHT(Raw_Nigeria!D304,2)))</f>
        <v>2</v>
      </c>
      <c r="F304" s="7" t="n">
        <f aca="false">VALUE(LEFT(Raw_Nigeria!E304,4))</f>
        <v>2011</v>
      </c>
      <c r="G304" s="7" t="n">
        <f aca="false">IF(VALUE(RIGHT(Raw_Nigeria!E304,2))&gt;12,"",VALUE(RIGHT(Raw_Nigeria!E304,2)))</f>
        <v>3</v>
      </c>
      <c r="H304" s="7" t="n">
        <f aca="false">Raw_Nigeria!F304</f>
        <v>2010</v>
      </c>
      <c r="I304" s="7" t="str">
        <f aca="false">UPPER(TRIM(Raw_Nigeria!G304))</f>
        <v>HEPB1</v>
      </c>
      <c r="J304" s="7" t="str">
        <f aca="false">Raw_Nigeria!H304</f>
        <v>Record or Recall</v>
      </c>
      <c r="K304" s="7" t="str">
        <f aca="false">Raw_Nigeria!L304</f>
        <v>12-23 m</v>
      </c>
      <c r="L304" s="7" t="str">
        <f aca="false">IF(Raw_Nigeria!K304="","n/a",Raw_Nigeria!K304)</f>
        <v>0-23 m</v>
      </c>
      <c r="M304" s="7" t="n">
        <f aca="false">IF(Raw_Nigeria!I304="","",Raw_Nigeria!I304)</f>
        <v>24.4</v>
      </c>
      <c r="N304" s="7" t="n">
        <f aca="false">Raw_Nigeria!M304</f>
        <v>55.1</v>
      </c>
      <c r="O304" s="7" t="n">
        <f aca="false">IF(Raw_Nigeria!N304="","",Raw_Nigeria!N304)</f>
        <v>4986</v>
      </c>
      <c r="P304" s="7" t="str">
        <f aca="false">IF(K304="CBAW","Women of child-bearing age","Children")</f>
        <v>Children</v>
      </c>
      <c r="Q304" s="7" t="n">
        <f aca="false">IF(J304="NOT USED",1,0)</f>
        <v>0</v>
      </c>
      <c r="R304" s="7" t="n">
        <f aca="false">IF(AND(P304="Children",Q304=0),1,0)</f>
        <v>1</v>
      </c>
      <c r="S304" s="7" t="n">
        <f aca="false">IF(AND(R304=1,J304="Record or Recall",K304="12-23 m"),1,0)</f>
        <v>1</v>
      </c>
      <c r="T304" s="7" t="n">
        <f aca="false">IF(OR(I304="BCG",I304="DTP1",I304="DTP3",I304="POL3",I304="MCV1",I304="FULL"),1,0)</f>
        <v>0</v>
      </c>
      <c r="U304" s="7" t="n">
        <f aca="false">IF(OR(C304="DHS",C304="MICS"),1,0)</f>
        <v>1</v>
      </c>
      <c r="V304" s="7" t="n">
        <f aca="false">IF(O304="",1,0)</f>
        <v>0</v>
      </c>
      <c r="W304" s="7" t="n">
        <f aca="false">IF(M304="",1,0)</f>
        <v>0</v>
      </c>
      <c r="X304" s="7" t="n">
        <f aca="false">COUNTIFS($B$2:$B$1141,B304,$H$2:$H$1141,H304,$I$2:$I$1141,I304,$J$2:$J$1141,J304,$K$2:$K$1141,K304,$L$2:$L$1141,L304)</f>
        <v>1</v>
      </c>
    </row>
    <row r="305" customFormat="false" ht="15" hidden="false" customHeight="false" outlineLevel="0" collapsed="false">
      <c r="A305" s="7" t="n">
        <f aca="false">ROW()-1</f>
        <v>304</v>
      </c>
      <c r="B305" s="7" t="str">
        <f aca="false">IF(Raw_Nigeria!B305="",TRIM(Raw_Nigeria!C305),TRIM(Raw_Nigeria!B305))</f>
        <v>Nigeria Multiple Indicator Cluster Survey 2011</v>
      </c>
      <c r="C305" s="7" t="str">
        <f aca="false">IF(ISNUMBER(SEARCH("Demographic and Health",B305)),"DHS",IF(OR(ISNUMBER(SEARCH("Multiple Indicator Cluster",B305)),ISNUMBER(SEARCH("MICS",B305))),"MICS",IF(ISNUMBER(SEARCH("Immunization Coverage Survey",B305)),"Coverage survey",IF(ISNUMBER(SEARCH("Nutrition",B305)),"Nutrition survey","Other"))))</f>
        <v>MICS</v>
      </c>
      <c r="D305" s="7" t="n">
        <f aca="false">VALUE(LEFT(Raw_Nigeria!D305,4))</f>
        <v>2011</v>
      </c>
      <c r="E305" s="7" t="n">
        <f aca="false">IF(VALUE(RIGHT(Raw_Nigeria!D305,2))&gt;12,"",VALUE(RIGHT(Raw_Nigeria!D305,2)))</f>
        <v>2</v>
      </c>
      <c r="F305" s="7" t="n">
        <f aca="false">VALUE(LEFT(Raw_Nigeria!E305,4))</f>
        <v>2011</v>
      </c>
      <c r="G305" s="7" t="n">
        <f aca="false">IF(VALUE(RIGHT(Raw_Nigeria!E305,2))&gt;12,"",VALUE(RIGHT(Raw_Nigeria!E305,2)))</f>
        <v>3</v>
      </c>
      <c r="H305" s="7" t="n">
        <f aca="false">Raw_Nigeria!F305</f>
        <v>2010</v>
      </c>
      <c r="I305" s="7" t="str">
        <f aca="false">UPPER(TRIM(Raw_Nigeria!G305))</f>
        <v>HEPB1</v>
      </c>
      <c r="J305" s="7" t="str">
        <f aca="false">Raw_Nigeria!H305</f>
        <v>Recall</v>
      </c>
      <c r="K305" s="7" t="str">
        <f aca="false">Raw_Nigeria!L305</f>
        <v>12-23 m</v>
      </c>
      <c r="L305" s="7" t="str">
        <f aca="false">IF(Raw_Nigeria!K305="","n/a",Raw_Nigeria!K305)</f>
        <v>0-23 m</v>
      </c>
      <c r="M305" s="7" t="n">
        <f aca="false">IF(Raw_Nigeria!I305="","",Raw_Nigeria!I305)</f>
        <v>24.4</v>
      </c>
      <c r="N305" s="7" t="n">
        <f aca="false">Raw_Nigeria!M305</f>
        <v>26.3</v>
      </c>
      <c r="O305" s="7" t="str">
        <f aca="false">IF(Raw_Nigeria!N305="","",Raw_Nigeria!N305)</f>
        <v/>
      </c>
      <c r="P305" s="7" t="str">
        <f aca="false">IF(K305="CBAW","Women of child-bearing age","Children")</f>
        <v>Children</v>
      </c>
      <c r="Q305" s="7" t="n">
        <f aca="false">IF(J305="NOT USED",1,0)</f>
        <v>0</v>
      </c>
      <c r="R305" s="7" t="n">
        <f aca="false">IF(AND(P305="Children",Q305=0),1,0)</f>
        <v>1</v>
      </c>
      <c r="S305" s="7" t="n">
        <f aca="false">IF(AND(R305=1,J305="Record or Recall",K305="12-23 m"),1,0)</f>
        <v>0</v>
      </c>
      <c r="T305" s="7" t="n">
        <f aca="false">IF(OR(I305="BCG",I305="DTP1",I305="DTP3",I305="POL3",I305="MCV1",I305="FULL"),1,0)</f>
        <v>0</v>
      </c>
      <c r="U305" s="7" t="n">
        <f aca="false">IF(OR(C305="DHS",C305="MICS"),1,0)</f>
        <v>1</v>
      </c>
      <c r="V305" s="7" t="n">
        <f aca="false">IF(O305="",1,0)</f>
        <v>1</v>
      </c>
      <c r="W305" s="7" t="n">
        <f aca="false">IF(M305="",1,0)</f>
        <v>0</v>
      </c>
      <c r="X305" s="7" t="n">
        <f aca="false">COUNTIFS($B$2:$B$1141,B305,$H$2:$H$1141,H305,$I$2:$I$1141,I305,$J$2:$J$1141,J305,$K$2:$K$1141,K305,$L$2:$L$1141,L305)</f>
        <v>1</v>
      </c>
    </row>
    <row r="306" customFormat="false" ht="15" hidden="false" customHeight="false" outlineLevel="0" collapsed="false">
      <c r="A306" s="7" t="n">
        <f aca="false">ROW()-1</f>
        <v>305</v>
      </c>
      <c r="B306" s="7" t="str">
        <f aca="false">IF(Raw_Nigeria!B306="",TRIM(Raw_Nigeria!C306),TRIM(Raw_Nigeria!B306))</f>
        <v>Nigeria Multiple Indicator Cluster Survey 2011</v>
      </c>
      <c r="C306" s="7" t="str">
        <f aca="false">IF(ISNUMBER(SEARCH("Demographic and Health",B306)),"DHS",IF(OR(ISNUMBER(SEARCH("Multiple Indicator Cluster",B306)),ISNUMBER(SEARCH("MICS",B306))),"MICS",IF(ISNUMBER(SEARCH("Immunization Coverage Survey",B306)),"Coverage survey",IF(ISNUMBER(SEARCH("Nutrition",B306)),"Nutrition survey","Other"))))</f>
        <v>MICS</v>
      </c>
      <c r="D306" s="7" t="n">
        <f aca="false">VALUE(LEFT(Raw_Nigeria!D306,4))</f>
        <v>2011</v>
      </c>
      <c r="E306" s="7" t="n">
        <f aca="false">IF(VALUE(RIGHT(Raw_Nigeria!D306,2))&gt;12,"",VALUE(RIGHT(Raw_Nigeria!D306,2)))</f>
        <v>2</v>
      </c>
      <c r="F306" s="7" t="n">
        <f aca="false">VALUE(LEFT(Raw_Nigeria!E306,4))</f>
        <v>2011</v>
      </c>
      <c r="G306" s="7" t="n">
        <f aca="false">IF(VALUE(RIGHT(Raw_Nigeria!E306,2))&gt;12,"",VALUE(RIGHT(Raw_Nigeria!E306,2)))</f>
        <v>3</v>
      </c>
      <c r="H306" s="7" t="n">
        <f aca="false">Raw_Nigeria!F306</f>
        <v>2010</v>
      </c>
      <c r="I306" s="7" t="str">
        <f aca="false">UPPER(TRIM(Raw_Nigeria!G306))</f>
        <v>HEPB3</v>
      </c>
      <c r="J306" s="7" t="str">
        <f aca="false">Raw_Nigeria!H306</f>
        <v>Record or Recall&lt;12m</v>
      </c>
      <c r="K306" s="7" t="str">
        <f aca="false">Raw_Nigeria!L306</f>
        <v>12-23 m</v>
      </c>
      <c r="L306" s="7" t="str">
        <f aca="false">IF(Raw_Nigeria!K306="","n/a",Raw_Nigeria!K306)</f>
        <v>0-12 m</v>
      </c>
      <c r="M306" s="7" t="n">
        <f aca="false">IF(Raw_Nigeria!I306="","",Raw_Nigeria!I306)</f>
        <v>24.4</v>
      </c>
      <c r="N306" s="7" t="n">
        <f aca="false">Raw_Nigeria!M306</f>
        <v>34</v>
      </c>
      <c r="O306" s="7" t="n">
        <f aca="false">IF(Raw_Nigeria!N306="","",Raw_Nigeria!N306)</f>
        <v>4986</v>
      </c>
      <c r="P306" s="7" t="str">
        <f aca="false">IF(K306="CBAW","Women of child-bearing age","Children")</f>
        <v>Children</v>
      </c>
      <c r="Q306" s="7" t="n">
        <f aca="false">IF(J306="NOT USED",1,0)</f>
        <v>0</v>
      </c>
      <c r="R306" s="7" t="n">
        <f aca="false">IF(AND(P306="Children",Q306=0),1,0)</f>
        <v>1</v>
      </c>
      <c r="S306" s="7" t="n">
        <f aca="false">IF(AND(R306=1,J306="Record or Recall",K306="12-23 m"),1,0)</f>
        <v>0</v>
      </c>
      <c r="T306" s="7" t="n">
        <f aca="false">IF(OR(I306="BCG",I306="DTP1",I306="DTP3",I306="POL3",I306="MCV1",I306="FULL"),1,0)</f>
        <v>0</v>
      </c>
      <c r="U306" s="7" t="n">
        <f aca="false">IF(OR(C306="DHS",C306="MICS"),1,0)</f>
        <v>1</v>
      </c>
      <c r="V306" s="7" t="n">
        <f aca="false">IF(O306="",1,0)</f>
        <v>0</v>
      </c>
      <c r="W306" s="7" t="n">
        <f aca="false">IF(M306="",1,0)</f>
        <v>0</v>
      </c>
      <c r="X306" s="7" t="n">
        <f aca="false">COUNTIFS($B$2:$B$1141,B306,$H$2:$H$1141,H306,$I$2:$I$1141,I306,$J$2:$J$1141,J306,$K$2:$K$1141,K306,$L$2:$L$1141,L306)</f>
        <v>1</v>
      </c>
    </row>
    <row r="307" customFormat="false" ht="15" hidden="false" customHeight="false" outlineLevel="0" collapsed="false">
      <c r="A307" s="7" t="n">
        <f aca="false">ROW()-1</f>
        <v>306</v>
      </c>
      <c r="B307" s="7" t="str">
        <f aca="false">IF(Raw_Nigeria!B307="",TRIM(Raw_Nigeria!C307),TRIM(Raw_Nigeria!B307))</f>
        <v>Nigeria Multiple Indicator Cluster Survey 2011</v>
      </c>
      <c r="C307" s="7" t="str">
        <f aca="false">IF(ISNUMBER(SEARCH("Demographic and Health",B307)),"DHS",IF(OR(ISNUMBER(SEARCH("Multiple Indicator Cluster",B307)),ISNUMBER(SEARCH("MICS",B307))),"MICS",IF(ISNUMBER(SEARCH("Immunization Coverage Survey",B307)),"Coverage survey",IF(ISNUMBER(SEARCH("Nutrition",B307)),"Nutrition survey","Other"))))</f>
        <v>MICS</v>
      </c>
      <c r="D307" s="7" t="n">
        <f aca="false">VALUE(LEFT(Raw_Nigeria!D307,4))</f>
        <v>2011</v>
      </c>
      <c r="E307" s="7" t="n">
        <f aca="false">IF(VALUE(RIGHT(Raw_Nigeria!D307,2))&gt;12,"",VALUE(RIGHT(Raw_Nigeria!D307,2)))</f>
        <v>2</v>
      </c>
      <c r="F307" s="7" t="n">
        <f aca="false">VALUE(LEFT(Raw_Nigeria!E307,4))</f>
        <v>2011</v>
      </c>
      <c r="G307" s="7" t="n">
        <f aca="false">IF(VALUE(RIGHT(Raw_Nigeria!E307,2))&gt;12,"",VALUE(RIGHT(Raw_Nigeria!E307,2)))</f>
        <v>3</v>
      </c>
      <c r="H307" s="7" t="n">
        <f aca="false">Raw_Nigeria!F307</f>
        <v>2010</v>
      </c>
      <c r="I307" s="7" t="str">
        <f aca="false">UPPER(TRIM(Raw_Nigeria!G307))</f>
        <v>HEPB3</v>
      </c>
      <c r="J307" s="7" t="str">
        <f aca="false">Raw_Nigeria!H307</f>
        <v>Record</v>
      </c>
      <c r="K307" s="7" t="str">
        <f aca="false">Raw_Nigeria!L307</f>
        <v>12-23 m</v>
      </c>
      <c r="L307" s="7" t="str">
        <f aca="false">IF(Raw_Nigeria!K307="","n/a",Raw_Nigeria!K307)</f>
        <v>0-23 m</v>
      </c>
      <c r="M307" s="7" t="n">
        <f aca="false">IF(Raw_Nigeria!I307="","",Raw_Nigeria!I307)</f>
        <v>24.4</v>
      </c>
      <c r="N307" s="7" t="n">
        <f aca="false">Raw_Nigeria!M307</f>
        <v>26.1</v>
      </c>
      <c r="O307" s="7" t="str">
        <f aca="false">IF(Raw_Nigeria!N307="","",Raw_Nigeria!N307)</f>
        <v/>
      </c>
      <c r="P307" s="7" t="str">
        <f aca="false">IF(K307="CBAW","Women of child-bearing age","Children")</f>
        <v>Children</v>
      </c>
      <c r="Q307" s="7" t="n">
        <f aca="false">IF(J307="NOT USED",1,0)</f>
        <v>0</v>
      </c>
      <c r="R307" s="7" t="n">
        <f aca="false">IF(AND(P307="Children",Q307=0),1,0)</f>
        <v>1</v>
      </c>
      <c r="S307" s="7" t="n">
        <f aca="false">IF(AND(R307=1,J307="Record or Recall",K307="12-23 m"),1,0)</f>
        <v>0</v>
      </c>
      <c r="T307" s="7" t="n">
        <f aca="false">IF(OR(I307="BCG",I307="DTP1",I307="DTP3",I307="POL3",I307="MCV1",I307="FULL"),1,0)</f>
        <v>0</v>
      </c>
      <c r="U307" s="7" t="n">
        <f aca="false">IF(OR(C307="DHS",C307="MICS"),1,0)</f>
        <v>1</v>
      </c>
      <c r="V307" s="7" t="n">
        <f aca="false">IF(O307="",1,0)</f>
        <v>1</v>
      </c>
      <c r="W307" s="7" t="n">
        <f aca="false">IF(M307="",1,0)</f>
        <v>0</v>
      </c>
      <c r="X307" s="7" t="n">
        <f aca="false">COUNTIFS($B$2:$B$1141,B307,$H$2:$H$1141,H307,$I$2:$I$1141,I307,$J$2:$J$1141,J307,$K$2:$K$1141,K307,$L$2:$L$1141,L307)</f>
        <v>1</v>
      </c>
    </row>
    <row r="308" customFormat="false" ht="15" hidden="false" customHeight="false" outlineLevel="0" collapsed="false">
      <c r="A308" s="7" t="n">
        <f aca="false">ROW()-1</f>
        <v>307</v>
      </c>
      <c r="B308" s="7" t="str">
        <f aca="false">IF(Raw_Nigeria!B308="",TRIM(Raw_Nigeria!C308),TRIM(Raw_Nigeria!B308))</f>
        <v>Nigeria Multiple Indicator Cluster Survey 2011</v>
      </c>
      <c r="C308" s="7" t="str">
        <f aca="false">IF(ISNUMBER(SEARCH("Demographic and Health",B308)),"DHS",IF(OR(ISNUMBER(SEARCH("Multiple Indicator Cluster",B308)),ISNUMBER(SEARCH("MICS",B308))),"MICS",IF(ISNUMBER(SEARCH("Immunization Coverage Survey",B308)),"Coverage survey",IF(ISNUMBER(SEARCH("Nutrition",B308)),"Nutrition survey","Other"))))</f>
        <v>MICS</v>
      </c>
      <c r="D308" s="7" t="n">
        <f aca="false">VALUE(LEFT(Raw_Nigeria!D308,4))</f>
        <v>2011</v>
      </c>
      <c r="E308" s="7" t="n">
        <f aca="false">IF(VALUE(RIGHT(Raw_Nigeria!D308,2))&gt;12,"",VALUE(RIGHT(Raw_Nigeria!D308,2)))</f>
        <v>2</v>
      </c>
      <c r="F308" s="7" t="n">
        <f aca="false">VALUE(LEFT(Raw_Nigeria!E308,4))</f>
        <v>2011</v>
      </c>
      <c r="G308" s="7" t="n">
        <f aca="false">IF(VALUE(RIGHT(Raw_Nigeria!E308,2))&gt;12,"",VALUE(RIGHT(Raw_Nigeria!E308,2)))</f>
        <v>3</v>
      </c>
      <c r="H308" s="7" t="n">
        <f aca="false">Raw_Nigeria!F308</f>
        <v>2010</v>
      </c>
      <c r="I308" s="7" t="str">
        <f aca="false">UPPER(TRIM(Raw_Nigeria!G308))</f>
        <v>HEPB3</v>
      </c>
      <c r="J308" s="7" t="str">
        <f aca="false">Raw_Nigeria!H308</f>
        <v>Record or Recall</v>
      </c>
      <c r="K308" s="7" t="str">
        <f aca="false">Raw_Nigeria!L308</f>
        <v>12-23 m</v>
      </c>
      <c r="L308" s="7" t="str">
        <f aca="false">IF(Raw_Nigeria!K308="","n/a",Raw_Nigeria!K308)</f>
        <v>0-23 m</v>
      </c>
      <c r="M308" s="7" t="n">
        <f aca="false">IF(Raw_Nigeria!I308="","",Raw_Nigeria!I308)</f>
        <v>24.4</v>
      </c>
      <c r="N308" s="7" t="n">
        <f aca="false">Raw_Nigeria!M308</f>
        <v>35.9</v>
      </c>
      <c r="O308" s="7" t="n">
        <f aca="false">IF(Raw_Nigeria!N308="","",Raw_Nigeria!N308)</f>
        <v>4986</v>
      </c>
      <c r="P308" s="7" t="str">
        <f aca="false">IF(K308="CBAW","Women of child-bearing age","Children")</f>
        <v>Children</v>
      </c>
      <c r="Q308" s="7" t="n">
        <f aca="false">IF(J308="NOT USED",1,0)</f>
        <v>0</v>
      </c>
      <c r="R308" s="7" t="n">
        <f aca="false">IF(AND(P308="Children",Q308=0),1,0)</f>
        <v>1</v>
      </c>
      <c r="S308" s="7" t="n">
        <f aca="false">IF(AND(R308=1,J308="Record or Recall",K308="12-23 m"),1,0)</f>
        <v>1</v>
      </c>
      <c r="T308" s="7" t="n">
        <f aca="false">IF(OR(I308="BCG",I308="DTP1",I308="DTP3",I308="POL3",I308="MCV1",I308="FULL"),1,0)</f>
        <v>0</v>
      </c>
      <c r="U308" s="7" t="n">
        <f aca="false">IF(OR(C308="DHS",C308="MICS"),1,0)</f>
        <v>1</v>
      </c>
      <c r="V308" s="7" t="n">
        <f aca="false">IF(O308="",1,0)</f>
        <v>0</v>
      </c>
      <c r="W308" s="7" t="n">
        <f aca="false">IF(M308="",1,0)</f>
        <v>0</v>
      </c>
      <c r="X308" s="7" t="n">
        <f aca="false">COUNTIFS($B$2:$B$1141,B308,$H$2:$H$1141,H308,$I$2:$I$1141,I308,$J$2:$J$1141,J308,$K$2:$K$1141,K308,$L$2:$L$1141,L308)</f>
        <v>1</v>
      </c>
    </row>
    <row r="309" customFormat="false" ht="15" hidden="false" customHeight="false" outlineLevel="0" collapsed="false">
      <c r="A309" s="7" t="n">
        <f aca="false">ROW()-1</f>
        <v>308</v>
      </c>
      <c r="B309" s="7" t="str">
        <f aca="false">IF(Raw_Nigeria!B309="",TRIM(Raw_Nigeria!C309),TRIM(Raw_Nigeria!B309))</f>
        <v>Nigeria Multiple Indicator Cluster Survey 2011</v>
      </c>
      <c r="C309" s="7" t="str">
        <f aca="false">IF(ISNUMBER(SEARCH("Demographic and Health",B309)),"DHS",IF(OR(ISNUMBER(SEARCH("Multiple Indicator Cluster",B309)),ISNUMBER(SEARCH("MICS",B309))),"MICS",IF(ISNUMBER(SEARCH("Immunization Coverage Survey",B309)),"Coverage survey",IF(ISNUMBER(SEARCH("Nutrition",B309)),"Nutrition survey","Other"))))</f>
        <v>MICS</v>
      </c>
      <c r="D309" s="7" t="n">
        <f aca="false">VALUE(LEFT(Raw_Nigeria!D309,4))</f>
        <v>2011</v>
      </c>
      <c r="E309" s="7" t="n">
        <f aca="false">IF(VALUE(RIGHT(Raw_Nigeria!D309,2))&gt;12,"",VALUE(RIGHT(Raw_Nigeria!D309,2)))</f>
        <v>2</v>
      </c>
      <c r="F309" s="7" t="n">
        <f aca="false">VALUE(LEFT(Raw_Nigeria!E309,4))</f>
        <v>2011</v>
      </c>
      <c r="G309" s="7" t="n">
        <f aca="false">IF(VALUE(RIGHT(Raw_Nigeria!E309,2))&gt;12,"",VALUE(RIGHT(Raw_Nigeria!E309,2)))</f>
        <v>3</v>
      </c>
      <c r="H309" s="7" t="n">
        <f aca="false">Raw_Nigeria!F309</f>
        <v>2010</v>
      </c>
      <c r="I309" s="7" t="str">
        <f aca="false">UPPER(TRIM(Raw_Nigeria!G309))</f>
        <v>HEPB3</v>
      </c>
      <c r="J309" s="7" t="str">
        <f aca="false">Raw_Nigeria!H309</f>
        <v>Recall</v>
      </c>
      <c r="K309" s="7" t="str">
        <f aca="false">Raw_Nigeria!L309</f>
        <v>12-23 m</v>
      </c>
      <c r="L309" s="7" t="str">
        <f aca="false">IF(Raw_Nigeria!K309="","n/a",Raw_Nigeria!K309)</f>
        <v>0-23 m</v>
      </c>
      <c r="M309" s="7" t="n">
        <f aca="false">IF(Raw_Nigeria!I309="","",Raw_Nigeria!I309)</f>
        <v>24.4</v>
      </c>
      <c r="N309" s="7" t="n">
        <f aca="false">Raw_Nigeria!M309</f>
        <v>9.8</v>
      </c>
      <c r="O309" s="7" t="str">
        <f aca="false">IF(Raw_Nigeria!N309="","",Raw_Nigeria!N309)</f>
        <v/>
      </c>
      <c r="P309" s="7" t="str">
        <f aca="false">IF(K309="CBAW","Women of child-bearing age","Children")</f>
        <v>Children</v>
      </c>
      <c r="Q309" s="7" t="n">
        <f aca="false">IF(J309="NOT USED",1,0)</f>
        <v>0</v>
      </c>
      <c r="R309" s="7" t="n">
        <f aca="false">IF(AND(P309="Children",Q309=0),1,0)</f>
        <v>1</v>
      </c>
      <c r="S309" s="7" t="n">
        <f aca="false">IF(AND(R309=1,J309="Record or Recall",K309="12-23 m"),1,0)</f>
        <v>0</v>
      </c>
      <c r="T309" s="7" t="n">
        <f aca="false">IF(OR(I309="BCG",I309="DTP1",I309="DTP3",I309="POL3",I309="MCV1",I309="FULL"),1,0)</f>
        <v>0</v>
      </c>
      <c r="U309" s="7" t="n">
        <f aca="false">IF(OR(C309="DHS",C309="MICS"),1,0)</f>
        <v>1</v>
      </c>
      <c r="V309" s="7" t="n">
        <f aca="false">IF(O309="",1,0)</f>
        <v>1</v>
      </c>
      <c r="W309" s="7" t="n">
        <f aca="false">IF(M309="",1,0)</f>
        <v>0</v>
      </c>
      <c r="X309" s="7" t="n">
        <f aca="false">COUNTIFS($B$2:$B$1141,B309,$H$2:$H$1141,H309,$I$2:$I$1141,I309,$J$2:$J$1141,J309,$K$2:$K$1141,K309,$L$2:$L$1141,L309)</f>
        <v>1</v>
      </c>
    </row>
    <row r="310" customFormat="false" ht="15" hidden="false" customHeight="false" outlineLevel="0" collapsed="false">
      <c r="A310" s="7" t="n">
        <f aca="false">ROW()-1</f>
        <v>309</v>
      </c>
      <c r="B310" s="7" t="str">
        <f aca="false">IF(Raw_Nigeria!B310="",TRIM(Raw_Nigeria!C310),TRIM(Raw_Nigeria!B310))</f>
        <v>Nigeria Multiple Indicator Cluster Survey 2011</v>
      </c>
      <c r="C310" s="7" t="str">
        <f aca="false">IF(ISNUMBER(SEARCH("Demographic and Health",B310)),"DHS",IF(OR(ISNUMBER(SEARCH("Multiple Indicator Cluster",B310)),ISNUMBER(SEARCH("MICS",B310))),"MICS",IF(ISNUMBER(SEARCH("Immunization Coverage Survey",B310)),"Coverage survey",IF(ISNUMBER(SEARCH("Nutrition",B310)),"Nutrition survey","Other"))))</f>
        <v>MICS</v>
      </c>
      <c r="D310" s="7" t="n">
        <f aca="false">VALUE(LEFT(Raw_Nigeria!D310,4))</f>
        <v>2011</v>
      </c>
      <c r="E310" s="7" t="n">
        <f aca="false">IF(VALUE(RIGHT(Raw_Nigeria!D310,2))&gt;12,"",VALUE(RIGHT(Raw_Nigeria!D310,2)))</f>
        <v>2</v>
      </c>
      <c r="F310" s="7" t="n">
        <f aca="false">VALUE(LEFT(Raw_Nigeria!E310,4))</f>
        <v>2011</v>
      </c>
      <c r="G310" s="7" t="n">
        <f aca="false">IF(VALUE(RIGHT(Raw_Nigeria!E310,2))&gt;12,"",VALUE(RIGHT(Raw_Nigeria!E310,2)))</f>
        <v>3</v>
      </c>
      <c r="H310" s="7" t="n">
        <f aca="false">Raw_Nigeria!F310</f>
        <v>2010</v>
      </c>
      <c r="I310" s="7" t="str">
        <f aca="false">UPPER(TRIM(Raw_Nigeria!G310))</f>
        <v>HEPBB</v>
      </c>
      <c r="J310" s="7" t="str">
        <f aca="false">Raw_Nigeria!H310</f>
        <v>Record or Recall&lt;12m</v>
      </c>
      <c r="K310" s="7" t="str">
        <f aca="false">Raw_Nigeria!L310</f>
        <v>12-23 m</v>
      </c>
      <c r="L310" s="7" t="str">
        <f aca="false">IF(Raw_Nigeria!K310="","n/a",Raw_Nigeria!K310)</f>
        <v>0-12 m</v>
      </c>
      <c r="M310" s="7" t="n">
        <f aca="false">IF(Raw_Nigeria!I310="","",Raw_Nigeria!I310)</f>
        <v>24.4</v>
      </c>
      <c r="N310" s="7" t="n">
        <f aca="false">Raw_Nigeria!M310</f>
        <v>29</v>
      </c>
      <c r="O310" s="7" t="n">
        <f aca="false">IF(Raw_Nigeria!N310="","",Raw_Nigeria!N310)</f>
        <v>4986</v>
      </c>
      <c r="P310" s="7" t="str">
        <f aca="false">IF(K310="CBAW","Women of child-bearing age","Children")</f>
        <v>Children</v>
      </c>
      <c r="Q310" s="7" t="n">
        <f aca="false">IF(J310="NOT USED",1,0)</f>
        <v>0</v>
      </c>
      <c r="R310" s="7" t="n">
        <f aca="false">IF(AND(P310="Children",Q310=0),1,0)</f>
        <v>1</v>
      </c>
      <c r="S310" s="7" t="n">
        <f aca="false">IF(AND(R310=1,J310="Record or Recall",K310="12-23 m"),1,0)</f>
        <v>0</v>
      </c>
      <c r="T310" s="7" t="n">
        <f aca="false">IF(OR(I310="BCG",I310="DTP1",I310="DTP3",I310="POL3",I310="MCV1",I310="FULL"),1,0)</f>
        <v>0</v>
      </c>
      <c r="U310" s="7" t="n">
        <f aca="false">IF(OR(C310="DHS",C310="MICS"),1,0)</f>
        <v>1</v>
      </c>
      <c r="V310" s="7" t="n">
        <f aca="false">IF(O310="",1,0)</f>
        <v>0</v>
      </c>
      <c r="W310" s="7" t="n">
        <f aca="false">IF(M310="",1,0)</f>
        <v>0</v>
      </c>
      <c r="X310" s="7" t="n">
        <f aca="false">COUNTIFS($B$2:$B$1141,B310,$H$2:$H$1141,H310,$I$2:$I$1141,I310,$J$2:$J$1141,J310,$K$2:$K$1141,K310,$L$2:$L$1141,L310)</f>
        <v>1</v>
      </c>
    </row>
    <row r="311" customFormat="false" ht="15" hidden="false" customHeight="false" outlineLevel="0" collapsed="false">
      <c r="A311" s="7" t="n">
        <f aca="false">ROW()-1</f>
        <v>310</v>
      </c>
      <c r="B311" s="7" t="str">
        <f aca="false">IF(Raw_Nigeria!B311="",TRIM(Raw_Nigeria!C311),TRIM(Raw_Nigeria!B311))</f>
        <v>Nigeria Multiple Indicator Cluster Survey 2011</v>
      </c>
      <c r="C311" s="7" t="str">
        <f aca="false">IF(ISNUMBER(SEARCH("Demographic and Health",B311)),"DHS",IF(OR(ISNUMBER(SEARCH("Multiple Indicator Cluster",B311)),ISNUMBER(SEARCH("MICS",B311))),"MICS",IF(ISNUMBER(SEARCH("Immunization Coverage Survey",B311)),"Coverage survey",IF(ISNUMBER(SEARCH("Nutrition",B311)),"Nutrition survey","Other"))))</f>
        <v>MICS</v>
      </c>
      <c r="D311" s="7" t="n">
        <f aca="false">VALUE(LEFT(Raw_Nigeria!D311,4))</f>
        <v>2011</v>
      </c>
      <c r="E311" s="7" t="n">
        <f aca="false">IF(VALUE(RIGHT(Raw_Nigeria!D311,2))&gt;12,"",VALUE(RIGHT(Raw_Nigeria!D311,2)))</f>
        <v>2</v>
      </c>
      <c r="F311" s="7" t="n">
        <f aca="false">VALUE(LEFT(Raw_Nigeria!E311,4))</f>
        <v>2011</v>
      </c>
      <c r="G311" s="7" t="n">
        <f aca="false">IF(VALUE(RIGHT(Raw_Nigeria!E311,2))&gt;12,"",VALUE(RIGHT(Raw_Nigeria!E311,2)))</f>
        <v>3</v>
      </c>
      <c r="H311" s="7" t="n">
        <f aca="false">Raw_Nigeria!F311</f>
        <v>2010</v>
      </c>
      <c r="I311" s="7" t="str">
        <f aca="false">UPPER(TRIM(Raw_Nigeria!G311))</f>
        <v>HEPBB</v>
      </c>
      <c r="J311" s="7" t="str">
        <f aca="false">Raw_Nigeria!H311</f>
        <v>Record</v>
      </c>
      <c r="K311" s="7" t="str">
        <f aca="false">Raw_Nigeria!L311</f>
        <v>12-23 m</v>
      </c>
      <c r="L311" s="7" t="str">
        <f aca="false">IF(Raw_Nigeria!K311="","n/a",Raw_Nigeria!K311)</f>
        <v>0-23 m</v>
      </c>
      <c r="M311" s="7" t="n">
        <f aca="false">IF(Raw_Nigeria!I311="","",Raw_Nigeria!I311)</f>
        <v>24.4</v>
      </c>
      <c r="N311" s="7" t="n">
        <f aca="false">Raw_Nigeria!M311</f>
        <v>17.7</v>
      </c>
      <c r="O311" s="7" t="str">
        <f aca="false">IF(Raw_Nigeria!N311="","",Raw_Nigeria!N311)</f>
        <v/>
      </c>
      <c r="P311" s="7" t="str">
        <f aca="false">IF(K311="CBAW","Women of child-bearing age","Children")</f>
        <v>Children</v>
      </c>
      <c r="Q311" s="7" t="n">
        <f aca="false">IF(J311="NOT USED",1,0)</f>
        <v>0</v>
      </c>
      <c r="R311" s="7" t="n">
        <f aca="false">IF(AND(P311="Children",Q311=0),1,0)</f>
        <v>1</v>
      </c>
      <c r="S311" s="7" t="n">
        <f aca="false">IF(AND(R311=1,J311="Record or Recall",K311="12-23 m"),1,0)</f>
        <v>0</v>
      </c>
      <c r="T311" s="7" t="n">
        <f aca="false">IF(OR(I311="BCG",I311="DTP1",I311="DTP3",I311="POL3",I311="MCV1",I311="FULL"),1,0)</f>
        <v>0</v>
      </c>
      <c r="U311" s="7" t="n">
        <f aca="false">IF(OR(C311="DHS",C311="MICS"),1,0)</f>
        <v>1</v>
      </c>
      <c r="V311" s="7" t="n">
        <f aca="false">IF(O311="",1,0)</f>
        <v>1</v>
      </c>
      <c r="W311" s="7" t="n">
        <f aca="false">IF(M311="",1,0)</f>
        <v>0</v>
      </c>
      <c r="X311" s="7" t="n">
        <f aca="false">COUNTIFS($B$2:$B$1141,B311,$H$2:$H$1141,H311,$I$2:$I$1141,I311,$J$2:$J$1141,J311,$K$2:$K$1141,K311,$L$2:$L$1141,L311)</f>
        <v>1</v>
      </c>
    </row>
    <row r="312" customFormat="false" ht="15" hidden="false" customHeight="false" outlineLevel="0" collapsed="false">
      <c r="A312" s="7" t="n">
        <f aca="false">ROW()-1</f>
        <v>311</v>
      </c>
      <c r="B312" s="7" t="str">
        <f aca="false">IF(Raw_Nigeria!B312="",TRIM(Raw_Nigeria!C312),TRIM(Raw_Nigeria!B312))</f>
        <v>Nigeria Multiple Indicator Cluster Survey 2011</v>
      </c>
      <c r="C312" s="7" t="str">
        <f aca="false">IF(ISNUMBER(SEARCH("Demographic and Health",B312)),"DHS",IF(OR(ISNUMBER(SEARCH("Multiple Indicator Cluster",B312)),ISNUMBER(SEARCH("MICS",B312))),"MICS",IF(ISNUMBER(SEARCH("Immunization Coverage Survey",B312)),"Coverage survey",IF(ISNUMBER(SEARCH("Nutrition",B312)),"Nutrition survey","Other"))))</f>
        <v>MICS</v>
      </c>
      <c r="D312" s="7" t="n">
        <f aca="false">VALUE(LEFT(Raw_Nigeria!D312,4))</f>
        <v>2011</v>
      </c>
      <c r="E312" s="7" t="n">
        <f aca="false">IF(VALUE(RIGHT(Raw_Nigeria!D312,2))&gt;12,"",VALUE(RIGHT(Raw_Nigeria!D312,2)))</f>
        <v>2</v>
      </c>
      <c r="F312" s="7" t="n">
        <f aca="false">VALUE(LEFT(Raw_Nigeria!E312,4))</f>
        <v>2011</v>
      </c>
      <c r="G312" s="7" t="n">
        <f aca="false">IF(VALUE(RIGHT(Raw_Nigeria!E312,2))&gt;12,"",VALUE(RIGHT(Raw_Nigeria!E312,2)))</f>
        <v>3</v>
      </c>
      <c r="H312" s="7" t="n">
        <f aca="false">Raw_Nigeria!F312</f>
        <v>2010</v>
      </c>
      <c r="I312" s="7" t="str">
        <f aca="false">UPPER(TRIM(Raw_Nigeria!G312))</f>
        <v>HEPBB</v>
      </c>
      <c r="J312" s="7" t="str">
        <f aca="false">Raw_Nigeria!H312</f>
        <v>Record or Recall</v>
      </c>
      <c r="K312" s="7" t="str">
        <f aca="false">Raw_Nigeria!L312</f>
        <v>12-23 m</v>
      </c>
      <c r="L312" s="7" t="str">
        <f aca="false">IF(Raw_Nigeria!K312="","n/a",Raw_Nigeria!K312)</f>
        <v>0-23 m</v>
      </c>
      <c r="M312" s="7" t="n">
        <f aca="false">IF(Raw_Nigeria!I312="","",Raw_Nigeria!I312)</f>
        <v>24.4</v>
      </c>
      <c r="N312" s="7" t="n">
        <f aca="false">Raw_Nigeria!M312</f>
        <v>29.3</v>
      </c>
      <c r="O312" s="7" t="n">
        <f aca="false">IF(Raw_Nigeria!N312="","",Raw_Nigeria!N312)</f>
        <v>4986</v>
      </c>
      <c r="P312" s="7" t="str">
        <f aca="false">IF(K312="CBAW","Women of child-bearing age","Children")</f>
        <v>Children</v>
      </c>
      <c r="Q312" s="7" t="n">
        <f aca="false">IF(J312="NOT USED",1,0)</f>
        <v>0</v>
      </c>
      <c r="R312" s="7" t="n">
        <f aca="false">IF(AND(P312="Children",Q312=0),1,0)</f>
        <v>1</v>
      </c>
      <c r="S312" s="7" t="n">
        <f aca="false">IF(AND(R312=1,J312="Record or Recall",K312="12-23 m"),1,0)</f>
        <v>1</v>
      </c>
      <c r="T312" s="7" t="n">
        <f aca="false">IF(OR(I312="BCG",I312="DTP1",I312="DTP3",I312="POL3",I312="MCV1",I312="FULL"),1,0)</f>
        <v>0</v>
      </c>
      <c r="U312" s="7" t="n">
        <f aca="false">IF(OR(C312="DHS",C312="MICS"),1,0)</f>
        <v>1</v>
      </c>
      <c r="V312" s="7" t="n">
        <f aca="false">IF(O312="",1,0)</f>
        <v>0</v>
      </c>
      <c r="W312" s="7" t="n">
        <f aca="false">IF(M312="",1,0)</f>
        <v>0</v>
      </c>
      <c r="X312" s="7" t="n">
        <f aca="false">COUNTIFS($B$2:$B$1141,B312,$H$2:$H$1141,H312,$I$2:$I$1141,I312,$J$2:$J$1141,J312,$K$2:$K$1141,K312,$L$2:$L$1141,L312)</f>
        <v>1</v>
      </c>
    </row>
    <row r="313" customFormat="false" ht="15" hidden="false" customHeight="false" outlineLevel="0" collapsed="false">
      <c r="A313" s="7" t="n">
        <f aca="false">ROW()-1</f>
        <v>312</v>
      </c>
      <c r="B313" s="7" t="str">
        <f aca="false">IF(Raw_Nigeria!B313="",TRIM(Raw_Nigeria!C313),TRIM(Raw_Nigeria!B313))</f>
        <v>Nigeria Multiple Indicator Cluster Survey 2011</v>
      </c>
      <c r="C313" s="7" t="str">
        <f aca="false">IF(ISNUMBER(SEARCH("Demographic and Health",B313)),"DHS",IF(OR(ISNUMBER(SEARCH("Multiple Indicator Cluster",B313)),ISNUMBER(SEARCH("MICS",B313))),"MICS",IF(ISNUMBER(SEARCH("Immunization Coverage Survey",B313)),"Coverage survey",IF(ISNUMBER(SEARCH("Nutrition",B313)),"Nutrition survey","Other"))))</f>
        <v>MICS</v>
      </c>
      <c r="D313" s="7" t="n">
        <f aca="false">VALUE(LEFT(Raw_Nigeria!D313,4))</f>
        <v>2011</v>
      </c>
      <c r="E313" s="7" t="n">
        <f aca="false">IF(VALUE(RIGHT(Raw_Nigeria!D313,2))&gt;12,"",VALUE(RIGHT(Raw_Nigeria!D313,2)))</f>
        <v>2</v>
      </c>
      <c r="F313" s="7" t="n">
        <f aca="false">VALUE(LEFT(Raw_Nigeria!E313,4))</f>
        <v>2011</v>
      </c>
      <c r="G313" s="7" t="n">
        <f aca="false">IF(VALUE(RIGHT(Raw_Nigeria!E313,2))&gt;12,"",VALUE(RIGHT(Raw_Nigeria!E313,2)))</f>
        <v>3</v>
      </c>
      <c r="H313" s="7" t="n">
        <f aca="false">Raw_Nigeria!F313</f>
        <v>2010</v>
      </c>
      <c r="I313" s="7" t="str">
        <f aca="false">UPPER(TRIM(Raw_Nigeria!G313))</f>
        <v>HEPBB</v>
      </c>
      <c r="J313" s="7" t="str">
        <f aca="false">Raw_Nigeria!H313</f>
        <v>Recall</v>
      </c>
      <c r="K313" s="7" t="str">
        <f aca="false">Raw_Nigeria!L313</f>
        <v>12-23 m</v>
      </c>
      <c r="L313" s="7" t="str">
        <f aca="false">IF(Raw_Nigeria!K313="","n/a",Raw_Nigeria!K313)</f>
        <v>0-23 m</v>
      </c>
      <c r="M313" s="7" t="n">
        <f aca="false">IF(Raw_Nigeria!I313="","",Raw_Nigeria!I313)</f>
        <v>24.4</v>
      </c>
      <c r="N313" s="7" t="n">
        <f aca="false">Raw_Nigeria!M313</f>
        <v>11.6</v>
      </c>
      <c r="O313" s="7" t="str">
        <f aca="false">IF(Raw_Nigeria!N313="","",Raw_Nigeria!N313)</f>
        <v/>
      </c>
      <c r="P313" s="7" t="str">
        <f aca="false">IF(K313="CBAW","Women of child-bearing age","Children")</f>
        <v>Children</v>
      </c>
      <c r="Q313" s="7" t="n">
        <f aca="false">IF(J313="NOT USED",1,0)</f>
        <v>0</v>
      </c>
      <c r="R313" s="7" t="n">
        <f aca="false">IF(AND(P313="Children",Q313=0),1,0)</f>
        <v>1</v>
      </c>
      <c r="S313" s="7" t="n">
        <f aca="false">IF(AND(R313=1,J313="Record or Recall",K313="12-23 m"),1,0)</f>
        <v>0</v>
      </c>
      <c r="T313" s="7" t="n">
        <f aca="false">IF(OR(I313="BCG",I313="DTP1",I313="DTP3",I313="POL3",I313="MCV1",I313="FULL"),1,0)</f>
        <v>0</v>
      </c>
      <c r="U313" s="7" t="n">
        <f aca="false">IF(OR(C313="DHS",C313="MICS"),1,0)</f>
        <v>1</v>
      </c>
      <c r="V313" s="7" t="n">
        <f aca="false">IF(O313="",1,0)</f>
        <v>1</v>
      </c>
      <c r="W313" s="7" t="n">
        <f aca="false">IF(M313="",1,0)</f>
        <v>0</v>
      </c>
      <c r="X313" s="7" t="n">
        <f aca="false">COUNTIFS($B$2:$B$1141,B313,$H$2:$H$1141,H313,$I$2:$I$1141,I313,$J$2:$J$1141,J313,$K$2:$K$1141,K313,$L$2:$L$1141,L313)</f>
        <v>1</v>
      </c>
    </row>
    <row r="314" customFormat="false" ht="15" hidden="false" customHeight="false" outlineLevel="0" collapsed="false">
      <c r="A314" s="7" t="n">
        <f aca="false">ROW()-1</f>
        <v>313</v>
      </c>
      <c r="B314" s="7" t="str">
        <f aca="false">IF(Raw_Nigeria!B314="",TRIM(Raw_Nigeria!C314),TRIM(Raw_Nigeria!B314))</f>
        <v>Nigeria Multiple Indicator Cluster Survey 2011</v>
      </c>
      <c r="C314" s="7" t="str">
        <f aca="false">IF(ISNUMBER(SEARCH("Demographic and Health",B314)),"DHS",IF(OR(ISNUMBER(SEARCH("Multiple Indicator Cluster",B314)),ISNUMBER(SEARCH("MICS",B314))),"MICS",IF(ISNUMBER(SEARCH("Immunization Coverage Survey",B314)),"Coverage survey",IF(ISNUMBER(SEARCH("Nutrition",B314)),"Nutrition survey","Other"))))</f>
        <v>MICS</v>
      </c>
      <c r="D314" s="7" t="n">
        <f aca="false">VALUE(LEFT(Raw_Nigeria!D314,4))</f>
        <v>2011</v>
      </c>
      <c r="E314" s="7" t="n">
        <f aca="false">IF(VALUE(RIGHT(Raw_Nigeria!D314,2))&gt;12,"",VALUE(RIGHT(Raw_Nigeria!D314,2)))</f>
        <v>2</v>
      </c>
      <c r="F314" s="7" t="n">
        <f aca="false">VALUE(LEFT(Raw_Nigeria!E314,4))</f>
        <v>2011</v>
      </c>
      <c r="G314" s="7" t="n">
        <f aca="false">IF(VALUE(RIGHT(Raw_Nigeria!E314,2))&gt;12,"",VALUE(RIGHT(Raw_Nigeria!E314,2)))</f>
        <v>3</v>
      </c>
      <c r="H314" s="7" t="n">
        <f aca="false">Raw_Nigeria!F314</f>
        <v>2010</v>
      </c>
      <c r="I314" s="7" t="str">
        <f aca="false">UPPER(TRIM(Raw_Nigeria!G314))</f>
        <v>MCV1</v>
      </c>
      <c r="J314" s="7" t="str">
        <f aca="false">Raw_Nigeria!H314</f>
        <v>Record or Recall&lt;12m</v>
      </c>
      <c r="K314" s="7" t="str">
        <f aca="false">Raw_Nigeria!L314</f>
        <v>12-23 m</v>
      </c>
      <c r="L314" s="7" t="str">
        <f aca="false">IF(Raw_Nigeria!K314="","n/a",Raw_Nigeria!K314)</f>
        <v>0-12 m</v>
      </c>
      <c r="M314" s="7" t="n">
        <f aca="false">IF(Raw_Nigeria!I314="","",Raw_Nigeria!I314)</f>
        <v>24.4</v>
      </c>
      <c r="N314" s="7" t="n">
        <f aca="false">Raw_Nigeria!M314</f>
        <v>49.2</v>
      </c>
      <c r="O314" s="7" t="n">
        <f aca="false">IF(Raw_Nigeria!N314="","",Raw_Nigeria!N314)</f>
        <v>4986</v>
      </c>
      <c r="P314" s="7" t="str">
        <f aca="false">IF(K314="CBAW","Women of child-bearing age","Children")</f>
        <v>Children</v>
      </c>
      <c r="Q314" s="7" t="n">
        <f aca="false">IF(J314="NOT USED",1,0)</f>
        <v>0</v>
      </c>
      <c r="R314" s="7" t="n">
        <f aca="false">IF(AND(P314="Children",Q314=0),1,0)</f>
        <v>1</v>
      </c>
      <c r="S314" s="7" t="n">
        <f aca="false">IF(AND(R314=1,J314="Record or Recall",K314="12-23 m"),1,0)</f>
        <v>0</v>
      </c>
      <c r="T314" s="7" t="n">
        <f aca="false">IF(OR(I314="BCG",I314="DTP1",I314="DTP3",I314="POL3",I314="MCV1",I314="FULL"),1,0)</f>
        <v>1</v>
      </c>
      <c r="U314" s="7" t="n">
        <f aca="false">IF(OR(C314="DHS",C314="MICS"),1,0)</f>
        <v>1</v>
      </c>
      <c r="V314" s="7" t="n">
        <f aca="false">IF(O314="",1,0)</f>
        <v>0</v>
      </c>
      <c r="W314" s="7" t="n">
        <f aca="false">IF(M314="",1,0)</f>
        <v>0</v>
      </c>
      <c r="X314" s="7" t="n">
        <f aca="false">COUNTIFS($B$2:$B$1141,B314,$H$2:$H$1141,H314,$I$2:$I$1141,I314,$J$2:$J$1141,J314,$K$2:$K$1141,K314,$L$2:$L$1141,L314)</f>
        <v>1</v>
      </c>
    </row>
    <row r="315" customFormat="false" ht="15" hidden="false" customHeight="false" outlineLevel="0" collapsed="false">
      <c r="A315" s="7" t="n">
        <f aca="false">ROW()-1</f>
        <v>314</v>
      </c>
      <c r="B315" s="7" t="str">
        <f aca="false">IF(Raw_Nigeria!B315="",TRIM(Raw_Nigeria!C315),TRIM(Raw_Nigeria!B315))</f>
        <v>Nigeria Multiple Indicator Cluster Survey 2011</v>
      </c>
      <c r="C315" s="7" t="str">
        <f aca="false">IF(ISNUMBER(SEARCH("Demographic and Health",B315)),"DHS",IF(OR(ISNUMBER(SEARCH("Multiple Indicator Cluster",B315)),ISNUMBER(SEARCH("MICS",B315))),"MICS",IF(ISNUMBER(SEARCH("Immunization Coverage Survey",B315)),"Coverage survey",IF(ISNUMBER(SEARCH("Nutrition",B315)),"Nutrition survey","Other"))))</f>
        <v>MICS</v>
      </c>
      <c r="D315" s="7" t="n">
        <f aca="false">VALUE(LEFT(Raw_Nigeria!D315,4))</f>
        <v>2011</v>
      </c>
      <c r="E315" s="7" t="n">
        <f aca="false">IF(VALUE(RIGHT(Raw_Nigeria!D315,2))&gt;12,"",VALUE(RIGHT(Raw_Nigeria!D315,2)))</f>
        <v>2</v>
      </c>
      <c r="F315" s="7" t="n">
        <f aca="false">VALUE(LEFT(Raw_Nigeria!E315,4))</f>
        <v>2011</v>
      </c>
      <c r="G315" s="7" t="n">
        <f aca="false">IF(VALUE(RIGHT(Raw_Nigeria!E315,2))&gt;12,"",VALUE(RIGHT(Raw_Nigeria!E315,2)))</f>
        <v>3</v>
      </c>
      <c r="H315" s="7" t="n">
        <f aca="false">Raw_Nigeria!F315</f>
        <v>2010</v>
      </c>
      <c r="I315" s="7" t="str">
        <f aca="false">UPPER(TRIM(Raw_Nigeria!G315))</f>
        <v>MCV1</v>
      </c>
      <c r="J315" s="7" t="str">
        <f aca="false">Raw_Nigeria!H315</f>
        <v>Record</v>
      </c>
      <c r="K315" s="7" t="str">
        <f aca="false">Raw_Nigeria!L315</f>
        <v>12-23 m</v>
      </c>
      <c r="L315" s="7" t="str">
        <f aca="false">IF(Raw_Nigeria!K315="","n/a",Raw_Nigeria!K315)</f>
        <v>0-23 m</v>
      </c>
      <c r="M315" s="7" t="n">
        <f aca="false">IF(Raw_Nigeria!I315="","",Raw_Nigeria!I315)</f>
        <v>24.4</v>
      </c>
      <c r="N315" s="7" t="n">
        <f aca="false">Raw_Nigeria!M315</f>
        <v>23.8</v>
      </c>
      <c r="O315" s="7" t="str">
        <f aca="false">IF(Raw_Nigeria!N315="","",Raw_Nigeria!N315)</f>
        <v/>
      </c>
      <c r="P315" s="7" t="str">
        <f aca="false">IF(K315="CBAW","Women of child-bearing age","Children")</f>
        <v>Children</v>
      </c>
      <c r="Q315" s="7" t="n">
        <f aca="false">IF(J315="NOT USED",1,0)</f>
        <v>0</v>
      </c>
      <c r="R315" s="7" t="n">
        <f aca="false">IF(AND(P315="Children",Q315=0),1,0)</f>
        <v>1</v>
      </c>
      <c r="S315" s="7" t="n">
        <f aca="false">IF(AND(R315=1,J315="Record or Recall",K315="12-23 m"),1,0)</f>
        <v>0</v>
      </c>
      <c r="T315" s="7" t="n">
        <f aca="false">IF(OR(I315="BCG",I315="DTP1",I315="DTP3",I315="POL3",I315="MCV1",I315="FULL"),1,0)</f>
        <v>1</v>
      </c>
      <c r="U315" s="7" t="n">
        <f aca="false">IF(OR(C315="DHS",C315="MICS"),1,0)</f>
        <v>1</v>
      </c>
      <c r="V315" s="7" t="n">
        <f aca="false">IF(O315="",1,0)</f>
        <v>1</v>
      </c>
      <c r="W315" s="7" t="n">
        <f aca="false">IF(M315="",1,0)</f>
        <v>0</v>
      </c>
      <c r="X315" s="7" t="n">
        <f aca="false">COUNTIFS($B$2:$B$1141,B315,$H$2:$H$1141,H315,$I$2:$I$1141,I315,$J$2:$J$1141,J315,$K$2:$K$1141,K315,$L$2:$L$1141,L315)</f>
        <v>1</v>
      </c>
    </row>
    <row r="316" customFormat="false" ht="15" hidden="false" customHeight="false" outlineLevel="0" collapsed="false">
      <c r="A316" s="7" t="n">
        <f aca="false">ROW()-1</f>
        <v>315</v>
      </c>
      <c r="B316" s="7" t="str">
        <f aca="false">IF(Raw_Nigeria!B316="",TRIM(Raw_Nigeria!C316),TRIM(Raw_Nigeria!B316))</f>
        <v>Nigeria Multiple Indicator Cluster Survey 2011</v>
      </c>
      <c r="C316" s="7" t="str">
        <f aca="false">IF(ISNUMBER(SEARCH("Demographic and Health",B316)),"DHS",IF(OR(ISNUMBER(SEARCH("Multiple Indicator Cluster",B316)),ISNUMBER(SEARCH("MICS",B316))),"MICS",IF(ISNUMBER(SEARCH("Immunization Coverage Survey",B316)),"Coverage survey",IF(ISNUMBER(SEARCH("Nutrition",B316)),"Nutrition survey","Other"))))</f>
        <v>MICS</v>
      </c>
      <c r="D316" s="7" t="n">
        <f aca="false">VALUE(LEFT(Raw_Nigeria!D316,4))</f>
        <v>2011</v>
      </c>
      <c r="E316" s="7" t="n">
        <f aca="false">IF(VALUE(RIGHT(Raw_Nigeria!D316,2))&gt;12,"",VALUE(RIGHT(Raw_Nigeria!D316,2)))</f>
        <v>2</v>
      </c>
      <c r="F316" s="7" t="n">
        <f aca="false">VALUE(LEFT(Raw_Nigeria!E316,4))</f>
        <v>2011</v>
      </c>
      <c r="G316" s="7" t="n">
        <f aca="false">IF(VALUE(RIGHT(Raw_Nigeria!E316,2))&gt;12,"",VALUE(RIGHT(Raw_Nigeria!E316,2)))</f>
        <v>3</v>
      </c>
      <c r="H316" s="7" t="n">
        <f aca="false">Raw_Nigeria!F316</f>
        <v>2010</v>
      </c>
      <c r="I316" s="7" t="str">
        <f aca="false">UPPER(TRIM(Raw_Nigeria!G316))</f>
        <v>MCV1</v>
      </c>
      <c r="J316" s="7" t="str">
        <f aca="false">Raw_Nigeria!H316</f>
        <v>Record or Recall</v>
      </c>
      <c r="K316" s="7" t="str">
        <f aca="false">Raw_Nigeria!L316</f>
        <v>12-23 m</v>
      </c>
      <c r="L316" s="7" t="str">
        <f aca="false">IF(Raw_Nigeria!K316="","n/a",Raw_Nigeria!K316)</f>
        <v>0-23 m</v>
      </c>
      <c r="M316" s="7" t="n">
        <f aca="false">IF(Raw_Nigeria!I316="","",Raw_Nigeria!I316)</f>
        <v>24.4</v>
      </c>
      <c r="N316" s="7" t="n">
        <f aca="false">Raw_Nigeria!M316</f>
        <v>55.6</v>
      </c>
      <c r="O316" s="7" t="n">
        <f aca="false">IF(Raw_Nigeria!N316="","",Raw_Nigeria!N316)</f>
        <v>4986</v>
      </c>
      <c r="P316" s="7" t="str">
        <f aca="false">IF(K316="CBAW","Women of child-bearing age","Children")</f>
        <v>Children</v>
      </c>
      <c r="Q316" s="7" t="n">
        <f aca="false">IF(J316="NOT USED",1,0)</f>
        <v>0</v>
      </c>
      <c r="R316" s="7" t="n">
        <f aca="false">IF(AND(P316="Children",Q316=0),1,0)</f>
        <v>1</v>
      </c>
      <c r="S316" s="7" t="n">
        <f aca="false">IF(AND(R316=1,J316="Record or Recall",K316="12-23 m"),1,0)</f>
        <v>1</v>
      </c>
      <c r="T316" s="7" t="n">
        <f aca="false">IF(OR(I316="BCG",I316="DTP1",I316="DTP3",I316="POL3",I316="MCV1",I316="FULL"),1,0)</f>
        <v>1</v>
      </c>
      <c r="U316" s="7" t="n">
        <f aca="false">IF(OR(C316="DHS",C316="MICS"),1,0)</f>
        <v>1</v>
      </c>
      <c r="V316" s="7" t="n">
        <f aca="false">IF(O316="",1,0)</f>
        <v>0</v>
      </c>
      <c r="W316" s="7" t="n">
        <f aca="false">IF(M316="",1,0)</f>
        <v>0</v>
      </c>
      <c r="X316" s="7" t="n">
        <f aca="false">COUNTIFS($B$2:$B$1141,B316,$H$2:$H$1141,H316,$I$2:$I$1141,I316,$J$2:$J$1141,J316,$K$2:$K$1141,K316,$L$2:$L$1141,L316)</f>
        <v>1</v>
      </c>
    </row>
    <row r="317" customFormat="false" ht="15" hidden="false" customHeight="false" outlineLevel="0" collapsed="false">
      <c r="A317" s="7" t="n">
        <f aca="false">ROW()-1</f>
        <v>316</v>
      </c>
      <c r="B317" s="7" t="str">
        <f aca="false">IF(Raw_Nigeria!B317="",TRIM(Raw_Nigeria!C317),TRIM(Raw_Nigeria!B317))</f>
        <v>Nigeria Multiple Indicator Cluster Survey 2011</v>
      </c>
      <c r="C317" s="7" t="str">
        <f aca="false">IF(ISNUMBER(SEARCH("Demographic and Health",B317)),"DHS",IF(OR(ISNUMBER(SEARCH("Multiple Indicator Cluster",B317)),ISNUMBER(SEARCH("MICS",B317))),"MICS",IF(ISNUMBER(SEARCH("Immunization Coverage Survey",B317)),"Coverage survey",IF(ISNUMBER(SEARCH("Nutrition",B317)),"Nutrition survey","Other"))))</f>
        <v>MICS</v>
      </c>
      <c r="D317" s="7" t="n">
        <f aca="false">VALUE(LEFT(Raw_Nigeria!D317,4))</f>
        <v>2011</v>
      </c>
      <c r="E317" s="7" t="n">
        <f aca="false">IF(VALUE(RIGHT(Raw_Nigeria!D317,2))&gt;12,"",VALUE(RIGHT(Raw_Nigeria!D317,2)))</f>
        <v>2</v>
      </c>
      <c r="F317" s="7" t="n">
        <f aca="false">VALUE(LEFT(Raw_Nigeria!E317,4))</f>
        <v>2011</v>
      </c>
      <c r="G317" s="7" t="n">
        <f aca="false">IF(VALUE(RIGHT(Raw_Nigeria!E317,2))&gt;12,"",VALUE(RIGHT(Raw_Nigeria!E317,2)))</f>
        <v>3</v>
      </c>
      <c r="H317" s="7" t="n">
        <f aca="false">Raw_Nigeria!F317</f>
        <v>2010</v>
      </c>
      <c r="I317" s="7" t="str">
        <f aca="false">UPPER(TRIM(Raw_Nigeria!G317))</f>
        <v>MCV1</v>
      </c>
      <c r="J317" s="7" t="str">
        <f aca="false">Raw_Nigeria!H317</f>
        <v>Recall</v>
      </c>
      <c r="K317" s="7" t="str">
        <f aca="false">Raw_Nigeria!L317</f>
        <v>12-23 m</v>
      </c>
      <c r="L317" s="7" t="str">
        <f aca="false">IF(Raw_Nigeria!K317="","n/a",Raw_Nigeria!K317)</f>
        <v>0-23 m</v>
      </c>
      <c r="M317" s="7" t="n">
        <f aca="false">IF(Raw_Nigeria!I317="","",Raw_Nigeria!I317)</f>
        <v>24.4</v>
      </c>
      <c r="N317" s="7" t="n">
        <f aca="false">Raw_Nigeria!M317</f>
        <v>31.7</v>
      </c>
      <c r="O317" s="7" t="str">
        <f aca="false">IF(Raw_Nigeria!N317="","",Raw_Nigeria!N317)</f>
        <v/>
      </c>
      <c r="P317" s="7" t="str">
        <f aca="false">IF(K317="CBAW","Women of child-bearing age","Children")</f>
        <v>Children</v>
      </c>
      <c r="Q317" s="7" t="n">
        <f aca="false">IF(J317="NOT USED",1,0)</f>
        <v>0</v>
      </c>
      <c r="R317" s="7" t="n">
        <f aca="false">IF(AND(P317="Children",Q317=0),1,0)</f>
        <v>1</v>
      </c>
      <c r="S317" s="7" t="n">
        <f aca="false">IF(AND(R317=1,J317="Record or Recall",K317="12-23 m"),1,0)</f>
        <v>0</v>
      </c>
      <c r="T317" s="7" t="n">
        <f aca="false">IF(OR(I317="BCG",I317="DTP1",I317="DTP3",I317="POL3",I317="MCV1",I317="FULL"),1,0)</f>
        <v>1</v>
      </c>
      <c r="U317" s="7" t="n">
        <f aca="false">IF(OR(C317="DHS",C317="MICS"),1,0)</f>
        <v>1</v>
      </c>
      <c r="V317" s="7" t="n">
        <f aca="false">IF(O317="",1,0)</f>
        <v>1</v>
      </c>
      <c r="W317" s="7" t="n">
        <f aca="false">IF(M317="",1,0)</f>
        <v>0</v>
      </c>
      <c r="X317" s="7" t="n">
        <f aca="false">COUNTIFS($B$2:$B$1141,B317,$H$2:$H$1141,H317,$I$2:$I$1141,I317,$J$2:$J$1141,J317,$K$2:$K$1141,K317,$L$2:$L$1141,L317)</f>
        <v>1</v>
      </c>
    </row>
    <row r="318" customFormat="false" ht="15" hidden="false" customHeight="false" outlineLevel="0" collapsed="false">
      <c r="A318" s="7" t="n">
        <f aca="false">ROW()-1</f>
        <v>317</v>
      </c>
      <c r="B318" s="7" t="str">
        <f aca="false">IF(Raw_Nigeria!B318="",TRIM(Raw_Nigeria!C318),TRIM(Raw_Nigeria!B318))</f>
        <v>Nigeria Multiple Indicator Cluster Survey 2011</v>
      </c>
      <c r="C318" s="7" t="str">
        <f aca="false">IF(ISNUMBER(SEARCH("Demographic and Health",B318)),"DHS",IF(OR(ISNUMBER(SEARCH("Multiple Indicator Cluster",B318)),ISNUMBER(SEARCH("MICS",B318))),"MICS",IF(ISNUMBER(SEARCH("Immunization Coverage Survey",B318)),"Coverage survey",IF(ISNUMBER(SEARCH("Nutrition",B318)),"Nutrition survey","Other"))))</f>
        <v>MICS</v>
      </c>
      <c r="D318" s="7" t="n">
        <f aca="false">VALUE(LEFT(Raw_Nigeria!D318,4))</f>
        <v>2011</v>
      </c>
      <c r="E318" s="7" t="n">
        <f aca="false">IF(VALUE(RIGHT(Raw_Nigeria!D318,2))&gt;12,"",VALUE(RIGHT(Raw_Nigeria!D318,2)))</f>
        <v>2</v>
      </c>
      <c r="F318" s="7" t="n">
        <f aca="false">VALUE(LEFT(Raw_Nigeria!E318,4))</f>
        <v>2011</v>
      </c>
      <c r="G318" s="7" t="n">
        <f aca="false">IF(VALUE(RIGHT(Raw_Nigeria!E318,2))&gt;12,"",VALUE(RIGHT(Raw_Nigeria!E318,2)))</f>
        <v>3</v>
      </c>
      <c r="H318" s="7" t="n">
        <f aca="false">Raw_Nigeria!F318</f>
        <v>2010</v>
      </c>
      <c r="I318" s="7" t="str">
        <f aca="false">UPPER(TRIM(Raw_Nigeria!G318))</f>
        <v>POL1</v>
      </c>
      <c r="J318" s="7" t="str">
        <f aca="false">Raw_Nigeria!H318</f>
        <v>Record or Recall&lt;12m</v>
      </c>
      <c r="K318" s="7" t="str">
        <f aca="false">Raw_Nigeria!L318</f>
        <v>12-23 m</v>
      </c>
      <c r="L318" s="7" t="str">
        <f aca="false">IF(Raw_Nigeria!K318="","n/a",Raw_Nigeria!K318)</f>
        <v>0-12 m</v>
      </c>
      <c r="M318" s="7" t="n">
        <f aca="false">IF(Raw_Nigeria!I318="","",Raw_Nigeria!I318)</f>
        <v>24.4</v>
      </c>
      <c r="N318" s="7" t="n">
        <f aca="false">Raw_Nigeria!M318</f>
        <v>74.8</v>
      </c>
      <c r="O318" s="7" t="n">
        <f aca="false">IF(Raw_Nigeria!N318="","",Raw_Nigeria!N318)</f>
        <v>4986</v>
      </c>
      <c r="P318" s="7" t="str">
        <f aca="false">IF(K318="CBAW","Women of child-bearing age","Children")</f>
        <v>Children</v>
      </c>
      <c r="Q318" s="7" t="n">
        <f aca="false">IF(J318="NOT USED",1,0)</f>
        <v>0</v>
      </c>
      <c r="R318" s="7" t="n">
        <f aca="false">IF(AND(P318="Children",Q318=0),1,0)</f>
        <v>1</v>
      </c>
      <c r="S318" s="7" t="n">
        <f aca="false">IF(AND(R318=1,J318="Record or Recall",K318="12-23 m"),1,0)</f>
        <v>0</v>
      </c>
      <c r="T318" s="7" t="n">
        <f aca="false">IF(OR(I318="BCG",I318="DTP1",I318="DTP3",I318="POL3",I318="MCV1",I318="FULL"),1,0)</f>
        <v>0</v>
      </c>
      <c r="U318" s="7" t="n">
        <f aca="false">IF(OR(C318="DHS",C318="MICS"),1,0)</f>
        <v>1</v>
      </c>
      <c r="V318" s="7" t="n">
        <f aca="false">IF(O318="",1,0)</f>
        <v>0</v>
      </c>
      <c r="W318" s="7" t="n">
        <f aca="false">IF(M318="",1,0)</f>
        <v>0</v>
      </c>
      <c r="X318" s="7" t="n">
        <f aca="false">COUNTIFS($B$2:$B$1141,B318,$H$2:$H$1141,H318,$I$2:$I$1141,I318,$J$2:$J$1141,J318,$K$2:$K$1141,K318,$L$2:$L$1141,L318)</f>
        <v>1</v>
      </c>
    </row>
    <row r="319" customFormat="false" ht="15" hidden="false" customHeight="false" outlineLevel="0" collapsed="false">
      <c r="A319" s="7" t="n">
        <f aca="false">ROW()-1</f>
        <v>318</v>
      </c>
      <c r="B319" s="7" t="str">
        <f aca="false">IF(Raw_Nigeria!B319="",TRIM(Raw_Nigeria!C319),TRIM(Raw_Nigeria!B319))</f>
        <v>Nigeria Multiple Indicator Cluster Survey 2011</v>
      </c>
      <c r="C319" s="7" t="str">
        <f aca="false">IF(ISNUMBER(SEARCH("Demographic and Health",B319)),"DHS",IF(OR(ISNUMBER(SEARCH("Multiple Indicator Cluster",B319)),ISNUMBER(SEARCH("MICS",B319))),"MICS",IF(ISNUMBER(SEARCH("Immunization Coverage Survey",B319)),"Coverage survey",IF(ISNUMBER(SEARCH("Nutrition",B319)),"Nutrition survey","Other"))))</f>
        <v>MICS</v>
      </c>
      <c r="D319" s="7" t="n">
        <f aca="false">VALUE(LEFT(Raw_Nigeria!D319,4))</f>
        <v>2011</v>
      </c>
      <c r="E319" s="7" t="n">
        <f aca="false">IF(VALUE(RIGHT(Raw_Nigeria!D319,2))&gt;12,"",VALUE(RIGHT(Raw_Nigeria!D319,2)))</f>
        <v>2</v>
      </c>
      <c r="F319" s="7" t="n">
        <f aca="false">VALUE(LEFT(Raw_Nigeria!E319,4))</f>
        <v>2011</v>
      </c>
      <c r="G319" s="7" t="n">
        <f aca="false">IF(VALUE(RIGHT(Raw_Nigeria!E319,2))&gt;12,"",VALUE(RIGHT(Raw_Nigeria!E319,2)))</f>
        <v>3</v>
      </c>
      <c r="H319" s="7" t="n">
        <f aca="false">Raw_Nigeria!F319</f>
        <v>2010</v>
      </c>
      <c r="I319" s="7" t="str">
        <f aca="false">UPPER(TRIM(Raw_Nigeria!G319))</f>
        <v>POL1</v>
      </c>
      <c r="J319" s="7" t="str">
        <f aca="false">Raw_Nigeria!H319</f>
        <v>Record</v>
      </c>
      <c r="K319" s="7" t="str">
        <f aca="false">Raw_Nigeria!L319</f>
        <v>12-23 m</v>
      </c>
      <c r="L319" s="7" t="str">
        <f aca="false">IF(Raw_Nigeria!K319="","n/a",Raw_Nigeria!K319)</f>
        <v>0-23 m</v>
      </c>
      <c r="M319" s="7" t="n">
        <f aca="false">IF(Raw_Nigeria!I319="","",Raw_Nigeria!I319)</f>
        <v>24.4</v>
      </c>
      <c r="N319" s="7" t="n">
        <f aca="false">Raw_Nigeria!M319</f>
        <v>28.3</v>
      </c>
      <c r="O319" s="7" t="str">
        <f aca="false">IF(Raw_Nigeria!N319="","",Raw_Nigeria!N319)</f>
        <v/>
      </c>
      <c r="P319" s="7" t="str">
        <f aca="false">IF(K319="CBAW","Women of child-bearing age","Children")</f>
        <v>Children</v>
      </c>
      <c r="Q319" s="7" t="n">
        <f aca="false">IF(J319="NOT USED",1,0)</f>
        <v>0</v>
      </c>
      <c r="R319" s="7" t="n">
        <f aca="false">IF(AND(P319="Children",Q319=0),1,0)</f>
        <v>1</v>
      </c>
      <c r="S319" s="7" t="n">
        <f aca="false">IF(AND(R319=1,J319="Record or Recall",K319="12-23 m"),1,0)</f>
        <v>0</v>
      </c>
      <c r="T319" s="7" t="n">
        <f aca="false">IF(OR(I319="BCG",I319="DTP1",I319="DTP3",I319="POL3",I319="MCV1",I319="FULL"),1,0)</f>
        <v>0</v>
      </c>
      <c r="U319" s="7" t="n">
        <f aca="false">IF(OR(C319="DHS",C319="MICS"),1,0)</f>
        <v>1</v>
      </c>
      <c r="V319" s="7" t="n">
        <f aca="false">IF(O319="",1,0)</f>
        <v>1</v>
      </c>
      <c r="W319" s="7" t="n">
        <f aca="false">IF(M319="",1,0)</f>
        <v>0</v>
      </c>
      <c r="X319" s="7" t="n">
        <f aca="false">COUNTIFS($B$2:$B$1141,B319,$H$2:$H$1141,H319,$I$2:$I$1141,I319,$J$2:$J$1141,J319,$K$2:$K$1141,K319,$L$2:$L$1141,L319)</f>
        <v>1</v>
      </c>
    </row>
    <row r="320" customFormat="false" ht="15" hidden="false" customHeight="false" outlineLevel="0" collapsed="false">
      <c r="A320" s="7" t="n">
        <f aca="false">ROW()-1</f>
        <v>319</v>
      </c>
      <c r="B320" s="7" t="str">
        <f aca="false">IF(Raw_Nigeria!B320="",TRIM(Raw_Nigeria!C320),TRIM(Raw_Nigeria!B320))</f>
        <v>Nigeria Multiple Indicator Cluster Survey 2011</v>
      </c>
      <c r="C320" s="7" t="str">
        <f aca="false">IF(ISNUMBER(SEARCH("Demographic and Health",B320)),"DHS",IF(OR(ISNUMBER(SEARCH("Multiple Indicator Cluster",B320)),ISNUMBER(SEARCH("MICS",B320))),"MICS",IF(ISNUMBER(SEARCH("Immunization Coverage Survey",B320)),"Coverage survey",IF(ISNUMBER(SEARCH("Nutrition",B320)),"Nutrition survey","Other"))))</f>
        <v>MICS</v>
      </c>
      <c r="D320" s="7" t="n">
        <f aca="false">VALUE(LEFT(Raw_Nigeria!D320,4))</f>
        <v>2011</v>
      </c>
      <c r="E320" s="7" t="n">
        <f aca="false">IF(VALUE(RIGHT(Raw_Nigeria!D320,2))&gt;12,"",VALUE(RIGHT(Raw_Nigeria!D320,2)))</f>
        <v>2</v>
      </c>
      <c r="F320" s="7" t="n">
        <f aca="false">VALUE(LEFT(Raw_Nigeria!E320,4))</f>
        <v>2011</v>
      </c>
      <c r="G320" s="7" t="n">
        <f aca="false">IF(VALUE(RIGHT(Raw_Nigeria!E320,2))&gt;12,"",VALUE(RIGHT(Raw_Nigeria!E320,2)))</f>
        <v>3</v>
      </c>
      <c r="H320" s="7" t="n">
        <f aca="false">Raw_Nigeria!F320</f>
        <v>2010</v>
      </c>
      <c r="I320" s="7" t="str">
        <f aca="false">UPPER(TRIM(Raw_Nigeria!G320))</f>
        <v>POL1</v>
      </c>
      <c r="J320" s="7" t="str">
        <f aca="false">Raw_Nigeria!H320</f>
        <v>Record or Recall</v>
      </c>
      <c r="K320" s="7" t="str">
        <f aca="false">Raw_Nigeria!L320</f>
        <v>12-23 m</v>
      </c>
      <c r="L320" s="7" t="str">
        <f aca="false">IF(Raw_Nigeria!K320="","n/a",Raw_Nigeria!K320)</f>
        <v>0-23 m</v>
      </c>
      <c r="M320" s="7" t="n">
        <f aca="false">IF(Raw_Nigeria!I320="","",Raw_Nigeria!I320)</f>
        <v>24.4</v>
      </c>
      <c r="N320" s="7" t="n">
        <f aca="false">Raw_Nigeria!M320</f>
        <v>76.4</v>
      </c>
      <c r="O320" s="7" t="n">
        <f aca="false">IF(Raw_Nigeria!N320="","",Raw_Nigeria!N320)</f>
        <v>4986</v>
      </c>
      <c r="P320" s="7" t="str">
        <f aca="false">IF(K320="CBAW","Women of child-bearing age","Children")</f>
        <v>Children</v>
      </c>
      <c r="Q320" s="7" t="n">
        <f aca="false">IF(J320="NOT USED",1,0)</f>
        <v>0</v>
      </c>
      <c r="R320" s="7" t="n">
        <f aca="false">IF(AND(P320="Children",Q320=0),1,0)</f>
        <v>1</v>
      </c>
      <c r="S320" s="7" t="n">
        <f aca="false">IF(AND(R320=1,J320="Record or Recall",K320="12-23 m"),1,0)</f>
        <v>1</v>
      </c>
      <c r="T320" s="7" t="n">
        <f aca="false">IF(OR(I320="BCG",I320="DTP1",I320="DTP3",I320="POL3",I320="MCV1",I320="FULL"),1,0)</f>
        <v>0</v>
      </c>
      <c r="U320" s="7" t="n">
        <f aca="false">IF(OR(C320="DHS",C320="MICS"),1,0)</f>
        <v>1</v>
      </c>
      <c r="V320" s="7" t="n">
        <f aca="false">IF(O320="",1,0)</f>
        <v>0</v>
      </c>
      <c r="W320" s="7" t="n">
        <f aca="false">IF(M320="",1,0)</f>
        <v>0</v>
      </c>
      <c r="X320" s="7" t="n">
        <f aca="false">COUNTIFS($B$2:$B$1141,B320,$H$2:$H$1141,H320,$I$2:$I$1141,I320,$J$2:$J$1141,J320,$K$2:$K$1141,K320,$L$2:$L$1141,L320)</f>
        <v>1</v>
      </c>
    </row>
    <row r="321" customFormat="false" ht="15" hidden="false" customHeight="false" outlineLevel="0" collapsed="false">
      <c r="A321" s="7" t="n">
        <f aca="false">ROW()-1</f>
        <v>320</v>
      </c>
      <c r="B321" s="7" t="str">
        <f aca="false">IF(Raw_Nigeria!B321="",TRIM(Raw_Nigeria!C321),TRIM(Raw_Nigeria!B321))</f>
        <v>Nigeria Multiple Indicator Cluster Survey 2011</v>
      </c>
      <c r="C321" s="7" t="str">
        <f aca="false">IF(ISNUMBER(SEARCH("Demographic and Health",B321)),"DHS",IF(OR(ISNUMBER(SEARCH("Multiple Indicator Cluster",B321)),ISNUMBER(SEARCH("MICS",B321))),"MICS",IF(ISNUMBER(SEARCH("Immunization Coverage Survey",B321)),"Coverage survey",IF(ISNUMBER(SEARCH("Nutrition",B321)),"Nutrition survey","Other"))))</f>
        <v>MICS</v>
      </c>
      <c r="D321" s="7" t="n">
        <f aca="false">VALUE(LEFT(Raw_Nigeria!D321,4))</f>
        <v>2011</v>
      </c>
      <c r="E321" s="7" t="n">
        <f aca="false">IF(VALUE(RIGHT(Raw_Nigeria!D321,2))&gt;12,"",VALUE(RIGHT(Raw_Nigeria!D321,2)))</f>
        <v>2</v>
      </c>
      <c r="F321" s="7" t="n">
        <f aca="false">VALUE(LEFT(Raw_Nigeria!E321,4))</f>
        <v>2011</v>
      </c>
      <c r="G321" s="7" t="n">
        <f aca="false">IF(VALUE(RIGHT(Raw_Nigeria!E321,2))&gt;12,"",VALUE(RIGHT(Raw_Nigeria!E321,2)))</f>
        <v>3</v>
      </c>
      <c r="H321" s="7" t="n">
        <f aca="false">Raw_Nigeria!F321</f>
        <v>2010</v>
      </c>
      <c r="I321" s="7" t="str">
        <f aca="false">UPPER(TRIM(Raw_Nigeria!G321))</f>
        <v>POL1</v>
      </c>
      <c r="J321" s="7" t="str">
        <f aca="false">Raw_Nigeria!H321</f>
        <v>Recall</v>
      </c>
      <c r="K321" s="7" t="str">
        <f aca="false">Raw_Nigeria!L321</f>
        <v>12-23 m</v>
      </c>
      <c r="L321" s="7" t="str">
        <f aca="false">IF(Raw_Nigeria!K321="","n/a",Raw_Nigeria!K321)</f>
        <v>0-23 m</v>
      </c>
      <c r="M321" s="7" t="n">
        <f aca="false">IF(Raw_Nigeria!I321="","",Raw_Nigeria!I321)</f>
        <v>24.4</v>
      </c>
      <c r="N321" s="7" t="n">
        <f aca="false">Raw_Nigeria!M321</f>
        <v>48.1</v>
      </c>
      <c r="O321" s="7" t="str">
        <f aca="false">IF(Raw_Nigeria!N321="","",Raw_Nigeria!N321)</f>
        <v/>
      </c>
      <c r="P321" s="7" t="str">
        <f aca="false">IF(K321="CBAW","Women of child-bearing age","Children")</f>
        <v>Children</v>
      </c>
      <c r="Q321" s="7" t="n">
        <f aca="false">IF(J321="NOT USED",1,0)</f>
        <v>0</v>
      </c>
      <c r="R321" s="7" t="n">
        <f aca="false">IF(AND(P321="Children",Q321=0),1,0)</f>
        <v>1</v>
      </c>
      <c r="S321" s="7" t="n">
        <f aca="false">IF(AND(R321=1,J321="Record or Recall",K321="12-23 m"),1,0)</f>
        <v>0</v>
      </c>
      <c r="T321" s="7" t="n">
        <f aca="false">IF(OR(I321="BCG",I321="DTP1",I321="DTP3",I321="POL3",I321="MCV1",I321="FULL"),1,0)</f>
        <v>0</v>
      </c>
      <c r="U321" s="7" t="n">
        <f aca="false">IF(OR(C321="DHS",C321="MICS"),1,0)</f>
        <v>1</v>
      </c>
      <c r="V321" s="7" t="n">
        <f aca="false">IF(O321="",1,0)</f>
        <v>1</v>
      </c>
      <c r="W321" s="7" t="n">
        <f aca="false">IF(M321="",1,0)</f>
        <v>0</v>
      </c>
      <c r="X321" s="7" t="n">
        <f aca="false">COUNTIFS($B$2:$B$1141,B321,$H$2:$H$1141,H321,$I$2:$I$1141,I321,$J$2:$J$1141,J321,$K$2:$K$1141,K321,$L$2:$L$1141,L321)</f>
        <v>1</v>
      </c>
    </row>
    <row r="322" customFormat="false" ht="15" hidden="false" customHeight="false" outlineLevel="0" collapsed="false">
      <c r="A322" s="7" t="n">
        <f aca="false">ROW()-1</f>
        <v>321</v>
      </c>
      <c r="B322" s="7" t="str">
        <f aca="false">IF(Raw_Nigeria!B322="",TRIM(Raw_Nigeria!C322),TRIM(Raw_Nigeria!B322))</f>
        <v>Nigeria Multiple Indicator Cluster Survey 2011</v>
      </c>
      <c r="C322" s="7" t="str">
        <f aca="false">IF(ISNUMBER(SEARCH("Demographic and Health",B322)),"DHS",IF(OR(ISNUMBER(SEARCH("Multiple Indicator Cluster",B322)),ISNUMBER(SEARCH("MICS",B322))),"MICS",IF(ISNUMBER(SEARCH("Immunization Coverage Survey",B322)),"Coverage survey",IF(ISNUMBER(SEARCH("Nutrition",B322)),"Nutrition survey","Other"))))</f>
        <v>MICS</v>
      </c>
      <c r="D322" s="7" t="n">
        <f aca="false">VALUE(LEFT(Raw_Nigeria!D322,4))</f>
        <v>2011</v>
      </c>
      <c r="E322" s="7" t="n">
        <f aca="false">IF(VALUE(RIGHT(Raw_Nigeria!D322,2))&gt;12,"",VALUE(RIGHT(Raw_Nigeria!D322,2)))</f>
        <v>2</v>
      </c>
      <c r="F322" s="7" t="n">
        <f aca="false">VALUE(LEFT(Raw_Nigeria!E322,4))</f>
        <v>2011</v>
      </c>
      <c r="G322" s="7" t="n">
        <f aca="false">IF(VALUE(RIGHT(Raw_Nigeria!E322,2))&gt;12,"",VALUE(RIGHT(Raw_Nigeria!E322,2)))</f>
        <v>3</v>
      </c>
      <c r="H322" s="7" t="n">
        <f aca="false">Raw_Nigeria!F322</f>
        <v>2010</v>
      </c>
      <c r="I322" s="7" t="str">
        <f aca="false">UPPER(TRIM(Raw_Nigeria!G322))</f>
        <v>POL3</v>
      </c>
      <c r="J322" s="7" t="str">
        <f aca="false">Raw_Nigeria!H322</f>
        <v>Record or Recall&lt;12m</v>
      </c>
      <c r="K322" s="7" t="str">
        <f aca="false">Raw_Nigeria!L322</f>
        <v>12-23 m</v>
      </c>
      <c r="L322" s="7" t="str">
        <f aca="false">IF(Raw_Nigeria!K322="","n/a",Raw_Nigeria!K322)</f>
        <v>0-12 m</v>
      </c>
      <c r="M322" s="7" t="n">
        <f aca="false">IF(Raw_Nigeria!I322="","",Raw_Nigeria!I322)</f>
        <v>24.4</v>
      </c>
      <c r="N322" s="7" t="n">
        <f aca="false">Raw_Nigeria!M322</f>
        <v>46.1</v>
      </c>
      <c r="O322" s="7" t="n">
        <f aca="false">IF(Raw_Nigeria!N322="","",Raw_Nigeria!N322)</f>
        <v>4986</v>
      </c>
      <c r="P322" s="7" t="str">
        <f aca="false">IF(K322="CBAW","Women of child-bearing age","Children")</f>
        <v>Children</v>
      </c>
      <c r="Q322" s="7" t="n">
        <f aca="false">IF(J322="NOT USED",1,0)</f>
        <v>0</v>
      </c>
      <c r="R322" s="7" t="n">
        <f aca="false">IF(AND(P322="Children",Q322=0),1,0)</f>
        <v>1</v>
      </c>
      <c r="S322" s="7" t="n">
        <f aca="false">IF(AND(R322=1,J322="Record or Recall",K322="12-23 m"),1,0)</f>
        <v>0</v>
      </c>
      <c r="T322" s="7" t="n">
        <f aca="false">IF(OR(I322="BCG",I322="DTP1",I322="DTP3",I322="POL3",I322="MCV1",I322="FULL"),1,0)</f>
        <v>1</v>
      </c>
      <c r="U322" s="7" t="n">
        <f aca="false">IF(OR(C322="DHS",C322="MICS"),1,0)</f>
        <v>1</v>
      </c>
      <c r="V322" s="7" t="n">
        <f aca="false">IF(O322="",1,0)</f>
        <v>0</v>
      </c>
      <c r="W322" s="7" t="n">
        <f aca="false">IF(M322="",1,0)</f>
        <v>0</v>
      </c>
      <c r="X322" s="7" t="n">
        <f aca="false">COUNTIFS($B$2:$B$1141,B322,$H$2:$H$1141,H322,$I$2:$I$1141,I322,$J$2:$J$1141,J322,$K$2:$K$1141,K322,$L$2:$L$1141,L322)</f>
        <v>1</v>
      </c>
    </row>
    <row r="323" customFormat="false" ht="15" hidden="false" customHeight="false" outlineLevel="0" collapsed="false">
      <c r="A323" s="7" t="n">
        <f aca="false">ROW()-1</f>
        <v>322</v>
      </c>
      <c r="B323" s="7" t="str">
        <f aca="false">IF(Raw_Nigeria!B323="",TRIM(Raw_Nigeria!C323),TRIM(Raw_Nigeria!B323))</f>
        <v>Nigeria Multiple Indicator Cluster Survey 2011</v>
      </c>
      <c r="C323" s="7" t="str">
        <f aca="false">IF(ISNUMBER(SEARCH("Demographic and Health",B323)),"DHS",IF(OR(ISNUMBER(SEARCH("Multiple Indicator Cluster",B323)),ISNUMBER(SEARCH("MICS",B323))),"MICS",IF(ISNUMBER(SEARCH("Immunization Coverage Survey",B323)),"Coverage survey",IF(ISNUMBER(SEARCH("Nutrition",B323)),"Nutrition survey","Other"))))</f>
        <v>MICS</v>
      </c>
      <c r="D323" s="7" t="n">
        <f aca="false">VALUE(LEFT(Raw_Nigeria!D323,4))</f>
        <v>2011</v>
      </c>
      <c r="E323" s="7" t="n">
        <f aca="false">IF(VALUE(RIGHT(Raw_Nigeria!D323,2))&gt;12,"",VALUE(RIGHT(Raw_Nigeria!D323,2)))</f>
        <v>2</v>
      </c>
      <c r="F323" s="7" t="n">
        <f aca="false">VALUE(LEFT(Raw_Nigeria!E323,4))</f>
        <v>2011</v>
      </c>
      <c r="G323" s="7" t="n">
        <f aca="false">IF(VALUE(RIGHT(Raw_Nigeria!E323,2))&gt;12,"",VALUE(RIGHT(Raw_Nigeria!E323,2)))</f>
        <v>3</v>
      </c>
      <c r="H323" s="7" t="n">
        <f aca="false">Raw_Nigeria!F323</f>
        <v>2010</v>
      </c>
      <c r="I323" s="7" t="str">
        <f aca="false">UPPER(TRIM(Raw_Nigeria!G323))</f>
        <v>POL3</v>
      </c>
      <c r="J323" s="7" t="str">
        <f aca="false">Raw_Nigeria!H323</f>
        <v>Record</v>
      </c>
      <c r="K323" s="7" t="str">
        <f aca="false">Raw_Nigeria!L323</f>
        <v>12-23 m</v>
      </c>
      <c r="L323" s="7" t="str">
        <f aca="false">IF(Raw_Nigeria!K323="","n/a",Raw_Nigeria!K323)</f>
        <v>0-23 m</v>
      </c>
      <c r="M323" s="7" t="n">
        <f aca="false">IF(Raw_Nigeria!I323="","",Raw_Nigeria!I323)</f>
        <v>24.4</v>
      </c>
      <c r="N323" s="7" t="n">
        <f aca="false">Raw_Nigeria!M323</f>
        <v>25.3</v>
      </c>
      <c r="O323" s="7" t="str">
        <f aca="false">IF(Raw_Nigeria!N323="","",Raw_Nigeria!N323)</f>
        <v/>
      </c>
      <c r="P323" s="7" t="str">
        <f aca="false">IF(K323="CBAW","Women of child-bearing age","Children")</f>
        <v>Children</v>
      </c>
      <c r="Q323" s="7" t="n">
        <f aca="false">IF(J323="NOT USED",1,0)</f>
        <v>0</v>
      </c>
      <c r="R323" s="7" t="n">
        <f aca="false">IF(AND(P323="Children",Q323=0),1,0)</f>
        <v>1</v>
      </c>
      <c r="S323" s="7" t="n">
        <f aca="false">IF(AND(R323=1,J323="Record or Recall",K323="12-23 m"),1,0)</f>
        <v>0</v>
      </c>
      <c r="T323" s="7" t="n">
        <f aca="false">IF(OR(I323="BCG",I323="DTP1",I323="DTP3",I323="POL3",I323="MCV1",I323="FULL"),1,0)</f>
        <v>1</v>
      </c>
      <c r="U323" s="7" t="n">
        <f aca="false">IF(OR(C323="DHS",C323="MICS"),1,0)</f>
        <v>1</v>
      </c>
      <c r="V323" s="7" t="n">
        <f aca="false">IF(O323="",1,0)</f>
        <v>1</v>
      </c>
      <c r="W323" s="7" t="n">
        <f aca="false">IF(M323="",1,0)</f>
        <v>0</v>
      </c>
      <c r="X323" s="7" t="n">
        <f aca="false">COUNTIFS($B$2:$B$1141,B323,$H$2:$H$1141,H323,$I$2:$I$1141,I323,$J$2:$J$1141,J323,$K$2:$K$1141,K323,$L$2:$L$1141,L323)</f>
        <v>1</v>
      </c>
    </row>
    <row r="324" customFormat="false" ht="15" hidden="false" customHeight="false" outlineLevel="0" collapsed="false">
      <c r="A324" s="7" t="n">
        <f aca="false">ROW()-1</f>
        <v>323</v>
      </c>
      <c r="B324" s="7" t="str">
        <f aca="false">IF(Raw_Nigeria!B324="",TRIM(Raw_Nigeria!C324),TRIM(Raw_Nigeria!B324))</f>
        <v>Nigeria Multiple Indicator Cluster Survey 2011</v>
      </c>
      <c r="C324" s="7" t="str">
        <f aca="false">IF(ISNUMBER(SEARCH("Demographic and Health",B324)),"DHS",IF(OR(ISNUMBER(SEARCH("Multiple Indicator Cluster",B324)),ISNUMBER(SEARCH("MICS",B324))),"MICS",IF(ISNUMBER(SEARCH("Immunization Coverage Survey",B324)),"Coverage survey",IF(ISNUMBER(SEARCH("Nutrition",B324)),"Nutrition survey","Other"))))</f>
        <v>MICS</v>
      </c>
      <c r="D324" s="7" t="n">
        <f aca="false">VALUE(LEFT(Raw_Nigeria!D324,4))</f>
        <v>2011</v>
      </c>
      <c r="E324" s="7" t="n">
        <f aca="false">IF(VALUE(RIGHT(Raw_Nigeria!D324,2))&gt;12,"",VALUE(RIGHT(Raw_Nigeria!D324,2)))</f>
        <v>2</v>
      </c>
      <c r="F324" s="7" t="n">
        <f aca="false">VALUE(LEFT(Raw_Nigeria!E324,4))</f>
        <v>2011</v>
      </c>
      <c r="G324" s="7" t="n">
        <f aca="false">IF(VALUE(RIGHT(Raw_Nigeria!E324,2))&gt;12,"",VALUE(RIGHT(Raw_Nigeria!E324,2)))</f>
        <v>3</v>
      </c>
      <c r="H324" s="7" t="n">
        <f aca="false">Raw_Nigeria!F324</f>
        <v>2010</v>
      </c>
      <c r="I324" s="7" t="str">
        <f aca="false">UPPER(TRIM(Raw_Nigeria!G324))</f>
        <v>POL3</v>
      </c>
      <c r="J324" s="7" t="str">
        <f aca="false">Raw_Nigeria!H324</f>
        <v>Record or Recall</v>
      </c>
      <c r="K324" s="7" t="str">
        <f aca="false">Raw_Nigeria!L324</f>
        <v>12-23 m</v>
      </c>
      <c r="L324" s="7" t="str">
        <f aca="false">IF(Raw_Nigeria!K324="","n/a",Raw_Nigeria!K324)</f>
        <v>0-23 m</v>
      </c>
      <c r="M324" s="7" t="n">
        <f aca="false">IF(Raw_Nigeria!I324="","",Raw_Nigeria!I324)</f>
        <v>24.4</v>
      </c>
      <c r="N324" s="7" t="n">
        <f aca="false">Raw_Nigeria!M324</f>
        <v>48.8</v>
      </c>
      <c r="O324" s="7" t="n">
        <f aca="false">IF(Raw_Nigeria!N324="","",Raw_Nigeria!N324)</f>
        <v>4986</v>
      </c>
      <c r="P324" s="7" t="str">
        <f aca="false">IF(K324="CBAW","Women of child-bearing age","Children")</f>
        <v>Children</v>
      </c>
      <c r="Q324" s="7" t="n">
        <f aca="false">IF(J324="NOT USED",1,0)</f>
        <v>0</v>
      </c>
      <c r="R324" s="7" t="n">
        <f aca="false">IF(AND(P324="Children",Q324=0),1,0)</f>
        <v>1</v>
      </c>
      <c r="S324" s="7" t="n">
        <f aca="false">IF(AND(R324=1,J324="Record or Recall",K324="12-23 m"),1,0)</f>
        <v>1</v>
      </c>
      <c r="T324" s="7" t="n">
        <f aca="false">IF(OR(I324="BCG",I324="DTP1",I324="DTP3",I324="POL3",I324="MCV1",I324="FULL"),1,0)</f>
        <v>1</v>
      </c>
      <c r="U324" s="7" t="n">
        <f aca="false">IF(OR(C324="DHS",C324="MICS"),1,0)</f>
        <v>1</v>
      </c>
      <c r="V324" s="7" t="n">
        <f aca="false">IF(O324="",1,0)</f>
        <v>0</v>
      </c>
      <c r="W324" s="7" t="n">
        <f aca="false">IF(M324="",1,0)</f>
        <v>0</v>
      </c>
      <c r="X324" s="7" t="n">
        <f aca="false">COUNTIFS($B$2:$B$1141,B324,$H$2:$H$1141,H324,$I$2:$I$1141,I324,$J$2:$J$1141,J324,$K$2:$K$1141,K324,$L$2:$L$1141,L324)</f>
        <v>1</v>
      </c>
    </row>
    <row r="325" customFormat="false" ht="15" hidden="false" customHeight="false" outlineLevel="0" collapsed="false">
      <c r="A325" s="7" t="n">
        <f aca="false">ROW()-1</f>
        <v>324</v>
      </c>
      <c r="B325" s="7" t="str">
        <f aca="false">IF(Raw_Nigeria!B325="",TRIM(Raw_Nigeria!C325),TRIM(Raw_Nigeria!B325))</f>
        <v>Nigeria Multiple Indicator Cluster Survey 2011</v>
      </c>
      <c r="C325" s="7" t="str">
        <f aca="false">IF(ISNUMBER(SEARCH("Demographic and Health",B325)),"DHS",IF(OR(ISNUMBER(SEARCH("Multiple Indicator Cluster",B325)),ISNUMBER(SEARCH("MICS",B325))),"MICS",IF(ISNUMBER(SEARCH("Immunization Coverage Survey",B325)),"Coverage survey",IF(ISNUMBER(SEARCH("Nutrition",B325)),"Nutrition survey","Other"))))</f>
        <v>MICS</v>
      </c>
      <c r="D325" s="7" t="n">
        <f aca="false">VALUE(LEFT(Raw_Nigeria!D325,4))</f>
        <v>2011</v>
      </c>
      <c r="E325" s="7" t="n">
        <f aca="false">IF(VALUE(RIGHT(Raw_Nigeria!D325,2))&gt;12,"",VALUE(RIGHT(Raw_Nigeria!D325,2)))</f>
        <v>2</v>
      </c>
      <c r="F325" s="7" t="n">
        <f aca="false">VALUE(LEFT(Raw_Nigeria!E325,4))</f>
        <v>2011</v>
      </c>
      <c r="G325" s="7" t="n">
        <f aca="false">IF(VALUE(RIGHT(Raw_Nigeria!E325,2))&gt;12,"",VALUE(RIGHT(Raw_Nigeria!E325,2)))</f>
        <v>3</v>
      </c>
      <c r="H325" s="7" t="n">
        <f aca="false">Raw_Nigeria!F325</f>
        <v>2010</v>
      </c>
      <c r="I325" s="7" t="str">
        <f aca="false">UPPER(TRIM(Raw_Nigeria!G325))</f>
        <v>POL3</v>
      </c>
      <c r="J325" s="7" t="str">
        <f aca="false">Raw_Nigeria!H325</f>
        <v>Recall</v>
      </c>
      <c r="K325" s="7" t="str">
        <f aca="false">Raw_Nigeria!L325</f>
        <v>12-23 m</v>
      </c>
      <c r="L325" s="7" t="str">
        <f aca="false">IF(Raw_Nigeria!K325="","n/a",Raw_Nigeria!K325)</f>
        <v>0-23 m</v>
      </c>
      <c r="M325" s="7" t="n">
        <f aca="false">IF(Raw_Nigeria!I325="","",Raw_Nigeria!I325)</f>
        <v>24.4</v>
      </c>
      <c r="N325" s="7" t="n">
        <f aca="false">Raw_Nigeria!M325</f>
        <v>23.5</v>
      </c>
      <c r="O325" s="7" t="str">
        <f aca="false">IF(Raw_Nigeria!N325="","",Raw_Nigeria!N325)</f>
        <v/>
      </c>
      <c r="P325" s="7" t="str">
        <f aca="false">IF(K325="CBAW","Women of child-bearing age","Children")</f>
        <v>Children</v>
      </c>
      <c r="Q325" s="7" t="n">
        <f aca="false">IF(J325="NOT USED",1,0)</f>
        <v>0</v>
      </c>
      <c r="R325" s="7" t="n">
        <f aca="false">IF(AND(P325="Children",Q325=0),1,0)</f>
        <v>1</v>
      </c>
      <c r="S325" s="7" t="n">
        <f aca="false">IF(AND(R325=1,J325="Record or Recall",K325="12-23 m"),1,0)</f>
        <v>0</v>
      </c>
      <c r="T325" s="7" t="n">
        <f aca="false">IF(OR(I325="BCG",I325="DTP1",I325="DTP3",I325="POL3",I325="MCV1",I325="FULL"),1,0)</f>
        <v>1</v>
      </c>
      <c r="U325" s="7" t="n">
        <f aca="false">IF(OR(C325="DHS",C325="MICS"),1,0)</f>
        <v>1</v>
      </c>
      <c r="V325" s="7" t="n">
        <f aca="false">IF(O325="",1,0)</f>
        <v>1</v>
      </c>
      <c r="W325" s="7" t="n">
        <f aca="false">IF(M325="",1,0)</f>
        <v>0</v>
      </c>
      <c r="X325" s="7" t="n">
        <f aca="false">COUNTIFS($B$2:$B$1141,B325,$H$2:$H$1141,H325,$I$2:$I$1141,I325,$J$2:$J$1141,J325,$K$2:$K$1141,K325,$L$2:$L$1141,L325)</f>
        <v>1</v>
      </c>
    </row>
    <row r="326" customFormat="false" ht="15" hidden="false" customHeight="false" outlineLevel="0" collapsed="false">
      <c r="A326" s="7" t="n">
        <f aca="false">ROW()-1</f>
        <v>325</v>
      </c>
      <c r="B326" s="7" t="str">
        <f aca="false">IF(Raw_Nigeria!B326="",TRIM(Raw_Nigeria!C326),TRIM(Raw_Nigeria!B326))</f>
        <v>Nigeria Multiple Indicator Cluster Survey 2011</v>
      </c>
      <c r="C326" s="7" t="str">
        <f aca="false">IF(ISNUMBER(SEARCH("Demographic and Health",B326)),"DHS",IF(OR(ISNUMBER(SEARCH("Multiple Indicator Cluster",B326)),ISNUMBER(SEARCH("MICS",B326))),"MICS",IF(ISNUMBER(SEARCH("Immunization Coverage Survey",B326)),"Coverage survey",IF(ISNUMBER(SEARCH("Nutrition",B326)),"Nutrition survey","Other"))))</f>
        <v>MICS</v>
      </c>
      <c r="D326" s="7" t="n">
        <f aca="false">VALUE(LEFT(Raw_Nigeria!D326,4))</f>
        <v>2011</v>
      </c>
      <c r="E326" s="7" t="n">
        <f aca="false">IF(VALUE(RIGHT(Raw_Nigeria!D326,2))&gt;12,"",VALUE(RIGHT(Raw_Nigeria!D326,2)))</f>
        <v>2</v>
      </c>
      <c r="F326" s="7" t="n">
        <f aca="false">VALUE(LEFT(Raw_Nigeria!E326,4))</f>
        <v>2011</v>
      </c>
      <c r="G326" s="7" t="n">
        <f aca="false">IF(VALUE(RIGHT(Raw_Nigeria!E326,2))&gt;12,"",VALUE(RIGHT(Raw_Nigeria!E326,2)))</f>
        <v>3</v>
      </c>
      <c r="H326" s="7" t="n">
        <f aca="false">Raw_Nigeria!F326</f>
        <v>2010</v>
      </c>
      <c r="I326" s="7" t="str">
        <f aca="false">UPPER(TRIM(Raw_Nigeria!G326))</f>
        <v>YFV</v>
      </c>
      <c r="J326" s="7" t="str">
        <f aca="false">Raw_Nigeria!H326</f>
        <v>Record or Recall&lt;12m</v>
      </c>
      <c r="K326" s="7" t="str">
        <f aca="false">Raw_Nigeria!L326</f>
        <v>12-23 m</v>
      </c>
      <c r="L326" s="7" t="str">
        <f aca="false">IF(Raw_Nigeria!K326="","n/a",Raw_Nigeria!K326)</f>
        <v>0-12 m</v>
      </c>
      <c r="M326" s="7" t="n">
        <f aca="false">IF(Raw_Nigeria!I326="","",Raw_Nigeria!I326)</f>
        <v>24.4</v>
      </c>
      <c r="N326" s="7" t="n">
        <f aca="false">Raw_Nigeria!M326</f>
        <v>40.4</v>
      </c>
      <c r="O326" s="7" t="n">
        <f aca="false">IF(Raw_Nigeria!N326="","",Raw_Nigeria!N326)</f>
        <v>4986</v>
      </c>
      <c r="P326" s="7" t="str">
        <f aca="false">IF(K326="CBAW","Women of child-bearing age","Children")</f>
        <v>Children</v>
      </c>
      <c r="Q326" s="7" t="n">
        <f aca="false">IF(J326="NOT USED",1,0)</f>
        <v>0</v>
      </c>
      <c r="R326" s="7" t="n">
        <f aca="false">IF(AND(P326="Children",Q326=0),1,0)</f>
        <v>1</v>
      </c>
      <c r="S326" s="7" t="n">
        <f aca="false">IF(AND(R326=1,J326="Record or Recall",K326="12-23 m"),1,0)</f>
        <v>0</v>
      </c>
      <c r="T326" s="7" t="n">
        <f aca="false">IF(OR(I326="BCG",I326="DTP1",I326="DTP3",I326="POL3",I326="MCV1",I326="FULL"),1,0)</f>
        <v>0</v>
      </c>
      <c r="U326" s="7" t="n">
        <f aca="false">IF(OR(C326="DHS",C326="MICS"),1,0)</f>
        <v>1</v>
      </c>
      <c r="V326" s="7" t="n">
        <f aca="false">IF(O326="",1,0)</f>
        <v>0</v>
      </c>
      <c r="W326" s="7" t="n">
        <f aca="false">IF(M326="",1,0)</f>
        <v>0</v>
      </c>
      <c r="X326" s="7" t="n">
        <f aca="false">COUNTIFS($B$2:$B$1141,B326,$H$2:$H$1141,H326,$I$2:$I$1141,I326,$J$2:$J$1141,J326,$K$2:$K$1141,K326,$L$2:$L$1141,L326)</f>
        <v>1</v>
      </c>
    </row>
    <row r="327" customFormat="false" ht="15" hidden="false" customHeight="false" outlineLevel="0" collapsed="false">
      <c r="A327" s="7" t="n">
        <f aca="false">ROW()-1</f>
        <v>326</v>
      </c>
      <c r="B327" s="7" t="str">
        <f aca="false">IF(Raw_Nigeria!B327="",TRIM(Raw_Nigeria!C327),TRIM(Raw_Nigeria!B327))</f>
        <v>Nigeria Multiple Indicator Cluster Survey 2011</v>
      </c>
      <c r="C327" s="7" t="str">
        <f aca="false">IF(ISNUMBER(SEARCH("Demographic and Health",B327)),"DHS",IF(OR(ISNUMBER(SEARCH("Multiple Indicator Cluster",B327)),ISNUMBER(SEARCH("MICS",B327))),"MICS",IF(ISNUMBER(SEARCH("Immunization Coverage Survey",B327)),"Coverage survey",IF(ISNUMBER(SEARCH("Nutrition",B327)),"Nutrition survey","Other"))))</f>
        <v>MICS</v>
      </c>
      <c r="D327" s="7" t="n">
        <f aca="false">VALUE(LEFT(Raw_Nigeria!D327,4))</f>
        <v>2011</v>
      </c>
      <c r="E327" s="7" t="n">
        <f aca="false">IF(VALUE(RIGHT(Raw_Nigeria!D327,2))&gt;12,"",VALUE(RIGHT(Raw_Nigeria!D327,2)))</f>
        <v>2</v>
      </c>
      <c r="F327" s="7" t="n">
        <f aca="false">VALUE(LEFT(Raw_Nigeria!E327,4))</f>
        <v>2011</v>
      </c>
      <c r="G327" s="7" t="n">
        <f aca="false">IF(VALUE(RIGHT(Raw_Nigeria!E327,2))&gt;12,"",VALUE(RIGHT(Raw_Nigeria!E327,2)))</f>
        <v>3</v>
      </c>
      <c r="H327" s="7" t="n">
        <f aca="false">Raw_Nigeria!F327</f>
        <v>2010</v>
      </c>
      <c r="I327" s="7" t="str">
        <f aca="false">UPPER(TRIM(Raw_Nigeria!G327))</f>
        <v>YFV</v>
      </c>
      <c r="J327" s="7" t="str">
        <f aca="false">Raw_Nigeria!H327</f>
        <v>Record</v>
      </c>
      <c r="K327" s="7" t="str">
        <f aca="false">Raw_Nigeria!L327</f>
        <v>12-23 m</v>
      </c>
      <c r="L327" s="7" t="str">
        <f aca="false">IF(Raw_Nigeria!K327="","n/a",Raw_Nigeria!K327)</f>
        <v>0-23 m</v>
      </c>
      <c r="M327" s="7" t="n">
        <f aca="false">IF(Raw_Nigeria!I327="","",Raw_Nigeria!I327)</f>
        <v>24.4</v>
      </c>
      <c r="N327" s="7" t="n">
        <f aca="false">Raw_Nigeria!M327</f>
        <v>22.9</v>
      </c>
      <c r="O327" s="7" t="str">
        <f aca="false">IF(Raw_Nigeria!N327="","",Raw_Nigeria!N327)</f>
        <v/>
      </c>
      <c r="P327" s="7" t="str">
        <f aca="false">IF(K327="CBAW","Women of child-bearing age","Children")</f>
        <v>Children</v>
      </c>
      <c r="Q327" s="7" t="n">
        <f aca="false">IF(J327="NOT USED",1,0)</f>
        <v>0</v>
      </c>
      <c r="R327" s="7" t="n">
        <f aca="false">IF(AND(P327="Children",Q327=0),1,0)</f>
        <v>1</v>
      </c>
      <c r="S327" s="7" t="n">
        <f aca="false">IF(AND(R327=1,J327="Record or Recall",K327="12-23 m"),1,0)</f>
        <v>0</v>
      </c>
      <c r="T327" s="7" t="n">
        <f aca="false">IF(OR(I327="BCG",I327="DTP1",I327="DTP3",I327="POL3",I327="MCV1",I327="FULL"),1,0)</f>
        <v>0</v>
      </c>
      <c r="U327" s="7" t="n">
        <f aca="false">IF(OR(C327="DHS",C327="MICS"),1,0)</f>
        <v>1</v>
      </c>
      <c r="V327" s="7" t="n">
        <f aca="false">IF(O327="",1,0)</f>
        <v>1</v>
      </c>
      <c r="W327" s="7" t="n">
        <f aca="false">IF(M327="",1,0)</f>
        <v>0</v>
      </c>
      <c r="X327" s="7" t="n">
        <f aca="false">COUNTIFS($B$2:$B$1141,B327,$H$2:$H$1141,H327,$I$2:$I$1141,I327,$J$2:$J$1141,J327,$K$2:$K$1141,K327,$L$2:$L$1141,L327)</f>
        <v>1</v>
      </c>
    </row>
    <row r="328" customFormat="false" ht="15" hidden="false" customHeight="false" outlineLevel="0" collapsed="false">
      <c r="A328" s="7" t="n">
        <f aca="false">ROW()-1</f>
        <v>327</v>
      </c>
      <c r="B328" s="7" t="str">
        <f aca="false">IF(Raw_Nigeria!B328="",TRIM(Raw_Nigeria!C328),TRIM(Raw_Nigeria!B328))</f>
        <v>Nigeria Multiple Indicator Cluster Survey 2011</v>
      </c>
      <c r="C328" s="7" t="str">
        <f aca="false">IF(ISNUMBER(SEARCH("Demographic and Health",B328)),"DHS",IF(OR(ISNUMBER(SEARCH("Multiple Indicator Cluster",B328)),ISNUMBER(SEARCH("MICS",B328))),"MICS",IF(ISNUMBER(SEARCH("Immunization Coverage Survey",B328)),"Coverage survey",IF(ISNUMBER(SEARCH("Nutrition",B328)),"Nutrition survey","Other"))))</f>
        <v>MICS</v>
      </c>
      <c r="D328" s="7" t="n">
        <f aca="false">VALUE(LEFT(Raw_Nigeria!D328,4))</f>
        <v>2011</v>
      </c>
      <c r="E328" s="7" t="n">
        <f aca="false">IF(VALUE(RIGHT(Raw_Nigeria!D328,2))&gt;12,"",VALUE(RIGHT(Raw_Nigeria!D328,2)))</f>
        <v>2</v>
      </c>
      <c r="F328" s="7" t="n">
        <f aca="false">VALUE(LEFT(Raw_Nigeria!E328,4))</f>
        <v>2011</v>
      </c>
      <c r="G328" s="7" t="n">
        <f aca="false">IF(VALUE(RIGHT(Raw_Nigeria!E328,2))&gt;12,"",VALUE(RIGHT(Raw_Nigeria!E328,2)))</f>
        <v>3</v>
      </c>
      <c r="H328" s="7" t="n">
        <f aca="false">Raw_Nigeria!F328</f>
        <v>2010</v>
      </c>
      <c r="I328" s="7" t="str">
        <f aca="false">UPPER(TRIM(Raw_Nigeria!G328))</f>
        <v>YFV</v>
      </c>
      <c r="J328" s="7" t="str">
        <f aca="false">Raw_Nigeria!H328</f>
        <v>Record or Recall</v>
      </c>
      <c r="K328" s="7" t="str">
        <f aca="false">Raw_Nigeria!L328</f>
        <v>12-23 m</v>
      </c>
      <c r="L328" s="7" t="str">
        <f aca="false">IF(Raw_Nigeria!K328="","n/a",Raw_Nigeria!K328)</f>
        <v>0-23 m</v>
      </c>
      <c r="M328" s="7" t="n">
        <f aca="false">IF(Raw_Nigeria!I328="","",Raw_Nigeria!I328)</f>
        <v>24.4</v>
      </c>
      <c r="N328" s="7" t="n">
        <f aca="false">Raw_Nigeria!M328</f>
        <v>50.1</v>
      </c>
      <c r="O328" s="7" t="n">
        <f aca="false">IF(Raw_Nigeria!N328="","",Raw_Nigeria!N328)</f>
        <v>4986</v>
      </c>
      <c r="P328" s="7" t="str">
        <f aca="false">IF(K328="CBAW","Women of child-bearing age","Children")</f>
        <v>Children</v>
      </c>
      <c r="Q328" s="7" t="n">
        <f aca="false">IF(J328="NOT USED",1,0)</f>
        <v>0</v>
      </c>
      <c r="R328" s="7" t="n">
        <f aca="false">IF(AND(P328="Children",Q328=0),1,0)</f>
        <v>1</v>
      </c>
      <c r="S328" s="7" t="n">
        <f aca="false">IF(AND(R328=1,J328="Record or Recall",K328="12-23 m"),1,0)</f>
        <v>1</v>
      </c>
      <c r="T328" s="7" t="n">
        <f aca="false">IF(OR(I328="BCG",I328="DTP1",I328="DTP3",I328="POL3",I328="MCV1",I328="FULL"),1,0)</f>
        <v>0</v>
      </c>
      <c r="U328" s="7" t="n">
        <f aca="false">IF(OR(C328="DHS",C328="MICS"),1,0)</f>
        <v>1</v>
      </c>
      <c r="V328" s="7" t="n">
        <f aca="false">IF(O328="",1,0)</f>
        <v>0</v>
      </c>
      <c r="W328" s="7" t="n">
        <f aca="false">IF(M328="",1,0)</f>
        <v>0</v>
      </c>
      <c r="X328" s="7" t="n">
        <f aca="false">COUNTIFS($B$2:$B$1141,B328,$H$2:$H$1141,H328,$I$2:$I$1141,I328,$J$2:$J$1141,J328,$K$2:$K$1141,K328,$L$2:$L$1141,L328)</f>
        <v>1</v>
      </c>
    </row>
    <row r="329" customFormat="false" ht="15" hidden="false" customHeight="false" outlineLevel="0" collapsed="false">
      <c r="A329" s="7" t="n">
        <f aca="false">ROW()-1</f>
        <v>328</v>
      </c>
      <c r="B329" s="7" t="str">
        <f aca="false">IF(Raw_Nigeria!B329="",TRIM(Raw_Nigeria!C329),TRIM(Raw_Nigeria!B329))</f>
        <v>Nigeria Multiple Indicator Cluster Survey 2011</v>
      </c>
      <c r="C329" s="7" t="str">
        <f aca="false">IF(ISNUMBER(SEARCH("Demographic and Health",B329)),"DHS",IF(OR(ISNUMBER(SEARCH("Multiple Indicator Cluster",B329)),ISNUMBER(SEARCH("MICS",B329))),"MICS",IF(ISNUMBER(SEARCH("Immunization Coverage Survey",B329)),"Coverage survey",IF(ISNUMBER(SEARCH("Nutrition",B329)),"Nutrition survey","Other"))))</f>
        <v>MICS</v>
      </c>
      <c r="D329" s="7" t="n">
        <f aca="false">VALUE(LEFT(Raw_Nigeria!D329,4))</f>
        <v>2011</v>
      </c>
      <c r="E329" s="7" t="n">
        <f aca="false">IF(VALUE(RIGHT(Raw_Nigeria!D329,2))&gt;12,"",VALUE(RIGHT(Raw_Nigeria!D329,2)))</f>
        <v>2</v>
      </c>
      <c r="F329" s="7" t="n">
        <f aca="false">VALUE(LEFT(Raw_Nigeria!E329,4))</f>
        <v>2011</v>
      </c>
      <c r="G329" s="7" t="n">
        <f aca="false">IF(VALUE(RIGHT(Raw_Nigeria!E329,2))&gt;12,"",VALUE(RIGHT(Raw_Nigeria!E329,2)))</f>
        <v>3</v>
      </c>
      <c r="H329" s="7" t="n">
        <f aca="false">Raw_Nigeria!F329</f>
        <v>2010</v>
      </c>
      <c r="I329" s="7" t="str">
        <f aca="false">UPPER(TRIM(Raw_Nigeria!G329))</f>
        <v>YFV</v>
      </c>
      <c r="J329" s="7" t="str">
        <f aca="false">Raw_Nigeria!H329</f>
        <v>Recall</v>
      </c>
      <c r="K329" s="7" t="str">
        <f aca="false">Raw_Nigeria!L329</f>
        <v>12-23 m</v>
      </c>
      <c r="L329" s="7" t="str">
        <f aca="false">IF(Raw_Nigeria!K329="","n/a",Raw_Nigeria!K329)</f>
        <v>0-23 m</v>
      </c>
      <c r="M329" s="7" t="n">
        <f aca="false">IF(Raw_Nigeria!I329="","",Raw_Nigeria!I329)</f>
        <v>24.4</v>
      </c>
      <c r="N329" s="7" t="n">
        <f aca="false">Raw_Nigeria!M329</f>
        <v>27.1</v>
      </c>
      <c r="O329" s="7" t="str">
        <f aca="false">IF(Raw_Nigeria!N329="","",Raw_Nigeria!N329)</f>
        <v/>
      </c>
      <c r="P329" s="7" t="str">
        <f aca="false">IF(K329="CBAW","Women of child-bearing age","Children")</f>
        <v>Children</v>
      </c>
      <c r="Q329" s="7" t="n">
        <f aca="false">IF(J329="NOT USED",1,0)</f>
        <v>0</v>
      </c>
      <c r="R329" s="7" t="n">
        <f aca="false">IF(AND(P329="Children",Q329=0),1,0)</f>
        <v>1</v>
      </c>
      <c r="S329" s="7" t="n">
        <f aca="false">IF(AND(R329=1,J329="Record or Recall",K329="12-23 m"),1,0)</f>
        <v>0</v>
      </c>
      <c r="T329" s="7" t="n">
        <f aca="false">IF(OR(I329="BCG",I329="DTP1",I329="DTP3",I329="POL3",I329="MCV1",I329="FULL"),1,0)</f>
        <v>0</v>
      </c>
      <c r="U329" s="7" t="n">
        <f aca="false">IF(OR(C329="DHS",C329="MICS"),1,0)</f>
        <v>1</v>
      </c>
      <c r="V329" s="7" t="n">
        <f aca="false">IF(O329="",1,0)</f>
        <v>1</v>
      </c>
      <c r="W329" s="7" t="n">
        <f aca="false">IF(M329="",1,0)</f>
        <v>0</v>
      </c>
      <c r="X329" s="7" t="n">
        <f aca="false">COUNTIFS($B$2:$B$1141,B329,$H$2:$H$1141,H329,$I$2:$I$1141,I329,$J$2:$J$1141,J329,$K$2:$K$1141,K329,$L$2:$L$1141,L329)</f>
        <v>1</v>
      </c>
    </row>
    <row r="330" customFormat="false" ht="15" hidden="false" customHeight="false" outlineLevel="0" collapsed="false">
      <c r="A330" s="7" t="n">
        <f aca="false">ROW()-1</f>
        <v>329</v>
      </c>
      <c r="B330" s="7" t="str">
        <f aca="false">IF(Raw_Nigeria!B330="",TRIM(Raw_Nigeria!C330),TRIM(Raw_Nigeria!B330))</f>
        <v>Nigeria Multiple Indicator Cluster Survey 2011</v>
      </c>
      <c r="C330" s="7" t="str">
        <f aca="false">IF(ISNUMBER(SEARCH("Demographic and Health",B330)),"DHS",IF(OR(ISNUMBER(SEARCH("Multiple Indicator Cluster",B330)),ISNUMBER(SEARCH("MICS",B330))),"MICS",IF(ISNUMBER(SEARCH("Immunization Coverage Survey",B330)),"Coverage survey",IF(ISNUMBER(SEARCH("Nutrition",B330)),"Nutrition survey","Other"))))</f>
        <v>MICS</v>
      </c>
      <c r="D330" s="7" t="n">
        <f aca="false">VALUE(LEFT(Raw_Nigeria!D330,4))</f>
        <v>2011</v>
      </c>
      <c r="E330" s="7" t="n">
        <f aca="false">IF(VALUE(RIGHT(Raw_Nigeria!D330,2))&gt;12,"",VALUE(RIGHT(Raw_Nigeria!D330,2)))</f>
        <v>2</v>
      </c>
      <c r="F330" s="7" t="n">
        <f aca="false">VALUE(LEFT(Raw_Nigeria!E330,4))</f>
        <v>2011</v>
      </c>
      <c r="G330" s="7" t="n">
        <f aca="false">IF(VALUE(RIGHT(Raw_Nigeria!E330,2))&gt;12,"",VALUE(RIGHT(Raw_Nigeria!E330,2)))</f>
        <v>3</v>
      </c>
      <c r="H330" s="7" t="n">
        <f aca="false">Raw_Nigeria!F330</f>
        <v>2011</v>
      </c>
      <c r="I330" s="7" t="str">
        <f aca="false">UPPER(TRIM(Raw_Nigeria!G330))</f>
        <v>PAB</v>
      </c>
      <c r="J330" s="7" t="str">
        <f aca="false">Raw_Nigeria!H330</f>
        <v>Record or Recall</v>
      </c>
      <c r="K330" s="7" t="str">
        <f aca="false">Raw_Nigeria!L330</f>
        <v>CBAW</v>
      </c>
      <c r="L330" s="7" t="str">
        <f aca="false">IF(Raw_Nigeria!K330="","n/a",Raw_Nigeria!K330)</f>
        <v>n/a</v>
      </c>
      <c r="M330" s="7" t="str">
        <f aca="false">IF(Raw_Nigeria!I330="","",Raw_Nigeria!I330)</f>
        <v/>
      </c>
      <c r="N330" s="7" t="n">
        <f aca="false">Raw_Nigeria!M330</f>
        <v>55.2</v>
      </c>
      <c r="O330" s="7" t="n">
        <f aca="false">IF(Raw_Nigeria!N330="","",Raw_Nigeria!N330)</f>
        <v>9879</v>
      </c>
      <c r="P330" s="7" t="str">
        <f aca="false">IF(K330="CBAW","Women of child-bearing age","Children")</f>
        <v>Women of child-bearing age</v>
      </c>
      <c r="Q330" s="7" t="n">
        <f aca="false">IF(J330="NOT USED",1,0)</f>
        <v>0</v>
      </c>
      <c r="R330" s="7" t="n">
        <f aca="false">IF(AND(P330="Children",Q330=0),1,0)</f>
        <v>0</v>
      </c>
      <c r="S330" s="7" t="n">
        <f aca="false">IF(AND(R330=1,J330="Record or Recall",K330="12-23 m"),1,0)</f>
        <v>0</v>
      </c>
      <c r="T330" s="7" t="n">
        <f aca="false">IF(OR(I330="BCG",I330="DTP1",I330="DTP3",I330="POL3",I330="MCV1",I330="FULL"),1,0)</f>
        <v>0</v>
      </c>
      <c r="U330" s="7" t="n">
        <f aca="false">IF(OR(C330="DHS",C330="MICS"),1,0)</f>
        <v>1</v>
      </c>
      <c r="V330" s="7" t="n">
        <f aca="false">IF(O330="",1,0)</f>
        <v>0</v>
      </c>
      <c r="W330" s="7" t="n">
        <f aca="false">IF(M330="",1,0)</f>
        <v>1</v>
      </c>
      <c r="X330" s="7" t="n">
        <f aca="false">COUNTIFS($B$2:$B$1141,B330,$H$2:$H$1141,H330,$I$2:$I$1141,I330,$J$2:$J$1141,J330,$K$2:$K$1141,K330,$L$2:$L$1141,L330)</f>
        <v>1</v>
      </c>
    </row>
    <row r="331" customFormat="false" ht="15" hidden="false" customHeight="false" outlineLevel="0" collapsed="false">
      <c r="A331" s="7" t="n">
        <f aca="false">ROW()-1</f>
        <v>330</v>
      </c>
      <c r="B331" s="7" t="str">
        <f aca="false">IF(Raw_Nigeria!B331="",TRIM(Raw_Nigeria!C331),TRIM(Raw_Nigeria!B331))</f>
        <v>Nigeria Multiple Indicator Cluster Survey 2011</v>
      </c>
      <c r="C331" s="7" t="str">
        <f aca="false">IF(ISNUMBER(SEARCH("Demographic and Health",B331)),"DHS",IF(OR(ISNUMBER(SEARCH("Multiple Indicator Cluster",B331)),ISNUMBER(SEARCH("MICS",B331))),"MICS",IF(ISNUMBER(SEARCH("Immunization Coverage Survey",B331)),"Coverage survey",IF(ISNUMBER(SEARCH("Nutrition",B331)),"Nutrition survey","Other"))))</f>
        <v>MICS</v>
      </c>
      <c r="D331" s="7" t="n">
        <f aca="false">VALUE(LEFT(Raw_Nigeria!D331,4))</f>
        <v>2011</v>
      </c>
      <c r="E331" s="7" t="n">
        <f aca="false">IF(VALUE(RIGHT(Raw_Nigeria!D331,2))&gt;12,"",VALUE(RIGHT(Raw_Nigeria!D331,2)))</f>
        <v>2</v>
      </c>
      <c r="F331" s="7" t="n">
        <f aca="false">VALUE(LEFT(Raw_Nigeria!E331,4))</f>
        <v>2011</v>
      </c>
      <c r="G331" s="7" t="n">
        <f aca="false">IF(VALUE(RIGHT(Raw_Nigeria!E331,2))&gt;12,"",VALUE(RIGHT(Raw_Nigeria!E331,2)))</f>
        <v>3</v>
      </c>
      <c r="H331" s="7" t="n">
        <f aca="false">Raw_Nigeria!F331</f>
        <v>2011</v>
      </c>
      <c r="I331" s="7" t="str">
        <f aca="false">UPPER(TRIM(Raw_Nigeria!G331))</f>
        <v>TT2+</v>
      </c>
      <c r="J331" s="7" t="str">
        <f aca="false">Raw_Nigeria!H331</f>
        <v>Record or Recall</v>
      </c>
      <c r="K331" s="7" t="str">
        <f aca="false">Raw_Nigeria!L331</f>
        <v>CBAW</v>
      </c>
      <c r="L331" s="7" t="str">
        <f aca="false">IF(Raw_Nigeria!K331="","n/a",Raw_Nigeria!K331)</f>
        <v>n/a</v>
      </c>
      <c r="M331" s="7" t="str">
        <f aca="false">IF(Raw_Nigeria!I331="","",Raw_Nigeria!I331)</f>
        <v/>
      </c>
      <c r="N331" s="7" t="n">
        <f aca="false">Raw_Nigeria!M331</f>
        <v>50.9</v>
      </c>
      <c r="O331" s="7" t="n">
        <f aca="false">IF(Raw_Nigeria!N331="","",Raw_Nigeria!N331)</f>
        <v>9879</v>
      </c>
      <c r="P331" s="7" t="str">
        <f aca="false">IF(K331="CBAW","Women of child-bearing age","Children")</f>
        <v>Women of child-bearing age</v>
      </c>
      <c r="Q331" s="7" t="n">
        <f aca="false">IF(J331="NOT USED",1,0)</f>
        <v>0</v>
      </c>
      <c r="R331" s="7" t="n">
        <f aca="false">IF(AND(P331="Children",Q331=0),1,0)</f>
        <v>0</v>
      </c>
      <c r="S331" s="7" t="n">
        <f aca="false">IF(AND(R331=1,J331="Record or Recall",K331="12-23 m"),1,0)</f>
        <v>0</v>
      </c>
      <c r="T331" s="7" t="n">
        <f aca="false">IF(OR(I331="BCG",I331="DTP1",I331="DTP3",I331="POL3",I331="MCV1",I331="FULL"),1,0)</f>
        <v>0</v>
      </c>
      <c r="U331" s="7" t="n">
        <f aca="false">IF(OR(C331="DHS",C331="MICS"),1,0)</f>
        <v>1</v>
      </c>
      <c r="V331" s="7" t="n">
        <f aca="false">IF(O331="",1,0)</f>
        <v>0</v>
      </c>
      <c r="W331" s="7" t="n">
        <f aca="false">IF(M331="",1,0)</f>
        <v>1</v>
      </c>
      <c r="X331" s="7" t="n">
        <f aca="false">COUNTIFS($B$2:$B$1141,B331,$H$2:$H$1141,H331,$I$2:$I$1141,I331,$J$2:$J$1141,J331,$K$2:$K$1141,K331,$L$2:$L$1141,L331)</f>
        <v>1</v>
      </c>
    </row>
    <row r="332" customFormat="false" ht="15" hidden="false" customHeight="false" outlineLevel="0" collapsed="false">
      <c r="A332" s="7" t="n">
        <f aca="false">ROW()-1</f>
        <v>331</v>
      </c>
      <c r="B332" s="7" t="str">
        <f aca="false">IF(Raw_Nigeria!B332="",TRIM(Raw_Nigeria!C332),TRIM(Raw_Nigeria!B332))</f>
        <v>Nigeria Demographic and Health Survey 2013</v>
      </c>
      <c r="C332" s="7" t="str">
        <f aca="false">IF(ISNUMBER(SEARCH("Demographic and Health",B332)),"DHS",IF(OR(ISNUMBER(SEARCH("Multiple Indicator Cluster",B332)),ISNUMBER(SEARCH("MICS",B332))),"MICS",IF(ISNUMBER(SEARCH("Immunization Coverage Survey",B332)),"Coverage survey",IF(ISNUMBER(SEARCH("Nutrition",B332)),"Nutrition survey","Other"))))</f>
        <v>DHS</v>
      </c>
      <c r="D332" s="7" t="n">
        <f aca="false">VALUE(LEFT(Raw_Nigeria!D332,4))</f>
        <v>2013</v>
      </c>
      <c r="E332" s="7" t="n">
        <f aca="false">IF(VALUE(RIGHT(Raw_Nigeria!D332,2))&gt;12,"",VALUE(RIGHT(Raw_Nigeria!D332,2)))</f>
        <v>2</v>
      </c>
      <c r="F332" s="7" t="n">
        <f aca="false">VALUE(LEFT(Raw_Nigeria!E332,4))</f>
        <v>2013</v>
      </c>
      <c r="G332" s="7" t="n">
        <f aca="false">IF(VALUE(RIGHT(Raw_Nigeria!E332,2))&gt;12,"",VALUE(RIGHT(Raw_Nigeria!E332,2)))</f>
        <v>6</v>
      </c>
      <c r="H332" s="7" t="n">
        <f aca="false">Raw_Nigeria!F332</f>
        <v>2012</v>
      </c>
      <c r="I332" s="7" t="str">
        <f aca="false">UPPER(TRIM(Raw_Nigeria!G332))</f>
        <v>BCG</v>
      </c>
      <c r="J332" s="7" t="str">
        <f aca="false">Raw_Nigeria!H332</f>
        <v>Record or Recall&lt;12m</v>
      </c>
      <c r="K332" s="7" t="str">
        <f aca="false">Raw_Nigeria!L332</f>
        <v>12-23 m</v>
      </c>
      <c r="L332" s="7" t="str">
        <f aca="false">IF(Raw_Nigeria!K332="","n/a",Raw_Nigeria!K332)</f>
        <v>0-12 m</v>
      </c>
      <c r="M332" s="7" t="n">
        <f aca="false">IF(Raw_Nigeria!I332="","",Raw_Nigeria!I332)</f>
        <v>28</v>
      </c>
      <c r="N332" s="7" t="n">
        <f aca="false">Raw_Nigeria!M332</f>
        <v>50.3</v>
      </c>
      <c r="O332" s="7" t="n">
        <f aca="false">IF(Raw_Nigeria!N332="","",Raw_Nigeria!N332)</f>
        <v>5900</v>
      </c>
      <c r="P332" s="7" t="str">
        <f aca="false">IF(K332="CBAW","Women of child-bearing age","Children")</f>
        <v>Children</v>
      </c>
      <c r="Q332" s="7" t="n">
        <f aca="false">IF(J332="NOT USED",1,0)</f>
        <v>0</v>
      </c>
      <c r="R332" s="7" t="n">
        <f aca="false">IF(AND(P332="Children",Q332=0),1,0)</f>
        <v>1</v>
      </c>
      <c r="S332" s="7" t="n">
        <f aca="false">IF(AND(R332=1,J332="Record or Recall",K332="12-23 m"),1,0)</f>
        <v>0</v>
      </c>
      <c r="T332" s="7" t="n">
        <f aca="false">IF(OR(I332="BCG",I332="DTP1",I332="DTP3",I332="POL3",I332="MCV1",I332="FULL"),1,0)</f>
        <v>1</v>
      </c>
      <c r="U332" s="7" t="n">
        <f aca="false">IF(OR(C332="DHS",C332="MICS"),1,0)</f>
        <v>1</v>
      </c>
      <c r="V332" s="7" t="n">
        <f aca="false">IF(O332="",1,0)</f>
        <v>0</v>
      </c>
      <c r="W332" s="7" t="n">
        <f aca="false">IF(M332="",1,0)</f>
        <v>0</v>
      </c>
      <c r="X332" s="7" t="n">
        <f aca="false">COUNTIFS($B$2:$B$1141,B332,$H$2:$H$1141,H332,$I$2:$I$1141,I332,$J$2:$J$1141,J332,$K$2:$K$1141,K332,$L$2:$L$1141,L332)</f>
        <v>1</v>
      </c>
    </row>
    <row r="333" customFormat="false" ht="15" hidden="false" customHeight="false" outlineLevel="0" collapsed="false">
      <c r="A333" s="7" t="n">
        <f aca="false">ROW()-1</f>
        <v>332</v>
      </c>
      <c r="B333" s="7" t="str">
        <f aca="false">IF(Raw_Nigeria!B333="",TRIM(Raw_Nigeria!C333),TRIM(Raw_Nigeria!B333))</f>
        <v>Nigeria Demographic and Health Survey 2013</v>
      </c>
      <c r="C333" s="7" t="str">
        <f aca="false">IF(ISNUMBER(SEARCH("Demographic and Health",B333)),"DHS",IF(OR(ISNUMBER(SEARCH("Multiple Indicator Cluster",B333)),ISNUMBER(SEARCH("MICS",B333))),"MICS",IF(ISNUMBER(SEARCH("Immunization Coverage Survey",B333)),"Coverage survey",IF(ISNUMBER(SEARCH("Nutrition",B333)),"Nutrition survey","Other"))))</f>
        <v>DHS</v>
      </c>
      <c r="D333" s="7" t="n">
        <f aca="false">VALUE(LEFT(Raw_Nigeria!D333,4))</f>
        <v>2013</v>
      </c>
      <c r="E333" s="7" t="n">
        <f aca="false">IF(VALUE(RIGHT(Raw_Nigeria!D333,2))&gt;12,"",VALUE(RIGHT(Raw_Nigeria!D333,2)))</f>
        <v>2</v>
      </c>
      <c r="F333" s="7" t="n">
        <f aca="false">VALUE(LEFT(Raw_Nigeria!E333,4))</f>
        <v>2013</v>
      </c>
      <c r="G333" s="7" t="n">
        <f aca="false">IF(VALUE(RIGHT(Raw_Nigeria!E333,2))&gt;12,"",VALUE(RIGHT(Raw_Nigeria!E333,2)))</f>
        <v>6</v>
      </c>
      <c r="H333" s="7" t="n">
        <f aca="false">Raw_Nigeria!F333</f>
        <v>2012</v>
      </c>
      <c r="I333" s="7" t="str">
        <f aca="false">UPPER(TRIM(Raw_Nigeria!G333))</f>
        <v>BCG</v>
      </c>
      <c r="J333" s="7" t="str">
        <f aca="false">Raw_Nigeria!H333</f>
        <v>Record</v>
      </c>
      <c r="K333" s="7" t="str">
        <f aca="false">Raw_Nigeria!L333</f>
        <v>12-23 m</v>
      </c>
      <c r="L333" s="7" t="str">
        <f aca="false">IF(Raw_Nigeria!K333="","n/a",Raw_Nigeria!K333)</f>
        <v>0-23 m</v>
      </c>
      <c r="M333" s="7" t="n">
        <f aca="false">IF(Raw_Nigeria!I333="","",Raw_Nigeria!I333)</f>
        <v>28</v>
      </c>
      <c r="N333" s="7" t="n">
        <f aca="false">Raw_Nigeria!M333</f>
        <v>27</v>
      </c>
      <c r="O333" s="7" t="n">
        <f aca="false">IF(Raw_Nigeria!N333="","",Raw_Nigeria!N333)</f>
        <v>1650</v>
      </c>
      <c r="P333" s="7" t="str">
        <f aca="false">IF(K333="CBAW","Women of child-bearing age","Children")</f>
        <v>Children</v>
      </c>
      <c r="Q333" s="7" t="n">
        <f aca="false">IF(J333="NOT USED",1,0)</f>
        <v>0</v>
      </c>
      <c r="R333" s="7" t="n">
        <f aca="false">IF(AND(P333="Children",Q333=0),1,0)</f>
        <v>1</v>
      </c>
      <c r="S333" s="7" t="n">
        <f aca="false">IF(AND(R333=1,J333="Record or Recall",K333="12-23 m"),1,0)</f>
        <v>0</v>
      </c>
      <c r="T333" s="7" t="n">
        <f aca="false">IF(OR(I333="BCG",I333="DTP1",I333="DTP3",I333="POL3",I333="MCV1",I333="FULL"),1,0)</f>
        <v>1</v>
      </c>
      <c r="U333" s="7" t="n">
        <f aca="false">IF(OR(C333="DHS",C333="MICS"),1,0)</f>
        <v>1</v>
      </c>
      <c r="V333" s="7" t="n">
        <f aca="false">IF(O333="",1,0)</f>
        <v>0</v>
      </c>
      <c r="W333" s="7" t="n">
        <f aca="false">IF(M333="",1,0)</f>
        <v>0</v>
      </c>
      <c r="X333" s="7" t="n">
        <f aca="false">COUNTIFS($B$2:$B$1141,B333,$H$2:$H$1141,H333,$I$2:$I$1141,I333,$J$2:$J$1141,J333,$K$2:$K$1141,K333,$L$2:$L$1141,L333)</f>
        <v>1</v>
      </c>
    </row>
    <row r="334" customFormat="false" ht="15" hidden="false" customHeight="false" outlineLevel="0" collapsed="false">
      <c r="A334" s="7" t="n">
        <f aca="false">ROW()-1</f>
        <v>333</v>
      </c>
      <c r="B334" s="7" t="str">
        <f aca="false">IF(Raw_Nigeria!B334="",TRIM(Raw_Nigeria!C334),TRIM(Raw_Nigeria!B334))</f>
        <v>Nigeria Demographic and Health Survey 2013</v>
      </c>
      <c r="C334" s="7" t="str">
        <f aca="false">IF(ISNUMBER(SEARCH("Demographic and Health",B334)),"DHS",IF(OR(ISNUMBER(SEARCH("Multiple Indicator Cluster",B334)),ISNUMBER(SEARCH("MICS",B334))),"MICS",IF(ISNUMBER(SEARCH("Immunization Coverage Survey",B334)),"Coverage survey",IF(ISNUMBER(SEARCH("Nutrition",B334)),"Nutrition survey","Other"))))</f>
        <v>DHS</v>
      </c>
      <c r="D334" s="7" t="n">
        <f aca="false">VALUE(LEFT(Raw_Nigeria!D334,4))</f>
        <v>2013</v>
      </c>
      <c r="E334" s="7" t="n">
        <f aca="false">IF(VALUE(RIGHT(Raw_Nigeria!D334,2))&gt;12,"",VALUE(RIGHT(Raw_Nigeria!D334,2)))</f>
        <v>2</v>
      </c>
      <c r="F334" s="7" t="n">
        <f aca="false">VALUE(LEFT(Raw_Nigeria!E334,4))</f>
        <v>2013</v>
      </c>
      <c r="G334" s="7" t="n">
        <f aca="false">IF(VALUE(RIGHT(Raw_Nigeria!E334,2))&gt;12,"",VALUE(RIGHT(Raw_Nigeria!E334,2)))</f>
        <v>6</v>
      </c>
      <c r="H334" s="7" t="n">
        <f aca="false">Raw_Nigeria!F334</f>
        <v>2012</v>
      </c>
      <c r="I334" s="7" t="str">
        <f aca="false">UPPER(TRIM(Raw_Nigeria!G334))</f>
        <v>BCG</v>
      </c>
      <c r="J334" s="7" t="str">
        <f aca="false">Raw_Nigeria!H334</f>
        <v>Record or Recall</v>
      </c>
      <c r="K334" s="7" t="str">
        <f aca="false">Raw_Nigeria!L334</f>
        <v>12-23 m</v>
      </c>
      <c r="L334" s="7" t="str">
        <f aca="false">IF(Raw_Nigeria!K334="","n/a",Raw_Nigeria!K334)</f>
        <v>0-23 m</v>
      </c>
      <c r="M334" s="7" t="n">
        <f aca="false">IF(Raw_Nigeria!I334="","",Raw_Nigeria!I334)</f>
        <v>28</v>
      </c>
      <c r="N334" s="7" t="n">
        <f aca="false">Raw_Nigeria!M334</f>
        <v>51.2</v>
      </c>
      <c r="O334" s="7" t="n">
        <f aca="false">IF(Raw_Nigeria!N334="","",Raw_Nigeria!N334)</f>
        <v>5900</v>
      </c>
      <c r="P334" s="7" t="str">
        <f aca="false">IF(K334="CBAW","Women of child-bearing age","Children")</f>
        <v>Children</v>
      </c>
      <c r="Q334" s="7" t="n">
        <f aca="false">IF(J334="NOT USED",1,0)</f>
        <v>0</v>
      </c>
      <c r="R334" s="7" t="n">
        <f aca="false">IF(AND(P334="Children",Q334=0),1,0)</f>
        <v>1</v>
      </c>
      <c r="S334" s="7" t="n">
        <f aca="false">IF(AND(R334=1,J334="Record or Recall",K334="12-23 m"),1,0)</f>
        <v>1</v>
      </c>
      <c r="T334" s="7" t="n">
        <f aca="false">IF(OR(I334="BCG",I334="DTP1",I334="DTP3",I334="POL3",I334="MCV1",I334="FULL"),1,0)</f>
        <v>1</v>
      </c>
      <c r="U334" s="7" t="n">
        <f aca="false">IF(OR(C334="DHS",C334="MICS"),1,0)</f>
        <v>1</v>
      </c>
      <c r="V334" s="7" t="n">
        <f aca="false">IF(O334="",1,0)</f>
        <v>0</v>
      </c>
      <c r="W334" s="7" t="n">
        <f aca="false">IF(M334="",1,0)</f>
        <v>0</v>
      </c>
      <c r="X334" s="7" t="n">
        <f aca="false">COUNTIFS($B$2:$B$1141,B334,$H$2:$H$1141,H334,$I$2:$I$1141,I334,$J$2:$J$1141,J334,$K$2:$K$1141,K334,$L$2:$L$1141,L334)</f>
        <v>1</v>
      </c>
    </row>
    <row r="335" customFormat="false" ht="15" hidden="false" customHeight="false" outlineLevel="0" collapsed="false">
      <c r="A335" s="7" t="n">
        <f aca="false">ROW()-1</f>
        <v>334</v>
      </c>
      <c r="B335" s="7" t="str">
        <f aca="false">IF(Raw_Nigeria!B335="",TRIM(Raw_Nigeria!C335),TRIM(Raw_Nigeria!B335))</f>
        <v>Nigeria Demographic and Health Survey 2013</v>
      </c>
      <c r="C335" s="7" t="str">
        <f aca="false">IF(ISNUMBER(SEARCH("Demographic and Health",B335)),"DHS",IF(OR(ISNUMBER(SEARCH("Multiple Indicator Cluster",B335)),ISNUMBER(SEARCH("MICS",B335))),"MICS",IF(ISNUMBER(SEARCH("Immunization Coverage Survey",B335)),"Coverage survey",IF(ISNUMBER(SEARCH("Nutrition",B335)),"Nutrition survey","Other"))))</f>
        <v>DHS</v>
      </c>
      <c r="D335" s="7" t="n">
        <f aca="false">VALUE(LEFT(Raw_Nigeria!D335,4))</f>
        <v>2013</v>
      </c>
      <c r="E335" s="7" t="n">
        <f aca="false">IF(VALUE(RIGHT(Raw_Nigeria!D335,2))&gt;12,"",VALUE(RIGHT(Raw_Nigeria!D335,2)))</f>
        <v>2</v>
      </c>
      <c r="F335" s="7" t="n">
        <f aca="false">VALUE(LEFT(Raw_Nigeria!E335,4))</f>
        <v>2013</v>
      </c>
      <c r="G335" s="7" t="n">
        <f aca="false">IF(VALUE(RIGHT(Raw_Nigeria!E335,2))&gt;12,"",VALUE(RIGHT(Raw_Nigeria!E335,2)))</f>
        <v>6</v>
      </c>
      <c r="H335" s="7" t="n">
        <f aca="false">Raw_Nigeria!F335</f>
        <v>2012</v>
      </c>
      <c r="I335" s="7" t="str">
        <f aca="false">UPPER(TRIM(Raw_Nigeria!G335))</f>
        <v>BCG</v>
      </c>
      <c r="J335" s="7" t="str">
        <f aca="false">Raw_Nigeria!H335</f>
        <v>Recall</v>
      </c>
      <c r="K335" s="7" t="str">
        <f aca="false">Raw_Nigeria!L335</f>
        <v>12-23 m</v>
      </c>
      <c r="L335" s="7" t="str">
        <f aca="false">IF(Raw_Nigeria!K335="","n/a",Raw_Nigeria!K335)</f>
        <v>0-23 m</v>
      </c>
      <c r="M335" s="7" t="n">
        <f aca="false">IF(Raw_Nigeria!I335="","",Raw_Nigeria!I335)</f>
        <v>28</v>
      </c>
      <c r="N335" s="7" t="n">
        <f aca="false">Raw_Nigeria!M335</f>
        <v>24.1</v>
      </c>
      <c r="O335" s="7" t="n">
        <f aca="false">IF(Raw_Nigeria!N335="","",Raw_Nigeria!N335)</f>
        <v>4250</v>
      </c>
      <c r="P335" s="7" t="str">
        <f aca="false">IF(K335="CBAW","Women of child-bearing age","Children")</f>
        <v>Children</v>
      </c>
      <c r="Q335" s="7" t="n">
        <f aca="false">IF(J335="NOT USED",1,0)</f>
        <v>0</v>
      </c>
      <c r="R335" s="7" t="n">
        <f aca="false">IF(AND(P335="Children",Q335=0),1,0)</f>
        <v>1</v>
      </c>
      <c r="S335" s="7" t="n">
        <f aca="false">IF(AND(R335=1,J335="Record or Recall",K335="12-23 m"),1,0)</f>
        <v>0</v>
      </c>
      <c r="T335" s="7" t="n">
        <f aca="false">IF(OR(I335="BCG",I335="DTP1",I335="DTP3",I335="POL3",I335="MCV1",I335="FULL"),1,0)</f>
        <v>1</v>
      </c>
      <c r="U335" s="7" t="n">
        <f aca="false">IF(OR(C335="DHS",C335="MICS"),1,0)</f>
        <v>1</v>
      </c>
      <c r="V335" s="7" t="n">
        <f aca="false">IF(O335="",1,0)</f>
        <v>0</v>
      </c>
      <c r="W335" s="7" t="n">
        <f aca="false">IF(M335="",1,0)</f>
        <v>0</v>
      </c>
      <c r="X335" s="7" t="n">
        <f aca="false">COUNTIFS($B$2:$B$1141,B335,$H$2:$H$1141,H335,$I$2:$I$1141,I335,$J$2:$J$1141,J335,$K$2:$K$1141,K335,$L$2:$L$1141,L335)</f>
        <v>1</v>
      </c>
    </row>
    <row r="336" customFormat="false" ht="15" hidden="false" customHeight="false" outlineLevel="0" collapsed="false">
      <c r="A336" s="7" t="n">
        <f aca="false">ROW()-1</f>
        <v>335</v>
      </c>
      <c r="B336" s="7" t="str">
        <f aca="false">IF(Raw_Nigeria!B336="",TRIM(Raw_Nigeria!C336),TRIM(Raw_Nigeria!B336))</f>
        <v>Nigeria Demographic and Health Survey 2013</v>
      </c>
      <c r="C336" s="7" t="str">
        <f aca="false">IF(ISNUMBER(SEARCH("Demographic and Health",B336)),"DHS",IF(OR(ISNUMBER(SEARCH("Multiple Indicator Cluster",B336)),ISNUMBER(SEARCH("MICS",B336))),"MICS",IF(ISNUMBER(SEARCH("Immunization Coverage Survey",B336)),"Coverage survey",IF(ISNUMBER(SEARCH("Nutrition",B336)),"Nutrition survey","Other"))))</f>
        <v>DHS</v>
      </c>
      <c r="D336" s="7" t="n">
        <f aca="false">VALUE(LEFT(Raw_Nigeria!D336,4))</f>
        <v>2013</v>
      </c>
      <c r="E336" s="7" t="n">
        <f aca="false">IF(VALUE(RIGHT(Raw_Nigeria!D336,2))&gt;12,"",VALUE(RIGHT(Raw_Nigeria!D336,2)))</f>
        <v>2</v>
      </c>
      <c r="F336" s="7" t="n">
        <f aca="false">VALUE(LEFT(Raw_Nigeria!E336,4))</f>
        <v>2013</v>
      </c>
      <c r="G336" s="7" t="n">
        <f aca="false">IF(VALUE(RIGHT(Raw_Nigeria!E336,2))&gt;12,"",VALUE(RIGHT(Raw_Nigeria!E336,2)))</f>
        <v>6</v>
      </c>
      <c r="H336" s="7" t="n">
        <f aca="false">Raw_Nigeria!F336</f>
        <v>2012</v>
      </c>
      <c r="I336" s="7" t="str">
        <f aca="false">UPPER(TRIM(Raw_Nigeria!G336))</f>
        <v>DTP1</v>
      </c>
      <c r="J336" s="7" t="str">
        <f aca="false">Raw_Nigeria!H336</f>
        <v>Record or Recall&lt;12m</v>
      </c>
      <c r="K336" s="7" t="str">
        <f aca="false">Raw_Nigeria!L336</f>
        <v>12-23 m</v>
      </c>
      <c r="L336" s="7" t="str">
        <f aca="false">IF(Raw_Nigeria!K336="","n/a",Raw_Nigeria!K336)</f>
        <v>0-12 m</v>
      </c>
      <c r="M336" s="7" t="n">
        <f aca="false">IF(Raw_Nigeria!I336="","",Raw_Nigeria!I336)</f>
        <v>28</v>
      </c>
      <c r="N336" s="7" t="n">
        <f aca="false">Raw_Nigeria!M336</f>
        <v>49.6</v>
      </c>
      <c r="O336" s="7" t="n">
        <f aca="false">IF(Raw_Nigeria!N336="","",Raw_Nigeria!N336)</f>
        <v>5900</v>
      </c>
      <c r="P336" s="7" t="str">
        <f aca="false">IF(K336="CBAW","Women of child-bearing age","Children")</f>
        <v>Children</v>
      </c>
      <c r="Q336" s="7" t="n">
        <f aca="false">IF(J336="NOT USED",1,0)</f>
        <v>0</v>
      </c>
      <c r="R336" s="7" t="n">
        <f aca="false">IF(AND(P336="Children",Q336=0),1,0)</f>
        <v>1</v>
      </c>
      <c r="S336" s="7" t="n">
        <f aca="false">IF(AND(R336=1,J336="Record or Recall",K336="12-23 m"),1,0)</f>
        <v>0</v>
      </c>
      <c r="T336" s="7" t="n">
        <f aca="false">IF(OR(I336="BCG",I336="DTP1",I336="DTP3",I336="POL3",I336="MCV1",I336="FULL"),1,0)</f>
        <v>1</v>
      </c>
      <c r="U336" s="7" t="n">
        <f aca="false">IF(OR(C336="DHS",C336="MICS"),1,0)</f>
        <v>1</v>
      </c>
      <c r="V336" s="7" t="n">
        <f aca="false">IF(O336="",1,0)</f>
        <v>0</v>
      </c>
      <c r="W336" s="7" t="n">
        <f aca="false">IF(M336="",1,0)</f>
        <v>0</v>
      </c>
      <c r="X336" s="7" t="n">
        <f aca="false">COUNTIFS($B$2:$B$1141,B336,$H$2:$H$1141,H336,$I$2:$I$1141,I336,$J$2:$J$1141,J336,$K$2:$K$1141,K336,$L$2:$L$1141,L336)</f>
        <v>1</v>
      </c>
    </row>
    <row r="337" customFormat="false" ht="15" hidden="false" customHeight="false" outlineLevel="0" collapsed="false">
      <c r="A337" s="7" t="n">
        <f aca="false">ROW()-1</f>
        <v>336</v>
      </c>
      <c r="B337" s="7" t="str">
        <f aca="false">IF(Raw_Nigeria!B337="",TRIM(Raw_Nigeria!C337),TRIM(Raw_Nigeria!B337))</f>
        <v>Nigeria Demographic and Health Survey 2013</v>
      </c>
      <c r="C337" s="7" t="str">
        <f aca="false">IF(ISNUMBER(SEARCH("Demographic and Health",B337)),"DHS",IF(OR(ISNUMBER(SEARCH("Multiple Indicator Cluster",B337)),ISNUMBER(SEARCH("MICS",B337))),"MICS",IF(ISNUMBER(SEARCH("Immunization Coverage Survey",B337)),"Coverage survey",IF(ISNUMBER(SEARCH("Nutrition",B337)),"Nutrition survey","Other"))))</f>
        <v>DHS</v>
      </c>
      <c r="D337" s="7" t="n">
        <f aca="false">VALUE(LEFT(Raw_Nigeria!D337,4))</f>
        <v>2013</v>
      </c>
      <c r="E337" s="7" t="n">
        <f aca="false">IF(VALUE(RIGHT(Raw_Nigeria!D337,2))&gt;12,"",VALUE(RIGHT(Raw_Nigeria!D337,2)))</f>
        <v>2</v>
      </c>
      <c r="F337" s="7" t="n">
        <f aca="false">VALUE(LEFT(Raw_Nigeria!E337,4))</f>
        <v>2013</v>
      </c>
      <c r="G337" s="7" t="n">
        <f aca="false">IF(VALUE(RIGHT(Raw_Nigeria!E337,2))&gt;12,"",VALUE(RIGHT(Raw_Nigeria!E337,2)))</f>
        <v>6</v>
      </c>
      <c r="H337" s="7" t="n">
        <f aca="false">Raw_Nigeria!F337</f>
        <v>2012</v>
      </c>
      <c r="I337" s="7" t="str">
        <f aca="false">UPPER(TRIM(Raw_Nigeria!G337))</f>
        <v>DTP1</v>
      </c>
      <c r="J337" s="7" t="str">
        <f aca="false">Raw_Nigeria!H337</f>
        <v>Record</v>
      </c>
      <c r="K337" s="7" t="str">
        <f aca="false">Raw_Nigeria!L337</f>
        <v>12-23 m</v>
      </c>
      <c r="L337" s="7" t="str">
        <f aca="false">IF(Raw_Nigeria!K337="","n/a",Raw_Nigeria!K337)</f>
        <v>0-23 m</v>
      </c>
      <c r="M337" s="7" t="n">
        <f aca="false">IF(Raw_Nigeria!I337="","",Raw_Nigeria!I337)</f>
        <v>28</v>
      </c>
      <c r="N337" s="7" t="n">
        <f aca="false">Raw_Nigeria!M337</f>
        <v>26.7</v>
      </c>
      <c r="O337" s="7" t="n">
        <f aca="false">IF(Raw_Nigeria!N337="","",Raw_Nigeria!N337)</f>
        <v>1650</v>
      </c>
      <c r="P337" s="7" t="str">
        <f aca="false">IF(K337="CBAW","Women of child-bearing age","Children")</f>
        <v>Children</v>
      </c>
      <c r="Q337" s="7" t="n">
        <f aca="false">IF(J337="NOT USED",1,0)</f>
        <v>0</v>
      </c>
      <c r="R337" s="7" t="n">
        <f aca="false">IF(AND(P337="Children",Q337=0),1,0)</f>
        <v>1</v>
      </c>
      <c r="S337" s="7" t="n">
        <f aca="false">IF(AND(R337=1,J337="Record or Recall",K337="12-23 m"),1,0)</f>
        <v>0</v>
      </c>
      <c r="T337" s="7" t="n">
        <f aca="false">IF(OR(I337="BCG",I337="DTP1",I337="DTP3",I337="POL3",I337="MCV1",I337="FULL"),1,0)</f>
        <v>1</v>
      </c>
      <c r="U337" s="7" t="n">
        <f aca="false">IF(OR(C337="DHS",C337="MICS"),1,0)</f>
        <v>1</v>
      </c>
      <c r="V337" s="7" t="n">
        <f aca="false">IF(O337="",1,0)</f>
        <v>0</v>
      </c>
      <c r="W337" s="7" t="n">
        <f aca="false">IF(M337="",1,0)</f>
        <v>0</v>
      </c>
      <c r="X337" s="7" t="n">
        <f aca="false">COUNTIFS($B$2:$B$1141,B337,$H$2:$H$1141,H337,$I$2:$I$1141,I337,$J$2:$J$1141,J337,$K$2:$K$1141,K337,$L$2:$L$1141,L337)</f>
        <v>1</v>
      </c>
    </row>
    <row r="338" customFormat="false" ht="15" hidden="false" customHeight="false" outlineLevel="0" collapsed="false">
      <c r="A338" s="7" t="n">
        <f aca="false">ROW()-1</f>
        <v>337</v>
      </c>
      <c r="B338" s="7" t="str">
        <f aca="false">IF(Raw_Nigeria!B338="",TRIM(Raw_Nigeria!C338),TRIM(Raw_Nigeria!B338))</f>
        <v>Nigeria Demographic and Health Survey 2013</v>
      </c>
      <c r="C338" s="7" t="str">
        <f aca="false">IF(ISNUMBER(SEARCH("Demographic and Health",B338)),"DHS",IF(OR(ISNUMBER(SEARCH("Multiple Indicator Cluster",B338)),ISNUMBER(SEARCH("MICS",B338))),"MICS",IF(ISNUMBER(SEARCH("Immunization Coverage Survey",B338)),"Coverage survey",IF(ISNUMBER(SEARCH("Nutrition",B338)),"Nutrition survey","Other"))))</f>
        <v>DHS</v>
      </c>
      <c r="D338" s="7" t="n">
        <f aca="false">VALUE(LEFT(Raw_Nigeria!D338,4))</f>
        <v>2013</v>
      </c>
      <c r="E338" s="7" t="n">
        <f aca="false">IF(VALUE(RIGHT(Raw_Nigeria!D338,2))&gt;12,"",VALUE(RIGHT(Raw_Nigeria!D338,2)))</f>
        <v>2</v>
      </c>
      <c r="F338" s="7" t="n">
        <f aca="false">VALUE(LEFT(Raw_Nigeria!E338,4))</f>
        <v>2013</v>
      </c>
      <c r="G338" s="7" t="n">
        <f aca="false">IF(VALUE(RIGHT(Raw_Nigeria!E338,2))&gt;12,"",VALUE(RIGHT(Raw_Nigeria!E338,2)))</f>
        <v>6</v>
      </c>
      <c r="H338" s="7" t="n">
        <f aca="false">Raw_Nigeria!F338</f>
        <v>2012</v>
      </c>
      <c r="I338" s="7" t="str">
        <f aca="false">UPPER(TRIM(Raw_Nigeria!G338))</f>
        <v>DTP1</v>
      </c>
      <c r="J338" s="7" t="str">
        <f aca="false">Raw_Nigeria!H338</f>
        <v>Record or Recall</v>
      </c>
      <c r="K338" s="7" t="str">
        <f aca="false">Raw_Nigeria!L338</f>
        <v>12-23 m</v>
      </c>
      <c r="L338" s="7" t="str">
        <f aca="false">IF(Raw_Nigeria!K338="","n/a",Raw_Nigeria!K338)</f>
        <v>0-23 m</v>
      </c>
      <c r="M338" s="7" t="n">
        <f aca="false">IF(Raw_Nigeria!I338="","",Raw_Nigeria!I338)</f>
        <v>28</v>
      </c>
      <c r="N338" s="7" t="n">
        <f aca="false">Raw_Nigeria!M338</f>
        <v>50.6</v>
      </c>
      <c r="O338" s="7" t="n">
        <f aca="false">IF(Raw_Nigeria!N338="","",Raw_Nigeria!N338)</f>
        <v>5900</v>
      </c>
      <c r="P338" s="7" t="str">
        <f aca="false">IF(K338="CBAW","Women of child-bearing age","Children")</f>
        <v>Children</v>
      </c>
      <c r="Q338" s="7" t="n">
        <f aca="false">IF(J338="NOT USED",1,0)</f>
        <v>0</v>
      </c>
      <c r="R338" s="7" t="n">
        <f aca="false">IF(AND(P338="Children",Q338=0),1,0)</f>
        <v>1</v>
      </c>
      <c r="S338" s="7" t="n">
        <f aca="false">IF(AND(R338=1,J338="Record or Recall",K338="12-23 m"),1,0)</f>
        <v>1</v>
      </c>
      <c r="T338" s="7" t="n">
        <f aca="false">IF(OR(I338="BCG",I338="DTP1",I338="DTP3",I338="POL3",I338="MCV1",I338="FULL"),1,0)</f>
        <v>1</v>
      </c>
      <c r="U338" s="7" t="n">
        <f aca="false">IF(OR(C338="DHS",C338="MICS"),1,0)</f>
        <v>1</v>
      </c>
      <c r="V338" s="7" t="n">
        <f aca="false">IF(O338="",1,0)</f>
        <v>0</v>
      </c>
      <c r="W338" s="7" t="n">
        <f aca="false">IF(M338="",1,0)</f>
        <v>0</v>
      </c>
      <c r="X338" s="7" t="n">
        <f aca="false">COUNTIFS($B$2:$B$1141,B338,$H$2:$H$1141,H338,$I$2:$I$1141,I338,$J$2:$J$1141,J338,$K$2:$K$1141,K338,$L$2:$L$1141,L338)</f>
        <v>1</v>
      </c>
    </row>
    <row r="339" customFormat="false" ht="15" hidden="false" customHeight="false" outlineLevel="0" collapsed="false">
      <c r="A339" s="7" t="n">
        <f aca="false">ROW()-1</f>
        <v>338</v>
      </c>
      <c r="B339" s="7" t="str">
        <f aca="false">IF(Raw_Nigeria!B339="",TRIM(Raw_Nigeria!C339),TRIM(Raw_Nigeria!B339))</f>
        <v>Nigeria Demographic and Health Survey 2013</v>
      </c>
      <c r="C339" s="7" t="str">
        <f aca="false">IF(ISNUMBER(SEARCH("Demographic and Health",B339)),"DHS",IF(OR(ISNUMBER(SEARCH("Multiple Indicator Cluster",B339)),ISNUMBER(SEARCH("MICS",B339))),"MICS",IF(ISNUMBER(SEARCH("Immunization Coverage Survey",B339)),"Coverage survey",IF(ISNUMBER(SEARCH("Nutrition",B339)),"Nutrition survey","Other"))))</f>
        <v>DHS</v>
      </c>
      <c r="D339" s="7" t="n">
        <f aca="false">VALUE(LEFT(Raw_Nigeria!D339,4))</f>
        <v>2013</v>
      </c>
      <c r="E339" s="7" t="n">
        <f aca="false">IF(VALUE(RIGHT(Raw_Nigeria!D339,2))&gt;12,"",VALUE(RIGHT(Raw_Nigeria!D339,2)))</f>
        <v>2</v>
      </c>
      <c r="F339" s="7" t="n">
        <f aca="false">VALUE(LEFT(Raw_Nigeria!E339,4))</f>
        <v>2013</v>
      </c>
      <c r="G339" s="7" t="n">
        <f aca="false">IF(VALUE(RIGHT(Raw_Nigeria!E339,2))&gt;12,"",VALUE(RIGHT(Raw_Nigeria!E339,2)))</f>
        <v>6</v>
      </c>
      <c r="H339" s="7" t="n">
        <f aca="false">Raw_Nigeria!F339</f>
        <v>2012</v>
      </c>
      <c r="I339" s="7" t="str">
        <f aca="false">UPPER(TRIM(Raw_Nigeria!G339))</f>
        <v>DTP1</v>
      </c>
      <c r="J339" s="7" t="str">
        <f aca="false">Raw_Nigeria!H339</f>
        <v>Recall</v>
      </c>
      <c r="K339" s="7" t="str">
        <f aca="false">Raw_Nigeria!L339</f>
        <v>12-23 m</v>
      </c>
      <c r="L339" s="7" t="str">
        <f aca="false">IF(Raw_Nigeria!K339="","n/a",Raw_Nigeria!K339)</f>
        <v>0-23 m</v>
      </c>
      <c r="M339" s="7" t="n">
        <f aca="false">IF(Raw_Nigeria!I339="","",Raw_Nigeria!I339)</f>
        <v>28</v>
      </c>
      <c r="N339" s="7" t="n">
        <f aca="false">Raw_Nigeria!M339</f>
        <v>23.9</v>
      </c>
      <c r="O339" s="7" t="n">
        <f aca="false">IF(Raw_Nigeria!N339="","",Raw_Nigeria!N339)</f>
        <v>4250</v>
      </c>
      <c r="P339" s="7" t="str">
        <f aca="false">IF(K339="CBAW","Women of child-bearing age","Children")</f>
        <v>Children</v>
      </c>
      <c r="Q339" s="7" t="n">
        <f aca="false">IF(J339="NOT USED",1,0)</f>
        <v>0</v>
      </c>
      <c r="R339" s="7" t="n">
        <f aca="false">IF(AND(P339="Children",Q339=0),1,0)</f>
        <v>1</v>
      </c>
      <c r="S339" s="7" t="n">
        <f aca="false">IF(AND(R339=1,J339="Record or Recall",K339="12-23 m"),1,0)</f>
        <v>0</v>
      </c>
      <c r="T339" s="7" t="n">
        <f aca="false">IF(OR(I339="BCG",I339="DTP1",I339="DTP3",I339="POL3",I339="MCV1",I339="FULL"),1,0)</f>
        <v>1</v>
      </c>
      <c r="U339" s="7" t="n">
        <f aca="false">IF(OR(C339="DHS",C339="MICS"),1,0)</f>
        <v>1</v>
      </c>
      <c r="V339" s="7" t="n">
        <f aca="false">IF(O339="",1,0)</f>
        <v>0</v>
      </c>
      <c r="W339" s="7" t="n">
        <f aca="false">IF(M339="",1,0)</f>
        <v>0</v>
      </c>
      <c r="X339" s="7" t="n">
        <f aca="false">COUNTIFS($B$2:$B$1141,B339,$H$2:$H$1141,H339,$I$2:$I$1141,I339,$J$2:$J$1141,J339,$K$2:$K$1141,K339,$L$2:$L$1141,L339)</f>
        <v>1</v>
      </c>
    </row>
    <row r="340" customFormat="false" ht="15" hidden="false" customHeight="false" outlineLevel="0" collapsed="false">
      <c r="A340" s="7" t="n">
        <f aca="false">ROW()-1</f>
        <v>339</v>
      </c>
      <c r="B340" s="7" t="str">
        <f aca="false">IF(Raw_Nigeria!B340="",TRIM(Raw_Nigeria!C340),TRIM(Raw_Nigeria!B340))</f>
        <v>Nigeria Demographic and Health Survey 2013</v>
      </c>
      <c r="C340" s="7" t="str">
        <f aca="false">IF(ISNUMBER(SEARCH("Demographic and Health",B340)),"DHS",IF(OR(ISNUMBER(SEARCH("Multiple Indicator Cluster",B340)),ISNUMBER(SEARCH("MICS",B340))),"MICS",IF(ISNUMBER(SEARCH("Immunization Coverage Survey",B340)),"Coverage survey",IF(ISNUMBER(SEARCH("Nutrition",B340)),"Nutrition survey","Other"))))</f>
        <v>DHS</v>
      </c>
      <c r="D340" s="7" t="n">
        <f aca="false">VALUE(LEFT(Raw_Nigeria!D340,4))</f>
        <v>2013</v>
      </c>
      <c r="E340" s="7" t="n">
        <f aca="false">IF(VALUE(RIGHT(Raw_Nigeria!D340,2))&gt;12,"",VALUE(RIGHT(Raw_Nigeria!D340,2)))</f>
        <v>2</v>
      </c>
      <c r="F340" s="7" t="n">
        <f aca="false">VALUE(LEFT(Raw_Nigeria!E340,4))</f>
        <v>2013</v>
      </c>
      <c r="G340" s="7" t="n">
        <f aca="false">IF(VALUE(RIGHT(Raw_Nigeria!E340,2))&gt;12,"",VALUE(RIGHT(Raw_Nigeria!E340,2)))</f>
        <v>6</v>
      </c>
      <c r="H340" s="7" t="n">
        <f aca="false">Raw_Nigeria!F340</f>
        <v>2012</v>
      </c>
      <c r="I340" s="7" t="str">
        <f aca="false">UPPER(TRIM(Raw_Nigeria!G340))</f>
        <v>DTP3</v>
      </c>
      <c r="J340" s="7" t="str">
        <f aca="false">Raw_Nigeria!H340</f>
        <v>Record or Recall&lt;12m</v>
      </c>
      <c r="K340" s="7" t="str">
        <f aca="false">Raw_Nigeria!L340</f>
        <v>12-23 m</v>
      </c>
      <c r="L340" s="7" t="str">
        <f aca="false">IF(Raw_Nigeria!K340="","n/a",Raw_Nigeria!K340)</f>
        <v>0-12 m</v>
      </c>
      <c r="M340" s="7" t="n">
        <f aca="false">IF(Raw_Nigeria!I340="","",Raw_Nigeria!I340)</f>
        <v>28</v>
      </c>
      <c r="N340" s="7" t="n">
        <f aca="false">Raw_Nigeria!M340</f>
        <v>36.2</v>
      </c>
      <c r="O340" s="7" t="n">
        <f aca="false">IF(Raw_Nigeria!N340="","",Raw_Nigeria!N340)</f>
        <v>5900</v>
      </c>
      <c r="P340" s="7" t="str">
        <f aca="false">IF(K340="CBAW","Women of child-bearing age","Children")</f>
        <v>Children</v>
      </c>
      <c r="Q340" s="7" t="n">
        <f aca="false">IF(J340="NOT USED",1,0)</f>
        <v>0</v>
      </c>
      <c r="R340" s="7" t="n">
        <f aca="false">IF(AND(P340="Children",Q340=0),1,0)</f>
        <v>1</v>
      </c>
      <c r="S340" s="7" t="n">
        <f aca="false">IF(AND(R340=1,J340="Record or Recall",K340="12-23 m"),1,0)</f>
        <v>0</v>
      </c>
      <c r="T340" s="7" t="n">
        <f aca="false">IF(OR(I340="BCG",I340="DTP1",I340="DTP3",I340="POL3",I340="MCV1",I340="FULL"),1,0)</f>
        <v>1</v>
      </c>
      <c r="U340" s="7" t="n">
        <f aca="false">IF(OR(C340="DHS",C340="MICS"),1,0)</f>
        <v>1</v>
      </c>
      <c r="V340" s="7" t="n">
        <f aca="false">IF(O340="",1,0)</f>
        <v>0</v>
      </c>
      <c r="W340" s="7" t="n">
        <f aca="false">IF(M340="",1,0)</f>
        <v>0</v>
      </c>
      <c r="X340" s="7" t="n">
        <f aca="false">COUNTIFS($B$2:$B$1141,B340,$H$2:$H$1141,H340,$I$2:$I$1141,I340,$J$2:$J$1141,J340,$K$2:$K$1141,K340,$L$2:$L$1141,L340)</f>
        <v>1</v>
      </c>
    </row>
    <row r="341" customFormat="false" ht="15" hidden="false" customHeight="false" outlineLevel="0" collapsed="false">
      <c r="A341" s="7" t="n">
        <f aca="false">ROW()-1</f>
        <v>340</v>
      </c>
      <c r="B341" s="7" t="str">
        <f aca="false">IF(Raw_Nigeria!B341="",TRIM(Raw_Nigeria!C341),TRIM(Raw_Nigeria!B341))</f>
        <v>Nigeria Demographic and Health Survey 2013</v>
      </c>
      <c r="C341" s="7" t="str">
        <f aca="false">IF(ISNUMBER(SEARCH("Demographic and Health",B341)),"DHS",IF(OR(ISNUMBER(SEARCH("Multiple Indicator Cluster",B341)),ISNUMBER(SEARCH("MICS",B341))),"MICS",IF(ISNUMBER(SEARCH("Immunization Coverage Survey",B341)),"Coverage survey",IF(ISNUMBER(SEARCH("Nutrition",B341)),"Nutrition survey","Other"))))</f>
        <v>DHS</v>
      </c>
      <c r="D341" s="7" t="n">
        <f aca="false">VALUE(LEFT(Raw_Nigeria!D341,4))</f>
        <v>2013</v>
      </c>
      <c r="E341" s="7" t="n">
        <f aca="false">IF(VALUE(RIGHT(Raw_Nigeria!D341,2))&gt;12,"",VALUE(RIGHT(Raw_Nigeria!D341,2)))</f>
        <v>2</v>
      </c>
      <c r="F341" s="7" t="n">
        <f aca="false">VALUE(LEFT(Raw_Nigeria!E341,4))</f>
        <v>2013</v>
      </c>
      <c r="G341" s="7" t="n">
        <f aca="false">IF(VALUE(RIGHT(Raw_Nigeria!E341,2))&gt;12,"",VALUE(RIGHT(Raw_Nigeria!E341,2)))</f>
        <v>6</v>
      </c>
      <c r="H341" s="7" t="n">
        <f aca="false">Raw_Nigeria!F341</f>
        <v>2012</v>
      </c>
      <c r="I341" s="7" t="str">
        <f aca="false">UPPER(TRIM(Raw_Nigeria!G341))</f>
        <v>DTP3</v>
      </c>
      <c r="J341" s="7" t="str">
        <f aca="false">Raw_Nigeria!H341</f>
        <v>Record</v>
      </c>
      <c r="K341" s="7" t="str">
        <f aca="false">Raw_Nigeria!L341</f>
        <v>12-23 m</v>
      </c>
      <c r="L341" s="7" t="str">
        <f aca="false">IF(Raw_Nigeria!K341="","n/a",Raw_Nigeria!K341)</f>
        <v>0-23 m</v>
      </c>
      <c r="M341" s="7" t="n">
        <f aca="false">IF(Raw_Nigeria!I341="","",Raw_Nigeria!I341)</f>
        <v>28</v>
      </c>
      <c r="N341" s="7" t="n">
        <f aca="false">Raw_Nigeria!M341</f>
        <v>22.2</v>
      </c>
      <c r="O341" s="7" t="n">
        <f aca="false">IF(Raw_Nigeria!N341="","",Raw_Nigeria!N341)</f>
        <v>1650</v>
      </c>
      <c r="P341" s="7" t="str">
        <f aca="false">IF(K341="CBAW","Women of child-bearing age","Children")</f>
        <v>Children</v>
      </c>
      <c r="Q341" s="7" t="n">
        <f aca="false">IF(J341="NOT USED",1,0)</f>
        <v>0</v>
      </c>
      <c r="R341" s="7" t="n">
        <f aca="false">IF(AND(P341="Children",Q341=0),1,0)</f>
        <v>1</v>
      </c>
      <c r="S341" s="7" t="n">
        <f aca="false">IF(AND(R341=1,J341="Record or Recall",K341="12-23 m"),1,0)</f>
        <v>0</v>
      </c>
      <c r="T341" s="7" t="n">
        <f aca="false">IF(OR(I341="BCG",I341="DTP1",I341="DTP3",I341="POL3",I341="MCV1",I341="FULL"),1,0)</f>
        <v>1</v>
      </c>
      <c r="U341" s="7" t="n">
        <f aca="false">IF(OR(C341="DHS",C341="MICS"),1,0)</f>
        <v>1</v>
      </c>
      <c r="V341" s="7" t="n">
        <f aca="false">IF(O341="",1,0)</f>
        <v>0</v>
      </c>
      <c r="W341" s="7" t="n">
        <f aca="false">IF(M341="",1,0)</f>
        <v>0</v>
      </c>
      <c r="X341" s="7" t="n">
        <f aca="false">COUNTIFS($B$2:$B$1141,B341,$H$2:$H$1141,H341,$I$2:$I$1141,I341,$J$2:$J$1141,J341,$K$2:$K$1141,K341,$L$2:$L$1141,L341)</f>
        <v>1</v>
      </c>
    </row>
    <row r="342" customFormat="false" ht="15" hidden="false" customHeight="false" outlineLevel="0" collapsed="false">
      <c r="A342" s="7" t="n">
        <f aca="false">ROW()-1</f>
        <v>341</v>
      </c>
      <c r="B342" s="7" t="str">
        <f aca="false">IF(Raw_Nigeria!B342="",TRIM(Raw_Nigeria!C342),TRIM(Raw_Nigeria!B342))</f>
        <v>Nigeria Demographic and Health Survey 2013</v>
      </c>
      <c r="C342" s="7" t="str">
        <f aca="false">IF(ISNUMBER(SEARCH("Demographic and Health",B342)),"DHS",IF(OR(ISNUMBER(SEARCH("Multiple Indicator Cluster",B342)),ISNUMBER(SEARCH("MICS",B342))),"MICS",IF(ISNUMBER(SEARCH("Immunization Coverage Survey",B342)),"Coverage survey",IF(ISNUMBER(SEARCH("Nutrition",B342)),"Nutrition survey","Other"))))</f>
        <v>DHS</v>
      </c>
      <c r="D342" s="7" t="n">
        <f aca="false">VALUE(LEFT(Raw_Nigeria!D342,4))</f>
        <v>2013</v>
      </c>
      <c r="E342" s="7" t="n">
        <f aca="false">IF(VALUE(RIGHT(Raw_Nigeria!D342,2))&gt;12,"",VALUE(RIGHT(Raw_Nigeria!D342,2)))</f>
        <v>2</v>
      </c>
      <c r="F342" s="7" t="n">
        <f aca="false">VALUE(LEFT(Raw_Nigeria!E342,4))</f>
        <v>2013</v>
      </c>
      <c r="G342" s="7" t="n">
        <f aca="false">IF(VALUE(RIGHT(Raw_Nigeria!E342,2))&gt;12,"",VALUE(RIGHT(Raw_Nigeria!E342,2)))</f>
        <v>6</v>
      </c>
      <c r="H342" s="7" t="n">
        <f aca="false">Raw_Nigeria!F342</f>
        <v>2012</v>
      </c>
      <c r="I342" s="7" t="str">
        <f aca="false">UPPER(TRIM(Raw_Nigeria!G342))</f>
        <v>DTP3</v>
      </c>
      <c r="J342" s="7" t="str">
        <f aca="false">Raw_Nigeria!H342</f>
        <v>Record or Recall</v>
      </c>
      <c r="K342" s="7" t="str">
        <f aca="false">Raw_Nigeria!L342</f>
        <v>12-23 m</v>
      </c>
      <c r="L342" s="7" t="str">
        <f aca="false">IF(Raw_Nigeria!K342="","n/a",Raw_Nigeria!K342)</f>
        <v>0-23 m</v>
      </c>
      <c r="M342" s="7" t="n">
        <f aca="false">IF(Raw_Nigeria!I342="","",Raw_Nigeria!I342)</f>
        <v>28</v>
      </c>
      <c r="N342" s="7" t="n">
        <f aca="false">Raw_Nigeria!M342</f>
        <v>38.2</v>
      </c>
      <c r="O342" s="7" t="n">
        <f aca="false">IF(Raw_Nigeria!N342="","",Raw_Nigeria!N342)</f>
        <v>5900</v>
      </c>
      <c r="P342" s="7" t="str">
        <f aca="false">IF(K342="CBAW","Women of child-bearing age","Children")</f>
        <v>Children</v>
      </c>
      <c r="Q342" s="7" t="n">
        <f aca="false">IF(J342="NOT USED",1,0)</f>
        <v>0</v>
      </c>
      <c r="R342" s="7" t="n">
        <f aca="false">IF(AND(P342="Children",Q342=0),1,0)</f>
        <v>1</v>
      </c>
      <c r="S342" s="7" t="n">
        <f aca="false">IF(AND(R342=1,J342="Record or Recall",K342="12-23 m"),1,0)</f>
        <v>1</v>
      </c>
      <c r="T342" s="7" t="n">
        <f aca="false">IF(OR(I342="BCG",I342="DTP1",I342="DTP3",I342="POL3",I342="MCV1",I342="FULL"),1,0)</f>
        <v>1</v>
      </c>
      <c r="U342" s="7" t="n">
        <f aca="false">IF(OR(C342="DHS",C342="MICS"),1,0)</f>
        <v>1</v>
      </c>
      <c r="V342" s="7" t="n">
        <f aca="false">IF(O342="",1,0)</f>
        <v>0</v>
      </c>
      <c r="W342" s="7" t="n">
        <f aca="false">IF(M342="",1,0)</f>
        <v>0</v>
      </c>
      <c r="X342" s="7" t="n">
        <f aca="false">COUNTIFS($B$2:$B$1141,B342,$H$2:$H$1141,H342,$I$2:$I$1141,I342,$J$2:$J$1141,J342,$K$2:$K$1141,K342,$L$2:$L$1141,L342)</f>
        <v>1</v>
      </c>
    </row>
    <row r="343" customFormat="false" ht="15" hidden="false" customHeight="false" outlineLevel="0" collapsed="false">
      <c r="A343" s="7" t="n">
        <f aca="false">ROW()-1</f>
        <v>342</v>
      </c>
      <c r="B343" s="7" t="str">
        <f aca="false">IF(Raw_Nigeria!B343="",TRIM(Raw_Nigeria!C343),TRIM(Raw_Nigeria!B343))</f>
        <v>Nigeria Demographic and Health Survey 2013</v>
      </c>
      <c r="C343" s="7" t="str">
        <f aca="false">IF(ISNUMBER(SEARCH("Demographic and Health",B343)),"DHS",IF(OR(ISNUMBER(SEARCH("Multiple Indicator Cluster",B343)),ISNUMBER(SEARCH("MICS",B343))),"MICS",IF(ISNUMBER(SEARCH("Immunization Coverage Survey",B343)),"Coverage survey",IF(ISNUMBER(SEARCH("Nutrition",B343)),"Nutrition survey","Other"))))</f>
        <v>DHS</v>
      </c>
      <c r="D343" s="7" t="n">
        <f aca="false">VALUE(LEFT(Raw_Nigeria!D343,4))</f>
        <v>2013</v>
      </c>
      <c r="E343" s="7" t="n">
        <f aca="false">IF(VALUE(RIGHT(Raw_Nigeria!D343,2))&gt;12,"",VALUE(RIGHT(Raw_Nigeria!D343,2)))</f>
        <v>2</v>
      </c>
      <c r="F343" s="7" t="n">
        <f aca="false">VALUE(LEFT(Raw_Nigeria!E343,4))</f>
        <v>2013</v>
      </c>
      <c r="G343" s="7" t="n">
        <f aca="false">IF(VALUE(RIGHT(Raw_Nigeria!E343,2))&gt;12,"",VALUE(RIGHT(Raw_Nigeria!E343,2)))</f>
        <v>6</v>
      </c>
      <c r="H343" s="7" t="n">
        <f aca="false">Raw_Nigeria!F343</f>
        <v>2012</v>
      </c>
      <c r="I343" s="7" t="str">
        <f aca="false">UPPER(TRIM(Raw_Nigeria!G343))</f>
        <v>DTP3</v>
      </c>
      <c r="J343" s="7" t="str">
        <f aca="false">Raw_Nigeria!H343</f>
        <v>Recall</v>
      </c>
      <c r="K343" s="7" t="str">
        <f aca="false">Raw_Nigeria!L343</f>
        <v>12-23 m</v>
      </c>
      <c r="L343" s="7" t="str">
        <f aca="false">IF(Raw_Nigeria!K343="","n/a",Raw_Nigeria!K343)</f>
        <v>0-23 m</v>
      </c>
      <c r="M343" s="7" t="n">
        <f aca="false">IF(Raw_Nigeria!I343="","",Raw_Nigeria!I343)</f>
        <v>28</v>
      </c>
      <c r="N343" s="7" t="n">
        <f aca="false">Raw_Nigeria!M343</f>
        <v>16</v>
      </c>
      <c r="O343" s="7" t="n">
        <f aca="false">IF(Raw_Nigeria!N343="","",Raw_Nigeria!N343)</f>
        <v>4250</v>
      </c>
      <c r="P343" s="7" t="str">
        <f aca="false">IF(K343="CBAW","Women of child-bearing age","Children")</f>
        <v>Children</v>
      </c>
      <c r="Q343" s="7" t="n">
        <f aca="false">IF(J343="NOT USED",1,0)</f>
        <v>0</v>
      </c>
      <c r="R343" s="7" t="n">
        <f aca="false">IF(AND(P343="Children",Q343=0),1,0)</f>
        <v>1</v>
      </c>
      <c r="S343" s="7" t="n">
        <f aca="false">IF(AND(R343=1,J343="Record or Recall",K343="12-23 m"),1,0)</f>
        <v>0</v>
      </c>
      <c r="T343" s="7" t="n">
        <f aca="false">IF(OR(I343="BCG",I343="DTP1",I343="DTP3",I343="POL3",I343="MCV1",I343="FULL"),1,0)</f>
        <v>1</v>
      </c>
      <c r="U343" s="7" t="n">
        <f aca="false">IF(OR(C343="DHS",C343="MICS"),1,0)</f>
        <v>1</v>
      </c>
      <c r="V343" s="7" t="n">
        <f aca="false">IF(O343="",1,0)</f>
        <v>0</v>
      </c>
      <c r="W343" s="7" t="n">
        <f aca="false">IF(M343="",1,0)</f>
        <v>0</v>
      </c>
      <c r="X343" s="7" t="n">
        <f aca="false">COUNTIFS($B$2:$B$1141,B343,$H$2:$H$1141,H343,$I$2:$I$1141,I343,$J$2:$J$1141,J343,$K$2:$K$1141,K343,$L$2:$L$1141,L343)</f>
        <v>1</v>
      </c>
    </row>
    <row r="344" customFormat="false" ht="15" hidden="false" customHeight="false" outlineLevel="0" collapsed="false">
      <c r="A344" s="7" t="n">
        <f aca="false">ROW()-1</f>
        <v>343</v>
      </c>
      <c r="B344" s="7" t="str">
        <f aca="false">IF(Raw_Nigeria!B344="",TRIM(Raw_Nigeria!C344),TRIM(Raw_Nigeria!B344))</f>
        <v>Nigeria Demographic and Health Survey 2013</v>
      </c>
      <c r="C344" s="7" t="str">
        <f aca="false">IF(ISNUMBER(SEARCH("Demographic and Health",B344)),"DHS",IF(OR(ISNUMBER(SEARCH("Multiple Indicator Cluster",B344)),ISNUMBER(SEARCH("MICS",B344))),"MICS",IF(ISNUMBER(SEARCH("Immunization Coverage Survey",B344)),"Coverage survey",IF(ISNUMBER(SEARCH("Nutrition",B344)),"Nutrition survey","Other"))))</f>
        <v>DHS</v>
      </c>
      <c r="D344" s="7" t="n">
        <f aca="false">VALUE(LEFT(Raw_Nigeria!D344,4))</f>
        <v>2013</v>
      </c>
      <c r="E344" s="7" t="n">
        <f aca="false">IF(VALUE(RIGHT(Raw_Nigeria!D344,2))&gt;12,"",VALUE(RIGHT(Raw_Nigeria!D344,2)))</f>
        <v>2</v>
      </c>
      <c r="F344" s="7" t="n">
        <f aca="false">VALUE(LEFT(Raw_Nigeria!E344,4))</f>
        <v>2013</v>
      </c>
      <c r="G344" s="7" t="n">
        <f aca="false">IF(VALUE(RIGHT(Raw_Nigeria!E344,2))&gt;12,"",VALUE(RIGHT(Raw_Nigeria!E344,2)))</f>
        <v>6</v>
      </c>
      <c r="H344" s="7" t="n">
        <f aca="false">Raw_Nigeria!F344</f>
        <v>2012</v>
      </c>
      <c r="I344" s="7" t="str">
        <f aca="false">UPPER(TRIM(Raw_Nigeria!G344))</f>
        <v>FULL</v>
      </c>
      <c r="J344" s="7" t="str">
        <f aca="false">Raw_Nigeria!H344</f>
        <v>Record or Recall&lt;12m</v>
      </c>
      <c r="K344" s="7" t="str">
        <f aca="false">Raw_Nigeria!L344</f>
        <v>12-23 m</v>
      </c>
      <c r="L344" s="7" t="str">
        <f aca="false">IF(Raw_Nigeria!K344="","n/a",Raw_Nigeria!K344)</f>
        <v>0-12 m</v>
      </c>
      <c r="M344" s="7" t="n">
        <f aca="false">IF(Raw_Nigeria!I344="","",Raw_Nigeria!I344)</f>
        <v>28</v>
      </c>
      <c r="N344" s="7" t="n">
        <f aca="false">Raw_Nigeria!M344</f>
        <v>21.4</v>
      </c>
      <c r="O344" s="7" t="n">
        <f aca="false">IF(Raw_Nigeria!N344="","",Raw_Nigeria!N344)</f>
        <v>5900</v>
      </c>
      <c r="P344" s="7" t="str">
        <f aca="false">IF(K344="CBAW","Women of child-bearing age","Children")</f>
        <v>Children</v>
      </c>
      <c r="Q344" s="7" t="n">
        <f aca="false">IF(J344="NOT USED",1,0)</f>
        <v>0</v>
      </c>
      <c r="R344" s="7" t="n">
        <f aca="false">IF(AND(P344="Children",Q344=0),1,0)</f>
        <v>1</v>
      </c>
      <c r="S344" s="7" t="n">
        <f aca="false">IF(AND(R344=1,J344="Record or Recall",K344="12-23 m"),1,0)</f>
        <v>0</v>
      </c>
      <c r="T344" s="7" t="n">
        <f aca="false">IF(OR(I344="BCG",I344="DTP1",I344="DTP3",I344="POL3",I344="MCV1",I344="FULL"),1,0)</f>
        <v>1</v>
      </c>
      <c r="U344" s="7" t="n">
        <f aca="false">IF(OR(C344="DHS",C344="MICS"),1,0)</f>
        <v>1</v>
      </c>
      <c r="V344" s="7" t="n">
        <f aca="false">IF(O344="",1,0)</f>
        <v>0</v>
      </c>
      <c r="W344" s="7" t="n">
        <f aca="false">IF(M344="",1,0)</f>
        <v>0</v>
      </c>
      <c r="X344" s="7" t="n">
        <f aca="false">COUNTIFS($B$2:$B$1141,B344,$H$2:$H$1141,H344,$I$2:$I$1141,I344,$J$2:$J$1141,J344,$K$2:$K$1141,K344,$L$2:$L$1141,L344)</f>
        <v>1</v>
      </c>
    </row>
    <row r="345" customFormat="false" ht="15" hidden="false" customHeight="false" outlineLevel="0" collapsed="false">
      <c r="A345" s="7" t="n">
        <f aca="false">ROW()-1</f>
        <v>344</v>
      </c>
      <c r="B345" s="7" t="str">
        <f aca="false">IF(Raw_Nigeria!B345="",TRIM(Raw_Nigeria!C345),TRIM(Raw_Nigeria!B345))</f>
        <v>Nigeria Demographic and Health Survey 2013</v>
      </c>
      <c r="C345" s="7" t="str">
        <f aca="false">IF(ISNUMBER(SEARCH("Demographic and Health",B345)),"DHS",IF(OR(ISNUMBER(SEARCH("Multiple Indicator Cluster",B345)),ISNUMBER(SEARCH("MICS",B345))),"MICS",IF(ISNUMBER(SEARCH("Immunization Coverage Survey",B345)),"Coverage survey",IF(ISNUMBER(SEARCH("Nutrition",B345)),"Nutrition survey","Other"))))</f>
        <v>DHS</v>
      </c>
      <c r="D345" s="7" t="n">
        <f aca="false">VALUE(LEFT(Raw_Nigeria!D345,4))</f>
        <v>2013</v>
      </c>
      <c r="E345" s="7" t="n">
        <f aca="false">IF(VALUE(RIGHT(Raw_Nigeria!D345,2))&gt;12,"",VALUE(RIGHT(Raw_Nigeria!D345,2)))</f>
        <v>2</v>
      </c>
      <c r="F345" s="7" t="n">
        <f aca="false">VALUE(LEFT(Raw_Nigeria!E345,4))</f>
        <v>2013</v>
      </c>
      <c r="G345" s="7" t="n">
        <f aca="false">IF(VALUE(RIGHT(Raw_Nigeria!E345,2))&gt;12,"",VALUE(RIGHT(Raw_Nigeria!E345,2)))</f>
        <v>6</v>
      </c>
      <c r="H345" s="7" t="n">
        <f aca="false">Raw_Nigeria!F345</f>
        <v>2012</v>
      </c>
      <c r="I345" s="7" t="str">
        <f aca="false">UPPER(TRIM(Raw_Nigeria!G345))</f>
        <v>FULL</v>
      </c>
      <c r="J345" s="7" t="str">
        <f aca="false">Raw_Nigeria!H345</f>
        <v>Record</v>
      </c>
      <c r="K345" s="7" t="str">
        <f aca="false">Raw_Nigeria!L345</f>
        <v>12-23 m</v>
      </c>
      <c r="L345" s="7" t="str">
        <f aca="false">IF(Raw_Nigeria!K345="","n/a",Raw_Nigeria!K345)</f>
        <v>0-23 m</v>
      </c>
      <c r="M345" s="7" t="n">
        <f aca="false">IF(Raw_Nigeria!I345="","",Raw_Nigeria!I345)</f>
        <v>28</v>
      </c>
      <c r="N345" s="7" t="n">
        <f aca="false">Raw_Nigeria!M345</f>
        <v>19</v>
      </c>
      <c r="O345" s="7" t="n">
        <f aca="false">IF(Raw_Nigeria!N345="","",Raw_Nigeria!N345)</f>
        <v>1650</v>
      </c>
      <c r="P345" s="7" t="str">
        <f aca="false">IF(K345="CBAW","Women of child-bearing age","Children")</f>
        <v>Children</v>
      </c>
      <c r="Q345" s="7" t="n">
        <f aca="false">IF(J345="NOT USED",1,0)</f>
        <v>0</v>
      </c>
      <c r="R345" s="7" t="n">
        <f aca="false">IF(AND(P345="Children",Q345=0),1,0)</f>
        <v>1</v>
      </c>
      <c r="S345" s="7" t="n">
        <f aca="false">IF(AND(R345=1,J345="Record or Recall",K345="12-23 m"),1,0)</f>
        <v>0</v>
      </c>
      <c r="T345" s="7" t="n">
        <f aca="false">IF(OR(I345="BCG",I345="DTP1",I345="DTP3",I345="POL3",I345="MCV1",I345="FULL"),1,0)</f>
        <v>1</v>
      </c>
      <c r="U345" s="7" t="n">
        <f aca="false">IF(OR(C345="DHS",C345="MICS"),1,0)</f>
        <v>1</v>
      </c>
      <c r="V345" s="7" t="n">
        <f aca="false">IF(O345="",1,0)</f>
        <v>0</v>
      </c>
      <c r="W345" s="7" t="n">
        <f aca="false">IF(M345="",1,0)</f>
        <v>0</v>
      </c>
      <c r="X345" s="7" t="n">
        <f aca="false">COUNTIFS($B$2:$B$1141,B345,$H$2:$H$1141,H345,$I$2:$I$1141,I345,$J$2:$J$1141,J345,$K$2:$K$1141,K345,$L$2:$L$1141,L345)</f>
        <v>1</v>
      </c>
    </row>
    <row r="346" customFormat="false" ht="15" hidden="false" customHeight="false" outlineLevel="0" collapsed="false">
      <c r="A346" s="7" t="n">
        <f aca="false">ROW()-1</f>
        <v>345</v>
      </c>
      <c r="B346" s="7" t="str">
        <f aca="false">IF(Raw_Nigeria!B346="",TRIM(Raw_Nigeria!C346),TRIM(Raw_Nigeria!B346))</f>
        <v>Nigeria Demographic and Health Survey 2013</v>
      </c>
      <c r="C346" s="7" t="str">
        <f aca="false">IF(ISNUMBER(SEARCH("Demographic and Health",B346)),"DHS",IF(OR(ISNUMBER(SEARCH("Multiple Indicator Cluster",B346)),ISNUMBER(SEARCH("MICS",B346))),"MICS",IF(ISNUMBER(SEARCH("Immunization Coverage Survey",B346)),"Coverage survey",IF(ISNUMBER(SEARCH("Nutrition",B346)),"Nutrition survey","Other"))))</f>
        <v>DHS</v>
      </c>
      <c r="D346" s="7" t="n">
        <f aca="false">VALUE(LEFT(Raw_Nigeria!D346,4))</f>
        <v>2013</v>
      </c>
      <c r="E346" s="7" t="n">
        <f aca="false">IF(VALUE(RIGHT(Raw_Nigeria!D346,2))&gt;12,"",VALUE(RIGHT(Raw_Nigeria!D346,2)))</f>
        <v>2</v>
      </c>
      <c r="F346" s="7" t="n">
        <f aca="false">VALUE(LEFT(Raw_Nigeria!E346,4))</f>
        <v>2013</v>
      </c>
      <c r="G346" s="7" t="n">
        <f aca="false">IF(VALUE(RIGHT(Raw_Nigeria!E346,2))&gt;12,"",VALUE(RIGHT(Raw_Nigeria!E346,2)))</f>
        <v>6</v>
      </c>
      <c r="H346" s="7" t="n">
        <f aca="false">Raw_Nigeria!F346</f>
        <v>2012</v>
      </c>
      <c r="I346" s="7" t="str">
        <f aca="false">UPPER(TRIM(Raw_Nigeria!G346))</f>
        <v>FULL</v>
      </c>
      <c r="J346" s="7" t="str">
        <f aca="false">Raw_Nigeria!H346</f>
        <v>Record or Recall</v>
      </c>
      <c r="K346" s="7" t="str">
        <f aca="false">Raw_Nigeria!L346</f>
        <v>12-23 m</v>
      </c>
      <c r="L346" s="7" t="str">
        <f aca="false">IF(Raw_Nigeria!K346="","n/a",Raw_Nigeria!K346)</f>
        <v>0-23 m</v>
      </c>
      <c r="M346" s="7" t="n">
        <f aca="false">IF(Raw_Nigeria!I346="","",Raw_Nigeria!I346)</f>
        <v>28</v>
      </c>
      <c r="N346" s="7" t="n">
        <f aca="false">Raw_Nigeria!M346</f>
        <v>25.3</v>
      </c>
      <c r="O346" s="7" t="n">
        <f aca="false">IF(Raw_Nigeria!N346="","",Raw_Nigeria!N346)</f>
        <v>5900</v>
      </c>
      <c r="P346" s="7" t="str">
        <f aca="false">IF(K346="CBAW","Women of child-bearing age","Children")</f>
        <v>Children</v>
      </c>
      <c r="Q346" s="7" t="n">
        <f aca="false">IF(J346="NOT USED",1,0)</f>
        <v>0</v>
      </c>
      <c r="R346" s="7" t="n">
        <f aca="false">IF(AND(P346="Children",Q346=0),1,0)</f>
        <v>1</v>
      </c>
      <c r="S346" s="7" t="n">
        <f aca="false">IF(AND(R346=1,J346="Record or Recall",K346="12-23 m"),1,0)</f>
        <v>1</v>
      </c>
      <c r="T346" s="7" t="n">
        <f aca="false">IF(OR(I346="BCG",I346="DTP1",I346="DTP3",I346="POL3",I346="MCV1",I346="FULL"),1,0)</f>
        <v>1</v>
      </c>
      <c r="U346" s="7" t="n">
        <f aca="false">IF(OR(C346="DHS",C346="MICS"),1,0)</f>
        <v>1</v>
      </c>
      <c r="V346" s="7" t="n">
        <f aca="false">IF(O346="",1,0)</f>
        <v>0</v>
      </c>
      <c r="W346" s="7" t="n">
        <f aca="false">IF(M346="",1,0)</f>
        <v>0</v>
      </c>
      <c r="X346" s="7" t="n">
        <f aca="false">COUNTIFS($B$2:$B$1141,B346,$H$2:$H$1141,H346,$I$2:$I$1141,I346,$J$2:$J$1141,J346,$K$2:$K$1141,K346,$L$2:$L$1141,L346)</f>
        <v>1</v>
      </c>
    </row>
    <row r="347" customFormat="false" ht="15" hidden="false" customHeight="false" outlineLevel="0" collapsed="false">
      <c r="A347" s="7" t="n">
        <f aca="false">ROW()-1</f>
        <v>346</v>
      </c>
      <c r="B347" s="7" t="str">
        <f aca="false">IF(Raw_Nigeria!B347="",TRIM(Raw_Nigeria!C347),TRIM(Raw_Nigeria!B347))</f>
        <v>Nigeria Demographic and Health Survey 2013</v>
      </c>
      <c r="C347" s="7" t="str">
        <f aca="false">IF(ISNUMBER(SEARCH("Demographic and Health",B347)),"DHS",IF(OR(ISNUMBER(SEARCH("Multiple Indicator Cluster",B347)),ISNUMBER(SEARCH("MICS",B347))),"MICS",IF(ISNUMBER(SEARCH("Immunization Coverage Survey",B347)),"Coverage survey",IF(ISNUMBER(SEARCH("Nutrition",B347)),"Nutrition survey","Other"))))</f>
        <v>DHS</v>
      </c>
      <c r="D347" s="7" t="n">
        <f aca="false">VALUE(LEFT(Raw_Nigeria!D347,4))</f>
        <v>2013</v>
      </c>
      <c r="E347" s="7" t="n">
        <f aca="false">IF(VALUE(RIGHT(Raw_Nigeria!D347,2))&gt;12,"",VALUE(RIGHT(Raw_Nigeria!D347,2)))</f>
        <v>2</v>
      </c>
      <c r="F347" s="7" t="n">
        <f aca="false">VALUE(LEFT(Raw_Nigeria!E347,4))</f>
        <v>2013</v>
      </c>
      <c r="G347" s="7" t="n">
        <f aca="false">IF(VALUE(RIGHT(Raw_Nigeria!E347,2))&gt;12,"",VALUE(RIGHT(Raw_Nigeria!E347,2)))</f>
        <v>6</v>
      </c>
      <c r="H347" s="7" t="n">
        <f aca="false">Raw_Nigeria!F347</f>
        <v>2012</v>
      </c>
      <c r="I347" s="7" t="str">
        <f aca="false">UPPER(TRIM(Raw_Nigeria!G347))</f>
        <v>FULL</v>
      </c>
      <c r="J347" s="7" t="str">
        <f aca="false">Raw_Nigeria!H347</f>
        <v>Recall</v>
      </c>
      <c r="K347" s="7" t="str">
        <f aca="false">Raw_Nigeria!L347</f>
        <v>12-23 m</v>
      </c>
      <c r="L347" s="7" t="str">
        <f aca="false">IF(Raw_Nigeria!K347="","n/a",Raw_Nigeria!K347)</f>
        <v>0-23 m</v>
      </c>
      <c r="M347" s="7" t="n">
        <f aca="false">IF(Raw_Nigeria!I347="","",Raw_Nigeria!I347)</f>
        <v>28</v>
      </c>
      <c r="N347" s="7" t="n">
        <f aca="false">Raw_Nigeria!M347</f>
        <v>6.3</v>
      </c>
      <c r="O347" s="7" t="n">
        <f aca="false">IF(Raw_Nigeria!N347="","",Raw_Nigeria!N347)</f>
        <v>4250</v>
      </c>
      <c r="P347" s="7" t="str">
        <f aca="false">IF(K347="CBAW","Women of child-bearing age","Children")</f>
        <v>Children</v>
      </c>
      <c r="Q347" s="7" t="n">
        <f aca="false">IF(J347="NOT USED",1,0)</f>
        <v>0</v>
      </c>
      <c r="R347" s="7" t="n">
        <f aca="false">IF(AND(P347="Children",Q347=0),1,0)</f>
        <v>1</v>
      </c>
      <c r="S347" s="7" t="n">
        <f aca="false">IF(AND(R347=1,J347="Record or Recall",K347="12-23 m"),1,0)</f>
        <v>0</v>
      </c>
      <c r="T347" s="7" t="n">
        <f aca="false">IF(OR(I347="BCG",I347="DTP1",I347="DTP3",I347="POL3",I347="MCV1",I347="FULL"),1,0)</f>
        <v>1</v>
      </c>
      <c r="U347" s="7" t="n">
        <f aca="false">IF(OR(C347="DHS",C347="MICS"),1,0)</f>
        <v>1</v>
      </c>
      <c r="V347" s="7" t="n">
        <f aca="false">IF(O347="",1,0)</f>
        <v>0</v>
      </c>
      <c r="W347" s="7" t="n">
        <f aca="false">IF(M347="",1,0)</f>
        <v>0</v>
      </c>
      <c r="X347" s="7" t="n">
        <f aca="false">COUNTIFS($B$2:$B$1141,B347,$H$2:$H$1141,H347,$I$2:$I$1141,I347,$J$2:$J$1141,J347,$K$2:$K$1141,K347,$L$2:$L$1141,L347)</f>
        <v>1</v>
      </c>
    </row>
    <row r="348" customFormat="false" ht="15" hidden="false" customHeight="false" outlineLevel="0" collapsed="false">
      <c r="A348" s="7" t="n">
        <f aca="false">ROW()-1</f>
        <v>347</v>
      </c>
      <c r="B348" s="7" t="str">
        <f aca="false">IF(Raw_Nigeria!B348="",TRIM(Raw_Nigeria!C348),TRIM(Raw_Nigeria!B348))</f>
        <v>Nigeria Demographic and Health Survey 2013</v>
      </c>
      <c r="C348" s="7" t="str">
        <f aca="false">IF(ISNUMBER(SEARCH("Demographic and Health",B348)),"DHS",IF(OR(ISNUMBER(SEARCH("Multiple Indicator Cluster",B348)),ISNUMBER(SEARCH("MICS",B348))),"MICS",IF(ISNUMBER(SEARCH("Immunization Coverage Survey",B348)),"Coverage survey",IF(ISNUMBER(SEARCH("Nutrition",B348)),"Nutrition survey","Other"))))</f>
        <v>DHS</v>
      </c>
      <c r="D348" s="7" t="n">
        <f aca="false">VALUE(LEFT(Raw_Nigeria!D348,4))</f>
        <v>2013</v>
      </c>
      <c r="E348" s="7" t="n">
        <f aca="false">IF(VALUE(RIGHT(Raw_Nigeria!D348,2))&gt;12,"",VALUE(RIGHT(Raw_Nigeria!D348,2)))</f>
        <v>2</v>
      </c>
      <c r="F348" s="7" t="n">
        <f aca="false">VALUE(LEFT(Raw_Nigeria!E348,4))</f>
        <v>2013</v>
      </c>
      <c r="G348" s="7" t="n">
        <f aca="false">IF(VALUE(RIGHT(Raw_Nigeria!E348,2))&gt;12,"",VALUE(RIGHT(Raw_Nigeria!E348,2)))</f>
        <v>6</v>
      </c>
      <c r="H348" s="7" t="n">
        <f aca="false">Raw_Nigeria!F348</f>
        <v>2012</v>
      </c>
      <c r="I348" s="7" t="str">
        <f aca="false">UPPER(TRIM(Raw_Nigeria!G348))</f>
        <v>MCV1</v>
      </c>
      <c r="J348" s="7" t="str">
        <f aca="false">Raw_Nigeria!H348</f>
        <v>Record or Recall&lt;12m</v>
      </c>
      <c r="K348" s="7" t="str">
        <f aca="false">Raw_Nigeria!L348</f>
        <v>12-23 m</v>
      </c>
      <c r="L348" s="7" t="str">
        <f aca="false">IF(Raw_Nigeria!K348="","n/a",Raw_Nigeria!K348)</f>
        <v>0-12 m</v>
      </c>
      <c r="M348" s="7" t="n">
        <f aca="false">IF(Raw_Nigeria!I348="","",Raw_Nigeria!I348)</f>
        <v>28</v>
      </c>
      <c r="N348" s="7" t="n">
        <f aca="false">Raw_Nigeria!M348</f>
        <v>35.1</v>
      </c>
      <c r="O348" s="7" t="n">
        <f aca="false">IF(Raw_Nigeria!N348="","",Raw_Nigeria!N348)</f>
        <v>5900</v>
      </c>
      <c r="P348" s="7" t="str">
        <f aca="false">IF(K348="CBAW","Women of child-bearing age","Children")</f>
        <v>Children</v>
      </c>
      <c r="Q348" s="7" t="n">
        <f aca="false">IF(J348="NOT USED",1,0)</f>
        <v>0</v>
      </c>
      <c r="R348" s="7" t="n">
        <f aca="false">IF(AND(P348="Children",Q348=0),1,0)</f>
        <v>1</v>
      </c>
      <c r="S348" s="7" t="n">
        <f aca="false">IF(AND(R348=1,J348="Record or Recall",K348="12-23 m"),1,0)</f>
        <v>0</v>
      </c>
      <c r="T348" s="7" t="n">
        <f aca="false">IF(OR(I348="BCG",I348="DTP1",I348="DTP3",I348="POL3",I348="MCV1",I348="FULL"),1,0)</f>
        <v>1</v>
      </c>
      <c r="U348" s="7" t="n">
        <f aca="false">IF(OR(C348="DHS",C348="MICS"),1,0)</f>
        <v>1</v>
      </c>
      <c r="V348" s="7" t="n">
        <f aca="false">IF(O348="",1,0)</f>
        <v>0</v>
      </c>
      <c r="W348" s="7" t="n">
        <f aca="false">IF(M348="",1,0)</f>
        <v>0</v>
      </c>
      <c r="X348" s="7" t="n">
        <f aca="false">COUNTIFS($B$2:$B$1141,B348,$H$2:$H$1141,H348,$I$2:$I$1141,I348,$J$2:$J$1141,J348,$K$2:$K$1141,K348,$L$2:$L$1141,L348)</f>
        <v>1</v>
      </c>
    </row>
    <row r="349" customFormat="false" ht="15" hidden="false" customHeight="false" outlineLevel="0" collapsed="false">
      <c r="A349" s="7" t="n">
        <f aca="false">ROW()-1</f>
        <v>348</v>
      </c>
      <c r="B349" s="7" t="str">
        <f aca="false">IF(Raw_Nigeria!B349="",TRIM(Raw_Nigeria!C349),TRIM(Raw_Nigeria!B349))</f>
        <v>Nigeria Demographic and Health Survey 2013</v>
      </c>
      <c r="C349" s="7" t="str">
        <f aca="false">IF(ISNUMBER(SEARCH("Demographic and Health",B349)),"DHS",IF(OR(ISNUMBER(SEARCH("Multiple Indicator Cluster",B349)),ISNUMBER(SEARCH("MICS",B349))),"MICS",IF(ISNUMBER(SEARCH("Immunization Coverage Survey",B349)),"Coverage survey",IF(ISNUMBER(SEARCH("Nutrition",B349)),"Nutrition survey","Other"))))</f>
        <v>DHS</v>
      </c>
      <c r="D349" s="7" t="n">
        <f aca="false">VALUE(LEFT(Raw_Nigeria!D349,4))</f>
        <v>2013</v>
      </c>
      <c r="E349" s="7" t="n">
        <f aca="false">IF(VALUE(RIGHT(Raw_Nigeria!D349,2))&gt;12,"",VALUE(RIGHT(Raw_Nigeria!D349,2)))</f>
        <v>2</v>
      </c>
      <c r="F349" s="7" t="n">
        <f aca="false">VALUE(LEFT(Raw_Nigeria!E349,4))</f>
        <v>2013</v>
      </c>
      <c r="G349" s="7" t="n">
        <f aca="false">IF(VALUE(RIGHT(Raw_Nigeria!E349,2))&gt;12,"",VALUE(RIGHT(Raw_Nigeria!E349,2)))</f>
        <v>6</v>
      </c>
      <c r="H349" s="7" t="n">
        <f aca="false">Raw_Nigeria!F349</f>
        <v>2012</v>
      </c>
      <c r="I349" s="7" t="str">
        <f aca="false">UPPER(TRIM(Raw_Nigeria!G349))</f>
        <v>MCV1</v>
      </c>
      <c r="J349" s="7" t="str">
        <f aca="false">Raw_Nigeria!H349</f>
        <v>Record</v>
      </c>
      <c r="K349" s="7" t="str">
        <f aca="false">Raw_Nigeria!L349</f>
        <v>12-23 m</v>
      </c>
      <c r="L349" s="7" t="str">
        <f aca="false">IF(Raw_Nigeria!K349="","n/a",Raw_Nigeria!K349)</f>
        <v>0-23 m</v>
      </c>
      <c r="M349" s="7" t="n">
        <f aca="false">IF(Raw_Nigeria!I349="","",Raw_Nigeria!I349)</f>
        <v>28</v>
      </c>
      <c r="N349" s="7" t="n">
        <f aca="false">Raw_Nigeria!M349</f>
        <v>21.1</v>
      </c>
      <c r="O349" s="7" t="n">
        <f aca="false">IF(Raw_Nigeria!N349="","",Raw_Nigeria!N349)</f>
        <v>1650</v>
      </c>
      <c r="P349" s="7" t="str">
        <f aca="false">IF(K349="CBAW","Women of child-bearing age","Children")</f>
        <v>Children</v>
      </c>
      <c r="Q349" s="7" t="n">
        <f aca="false">IF(J349="NOT USED",1,0)</f>
        <v>0</v>
      </c>
      <c r="R349" s="7" t="n">
        <f aca="false">IF(AND(P349="Children",Q349=0),1,0)</f>
        <v>1</v>
      </c>
      <c r="S349" s="7" t="n">
        <f aca="false">IF(AND(R349=1,J349="Record or Recall",K349="12-23 m"),1,0)</f>
        <v>0</v>
      </c>
      <c r="T349" s="7" t="n">
        <f aca="false">IF(OR(I349="BCG",I349="DTP1",I349="DTP3",I349="POL3",I349="MCV1",I349="FULL"),1,0)</f>
        <v>1</v>
      </c>
      <c r="U349" s="7" t="n">
        <f aca="false">IF(OR(C349="DHS",C349="MICS"),1,0)</f>
        <v>1</v>
      </c>
      <c r="V349" s="7" t="n">
        <f aca="false">IF(O349="",1,0)</f>
        <v>0</v>
      </c>
      <c r="W349" s="7" t="n">
        <f aca="false">IF(M349="",1,0)</f>
        <v>0</v>
      </c>
      <c r="X349" s="7" t="n">
        <f aca="false">COUNTIFS($B$2:$B$1141,B349,$H$2:$H$1141,H349,$I$2:$I$1141,I349,$J$2:$J$1141,J349,$K$2:$K$1141,K349,$L$2:$L$1141,L349)</f>
        <v>1</v>
      </c>
    </row>
    <row r="350" customFormat="false" ht="15" hidden="false" customHeight="false" outlineLevel="0" collapsed="false">
      <c r="A350" s="7" t="n">
        <f aca="false">ROW()-1</f>
        <v>349</v>
      </c>
      <c r="B350" s="7" t="str">
        <f aca="false">IF(Raw_Nigeria!B350="",TRIM(Raw_Nigeria!C350),TRIM(Raw_Nigeria!B350))</f>
        <v>Nigeria Demographic and Health Survey 2013</v>
      </c>
      <c r="C350" s="7" t="str">
        <f aca="false">IF(ISNUMBER(SEARCH("Demographic and Health",B350)),"DHS",IF(OR(ISNUMBER(SEARCH("Multiple Indicator Cluster",B350)),ISNUMBER(SEARCH("MICS",B350))),"MICS",IF(ISNUMBER(SEARCH("Immunization Coverage Survey",B350)),"Coverage survey",IF(ISNUMBER(SEARCH("Nutrition",B350)),"Nutrition survey","Other"))))</f>
        <v>DHS</v>
      </c>
      <c r="D350" s="7" t="n">
        <f aca="false">VALUE(LEFT(Raw_Nigeria!D350,4))</f>
        <v>2013</v>
      </c>
      <c r="E350" s="7" t="n">
        <f aca="false">IF(VALUE(RIGHT(Raw_Nigeria!D350,2))&gt;12,"",VALUE(RIGHT(Raw_Nigeria!D350,2)))</f>
        <v>2</v>
      </c>
      <c r="F350" s="7" t="n">
        <f aca="false">VALUE(LEFT(Raw_Nigeria!E350,4))</f>
        <v>2013</v>
      </c>
      <c r="G350" s="7" t="n">
        <f aca="false">IF(VALUE(RIGHT(Raw_Nigeria!E350,2))&gt;12,"",VALUE(RIGHT(Raw_Nigeria!E350,2)))</f>
        <v>6</v>
      </c>
      <c r="H350" s="7" t="n">
        <f aca="false">Raw_Nigeria!F350</f>
        <v>2012</v>
      </c>
      <c r="I350" s="7" t="str">
        <f aca="false">UPPER(TRIM(Raw_Nigeria!G350))</f>
        <v>MCV1</v>
      </c>
      <c r="J350" s="7" t="str">
        <f aca="false">Raw_Nigeria!H350</f>
        <v>Record or Recall</v>
      </c>
      <c r="K350" s="7" t="str">
        <f aca="false">Raw_Nigeria!L350</f>
        <v>12-23 m</v>
      </c>
      <c r="L350" s="7" t="str">
        <f aca="false">IF(Raw_Nigeria!K350="","n/a",Raw_Nigeria!K350)</f>
        <v>0-23 m</v>
      </c>
      <c r="M350" s="7" t="n">
        <f aca="false">IF(Raw_Nigeria!I350="","",Raw_Nigeria!I350)</f>
        <v>28</v>
      </c>
      <c r="N350" s="7" t="n">
        <f aca="false">Raw_Nigeria!M350</f>
        <v>42.1</v>
      </c>
      <c r="O350" s="7" t="n">
        <f aca="false">IF(Raw_Nigeria!N350="","",Raw_Nigeria!N350)</f>
        <v>5900</v>
      </c>
      <c r="P350" s="7" t="str">
        <f aca="false">IF(K350="CBAW","Women of child-bearing age","Children")</f>
        <v>Children</v>
      </c>
      <c r="Q350" s="7" t="n">
        <f aca="false">IF(J350="NOT USED",1,0)</f>
        <v>0</v>
      </c>
      <c r="R350" s="7" t="n">
        <f aca="false">IF(AND(P350="Children",Q350=0),1,0)</f>
        <v>1</v>
      </c>
      <c r="S350" s="7" t="n">
        <f aca="false">IF(AND(R350=1,J350="Record or Recall",K350="12-23 m"),1,0)</f>
        <v>1</v>
      </c>
      <c r="T350" s="7" t="n">
        <f aca="false">IF(OR(I350="BCG",I350="DTP1",I350="DTP3",I350="POL3",I350="MCV1",I350="FULL"),1,0)</f>
        <v>1</v>
      </c>
      <c r="U350" s="7" t="n">
        <f aca="false">IF(OR(C350="DHS",C350="MICS"),1,0)</f>
        <v>1</v>
      </c>
      <c r="V350" s="7" t="n">
        <f aca="false">IF(O350="",1,0)</f>
        <v>0</v>
      </c>
      <c r="W350" s="7" t="n">
        <f aca="false">IF(M350="",1,0)</f>
        <v>0</v>
      </c>
      <c r="X350" s="7" t="n">
        <f aca="false">COUNTIFS($B$2:$B$1141,B350,$H$2:$H$1141,H350,$I$2:$I$1141,I350,$J$2:$J$1141,J350,$K$2:$K$1141,K350,$L$2:$L$1141,L350)</f>
        <v>1</v>
      </c>
    </row>
    <row r="351" customFormat="false" ht="15" hidden="false" customHeight="false" outlineLevel="0" collapsed="false">
      <c r="A351" s="7" t="n">
        <f aca="false">ROW()-1</f>
        <v>350</v>
      </c>
      <c r="B351" s="7" t="str">
        <f aca="false">IF(Raw_Nigeria!B351="",TRIM(Raw_Nigeria!C351),TRIM(Raw_Nigeria!B351))</f>
        <v>Nigeria Demographic and Health Survey 2013</v>
      </c>
      <c r="C351" s="7" t="str">
        <f aca="false">IF(ISNUMBER(SEARCH("Demographic and Health",B351)),"DHS",IF(OR(ISNUMBER(SEARCH("Multiple Indicator Cluster",B351)),ISNUMBER(SEARCH("MICS",B351))),"MICS",IF(ISNUMBER(SEARCH("Immunization Coverage Survey",B351)),"Coverage survey",IF(ISNUMBER(SEARCH("Nutrition",B351)),"Nutrition survey","Other"))))</f>
        <v>DHS</v>
      </c>
      <c r="D351" s="7" t="n">
        <f aca="false">VALUE(LEFT(Raw_Nigeria!D351,4))</f>
        <v>2013</v>
      </c>
      <c r="E351" s="7" t="n">
        <f aca="false">IF(VALUE(RIGHT(Raw_Nigeria!D351,2))&gt;12,"",VALUE(RIGHT(Raw_Nigeria!D351,2)))</f>
        <v>2</v>
      </c>
      <c r="F351" s="7" t="n">
        <f aca="false">VALUE(LEFT(Raw_Nigeria!E351,4))</f>
        <v>2013</v>
      </c>
      <c r="G351" s="7" t="n">
        <f aca="false">IF(VALUE(RIGHT(Raw_Nigeria!E351,2))&gt;12,"",VALUE(RIGHT(Raw_Nigeria!E351,2)))</f>
        <v>6</v>
      </c>
      <c r="H351" s="7" t="n">
        <f aca="false">Raw_Nigeria!F351</f>
        <v>2012</v>
      </c>
      <c r="I351" s="7" t="str">
        <f aca="false">UPPER(TRIM(Raw_Nigeria!G351))</f>
        <v>MCV1</v>
      </c>
      <c r="J351" s="7" t="str">
        <f aca="false">Raw_Nigeria!H351</f>
        <v>Recall</v>
      </c>
      <c r="K351" s="7" t="str">
        <f aca="false">Raw_Nigeria!L351</f>
        <v>12-23 m</v>
      </c>
      <c r="L351" s="7" t="str">
        <f aca="false">IF(Raw_Nigeria!K351="","n/a",Raw_Nigeria!K351)</f>
        <v>0-23 m</v>
      </c>
      <c r="M351" s="7" t="n">
        <f aca="false">IF(Raw_Nigeria!I351="","",Raw_Nigeria!I351)</f>
        <v>28</v>
      </c>
      <c r="N351" s="7" t="n">
        <f aca="false">Raw_Nigeria!M351</f>
        <v>21</v>
      </c>
      <c r="O351" s="7" t="n">
        <f aca="false">IF(Raw_Nigeria!N351="","",Raw_Nigeria!N351)</f>
        <v>4250</v>
      </c>
      <c r="P351" s="7" t="str">
        <f aca="false">IF(K351="CBAW","Women of child-bearing age","Children")</f>
        <v>Children</v>
      </c>
      <c r="Q351" s="7" t="n">
        <f aca="false">IF(J351="NOT USED",1,0)</f>
        <v>0</v>
      </c>
      <c r="R351" s="7" t="n">
        <f aca="false">IF(AND(P351="Children",Q351=0),1,0)</f>
        <v>1</v>
      </c>
      <c r="S351" s="7" t="n">
        <f aca="false">IF(AND(R351=1,J351="Record or Recall",K351="12-23 m"),1,0)</f>
        <v>0</v>
      </c>
      <c r="T351" s="7" t="n">
        <f aca="false">IF(OR(I351="BCG",I351="DTP1",I351="DTP3",I351="POL3",I351="MCV1",I351="FULL"),1,0)</f>
        <v>1</v>
      </c>
      <c r="U351" s="7" t="n">
        <f aca="false">IF(OR(C351="DHS",C351="MICS"),1,0)</f>
        <v>1</v>
      </c>
      <c r="V351" s="7" t="n">
        <f aca="false">IF(O351="",1,0)</f>
        <v>0</v>
      </c>
      <c r="W351" s="7" t="n">
        <f aca="false">IF(M351="",1,0)</f>
        <v>0</v>
      </c>
      <c r="X351" s="7" t="n">
        <f aca="false">COUNTIFS($B$2:$B$1141,B351,$H$2:$H$1141,H351,$I$2:$I$1141,I351,$J$2:$J$1141,J351,$K$2:$K$1141,K351,$L$2:$L$1141,L351)</f>
        <v>1</v>
      </c>
    </row>
    <row r="352" customFormat="false" ht="15" hidden="false" customHeight="false" outlineLevel="0" collapsed="false">
      <c r="A352" s="7" t="n">
        <f aca="false">ROW()-1</f>
        <v>351</v>
      </c>
      <c r="B352" s="7" t="str">
        <f aca="false">IF(Raw_Nigeria!B352="",TRIM(Raw_Nigeria!C352),TRIM(Raw_Nigeria!B352))</f>
        <v>Nigeria Demographic and Health Survey 2013</v>
      </c>
      <c r="C352" s="7" t="str">
        <f aca="false">IF(ISNUMBER(SEARCH("Demographic and Health",B352)),"DHS",IF(OR(ISNUMBER(SEARCH("Multiple Indicator Cluster",B352)),ISNUMBER(SEARCH("MICS",B352))),"MICS",IF(ISNUMBER(SEARCH("Immunization Coverage Survey",B352)),"Coverage survey",IF(ISNUMBER(SEARCH("Nutrition",B352)),"Nutrition survey","Other"))))</f>
        <v>DHS</v>
      </c>
      <c r="D352" s="7" t="n">
        <f aca="false">VALUE(LEFT(Raw_Nigeria!D352,4))</f>
        <v>2013</v>
      </c>
      <c r="E352" s="7" t="n">
        <f aca="false">IF(VALUE(RIGHT(Raw_Nigeria!D352,2))&gt;12,"",VALUE(RIGHT(Raw_Nigeria!D352,2)))</f>
        <v>2</v>
      </c>
      <c r="F352" s="7" t="n">
        <f aca="false">VALUE(LEFT(Raw_Nigeria!E352,4))</f>
        <v>2013</v>
      </c>
      <c r="G352" s="7" t="n">
        <f aca="false">IF(VALUE(RIGHT(Raw_Nigeria!E352,2))&gt;12,"",VALUE(RIGHT(Raw_Nigeria!E352,2)))</f>
        <v>6</v>
      </c>
      <c r="H352" s="7" t="n">
        <f aca="false">Raw_Nigeria!F352</f>
        <v>2012</v>
      </c>
      <c r="I352" s="7" t="str">
        <f aca="false">UPPER(TRIM(Raw_Nigeria!G352))</f>
        <v>PAB</v>
      </c>
      <c r="J352" s="7" t="str">
        <f aca="false">Raw_Nigeria!H352</f>
        <v>NOT USED</v>
      </c>
      <c r="K352" s="7" t="str">
        <f aca="false">Raw_Nigeria!L352</f>
        <v>CBAW</v>
      </c>
      <c r="L352" s="7" t="str">
        <f aca="false">IF(Raw_Nigeria!K352="","n/a",Raw_Nigeria!K352)</f>
        <v>n/a</v>
      </c>
      <c r="M352" s="7" t="str">
        <f aca="false">IF(Raw_Nigeria!I352="","",Raw_Nigeria!I352)</f>
        <v/>
      </c>
      <c r="N352" s="7" t="n">
        <f aca="false">Raw_Nigeria!M352</f>
        <v>52.8</v>
      </c>
      <c r="O352" s="7" t="n">
        <f aca="false">IF(Raw_Nigeria!N352="","",Raw_Nigeria!N352)</f>
        <v>20467</v>
      </c>
      <c r="P352" s="7" t="str">
        <f aca="false">IF(K352="CBAW","Women of child-bearing age","Children")</f>
        <v>Women of child-bearing age</v>
      </c>
      <c r="Q352" s="7" t="n">
        <f aca="false">IF(J352="NOT USED",1,0)</f>
        <v>1</v>
      </c>
      <c r="R352" s="7" t="n">
        <f aca="false">IF(AND(P352="Children",Q352=0),1,0)</f>
        <v>0</v>
      </c>
      <c r="S352" s="7" t="n">
        <f aca="false">IF(AND(R352=1,J352="Record or Recall",K352="12-23 m"),1,0)</f>
        <v>0</v>
      </c>
      <c r="T352" s="7" t="n">
        <f aca="false">IF(OR(I352="BCG",I352="DTP1",I352="DTP3",I352="POL3",I352="MCV1",I352="FULL"),1,0)</f>
        <v>0</v>
      </c>
      <c r="U352" s="7" t="n">
        <f aca="false">IF(OR(C352="DHS",C352="MICS"),1,0)</f>
        <v>1</v>
      </c>
      <c r="V352" s="7" t="n">
        <f aca="false">IF(O352="",1,0)</f>
        <v>0</v>
      </c>
      <c r="W352" s="7" t="n">
        <f aca="false">IF(M352="",1,0)</f>
        <v>1</v>
      </c>
      <c r="X352" s="7" t="n">
        <f aca="false">COUNTIFS($B$2:$B$1141,B352,$H$2:$H$1141,H352,$I$2:$I$1141,I352,$J$2:$J$1141,J352,$K$2:$K$1141,K352,$L$2:$L$1141,L352)</f>
        <v>1</v>
      </c>
    </row>
    <row r="353" customFormat="false" ht="15" hidden="false" customHeight="false" outlineLevel="0" collapsed="false">
      <c r="A353" s="7" t="n">
        <f aca="false">ROW()-1</f>
        <v>352</v>
      </c>
      <c r="B353" s="7" t="str">
        <f aca="false">IF(Raw_Nigeria!B353="",TRIM(Raw_Nigeria!C353),TRIM(Raw_Nigeria!B353))</f>
        <v>Nigeria Demographic and Health Survey 2013</v>
      </c>
      <c r="C353" s="7" t="str">
        <f aca="false">IF(ISNUMBER(SEARCH("Demographic and Health",B353)),"DHS",IF(OR(ISNUMBER(SEARCH("Multiple Indicator Cluster",B353)),ISNUMBER(SEARCH("MICS",B353))),"MICS",IF(ISNUMBER(SEARCH("Immunization Coverage Survey",B353)),"Coverage survey",IF(ISNUMBER(SEARCH("Nutrition",B353)),"Nutrition survey","Other"))))</f>
        <v>DHS</v>
      </c>
      <c r="D353" s="7" t="n">
        <f aca="false">VALUE(LEFT(Raw_Nigeria!D353,4))</f>
        <v>2013</v>
      </c>
      <c r="E353" s="7" t="n">
        <f aca="false">IF(VALUE(RIGHT(Raw_Nigeria!D353,2))&gt;12,"",VALUE(RIGHT(Raw_Nigeria!D353,2)))</f>
        <v>2</v>
      </c>
      <c r="F353" s="7" t="n">
        <f aca="false">VALUE(LEFT(Raw_Nigeria!E353,4))</f>
        <v>2013</v>
      </c>
      <c r="G353" s="7" t="n">
        <f aca="false">IF(VALUE(RIGHT(Raw_Nigeria!E353,2))&gt;12,"",VALUE(RIGHT(Raw_Nigeria!E353,2)))</f>
        <v>6</v>
      </c>
      <c r="H353" s="7" t="n">
        <f aca="false">Raw_Nigeria!F353</f>
        <v>2012</v>
      </c>
      <c r="I353" s="7" t="str">
        <f aca="false">UPPER(TRIM(Raw_Nigeria!G353))</f>
        <v>POL1</v>
      </c>
      <c r="J353" s="7" t="str">
        <f aca="false">Raw_Nigeria!H353</f>
        <v>Record or Recall&lt;12m</v>
      </c>
      <c r="K353" s="7" t="str">
        <f aca="false">Raw_Nigeria!L353</f>
        <v>12-23 m</v>
      </c>
      <c r="L353" s="7" t="str">
        <f aca="false">IF(Raw_Nigeria!K353="","n/a",Raw_Nigeria!K353)</f>
        <v>0-12 m</v>
      </c>
      <c r="M353" s="7" t="n">
        <f aca="false">IF(Raw_Nigeria!I353="","",Raw_Nigeria!I353)</f>
        <v>28</v>
      </c>
      <c r="N353" s="7" t="n">
        <f aca="false">Raw_Nigeria!M353</f>
        <v>75</v>
      </c>
      <c r="O353" s="7" t="n">
        <f aca="false">IF(Raw_Nigeria!N353="","",Raw_Nigeria!N353)</f>
        <v>5900</v>
      </c>
      <c r="P353" s="7" t="str">
        <f aca="false">IF(K353="CBAW","Women of child-bearing age","Children")</f>
        <v>Children</v>
      </c>
      <c r="Q353" s="7" t="n">
        <f aca="false">IF(J353="NOT USED",1,0)</f>
        <v>0</v>
      </c>
      <c r="R353" s="7" t="n">
        <f aca="false">IF(AND(P353="Children",Q353=0),1,0)</f>
        <v>1</v>
      </c>
      <c r="S353" s="7" t="n">
        <f aca="false">IF(AND(R353=1,J353="Record or Recall",K353="12-23 m"),1,0)</f>
        <v>0</v>
      </c>
      <c r="T353" s="7" t="n">
        <f aca="false">IF(OR(I353="BCG",I353="DTP1",I353="DTP3",I353="POL3",I353="MCV1",I353="FULL"),1,0)</f>
        <v>0</v>
      </c>
      <c r="U353" s="7" t="n">
        <f aca="false">IF(OR(C353="DHS",C353="MICS"),1,0)</f>
        <v>1</v>
      </c>
      <c r="V353" s="7" t="n">
        <f aca="false">IF(O353="",1,0)</f>
        <v>0</v>
      </c>
      <c r="W353" s="7" t="n">
        <f aca="false">IF(M353="",1,0)</f>
        <v>0</v>
      </c>
      <c r="X353" s="7" t="n">
        <f aca="false">COUNTIFS($B$2:$B$1141,B353,$H$2:$H$1141,H353,$I$2:$I$1141,I353,$J$2:$J$1141,J353,$K$2:$K$1141,K353,$L$2:$L$1141,L353)</f>
        <v>1</v>
      </c>
    </row>
    <row r="354" customFormat="false" ht="15" hidden="false" customHeight="false" outlineLevel="0" collapsed="false">
      <c r="A354" s="7" t="n">
        <f aca="false">ROW()-1</f>
        <v>353</v>
      </c>
      <c r="B354" s="7" t="str">
        <f aca="false">IF(Raw_Nigeria!B354="",TRIM(Raw_Nigeria!C354),TRIM(Raw_Nigeria!B354))</f>
        <v>Nigeria Demographic and Health Survey 2013</v>
      </c>
      <c r="C354" s="7" t="str">
        <f aca="false">IF(ISNUMBER(SEARCH("Demographic and Health",B354)),"DHS",IF(OR(ISNUMBER(SEARCH("Multiple Indicator Cluster",B354)),ISNUMBER(SEARCH("MICS",B354))),"MICS",IF(ISNUMBER(SEARCH("Immunization Coverage Survey",B354)),"Coverage survey",IF(ISNUMBER(SEARCH("Nutrition",B354)),"Nutrition survey","Other"))))</f>
        <v>DHS</v>
      </c>
      <c r="D354" s="7" t="n">
        <f aca="false">VALUE(LEFT(Raw_Nigeria!D354,4))</f>
        <v>2013</v>
      </c>
      <c r="E354" s="7" t="n">
        <f aca="false">IF(VALUE(RIGHT(Raw_Nigeria!D354,2))&gt;12,"",VALUE(RIGHT(Raw_Nigeria!D354,2)))</f>
        <v>2</v>
      </c>
      <c r="F354" s="7" t="n">
        <f aca="false">VALUE(LEFT(Raw_Nigeria!E354,4))</f>
        <v>2013</v>
      </c>
      <c r="G354" s="7" t="n">
        <f aca="false">IF(VALUE(RIGHT(Raw_Nigeria!E354,2))&gt;12,"",VALUE(RIGHT(Raw_Nigeria!E354,2)))</f>
        <v>6</v>
      </c>
      <c r="H354" s="7" t="n">
        <f aca="false">Raw_Nigeria!F354</f>
        <v>2012</v>
      </c>
      <c r="I354" s="7" t="str">
        <f aca="false">UPPER(TRIM(Raw_Nigeria!G354))</f>
        <v>POL1</v>
      </c>
      <c r="J354" s="7" t="str">
        <f aca="false">Raw_Nigeria!H354</f>
        <v>Record</v>
      </c>
      <c r="K354" s="7" t="str">
        <f aca="false">Raw_Nigeria!L354</f>
        <v>12-23 m</v>
      </c>
      <c r="L354" s="7" t="str">
        <f aca="false">IF(Raw_Nigeria!K354="","n/a",Raw_Nigeria!K354)</f>
        <v>0-23 m</v>
      </c>
      <c r="M354" s="7" t="n">
        <f aca="false">IF(Raw_Nigeria!I354="","",Raw_Nigeria!I354)</f>
        <v>28</v>
      </c>
      <c r="N354" s="7" t="n">
        <f aca="false">Raw_Nigeria!M354</f>
        <v>26.8</v>
      </c>
      <c r="O354" s="7" t="n">
        <f aca="false">IF(Raw_Nigeria!N354="","",Raw_Nigeria!N354)</f>
        <v>1650</v>
      </c>
      <c r="P354" s="7" t="str">
        <f aca="false">IF(K354="CBAW","Women of child-bearing age","Children")</f>
        <v>Children</v>
      </c>
      <c r="Q354" s="7" t="n">
        <f aca="false">IF(J354="NOT USED",1,0)</f>
        <v>0</v>
      </c>
      <c r="R354" s="7" t="n">
        <f aca="false">IF(AND(P354="Children",Q354=0),1,0)</f>
        <v>1</v>
      </c>
      <c r="S354" s="7" t="n">
        <f aca="false">IF(AND(R354=1,J354="Record or Recall",K354="12-23 m"),1,0)</f>
        <v>0</v>
      </c>
      <c r="T354" s="7" t="n">
        <f aca="false">IF(OR(I354="BCG",I354="DTP1",I354="DTP3",I354="POL3",I354="MCV1",I354="FULL"),1,0)</f>
        <v>0</v>
      </c>
      <c r="U354" s="7" t="n">
        <f aca="false">IF(OR(C354="DHS",C354="MICS"),1,0)</f>
        <v>1</v>
      </c>
      <c r="V354" s="7" t="n">
        <f aca="false">IF(O354="",1,0)</f>
        <v>0</v>
      </c>
      <c r="W354" s="7" t="n">
        <f aca="false">IF(M354="",1,0)</f>
        <v>0</v>
      </c>
      <c r="X354" s="7" t="n">
        <f aca="false">COUNTIFS($B$2:$B$1141,B354,$H$2:$H$1141,H354,$I$2:$I$1141,I354,$J$2:$J$1141,J354,$K$2:$K$1141,K354,$L$2:$L$1141,L354)</f>
        <v>1</v>
      </c>
    </row>
    <row r="355" customFormat="false" ht="15" hidden="false" customHeight="false" outlineLevel="0" collapsed="false">
      <c r="A355" s="7" t="n">
        <f aca="false">ROW()-1</f>
        <v>354</v>
      </c>
      <c r="B355" s="7" t="str">
        <f aca="false">IF(Raw_Nigeria!B355="",TRIM(Raw_Nigeria!C355),TRIM(Raw_Nigeria!B355))</f>
        <v>Nigeria Demographic and Health Survey 2013</v>
      </c>
      <c r="C355" s="7" t="str">
        <f aca="false">IF(ISNUMBER(SEARCH("Demographic and Health",B355)),"DHS",IF(OR(ISNUMBER(SEARCH("Multiple Indicator Cluster",B355)),ISNUMBER(SEARCH("MICS",B355))),"MICS",IF(ISNUMBER(SEARCH("Immunization Coverage Survey",B355)),"Coverage survey",IF(ISNUMBER(SEARCH("Nutrition",B355)),"Nutrition survey","Other"))))</f>
        <v>DHS</v>
      </c>
      <c r="D355" s="7" t="n">
        <f aca="false">VALUE(LEFT(Raw_Nigeria!D355,4))</f>
        <v>2013</v>
      </c>
      <c r="E355" s="7" t="n">
        <f aca="false">IF(VALUE(RIGHT(Raw_Nigeria!D355,2))&gt;12,"",VALUE(RIGHT(Raw_Nigeria!D355,2)))</f>
        <v>2</v>
      </c>
      <c r="F355" s="7" t="n">
        <f aca="false">VALUE(LEFT(Raw_Nigeria!E355,4))</f>
        <v>2013</v>
      </c>
      <c r="G355" s="7" t="n">
        <f aca="false">IF(VALUE(RIGHT(Raw_Nigeria!E355,2))&gt;12,"",VALUE(RIGHT(Raw_Nigeria!E355,2)))</f>
        <v>6</v>
      </c>
      <c r="H355" s="7" t="n">
        <f aca="false">Raw_Nigeria!F355</f>
        <v>2012</v>
      </c>
      <c r="I355" s="7" t="str">
        <f aca="false">UPPER(TRIM(Raw_Nigeria!G355))</f>
        <v>POL1</v>
      </c>
      <c r="J355" s="7" t="str">
        <f aca="false">Raw_Nigeria!H355</f>
        <v>Record or Recall</v>
      </c>
      <c r="K355" s="7" t="str">
        <f aca="false">Raw_Nigeria!L355</f>
        <v>12-23 m</v>
      </c>
      <c r="L355" s="7" t="str">
        <f aca="false">IF(Raw_Nigeria!K355="","n/a",Raw_Nigeria!K355)</f>
        <v>0-23 m</v>
      </c>
      <c r="M355" s="7" t="n">
        <f aca="false">IF(Raw_Nigeria!I355="","",Raw_Nigeria!I355)</f>
        <v>28</v>
      </c>
      <c r="N355" s="7" t="n">
        <f aca="false">Raw_Nigeria!M355</f>
        <v>76.5</v>
      </c>
      <c r="O355" s="7" t="n">
        <f aca="false">IF(Raw_Nigeria!N355="","",Raw_Nigeria!N355)</f>
        <v>5900</v>
      </c>
      <c r="P355" s="7" t="str">
        <f aca="false">IF(K355="CBAW","Women of child-bearing age","Children")</f>
        <v>Children</v>
      </c>
      <c r="Q355" s="7" t="n">
        <f aca="false">IF(J355="NOT USED",1,0)</f>
        <v>0</v>
      </c>
      <c r="R355" s="7" t="n">
        <f aca="false">IF(AND(P355="Children",Q355=0),1,0)</f>
        <v>1</v>
      </c>
      <c r="S355" s="7" t="n">
        <f aca="false">IF(AND(R355=1,J355="Record or Recall",K355="12-23 m"),1,0)</f>
        <v>1</v>
      </c>
      <c r="T355" s="7" t="n">
        <f aca="false">IF(OR(I355="BCG",I355="DTP1",I355="DTP3",I355="POL3",I355="MCV1",I355="FULL"),1,0)</f>
        <v>0</v>
      </c>
      <c r="U355" s="7" t="n">
        <f aca="false">IF(OR(C355="DHS",C355="MICS"),1,0)</f>
        <v>1</v>
      </c>
      <c r="V355" s="7" t="n">
        <f aca="false">IF(O355="",1,0)</f>
        <v>0</v>
      </c>
      <c r="W355" s="7" t="n">
        <f aca="false">IF(M355="",1,0)</f>
        <v>0</v>
      </c>
      <c r="X355" s="7" t="n">
        <f aca="false">COUNTIFS($B$2:$B$1141,B355,$H$2:$H$1141,H355,$I$2:$I$1141,I355,$J$2:$J$1141,J355,$K$2:$K$1141,K355,$L$2:$L$1141,L355)</f>
        <v>1</v>
      </c>
    </row>
    <row r="356" customFormat="false" ht="15" hidden="false" customHeight="false" outlineLevel="0" collapsed="false">
      <c r="A356" s="7" t="n">
        <f aca="false">ROW()-1</f>
        <v>355</v>
      </c>
      <c r="B356" s="7" t="str">
        <f aca="false">IF(Raw_Nigeria!B356="",TRIM(Raw_Nigeria!C356),TRIM(Raw_Nigeria!B356))</f>
        <v>Nigeria Demographic and Health Survey 2013</v>
      </c>
      <c r="C356" s="7" t="str">
        <f aca="false">IF(ISNUMBER(SEARCH("Demographic and Health",B356)),"DHS",IF(OR(ISNUMBER(SEARCH("Multiple Indicator Cluster",B356)),ISNUMBER(SEARCH("MICS",B356))),"MICS",IF(ISNUMBER(SEARCH("Immunization Coverage Survey",B356)),"Coverage survey",IF(ISNUMBER(SEARCH("Nutrition",B356)),"Nutrition survey","Other"))))</f>
        <v>DHS</v>
      </c>
      <c r="D356" s="7" t="n">
        <f aca="false">VALUE(LEFT(Raw_Nigeria!D356,4))</f>
        <v>2013</v>
      </c>
      <c r="E356" s="7" t="n">
        <f aca="false">IF(VALUE(RIGHT(Raw_Nigeria!D356,2))&gt;12,"",VALUE(RIGHT(Raw_Nigeria!D356,2)))</f>
        <v>2</v>
      </c>
      <c r="F356" s="7" t="n">
        <f aca="false">VALUE(LEFT(Raw_Nigeria!E356,4))</f>
        <v>2013</v>
      </c>
      <c r="G356" s="7" t="n">
        <f aca="false">IF(VALUE(RIGHT(Raw_Nigeria!E356,2))&gt;12,"",VALUE(RIGHT(Raw_Nigeria!E356,2)))</f>
        <v>6</v>
      </c>
      <c r="H356" s="7" t="n">
        <f aca="false">Raw_Nigeria!F356</f>
        <v>2012</v>
      </c>
      <c r="I356" s="7" t="str">
        <f aca="false">UPPER(TRIM(Raw_Nigeria!G356))</f>
        <v>POL1</v>
      </c>
      <c r="J356" s="7" t="str">
        <f aca="false">Raw_Nigeria!H356</f>
        <v>Recall</v>
      </c>
      <c r="K356" s="7" t="str">
        <f aca="false">Raw_Nigeria!L356</f>
        <v>12-23 m</v>
      </c>
      <c r="L356" s="7" t="str">
        <f aca="false">IF(Raw_Nigeria!K356="","n/a",Raw_Nigeria!K356)</f>
        <v>0-23 m</v>
      </c>
      <c r="M356" s="7" t="n">
        <f aca="false">IF(Raw_Nigeria!I356="","",Raw_Nigeria!I356)</f>
        <v>28</v>
      </c>
      <c r="N356" s="7" t="n">
        <f aca="false">Raw_Nigeria!M356</f>
        <v>49.7</v>
      </c>
      <c r="O356" s="7" t="n">
        <f aca="false">IF(Raw_Nigeria!N356="","",Raw_Nigeria!N356)</f>
        <v>4250</v>
      </c>
      <c r="P356" s="7" t="str">
        <f aca="false">IF(K356="CBAW","Women of child-bearing age","Children")</f>
        <v>Children</v>
      </c>
      <c r="Q356" s="7" t="n">
        <f aca="false">IF(J356="NOT USED",1,0)</f>
        <v>0</v>
      </c>
      <c r="R356" s="7" t="n">
        <f aca="false">IF(AND(P356="Children",Q356=0),1,0)</f>
        <v>1</v>
      </c>
      <c r="S356" s="7" t="n">
        <f aca="false">IF(AND(R356=1,J356="Record or Recall",K356="12-23 m"),1,0)</f>
        <v>0</v>
      </c>
      <c r="T356" s="7" t="n">
        <f aca="false">IF(OR(I356="BCG",I356="DTP1",I356="DTP3",I356="POL3",I356="MCV1",I356="FULL"),1,0)</f>
        <v>0</v>
      </c>
      <c r="U356" s="7" t="n">
        <f aca="false">IF(OR(C356="DHS",C356="MICS"),1,0)</f>
        <v>1</v>
      </c>
      <c r="V356" s="7" t="n">
        <f aca="false">IF(O356="",1,0)</f>
        <v>0</v>
      </c>
      <c r="W356" s="7" t="n">
        <f aca="false">IF(M356="",1,0)</f>
        <v>0</v>
      </c>
      <c r="X356" s="7" t="n">
        <f aca="false">COUNTIFS($B$2:$B$1141,B356,$H$2:$H$1141,H356,$I$2:$I$1141,I356,$J$2:$J$1141,J356,$K$2:$K$1141,K356,$L$2:$L$1141,L356)</f>
        <v>1</v>
      </c>
    </row>
    <row r="357" customFormat="false" ht="15" hidden="false" customHeight="false" outlineLevel="0" collapsed="false">
      <c r="A357" s="7" t="n">
        <f aca="false">ROW()-1</f>
        <v>356</v>
      </c>
      <c r="B357" s="7" t="str">
        <f aca="false">IF(Raw_Nigeria!B357="",TRIM(Raw_Nigeria!C357),TRIM(Raw_Nigeria!B357))</f>
        <v>Nigeria Demographic and Health Survey 2013</v>
      </c>
      <c r="C357" s="7" t="str">
        <f aca="false">IF(ISNUMBER(SEARCH("Demographic and Health",B357)),"DHS",IF(OR(ISNUMBER(SEARCH("Multiple Indicator Cluster",B357)),ISNUMBER(SEARCH("MICS",B357))),"MICS",IF(ISNUMBER(SEARCH("Immunization Coverage Survey",B357)),"Coverage survey",IF(ISNUMBER(SEARCH("Nutrition",B357)),"Nutrition survey","Other"))))</f>
        <v>DHS</v>
      </c>
      <c r="D357" s="7" t="n">
        <f aca="false">VALUE(LEFT(Raw_Nigeria!D357,4))</f>
        <v>2013</v>
      </c>
      <c r="E357" s="7" t="n">
        <f aca="false">IF(VALUE(RIGHT(Raw_Nigeria!D357,2))&gt;12,"",VALUE(RIGHT(Raw_Nigeria!D357,2)))</f>
        <v>2</v>
      </c>
      <c r="F357" s="7" t="n">
        <f aca="false">VALUE(LEFT(Raw_Nigeria!E357,4))</f>
        <v>2013</v>
      </c>
      <c r="G357" s="7" t="n">
        <f aca="false">IF(VALUE(RIGHT(Raw_Nigeria!E357,2))&gt;12,"",VALUE(RIGHT(Raw_Nigeria!E357,2)))</f>
        <v>6</v>
      </c>
      <c r="H357" s="7" t="n">
        <f aca="false">Raw_Nigeria!F357</f>
        <v>2012</v>
      </c>
      <c r="I357" s="7" t="str">
        <f aca="false">UPPER(TRIM(Raw_Nigeria!G357))</f>
        <v>POL3</v>
      </c>
      <c r="J357" s="7" t="str">
        <f aca="false">Raw_Nigeria!H357</f>
        <v>Record or Recall&lt;12m</v>
      </c>
      <c r="K357" s="7" t="str">
        <f aca="false">Raw_Nigeria!L357</f>
        <v>12-23 m</v>
      </c>
      <c r="L357" s="7" t="str">
        <f aca="false">IF(Raw_Nigeria!K357="","n/a",Raw_Nigeria!K357)</f>
        <v>0-12 m</v>
      </c>
      <c r="M357" s="7" t="n">
        <f aca="false">IF(Raw_Nigeria!I357="","",Raw_Nigeria!I357)</f>
        <v>28</v>
      </c>
      <c r="N357" s="7" t="n">
        <f aca="false">Raw_Nigeria!M357</f>
        <v>51.2</v>
      </c>
      <c r="O357" s="7" t="n">
        <f aca="false">IF(Raw_Nigeria!N357="","",Raw_Nigeria!N357)</f>
        <v>5900</v>
      </c>
      <c r="P357" s="7" t="str">
        <f aca="false">IF(K357="CBAW","Women of child-bearing age","Children")</f>
        <v>Children</v>
      </c>
      <c r="Q357" s="7" t="n">
        <f aca="false">IF(J357="NOT USED",1,0)</f>
        <v>0</v>
      </c>
      <c r="R357" s="7" t="n">
        <f aca="false">IF(AND(P357="Children",Q357=0),1,0)</f>
        <v>1</v>
      </c>
      <c r="S357" s="7" t="n">
        <f aca="false">IF(AND(R357=1,J357="Record or Recall",K357="12-23 m"),1,0)</f>
        <v>0</v>
      </c>
      <c r="T357" s="7" t="n">
        <f aca="false">IF(OR(I357="BCG",I357="DTP1",I357="DTP3",I357="POL3",I357="MCV1",I357="FULL"),1,0)</f>
        <v>1</v>
      </c>
      <c r="U357" s="7" t="n">
        <f aca="false">IF(OR(C357="DHS",C357="MICS"),1,0)</f>
        <v>1</v>
      </c>
      <c r="V357" s="7" t="n">
        <f aca="false">IF(O357="",1,0)</f>
        <v>0</v>
      </c>
      <c r="W357" s="7" t="n">
        <f aca="false">IF(M357="",1,0)</f>
        <v>0</v>
      </c>
      <c r="X357" s="7" t="n">
        <f aca="false">COUNTIFS($B$2:$B$1141,B357,$H$2:$H$1141,H357,$I$2:$I$1141,I357,$J$2:$J$1141,J357,$K$2:$K$1141,K357,$L$2:$L$1141,L357)</f>
        <v>1</v>
      </c>
    </row>
    <row r="358" customFormat="false" ht="15" hidden="false" customHeight="false" outlineLevel="0" collapsed="false">
      <c r="A358" s="7" t="n">
        <f aca="false">ROW()-1</f>
        <v>357</v>
      </c>
      <c r="B358" s="7" t="str">
        <f aca="false">IF(Raw_Nigeria!B358="",TRIM(Raw_Nigeria!C358),TRIM(Raw_Nigeria!B358))</f>
        <v>Nigeria Demographic and Health Survey 2013</v>
      </c>
      <c r="C358" s="7" t="str">
        <f aca="false">IF(ISNUMBER(SEARCH("Demographic and Health",B358)),"DHS",IF(OR(ISNUMBER(SEARCH("Multiple Indicator Cluster",B358)),ISNUMBER(SEARCH("MICS",B358))),"MICS",IF(ISNUMBER(SEARCH("Immunization Coverage Survey",B358)),"Coverage survey",IF(ISNUMBER(SEARCH("Nutrition",B358)),"Nutrition survey","Other"))))</f>
        <v>DHS</v>
      </c>
      <c r="D358" s="7" t="n">
        <f aca="false">VALUE(LEFT(Raw_Nigeria!D358,4))</f>
        <v>2013</v>
      </c>
      <c r="E358" s="7" t="n">
        <f aca="false">IF(VALUE(RIGHT(Raw_Nigeria!D358,2))&gt;12,"",VALUE(RIGHT(Raw_Nigeria!D358,2)))</f>
        <v>2</v>
      </c>
      <c r="F358" s="7" t="n">
        <f aca="false">VALUE(LEFT(Raw_Nigeria!E358,4))</f>
        <v>2013</v>
      </c>
      <c r="G358" s="7" t="n">
        <f aca="false">IF(VALUE(RIGHT(Raw_Nigeria!E358,2))&gt;12,"",VALUE(RIGHT(Raw_Nigeria!E358,2)))</f>
        <v>6</v>
      </c>
      <c r="H358" s="7" t="n">
        <f aca="false">Raw_Nigeria!F358</f>
        <v>2012</v>
      </c>
      <c r="I358" s="7" t="str">
        <f aca="false">UPPER(TRIM(Raw_Nigeria!G358))</f>
        <v>POL3</v>
      </c>
      <c r="J358" s="7" t="str">
        <f aca="false">Raw_Nigeria!H358</f>
        <v>Record</v>
      </c>
      <c r="K358" s="7" t="str">
        <f aca="false">Raw_Nigeria!L358</f>
        <v>12-23 m</v>
      </c>
      <c r="L358" s="7" t="str">
        <f aca="false">IF(Raw_Nigeria!K358="","n/a",Raw_Nigeria!K358)</f>
        <v>0-23 m</v>
      </c>
      <c r="M358" s="7" t="n">
        <f aca="false">IF(Raw_Nigeria!I358="","",Raw_Nigeria!I358)</f>
        <v>28</v>
      </c>
      <c r="N358" s="7" t="n">
        <f aca="false">Raw_Nigeria!M358</f>
        <v>22.7</v>
      </c>
      <c r="O358" s="7" t="n">
        <f aca="false">IF(Raw_Nigeria!N358="","",Raw_Nigeria!N358)</f>
        <v>1650</v>
      </c>
      <c r="P358" s="7" t="str">
        <f aca="false">IF(K358="CBAW","Women of child-bearing age","Children")</f>
        <v>Children</v>
      </c>
      <c r="Q358" s="7" t="n">
        <f aca="false">IF(J358="NOT USED",1,0)</f>
        <v>0</v>
      </c>
      <c r="R358" s="7" t="n">
        <f aca="false">IF(AND(P358="Children",Q358=0),1,0)</f>
        <v>1</v>
      </c>
      <c r="S358" s="7" t="n">
        <f aca="false">IF(AND(R358=1,J358="Record or Recall",K358="12-23 m"),1,0)</f>
        <v>0</v>
      </c>
      <c r="T358" s="7" t="n">
        <f aca="false">IF(OR(I358="BCG",I358="DTP1",I358="DTP3",I358="POL3",I358="MCV1",I358="FULL"),1,0)</f>
        <v>1</v>
      </c>
      <c r="U358" s="7" t="n">
        <f aca="false">IF(OR(C358="DHS",C358="MICS"),1,0)</f>
        <v>1</v>
      </c>
      <c r="V358" s="7" t="n">
        <f aca="false">IF(O358="",1,0)</f>
        <v>0</v>
      </c>
      <c r="W358" s="7" t="n">
        <f aca="false">IF(M358="",1,0)</f>
        <v>0</v>
      </c>
      <c r="X358" s="7" t="n">
        <f aca="false">COUNTIFS($B$2:$B$1141,B358,$H$2:$H$1141,H358,$I$2:$I$1141,I358,$J$2:$J$1141,J358,$K$2:$K$1141,K358,$L$2:$L$1141,L358)</f>
        <v>1</v>
      </c>
    </row>
    <row r="359" customFormat="false" ht="15" hidden="false" customHeight="false" outlineLevel="0" collapsed="false">
      <c r="A359" s="7" t="n">
        <f aca="false">ROW()-1</f>
        <v>358</v>
      </c>
      <c r="B359" s="7" t="str">
        <f aca="false">IF(Raw_Nigeria!B359="",TRIM(Raw_Nigeria!C359),TRIM(Raw_Nigeria!B359))</f>
        <v>Nigeria Demographic and Health Survey 2013</v>
      </c>
      <c r="C359" s="7" t="str">
        <f aca="false">IF(ISNUMBER(SEARCH("Demographic and Health",B359)),"DHS",IF(OR(ISNUMBER(SEARCH("Multiple Indicator Cluster",B359)),ISNUMBER(SEARCH("MICS",B359))),"MICS",IF(ISNUMBER(SEARCH("Immunization Coverage Survey",B359)),"Coverage survey",IF(ISNUMBER(SEARCH("Nutrition",B359)),"Nutrition survey","Other"))))</f>
        <v>DHS</v>
      </c>
      <c r="D359" s="7" t="n">
        <f aca="false">VALUE(LEFT(Raw_Nigeria!D359,4))</f>
        <v>2013</v>
      </c>
      <c r="E359" s="7" t="n">
        <f aca="false">IF(VALUE(RIGHT(Raw_Nigeria!D359,2))&gt;12,"",VALUE(RIGHT(Raw_Nigeria!D359,2)))</f>
        <v>2</v>
      </c>
      <c r="F359" s="7" t="n">
        <f aca="false">VALUE(LEFT(Raw_Nigeria!E359,4))</f>
        <v>2013</v>
      </c>
      <c r="G359" s="7" t="n">
        <f aca="false">IF(VALUE(RIGHT(Raw_Nigeria!E359,2))&gt;12,"",VALUE(RIGHT(Raw_Nigeria!E359,2)))</f>
        <v>6</v>
      </c>
      <c r="H359" s="7" t="n">
        <f aca="false">Raw_Nigeria!F359</f>
        <v>2012</v>
      </c>
      <c r="I359" s="7" t="str">
        <f aca="false">UPPER(TRIM(Raw_Nigeria!G359))</f>
        <v>POL3</v>
      </c>
      <c r="J359" s="7" t="str">
        <f aca="false">Raw_Nigeria!H359</f>
        <v>Record or Recall</v>
      </c>
      <c r="K359" s="7" t="str">
        <f aca="false">Raw_Nigeria!L359</f>
        <v>12-23 m</v>
      </c>
      <c r="L359" s="7" t="str">
        <f aca="false">IF(Raw_Nigeria!K359="","n/a",Raw_Nigeria!K359)</f>
        <v>0-23 m</v>
      </c>
      <c r="M359" s="7" t="n">
        <f aca="false">IF(Raw_Nigeria!I359="","",Raw_Nigeria!I359)</f>
        <v>28</v>
      </c>
      <c r="N359" s="7" t="n">
        <f aca="false">Raw_Nigeria!M359</f>
        <v>53.6</v>
      </c>
      <c r="O359" s="7" t="n">
        <f aca="false">IF(Raw_Nigeria!N359="","",Raw_Nigeria!N359)</f>
        <v>5900</v>
      </c>
      <c r="P359" s="7" t="str">
        <f aca="false">IF(K359="CBAW","Women of child-bearing age","Children")</f>
        <v>Children</v>
      </c>
      <c r="Q359" s="7" t="n">
        <f aca="false">IF(J359="NOT USED",1,0)</f>
        <v>0</v>
      </c>
      <c r="R359" s="7" t="n">
        <f aca="false">IF(AND(P359="Children",Q359=0),1,0)</f>
        <v>1</v>
      </c>
      <c r="S359" s="7" t="n">
        <f aca="false">IF(AND(R359=1,J359="Record or Recall",K359="12-23 m"),1,0)</f>
        <v>1</v>
      </c>
      <c r="T359" s="7" t="n">
        <f aca="false">IF(OR(I359="BCG",I359="DTP1",I359="DTP3",I359="POL3",I359="MCV1",I359="FULL"),1,0)</f>
        <v>1</v>
      </c>
      <c r="U359" s="7" t="n">
        <f aca="false">IF(OR(C359="DHS",C359="MICS"),1,0)</f>
        <v>1</v>
      </c>
      <c r="V359" s="7" t="n">
        <f aca="false">IF(O359="",1,0)</f>
        <v>0</v>
      </c>
      <c r="W359" s="7" t="n">
        <f aca="false">IF(M359="",1,0)</f>
        <v>0</v>
      </c>
      <c r="X359" s="7" t="n">
        <f aca="false">COUNTIFS($B$2:$B$1141,B359,$H$2:$H$1141,H359,$I$2:$I$1141,I359,$J$2:$J$1141,J359,$K$2:$K$1141,K359,$L$2:$L$1141,L359)</f>
        <v>1</v>
      </c>
    </row>
    <row r="360" customFormat="false" ht="15" hidden="false" customHeight="false" outlineLevel="0" collapsed="false">
      <c r="A360" s="7" t="n">
        <f aca="false">ROW()-1</f>
        <v>359</v>
      </c>
      <c r="B360" s="7" t="str">
        <f aca="false">IF(Raw_Nigeria!B360="",TRIM(Raw_Nigeria!C360),TRIM(Raw_Nigeria!B360))</f>
        <v>Nigeria Demographic and Health Survey 2013</v>
      </c>
      <c r="C360" s="7" t="str">
        <f aca="false">IF(ISNUMBER(SEARCH("Demographic and Health",B360)),"DHS",IF(OR(ISNUMBER(SEARCH("Multiple Indicator Cluster",B360)),ISNUMBER(SEARCH("MICS",B360))),"MICS",IF(ISNUMBER(SEARCH("Immunization Coverage Survey",B360)),"Coverage survey",IF(ISNUMBER(SEARCH("Nutrition",B360)),"Nutrition survey","Other"))))</f>
        <v>DHS</v>
      </c>
      <c r="D360" s="7" t="n">
        <f aca="false">VALUE(LEFT(Raw_Nigeria!D360,4))</f>
        <v>2013</v>
      </c>
      <c r="E360" s="7" t="n">
        <f aca="false">IF(VALUE(RIGHT(Raw_Nigeria!D360,2))&gt;12,"",VALUE(RIGHT(Raw_Nigeria!D360,2)))</f>
        <v>2</v>
      </c>
      <c r="F360" s="7" t="n">
        <f aca="false">VALUE(LEFT(Raw_Nigeria!E360,4))</f>
        <v>2013</v>
      </c>
      <c r="G360" s="7" t="n">
        <f aca="false">IF(VALUE(RIGHT(Raw_Nigeria!E360,2))&gt;12,"",VALUE(RIGHT(Raw_Nigeria!E360,2)))</f>
        <v>6</v>
      </c>
      <c r="H360" s="7" t="n">
        <f aca="false">Raw_Nigeria!F360</f>
        <v>2012</v>
      </c>
      <c r="I360" s="7" t="str">
        <f aca="false">UPPER(TRIM(Raw_Nigeria!G360))</f>
        <v>POL3</v>
      </c>
      <c r="J360" s="7" t="str">
        <f aca="false">Raw_Nigeria!H360</f>
        <v>Recall</v>
      </c>
      <c r="K360" s="7" t="str">
        <f aca="false">Raw_Nigeria!L360</f>
        <v>12-23 m</v>
      </c>
      <c r="L360" s="7" t="str">
        <f aca="false">IF(Raw_Nigeria!K360="","n/a",Raw_Nigeria!K360)</f>
        <v>0-23 m</v>
      </c>
      <c r="M360" s="7" t="n">
        <f aca="false">IF(Raw_Nigeria!I360="","",Raw_Nigeria!I360)</f>
        <v>28</v>
      </c>
      <c r="N360" s="7" t="n">
        <f aca="false">Raw_Nigeria!M360</f>
        <v>30.8</v>
      </c>
      <c r="O360" s="7" t="n">
        <f aca="false">IF(Raw_Nigeria!N360="","",Raw_Nigeria!N360)</f>
        <v>4250</v>
      </c>
      <c r="P360" s="7" t="str">
        <f aca="false">IF(K360="CBAW","Women of child-bearing age","Children")</f>
        <v>Children</v>
      </c>
      <c r="Q360" s="7" t="n">
        <f aca="false">IF(J360="NOT USED",1,0)</f>
        <v>0</v>
      </c>
      <c r="R360" s="7" t="n">
        <f aca="false">IF(AND(P360="Children",Q360=0),1,0)</f>
        <v>1</v>
      </c>
      <c r="S360" s="7" t="n">
        <f aca="false">IF(AND(R360=1,J360="Record or Recall",K360="12-23 m"),1,0)</f>
        <v>0</v>
      </c>
      <c r="T360" s="7" t="n">
        <f aca="false">IF(OR(I360="BCG",I360="DTP1",I360="DTP3",I360="POL3",I360="MCV1",I360="FULL"),1,0)</f>
        <v>1</v>
      </c>
      <c r="U360" s="7" t="n">
        <f aca="false">IF(OR(C360="DHS",C360="MICS"),1,0)</f>
        <v>1</v>
      </c>
      <c r="V360" s="7" t="n">
        <f aca="false">IF(O360="",1,0)</f>
        <v>0</v>
      </c>
      <c r="W360" s="7" t="n">
        <f aca="false">IF(M360="",1,0)</f>
        <v>0</v>
      </c>
      <c r="X360" s="7" t="n">
        <f aca="false">COUNTIFS($B$2:$B$1141,B360,$H$2:$H$1141,H360,$I$2:$I$1141,I360,$J$2:$J$1141,J360,$K$2:$K$1141,K360,$L$2:$L$1141,L360)</f>
        <v>1</v>
      </c>
    </row>
    <row r="361" customFormat="false" ht="15" hidden="false" customHeight="false" outlineLevel="0" collapsed="false">
      <c r="A361" s="7" t="n">
        <f aca="false">ROW()-1</f>
        <v>360</v>
      </c>
      <c r="B361" s="7" t="str">
        <f aca="false">IF(Raw_Nigeria!B361="",TRIM(Raw_Nigeria!C361),TRIM(Raw_Nigeria!B361))</f>
        <v>Nigeria Demographic and Health Survey 2013</v>
      </c>
      <c r="C361" s="7" t="str">
        <f aca="false">IF(ISNUMBER(SEARCH("Demographic and Health",B361)),"DHS",IF(OR(ISNUMBER(SEARCH("Multiple Indicator Cluster",B361)),ISNUMBER(SEARCH("MICS",B361))),"MICS",IF(ISNUMBER(SEARCH("Immunization Coverage Survey",B361)),"Coverage survey",IF(ISNUMBER(SEARCH("Nutrition",B361)),"Nutrition survey","Other"))))</f>
        <v>DHS</v>
      </c>
      <c r="D361" s="7" t="n">
        <f aca="false">VALUE(LEFT(Raw_Nigeria!D361,4))</f>
        <v>2013</v>
      </c>
      <c r="E361" s="7" t="n">
        <f aca="false">IF(VALUE(RIGHT(Raw_Nigeria!D361,2))&gt;12,"",VALUE(RIGHT(Raw_Nigeria!D361,2)))</f>
        <v>2</v>
      </c>
      <c r="F361" s="7" t="n">
        <f aca="false">VALUE(LEFT(Raw_Nigeria!E361,4))</f>
        <v>2013</v>
      </c>
      <c r="G361" s="7" t="n">
        <f aca="false">IF(VALUE(RIGHT(Raw_Nigeria!E361,2))&gt;12,"",VALUE(RIGHT(Raw_Nigeria!E361,2)))</f>
        <v>6</v>
      </c>
      <c r="H361" s="7" t="n">
        <f aca="false">Raw_Nigeria!F361</f>
        <v>2012</v>
      </c>
      <c r="I361" s="7" t="str">
        <f aca="false">UPPER(TRIM(Raw_Nigeria!G361))</f>
        <v>TT2+</v>
      </c>
      <c r="J361" s="7" t="str">
        <f aca="false">Raw_Nigeria!H361</f>
        <v>NOT USED</v>
      </c>
      <c r="K361" s="7" t="str">
        <f aca="false">Raw_Nigeria!L361</f>
        <v>CBAW</v>
      </c>
      <c r="L361" s="7" t="str">
        <f aca="false">IF(Raw_Nigeria!K361="","n/a",Raw_Nigeria!K361)</f>
        <v>n/a</v>
      </c>
      <c r="M361" s="7" t="str">
        <f aca="false">IF(Raw_Nigeria!I361="","",Raw_Nigeria!I361)</f>
        <v/>
      </c>
      <c r="N361" s="7" t="n">
        <f aca="false">Raw_Nigeria!M361</f>
        <v>48.4</v>
      </c>
      <c r="O361" s="7" t="n">
        <f aca="false">IF(Raw_Nigeria!N361="","",Raw_Nigeria!N361)</f>
        <v>20467</v>
      </c>
      <c r="P361" s="7" t="str">
        <f aca="false">IF(K361="CBAW","Women of child-bearing age","Children")</f>
        <v>Women of child-bearing age</v>
      </c>
      <c r="Q361" s="7" t="n">
        <f aca="false">IF(J361="NOT USED",1,0)</f>
        <v>1</v>
      </c>
      <c r="R361" s="7" t="n">
        <f aca="false">IF(AND(P361="Children",Q361=0),1,0)</f>
        <v>0</v>
      </c>
      <c r="S361" s="7" t="n">
        <f aca="false">IF(AND(R361=1,J361="Record or Recall",K361="12-23 m"),1,0)</f>
        <v>0</v>
      </c>
      <c r="T361" s="7" t="n">
        <f aca="false">IF(OR(I361="BCG",I361="DTP1",I361="DTP3",I361="POL3",I361="MCV1",I361="FULL"),1,0)</f>
        <v>0</v>
      </c>
      <c r="U361" s="7" t="n">
        <f aca="false">IF(OR(C361="DHS",C361="MICS"),1,0)</f>
        <v>1</v>
      </c>
      <c r="V361" s="7" t="n">
        <f aca="false">IF(O361="",1,0)</f>
        <v>0</v>
      </c>
      <c r="W361" s="7" t="n">
        <f aca="false">IF(M361="",1,0)</f>
        <v>1</v>
      </c>
      <c r="X361" s="7" t="n">
        <f aca="false">COUNTIFS($B$2:$B$1141,B361,$H$2:$H$1141,H361,$I$2:$I$1141,I361,$J$2:$J$1141,J361,$K$2:$K$1141,K361,$L$2:$L$1141,L361)</f>
        <v>1</v>
      </c>
    </row>
    <row r="362" customFormat="false" ht="15" hidden="false" customHeight="false" outlineLevel="0" collapsed="false">
      <c r="A362" s="7" t="n">
        <f aca="false">ROW()-1</f>
        <v>361</v>
      </c>
      <c r="B362" s="7" t="str">
        <f aca="false">IF(Raw_Nigeria!B362="",TRIM(Raw_Nigeria!C362),TRIM(Raw_Nigeria!B362))</f>
        <v>Summary Findings of Cross-Sectional Health and Nutrition Survey, Nigeria 2013</v>
      </c>
      <c r="C362" s="7" t="str">
        <f aca="false">IF(ISNUMBER(SEARCH("Demographic and Health",B362)),"DHS",IF(OR(ISNUMBER(SEARCH("Multiple Indicator Cluster",B362)),ISNUMBER(SEARCH("MICS",B362))),"MICS",IF(ISNUMBER(SEARCH("Immunization Coverage Survey",B362)),"Coverage survey",IF(ISNUMBER(SEARCH("Nutrition",B362)),"Nutrition survey","Other"))))</f>
        <v>Nutrition survey</v>
      </c>
      <c r="D362" s="7" t="n">
        <f aca="false">VALUE(LEFT(Raw_Nigeria!D362,4))</f>
        <v>2013</v>
      </c>
      <c r="E362" s="7" t="n">
        <f aca="false">IF(VALUE(RIGHT(Raw_Nigeria!D362,2))&gt;12,"",VALUE(RIGHT(Raw_Nigeria!D362,2)))</f>
        <v>7</v>
      </c>
      <c r="F362" s="7" t="n">
        <f aca="false">VALUE(LEFT(Raw_Nigeria!E362,4))</f>
        <v>2013</v>
      </c>
      <c r="G362" s="7" t="n">
        <f aca="false">IF(VALUE(RIGHT(Raw_Nigeria!E362,2))&gt;12,"",VALUE(RIGHT(Raw_Nigeria!E362,2)))</f>
        <v>9</v>
      </c>
      <c r="H362" s="7" t="n">
        <f aca="false">Raw_Nigeria!F362</f>
        <v>2012</v>
      </c>
      <c r="I362" s="7" t="str">
        <f aca="false">UPPER(TRIM(Raw_Nigeria!G362))</f>
        <v>DTP1</v>
      </c>
      <c r="J362" s="7" t="str">
        <f aca="false">Raw_Nigeria!H362</f>
        <v>Record or Recall</v>
      </c>
      <c r="K362" s="7" t="str">
        <f aca="false">Raw_Nigeria!L362</f>
        <v>12-23 m</v>
      </c>
      <c r="L362" s="7" t="str">
        <f aca="false">IF(Raw_Nigeria!K362="","n/a",Raw_Nigeria!K362)</f>
        <v>0-23 m</v>
      </c>
      <c r="M362" s="7" t="str">
        <f aca="false">IF(Raw_Nigeria!I362="","",Raw_Nigeria!I362)</f>
        <v/>
      </c>
      <c r="N362" s="7" t="n">
        <f aca="false">Raw_Nigeria!M362</f>
        <v>33.7</v>
      </c>
      <c r="O362" s="7" t="n">
        <f aca="false">IF(Raw_Nigeria!N362="","",Raw_Nigeria!N362)</f>
        <v>3625</v>
      </c>
      <c r="P362" s="7" t="str">
        <f aca="false">IF(K362="CBAW","Women of child-bearing age","Children")</f>
        <v>Children</v>
      </c>
      <c r="Q362" s="7" t="n">
        <f aca="false">IF(J362="NOT USED",1,0)</f>
        <v>0</v>
      </c>
      <c r="R362" s="7" t="n">
        <f aca="false">IF(AND(P362="Children",Q362=0),1,0)</f>
        <v>1</v>
      </c>
      <c r="S362" s="7" t="n">
        <f aca="false">IF(AND(R362=1,J362="Record or Recall",K362="12-23 m"),1,0)</f>
        <v>1</v>
      </c>
      <c r="T362" s="7" t="n">
        <f aca="false">IF(OR(I362="BCG",I362="DTP1",I362="DTP3",I362="POL3",I362="MCV1",I362="FULL"),1,0)</f>
        <v>1</v>
      </c>
      <c r="U362" s="7" t="n">
        <f aca="false">IF(OR(C362="DHS",C362="MICS"),1,0)</f>
        <v>0</v>
      </c>
      <c r="V362" s="7" t="n">
        <f aca="false">IF(O362="",1,0)</f>
        <v>0</v>
      </c>
      <c r="W362" s="7" t="n">
        <f aca="false">IF(M362="",1,0)</f>
        <v>1</v>
      </c>
      <c r="X362" s="7" t="n">
        <f aca="false">COUNTIFS($B$2:$B$1141,B362,$H$2:$H$1141,H362,$I$2:$I$1141,I362,$J$2:$J$1141,J362,$K$2:$K$1141,K362,$L$2:$L$1141,L362)</f>
        <v>1</v>
      </c>
    </row>
    <row r="363" customFormat="false" ht="15" hidden="false" customHeight="false" outlineLevel="0" collapsed="false">
      <c r="A363" s="7" t="n">
        <f aca="false">ROW()-1</f>
        <v>362</v>
      </c>
      <c r="B363" s="7" t="str">
        <f aca="false">IF(Raw_Nigeria!B363="",TRIM(Raw_Nigeria!C363),TRIM(Raw_Nigeria!B363))</f>
        <v>Summary Findings of Cross-Sectional Health and Nutrition Survey, Nigeria 2013</v>
      </c>
      <c r="C363" s="7" t="str">
        <f aca="false">IF(ISNUMBER(SEARCH("Demographic and Health",B363)),"DHS",IF(OR(ISNUMBER(SEARCH("Multiple Indicator Cluster",B363)),ISNUMBER(SEARCH("MICS",B363))),"MICS",IF(ISNUMBER(SEARCH("Immunization Coverage Survey",B363)),"Coverage survey",IF(ISNUMBER(SEARCH("Nutrition",B363)),"Nutrition survey","Other"))))</f>
        <v>Nutrition survey</v>
      </c>
      <c r="D363" s="7" t="n">
        <f aca="false">VALUE(LEFT(Raw_Nigeria!D363,4))</f>
        <v>2013</v>
      </c>
      <c r="E363" s="7" t="n">
        <f aca="false">IF(VALUE(RIGHT(Raw_Nigeria!D363,2))&gt;12,"",VALUE(RIGHT(Raw_Nigeria!D363,2)))</f>
        <v>7</v>
      </c>
      <c r="F363" s="7" t="n">
        <f aca="false">VALUE(LEFT(Raw_Nigeria!E363,4))</f>
        <v>2013</v>
      </c>
      <c r="G363" s="7" t="n">
        <f aca="false">IF(VALUE(RIGHT(Raw_Nigeria!E363,2))&gt;12,"",VALUE(RIGHT(Raw_Nigeria!E363,2)))</f>
        <v>9</v>
      </c>
      <c r="H363" s="7" t="n">
        <f aca="false">Raw_Nigeria!F363</f>
        <v>2012</v>
      </c>
      <c r="I363" s="7" t="str">
        <f aca="false">UPPER(TRIM(Raw_Nigeria!G363))</f>
        <v>DTP3</v>
      </c>
      <c r="J363" s="7" t="str">
        <f aca="false">Raw_Nigeria!H363</f>
        <v>Record or Recall</v>
      </c>
      <c r="K363" s="7" t="str">
        <f aca="false">Raw_Nigeria!L363</f>
        <v>12-23 m</v>
      </c>
      <c r="L363" s="7" t="str">
        <f aca="false">IF(Raw_Nigeria!K363="","n/a",Raw_Nigeria!K363)</f>
        <v>0-23 m</v>
      </c>
      <c r="M363" s="7" t="str">
        <f aca="false">IF(Raw_Nigeria!I363="","",Raw_Nigeria!I363)</f>
        <v/>
      </c>
      <c r="N363" s="7" t="n">
        <f aca="false">Raw_Nigeria!M363</f>
        <v>25</v>
      </c>
      <c r="O363" s="7" t="n">
        <f aca="false">IF(Raw_Nigeria!N363="","",Raw_Nigeria!N363)</f>
        <v>3625</v>
      </c>
      <c r="P363" s="7" t="str">
        <f aca="false">IF(K363="CBAW","Women of child-bearing age","Children")</f>
        <v>Children</v>
      </c>
      <c r="Q363" s="7" t="n">
        <f aca="false">IF(J363="NOT USED",1,0)</f>
        <v>0</v>
      </c>
      <c r="R363" s="7" t="n">
        <f aca="false">IF(AND(P363="Children",Q363=0),1,0)</f>
        <v>1</v>
      </c>
      <c r="S363" s="7" t="n">
        <f aca="false">IF(AND(R363=1,J363="Record or Recall",K363="12-23 m"),1,0)</f>
        <v>1</v>
      </c>
      <c r="T363" s="7" t="n">
        <f aca="false">IF(OR(I363="BCG",I363="DTP1",I363="DTP3",I363="POL3",I363="MCV1",I363="FULL"),1,0)</f>
        <v>1</v>
      </c>
      <c r="U363" s="7" t="n">
        <f aca="false">IF(OR(C363="DHS",C363="MICS"),1,0)</f>
        <v>0</v>
      </c>
      <c r="V363" s="7" t="n">
        <f aca="false">IF(O363="",1,0)</f>
        <v>0</v>
      </c>
      <c r="W363" s="7" t="n">
        <f aca="false">IF(M363="",1,0)</f>
        <v>1</v>
      </c>
      <c r="X363" s="7" t="n">
        <f aca="false">COUNTIFS($B$2:$B$1141,B363,$H$2:$H$1141,H363,$I$2:$I$1141,I363,$J$2:$J$1141,J363,$K$2:$K$1141,K363,$L$2:$L$1141,L363)</f>
        <v>1</v>
      </c>
    </row>
    <row r="364" customFormat="false" ht="15" hidden="false" customHeight="false" outlineLevel="0" collapsed="false">
      <c r="A364" s="7" t="n">
        <f aca="false">ROW()-1</f>
        <v>363</v>
      </c>
      <c r="B364" s="7" t="str">
        <f aca="false">IF(Raw_Nigeria!B364="",TRIM(Raw_Nigeria!C364),TRIM(Raw_Nigeria!B364))</f>
        <v>Summary Findings of Cross-Sectional Health and Nutrition Survey, Nigeria 2013</v>
      </c>
      <c r="C364" s="7" t="str">
        <f aca="false">IF(ISNUMBER(SEARCH("Demographic and Health",B364)),"DHS",IF(OR(ISNUMBER(SEARCH("Multiple Indicator Cluster",B364)),ISNUMBER(SEARCH("MICS",B364))),"MICS",IF(ISNUMBER(SEARCH("Immunization Coverage Survey",B364)),"Coverage survey",IF(ISNUMBER(SEARCH("Nutrition",B364)),"Nutrition survey","Other"))))</f>
        <v>Nutrition survey</v>
      </c>
      <c r="D364" s="7" t="n">
        <f aca="false">VALUE(LEFT(Raw_Nigeria!D364,4))</f>
        <v>2013</v>
      </c>
      <c r="E364" s="7" t="n">
        <f aca="false">IF(VALUE(RIGHT(Raw_Nigeria!D364,2))&gt;12,"",VALUE(RIGHT(Raw_Nigeria!D364,2)))</f>
        <v>7</v>
      </c>
      <c r="F364" s="7" t="n">
        <f aca="false">VALUE(LEFT(Raw_Nigeria!E364,4))</f>
        <v>2013</v>
      </c>
      <c r="G364" s="7" t="n">
        <f aca="false">IF(VALUE(RIGHT(Raw_Nigeria!E364,2))&gt;12,"",VALUE(RIGHT(Raw_Nigeria!E364,2)))</f>
        <v>9</v>
      </c>
      <c r="H364" s="7" t="n">
        <f aca="false">Raw_Nigeria!F364</f>
        <v>2012</v>
      </c>
      <c r="I364" s="7" t="str">
        <f aca="false">UPPER(TRIM(Raw_Nigeria!G364))</f>
        <v>MCV1</v>
      </c>
      <c r="J364" s="7" t="str">
        <f aca="false">Raw_Nigeria!H364</f>
        <v>Record or Recall</v>
      </c>
      <c r="K364" s="7" t="str">
        <f aca="false">Raw_Nigeria!L364</f>
        <v>12-23 m</v>
      </c>
      <c r="L364" s="7" t="str">
        <f aca="false">IF(Raw_Nigeria!K364="","n/a",Raw_Nigeria!K364)</f>
        <v>0-23 m</v>
      </c>
      <c r="M364" s="7" t="str">
        <f aca="false">IF(Raw_Nigeria!I364="","",Raw_Nigeria!I364)</f>
        <v/>
      </c>
      <c r="N364" s="7" t="n">
        <f aca="false">Raw_Nigeria!M364</f>
        <v>26.9</v>
      </c>
      <c r="O364" s="7" t="n">
        <f aca="false">IF(Raw_Nigeria!N364="","",Raw_Nigeria!N364)</f>
        <v>3625</v>
      </c>
      <c r="P364" s="7" t="str">
        <f aca="false">IF(K364="CBAW","Women of child-bearing age","Children")</f>
        <v>Children</v>
      </c>
      <c r="Q364" s="7" t="n">
        <f aca="false">IF(J364="NOT USED",1,0)</f>
        <v>0</v>
      </c>
      <c r="R364" s="7" t="n">
        <f aca="false">IF(AND(P364="Children",Q364=0),1,0)</f>
        <v>1</v>
      </c>
      <c r="S364" s="7" t="n">
        <f aca="false">IF(AND(R364=1,J364="Record or Recall",K364="12-23 m"),1,0)</f>
        <v>1</v>
      </c>
      <c r="T364" s="7" t="n">
        <f aca="false">IF(OR(I364="BCG",I364="DTP1",I364="DTP3",I364="POL3",I364="MCV1",I364="FULL"),1,0)</f>
        <v>1</v>
      </c>
      <c r="U364" s="7" t="n">
        <f aca="false">IF(OR(C364="DHS",C364="MICS"),1,0)</f>
        <v>0</v>
      </c>
      <c r="V364" s="7" t="n">
        <f aca="false">IF(O364="",1,0)</f>
        <v>0</v>
      </c>
      <c r="W364" s="7" t="n">
        <f aca="false">IF(M364="",1,0)</f>
        <v>1</v>
      </c>
      <c r="X364" s="7" t="n">
        <f aca="false">COUNTIFS($B$2:$B$1141,B364,$H$2:$H$1141,H364,$I$2:$I$1141,I364,$J$2:$J$1141,J364,$K$2:$K$1141,K364,$L$2:$L$1141,L364)</f>
        <v>1</v>
      </c>
    </row>
    <row r="365" customFormat="false" ht="15" hidden="false" customHeight="false" outlineLevel="0" collapsed="false">
      <c r="A365" s="7" t="n">
        <f aca="false">ROW()-1</f>
        <v>364</v>
      </c>
      <c r="B365" s="7" t="str">
        <f aca="false">IF(Raw_Nigeria!B365="",TRIM(Raw_Nigeria!C365),TRIM(Raw_Nigeria!B365))</f>
        <v>Nigeria Multiple Indicator Cluster Survey 2016-2017</v>
      </c>
      <c r="C365" s="7" t="str">
        <f aca="false">IF(ISNUMBER(SEARCH("Demographic and Health",B365)),"DHS",IF(OR(ISNUMBER(SEARCH("Multiple Indicator Cluster",B365)),ISNUMBER(SEARCH("MICS",B365))),"MICS",IF(ISNUMBER(SEARCH("Immunization Coverage Survey",B365)),"Coverage survey",IF(ISNUMBER(SEARCH("Nutrition",B365)),"Nutrition survey","Other"))))</f>
        <v>MICS</v>
      </c>
      <c r="D365" s="7" t="n">
        <f aca="false">VALUE(LEFT(Raw_Nigeria!D365,4))</f>
        <v>2016</v>
      </c>
      <c r="E365" s="7" t="n">
        <f aca="false">IF(VALUE(RIGHT(Raw_Nigeria!D365,2))&gt;12,"",VALUE(RIGHT(Raw_Nigeria!D365,2)))</f>
        <v>9</v>
      </c>
      <c r="F365" s="7" t="n">
        <f aca="false">VALUE(LEFT(Raw_Nigeria!E365,4))</f>
        <v>2017</v>
      </c>
      <c r="G365" s="7" t="n">
        <f aca="false">IF(VALUE(RIGHT(Raw_Nigeria!E365,2))&gt;12,"",VALUE(RIGHT(Raw_Nigeria!E365,2)))</f>
        <v>1</v>
      </c>
      <c r="H365" s="7" t="n">
        <f aca="false">Raw_Nigeria!F365</f>
        <v>2014</v>
      </c>
      <c r="I365" s="7" t="str">
        <f aca="false">UPPER(TRIM(Raw_Nigeria!G365))</f>
        <v>BCG</v>
      </c>
      <c r="J365" s="7" t="str">
        <f aca="false">Raw_Nigeria!H365</f>
        <v>Record or Recall&lt;12m</v>
      </c>
      <c r="K365" s="7" t="str">
        <f aca="false">Raw_Nigeria!L365</f>
        <v>24-35 m</v>
      </c>
      <c r="L365" s="7" t="str">
        <f aca="false">IF(Raw_Nigeria!K365="","n/a",Raw_Nigeria!K365)</f>
        <v>0-12 m</v>
      </c>
      <c r="M365" s="7" t="str">
        <f aca="false">IF(Raw_Nigeria!I365="","",Raw_Nigeria!I365)</f>
        <v/>
      </c>
      <c r="N365" s="7" t="n">
        <f aca="false">Raw_Nigeria!M365</f>
        <v>49.1</v>
      </c>
      <c r="O365" s="7" t="n">
        <f aca="false">IF(Raw_Nigeria!N365="","",Raw_Nigeria!N365)</f>
        <v>5514</v>
      </c>
      <c r="P365" s="7" t="str">
        <f aca="false">IF(K365="CBAW","Women of child-bearing age","Children")</f>
        <v>Children</v>
      </c>
      <c r="Q365" s="7" t="n">
        <f aca="false">IF(J365="NOT USED",1,0)</f>
        <v>0</v>
      </c>
      <c r="R365" s="7" t="n">
        <f aca="false">IF(AND(P365="Children",Q365=0),1,0)</f>
        <v>1</v>
      </c>
      <c r="S365" s="7" t="n">
        <f aca="false">IF(AND(R365=1,J365="Record or Recall",K365="12-23 m"),1,0)</f>
        <v>0</v>
      </c>
      <c r="T365" s="7" t="n">
        <f aca="false">IF(OR(I365="BCG",I365="DTP1",I365="DTP3",I365="POL3",I365="MCV1",I365="FULL"),1,0)</f>
        <v>1</v>
      </c>
      <c r="U365" s="7" t="n">
        <f aca="false">IF(OR(C365="DHS",C365="MICS"),1,0)</f>
        <v>1</v>
      </c>
      <c r="V365" s="7" t="n">
        <f aca="false">IF(O365="",1,0)</f>
        <v>0</v>
      </c>
      <c r="W365" s="7" t="n">
        <f aca="false">IF(M365="",1,0)</f>
        <v>1</v>
      </c>
      <c r="X365" s="7" t="n">
        <f aca="false">COUNTIFS($B$2:$B$1141,B365,$H$2:$H$1141,H365,$I$2:$I$1141,I365,$J$2:$J$1141,J365,$K$2:$K$1141,K365,$L$2:$L$1141,L365)</f>
        <v>1</v>
      </c>
    </row>
    <row r="366" customFormat="false" ht="15" hidden="false" customHeight="false" outlineLevel="0" collapsed="false">
      <c r="A366" s="7" t="n">
        <f aca="false">ROW()-1</f>
        <v>365</v>
      </c>
      <c r="B366" s="7" t="str">
        <f aca="false">IF(Raw_Nigeria!B366="",TRIM(Raw_Nigeria!C366),TRIM(Raw_Nigeria!B366))</f>
        <v>Nigeria Multiple Indicator Cluster Survey 2016-2017</v>
      </c>
      <c r="C366" s="7" t="str">
        <f aca="false">IF(ISNUMBER(SEARCH("Demographic and Health",B366)),"DHS",IF(OR(ISNUMBER(SEARCH("Multiple Indicator Cluster",B366)),ISNUMBER(SEARCH("MICS",B366))),"MICS",IF(ISNUMBER(SEARCH("Immunization Coverage Survey",B366)),"Coverage survey",IF(ISNUMBER(SEARCH("Nutrition",B366)),"Nutrition survey","Other"))))</f>
        <v>MICS</v>
      </c>
      <c r="D366" s="7" t="n">
        <f aca="false">VALUE(LEFT(Raw_Nigeria!D366,4))</f>
        <v>2016</v>
      </c>
      <c r="E366" s="7" t="n">
        <f aca="false">IF(VALUE(RIGHT(Raw_Nigeria!D366,2))&gt;12,"",VALUE(RIGHT(Raw_Nigeria!D366,2)))</f>
        <v>9</v>
      </c>
      <c r="F366" s="7" t="n">
        <f aca="false">VALUE(LEFT(Raw_Nigeria!E366,4))</f>
        <v>2017</v>
      </c>
      <c r="G366" s="7" t="n">
        <f aca="false">IF(VALUE(RIGHT(Raw_Nigeria!E366,2))&gt;12,"",VALUE(RIGHT(Raw_Nigeria!E366,2)))</f>
        <v>1</v>
      </c>
      <c r="H366" s="7" t="n">
        <f aca="false">Raw_Nigeria!F366</f>
        <v>2014</v>
      </c>
      <c r="I366" s="7" t="str">
        <f aca="false">UPPER(TRIM(Raw_Nigeria!G366))</f>
        <v>BCG</v>
      </c>
      <c r="J366" s="7" t="str">
        <f aca="false">Raw_Nigeria!H366</f>
        <v>Record</v>
      </c>
      <c r="K366" s="7" t="str">
        <f aca="false">Raw_Nigeria!L366</f>
        <v>24-35 m</v>
      </c>
      <c r="L366" s="7" t="str">
        <f aca="false">IF(Raw_Nigeria!K366="","n/a",Raw_Nigeria!K366)</f>
        <v>0-35 m</v>
      </c>
      <c r="M366" s="7" t="str">
        <f aca="false">IF(Raw_Nigeria!I366="","",Raw_Nigeria!I366)</f>
        <v/>
      </c>
      <c r="N366" s="7" t="n">
        <f aca="false">Raw_Nigeria!M366</f>
        <v>18.4</v>
      </c>
      <c r="O366" s="7" t="n">
        <f aca="false">IF(Raw_Nigeria!N366="","",Raw_Nigeria!N366)</f>
        <v>5514</v>
      </c>
      <c r="P366" s="7" t="str">
        <f aca="false">IF(K366="CBAW","Women of child-bearing age","Children")</f>
        <v>Children</v>
      </c>
      <c r="Q366" s="7" t="n">
        <f aca="false">IF(J366="NOT USED",1,0)</f>
        <v>0</v>
      </c>
      <c r="R366" s="7" t="n">
        <f aca="false">IF(AND(P366="Children",Q366=0),1,0)</f>
        <v>1</v>
      </c>
      <c r="S366" s="7" t="n">
        <f aca="false">IF(AND(R366=1,J366="Record or Recall",K366="12-23 m"),1,0)</f>
        <v>0</v>
      </c>
      <c r="T366" s="7" t="n">
        <f aca="false">IF(OR(I366="BCG",I366="DTP1",I366="DTP3",I366="POL3",I366="MCV1",I366="FULL"),1,0)</f>
        <v>1</v>
      </c>
      <c r="U366" s="7" t="n">
        <f aca="false">IF(OR(C366="DHS",C366="MICS"),1,0)</f>
        <v>1</v>
      </c>
      <c r="V366" s="7" t="n">
        <f aca="false">IF(O366="",1,0)</f>
        <v>0</v>
      </c>
      <c r="W366" s="7" t="n">
        <f aca="false">IF(M366="",1,0)</f>
        <v>1</v>
      </c>
      <c r="X366" s="7" t="n">
        <f aca="false">COUNTIFS($B$2:$B$1141,B366,$H$2:$H$1141,H366,$I$2:$I$1141,I366,$J$2:$J$1141,J366,$K$2:$K$1141,K366,$L$2:$L$1141,L366)</f>
        <v>1</v>
      </c>
    </row>
    <row r="367" customFormat="false" ht="15" hidden="false" customHeight="false" outlineLevel="0" collapsed="false">
      <c r="A367" s="7" t="n">
        <f aca="false">ROW()-1</f>
        <v>366</v>
      </c>
      <c r="B367" s="7" t="str">
        <f aca="false">IF(Raw_Nigeria!B367="",TRIM(Raw_Nigeria!C367),TRIM(Raw_Nigeria!B367))</f>
        <v>Nigeria Multiple Indicator Cluster Survey 2016-2017</v>
      </c>
      <c r="C367" s="7" t="str">
        <f aca="false">IF(ISNUMBER(SEARCH("Demographic and Health",B367)),"DHS",IF(OR(ISNUMBER(SEARCH("Multiple Indicator Cluster",B367)),ISNUMBER(SEARCH("MICS",B367))),"MICS",IF(ISNUMBER(SEARCH("Immunization Coverage Survey",B367)),"Coverage survey",IF(ISNUMBER(SEARCH("Nutrition",B367)),"Nutrition survey","Other"))))</f>
        <v>MICS</v>
      </c>
      <c r="D367" s="7" t="n">
        <f aca="false">VALUE(LEFT(Raw_Nigeria!D367,4))</f>
        <v>2016</v>
      </c>
      <c r="E367" s="7" t="n">
        <f aca="false">IF(VALUE(RIGHT(Raw_Nigeria!D367,2))&gt;12,"",VALUE(RIGHT(Raw_Nigeria!D367,2)))</f>
        <v>9</v>
      </c>
      <c r="F367" s="7" t="n">
        <f aca="false">VALUE(LEFT(Raw_Nigeria!E367,4))</f>
        <v>2017</v>
      </c>
      <c r="G367" s="7" t="n">
        <f aca="false">IF(VALUE(RIGHT(Raw_Nigeria!E367,2))&gt;12,"",VALUE(RIGHT(Raw_Nigeria!E367,2)))</f>
        <v>1</v>
      </c>
      <c r="H367" s="7" t="n">
        <f aca="false">Raw_Nigeria!F367</f>
        <v>2014</v>
      </c>
      <c r="I367" s="7" t="str">
        <f aca="false">UPPER(TRIM(Raw_Nigeria!G367))</f>
        <v>BCG</v>
      </c>
      <c r="J367" s="7" t="str">
        <f aca="false">Raw_Nigeria!H367</f>
        <v>Record or Recall</v>
      </c>
      <c r="K367" s="7" t="str">
        <f aca="false">Raw_Nigeria!L367</f>
        <v>24-35 m</v>
      </c>
      <c r="L367" s="7" t="str">
        <f aca="false">IF(Raw_Nigeria!K367="","n/a",Raw_Nigeria!K367)</f>
        <v>0-35 m</v>
      </c>
      <c r="M367" s="7" t="str">
        <f aca="false">IF(Raw_Nigeria!I367="","",Raw_Nigeria!I367)</f>
        <v/>
      </c>
      <c r="N367" s="7" t="n">
        <f aca="false">Raw_Nigeria!M367</f>
        <v>50.9</v>
      </c>
      <c r="O367" s="7" t="n">
        <f aca="false">IF(Raw_Nigeria!N367="","",Raw_Nigeria!N367)</f>
        <v>5514</v>
      </c>
      <c r="P367" s="7" t="str">
        <f aca="false">IF(K367="CBAW","Women of child-bearing age","Children")</f>
        <v>Children</v>
      </c>
      <c r="Q367" s="7" t="n">
        <f aca="false">IF(J367="NOT USED",1,0)</f>
        <v>0</v>
      </c>
      <c r="R367" s="7" t="n">
        <f aca="false">IF(AND(P367="Children",Q367=0),1,0)</f>
        <v>1</v>
      </c>
      <c r="S367" s="7" t="n">
        <f aca="false">IF(AND(R367=1,J367="Record or Recall",K367="12-23 m"),1,0)</f>
        <v>0</v>
      </c>
      <c r="T367" s="7" t="n">
        <f aca="false">IF(OR(I367="BCG",I367="DTP1",I367="DTP3",I367="POL3",I367="MCV1",I367="FULL"),1,0)</f>
        <v>1</v>
      </c>
      <c r="U367" s="7" t="n">
        <f aca="false">IF(OR(C367="DHS",C367="MICS"),1,0)</f>
        <v>1</v>
      </c>
      <c r="V367" s="7" t="n">
        <f aca="false">IF(O367="",1,0)</f>
        <v>0</v>
      </c>
      <c r="W367" s="7" t="n">
        <f aca="false">IF(M367="",1,0)</f>
        <v>1</v>
      </c>
      <c r="X367" s="7" t="n">
        <f aca="false">COUNTIFS($B$2:$B$1141,B367,$H$2:$H$1141,H367,$I$2:$I$1141,I367,$J$2:$J$1141,J367,$K$2:$K$1141,K367,$L$2:$L$1141,L367)</f>
        <v>1</v>
      </c>
    </row>
    <row r="368" customFormat="false" ht="15" hidden="false" customHeight="false" outlineLevel="0" collapsed="false">
      <c r="A368" s="7" t="n">
        <f aca="false">ROW()-1</f>
        <v>367</v>
      </c>
      <c r="B368" s="7" t="str">
        <f aca="false">IF(Raw_Nigeria!B368="",TRIM(Raw_Nigeria!C368),TRIM(Raw_Nigeria!B368))</f>
        <v>Nigeria Multiple Indicator Cluster Survey 2016-2017</v>
      </c>
      <c r="C368" s="7" t="str">
        <f aca="false">IF(ISNUMBER(SEARCH("Demographic and Health",B368)),"DHS",IF(OR(ISNUMBER(SEARCH("Multiple Indicator Cluster",B368)),ISNUMBER(SEARCH("MICS",B368))),"MICS",IF(ISNUMBER(SEARCH("Immunization Coverage Survey",B368)),"Coverage survey",IF(ISNUMBER(SEARCH("Nutrition",B368)),"Nutrition survey","Other"))))</f>
        <v>MICS</v>
      </c>
      <c r="D368" s="7" t="n">
        <f aca="false">VALUE(LEFT(Raw_Nigeria!D368,4))</f>
        <v>2016</v>
      </c>
      <c r="E368" s="7" t="n">
        <f aca="false">IF(VALUE(RIGHT(Raw_Nigeria!D368,2))&gt;12,"",VALUE(RIGHT(Raw_Nigeria!D368,2)))</f>
        <v>9</v>
      </c>
      <c r="F368" s="7" t="n">
        <f aca="false">VALUE(LEFT(Raw_Nigeria!E368,4))</f>
        <v>2017</v>
      </c>
      <c r="G368" s="7" t="n">
        <f aca="false">IF(VALUE(RIGHT(Raw_Nigeria!E368,2))&gt;12,"",VALUE(RIGHT(Raw_Nigeria!E368,2)))</f>
        <v>1</v>
      </c>
      <c r="H368" s="7" t="n">
        <f aca="false">Raw_Nigeria!F368</f>
        <v>2014</v>
      </c>
      <c r="I368" s="7" t="str">
        <f aca="false">UPPER(TRIM(Raw_Nigeria!G368))</f>
        <v>BCG</v>
      </c>
      <c r="J368" s="7" t="str">
        <f aca="false">Raw_Nigeria!H368</f>
        <v>Recall</v>
      </c>
      <c r="K368" s="7" t="str">
        <f aca="false">Raw_Nigeria!L368</f>
        <v>24-35 m</v>
      </c>
      <c r="L368" s="7" t="str">
        <f aca="false">IF(Raw_Nigeria!K368="","n/a",Raw_Nigeria!K368)</f>
        <v>0-35 m</v>
      </c>
      <c r="M368" s="7" t="str">
        <f aca="false">IF(Raw_Nigeria!I368="","",Raw_Nigeria!I368)</f>
        <v/>
      </c>
      <c r="N368" s="7" t="n">
        <f aca="false">Raw_Nigeria!M368</f>
        <v>32.5</v>
      </c>
      <c r="O368" s="7" t="n">
        <f aca="false">IF(Raw_Nigeria!N368="","",Raw_Nigeria!N368)</f>
        <v>5514</v>
      </c>
      <c r="P368" s="7" t="str">
        <f aca="false">IF(K368="CBAW","Women of child-bearing age","Children")</f>
        <v>Children</v>
      </c>
      <c r="Q368" s="7" t="n">
        <f aca="false">IF(J368="NOT USED",1,0)</f>
        <v>0</v>
      </c>
      <c r="R368" s="7" t="n">
        <f aca="false">IF(AND(P368="Children",Q368=0),1,0)</f>
        <v>1</v>
      </c>
      <c r="S368" s="7" t="n">
        <f aca="false">IF(AND(R368=1,J368="Record or Recall",K368="12-23 m"),1,0)</f>
        <v>0</v>
      </c>
      <c r="T368" s="7" t="n">
        <f aca="false">IF(OR(I368="BCG",I368="DTP1",I368="DTP3",I368="POL3",I368="MCV1",I368="FULL"),1,0)</f>
        <v>1</v>
      </c>
      <c r="U368" s="7" t="n">
        <f aca="false">IF(OR(C368="DHS",C368="MICS"),1,0)</f>
        <v>1</v>
      </c>
      <c r="V368" s="7" t="n">
        <f aca="false">IF(O368="",1,0)</f>
        <v>0</v>
      </c>
      <c r="W368" s="7" t="n">
        <f aca="false">IF(M368="",1,0)</f>
        <v>1</v>
      </c>
      <c r="X368" s="7" t="n">
        <f aca="false">COUNTIFS($B$2:$B$1141,B368,$H$2:$H$1141,H368,$I$2:$I$1141,I368,$J$2:$J$1141,J368,$K$2:$K$1141,K368,$L$2:$L$1141,L368)</f>
        <v>1</v>
      </c>
    </row>
    <row r="369" customFormat="false" ht="15" hidden="false" customHeight="false" outlineLevel="0" collapsed="false">
      <c r="A369" s="7" t="n">
        <f aca="false">ROW()-1</f>
        <v>368</v>
      </c>
      <c r="B369" s="7" t="str">
        <f aca="false">IF(Raw_Nigeria!B369="",TRIM(Raw_Nigeria!C369),TRIM(Raw_Nigeria!B369))</f>
        <v>Nigeria Multiple Indicator Cluster Survey 2016-2017</v>
      </c>
      <c r="C369" s="7" t="str">
        <f aca="false">IF(ISNUMBER(SEARCH("Demographic and Health",B369)),"DHS",IF(OR(ISNUMBER(SEARCH("Multiple Indicator Cluster",B369)),ISNUMBER(SEARCH("MICS",B369))),"MICS",IF(ISNUMBER(SEARCH("Immunization Coverage Survey",B369)),"Coverage survey",IF(ISNUMBER(SEARCH("Nutrition",B369)),"Nutrition survey","Other"))))</f>
        <v>MICS</v>
      </c>
      <c r="D369" s="7" t="n">
        <f aca="false">VALUE(LEFT(Raw_Nigeria!D369,4))</f>
        <v>2016</v>
      </c>
      <c r="E369" s="7" t="n">
        <f aca="false">IF(VALUE(RIGHT(Raw_Nigeria!D369,2))&gt;12,"",VALUE(RIGHT(Raw_Nigeria!D369,2)))</f>
        <v>9</v>
      </c>
      <c r="F369" s="7" t="n">
        <f aca="false">VALUE(LEFT(Raw_Nigeria!E369,4))</f>
        <v>2017</v>
      </c>
      <c r="G369" s="7" t="n">
        <f aca="false">IF(VALUE(RIGHT(Raw_Nigeria!E369,2))&gt;12,"",VALUE(RIGHT(Raw_Nigeria!E369,2)))</f>
        <v>1</v>
      </c>
      <c r="H369" s="7" t="n">
        <f aca="false">Raw_Nigeria!F369</f>
        <v>2014</v>
      </c>
      <c r="I369" s="7" t="str">
        <f aca="false">UPPER(TRIM(Raw_Nigeria!G369))</f>
        <v>DTP1</v>
      </c>
      <c r="J369" s="7" t="str">
        <f aca="false">Raw_Nigeria!H369</f>
        <v>Record or Recall&lt;12m</v>
      </c>
      <c r="K369" s="7" t="str">
        <f aca="false">Raw_Nigeria!L369</f>
        <v>24-35 m</v>
      </c>
      <c r="L369" s="7" t="str">
        <f aca="false">IF(Raw_Nigeria!K369="","n/a",Raw_Nigeria!K369)</f>
        <v>0-12 m</v>
      </c>
      <c r="M369" s="7" t="str">
        <f aca="false">IF(Raw_Nigeria!I369="","",Raw_Nigeria!I369)</f>
        <v/>
      </c>
      <c r="N369" s="7" t="n">
        <f aca="false">Raw_Nigeria!M369</f>
        <v>44.7</v>
      </c>
      <c r="O369" s="7" t="n">
        <f aca="false">IF(Raw_Nigeria!N369="","",Raw_Nigeria!N369)</f>
        <v>5514</v>
      </c>
      <c r="P369" s="7" t="str">
        <f aca="false">IF(K369="CBAW","Women of child-bearing age","Children")</f>
        <v>Children</v>
      </c>
      <c r="Q369" s="7" t="n">
        <f aca="false">IF(J369="NOT USED",1,0)</f>
        <v>0</v>
      </c>
      <c r="R369" s="7" t="n">
        <f aca="false">IF(AND(P369="Children",Q369=0),1,0)</f>
        <v>1</v>
      </c>
      <c r="S369" s="7" t="n">
        <f aca="false">IF(AND(R369=1,J369="Record or Recall",K369="12-23 m"),1,0)</f>
        <v>0</v>
      </c>
      <c r="T369" s="7" t="n">
        <f aca="false">IF(OR(I369="BCG",I369="DTP1",I369="DTP3",I369="POL3",I369="MCV1",I369="FULL"),1,0)</f>
        <v>1</v>
      </c>
      <c r="U369" s="7" t="n">
        <f aca="false">IF(OR(C369="DHS",C369="MICS"),1,0)</f>
        <v>1</v>
      </c>
      <c r="V369" s="7" t="n">
        <f aca="false">IF(O369="",1,0)</f>
        <v>0</v>
      </c>
      <c r="W369" s="7" t="n">
        <f aca="false">IF(M369="",1,0)</f>
        <v>1</v>
      </c>
      <c r="X369" s="7" t="n">
        <f aca="false">COUNTIFS($B$2:$B$1141,B369,$H$2:$H$1141,H369,$I$2:$I$1141,I369,$J$2:$J$1141,J369,$K$2:$K$1141,K369,$L$2:$L$1141,L369)</f>
        <v>1</v>
      </c>
    </row>
    <row r="370" customFormat="false" ht="15" hidden="false" customHeight="false" outlineLevel="0" collapsed="false">
      <c r="A370" s="7" t="n">
        <f aca="false">ROW()-1</f>
        <v>369</v>
      </c>
      <c r="B370" s="7" t="str">
        <f aca="false">IF(Raw_Nigeria!B370="",TRIM(Raw_Nigeria!C370),TRIM(Raw_Nigeria!B370))</f>
        <v>Nigeria Multiple Indicator Cluster Survey 2016-2017</v>
      </c>
      <c r="C370" s="7" t="str">
        <f aca="false">IF(ISNUMBER(SEARCH("Demographic and Health",B370)),"DHS",IF(OR(ISNUMBER(SEARCH("Multiple Indicator Cluster",B370)),ISNUMBER(SEARCH("MICS",B370))),"MICS",IF(ISNUMBER(SEARCH("Immunization Coverage Survey",B370)),"Coverage survey",IF(ISNUMBER(SEARCH("Nutrition",B370)),"Nutrition survey","Other"))))</f>
        <v>MICS</v>
      </c>
      <c r="D370" s="7" t="n">
        <f aca="false">VALUE(LEFT(Raw_Nigeria!D370,4))</f>
        <v>2016</v>
      </c>
      <c r="E370" s="7" t="n">
        <f aca="false">IF(VALUE(RIGHT(Raw_Nigeria!D370,2))&gt;12,"",VALUE(RIGHT(Raw_Nigeria!D370,2)))</f>
        <v>9</v>
      </c>
      <c r="F370" s="7" t="n">
        <f aca="false">VALUE(LEFT(Raw_Nigeria!E370,4))</f>
        <v>2017</v>
      </c>
      <c r="G370" s="7" t="n">
        <f aca="false">IF(VALUE(RIGHT(Raw_Nigeria!E370,2))&gt;12,"",VALUE(RIGHT(Raw_Nigeria!E370,2)))</f>
        <v>1</v>
      </c>
      <c r="H370" s="7" t="n">
        <f aca="false">Raw_Nigeria!F370</f>
        <v>2014</v>
      </c>
      <c r="I370" s="7" t="str">
        <f aca="false">UPPER(TRIM(Raw_Nigeria!G370))</f>
        <v>DTP1</v>
      </c>
      <c r="J370" s="7" t="str">
        <f aca="false">Raw_Nigeria!H370</f>
        <v>Record</v>
      </c>
      <c r="K370" s="7" t="str">
        <f aca="false">Raw_Nigeria!L370</f>
        <v>24-35 m</v>
      </c>
      <c r="L370" s="7" t="str">
        <f aca="false">IF(Raw_Nigeria!K370="","n/a",Raw_Nigeria!K370)</f>
        <v>0-35 m</v>
      </c>
      <c r="M370" s="7" t="str">
        <f aca="false">IF(Raw_Nigeria!I370="","",Raw_Nigeria!I370)</f>
        <v/>
      </c>
      <c r="N370" s="7" t="n">
        <f aca="false">Raw_Nigeria!M370</f>
        <v>18.4</v>
      </c>
      <c r="O370" s="7" t="n">
        <f aca="false">IF(Raw_Nigeria!N370="","",Raw_Nigeria!N370)</f>
        <v>5514</v>
      </c>
      <c r="P370" s="7" t="str">
        <f aca="false">IF(K370="CBAW","Women of child-bearing age","Children")</f>
        <v>Children</v>
      </c>
      <c r="Q370" s="7" t="n">
        <f aca="false">IF(J370="NOT USED",1,0)</f>
        <v>0</v>
      </c>
      <c r="R370" s="7" t="n">
        <f aca="false">IF(AND(P370="Children",Q370=0),1,0)</f>
        <v>1</v>
      </c>
      <c r="S370" s="7" t="n">
        <f aca="false">IF(AND(R370=1,J370="Record or Recall",K370="12-23 m"),1,0)</f>
        <v>0</v>
      </c>
      <c r="T370" s="7" t="n">
        <f aca="false">IF(OR(I370="BCG",I370="DTP1",I370="DTP3",I370="POL3",I370="MCV1",I370="FULL"),1,0)</f>
        <v>1</v>
      </c>
      <c r="U370" s="7" t="n">
        <f aca="false">IF(OR(C370="DHS",C370="MICS"),1,0)</f>
        <v>1</v>
      </c>
      <c r="V370" s="7" t="n">
        <f aca="false">IF(O370="",1,0)</f>
        <v>0</v>
      </c>
      <c r="W370" s="7" t="n">
        <f aca="false">IF(M370="",1,0)</f>
        <v>1</v>
      </c>
      <c r="X370" s="7" t="n">
        <f aca="false">COUNTIFS($B$2:$B$1141,B370,$H$2:$H$1141,H370,$I$2:$I$1141,I370,$J$2:$J$1141,J370,$K$2:$K$1141,K370,$L$2:$L$1141,L370)</f>
        <v>1</v>
      </c>
    </row>
    <row r="371" customFormat="false" ht="15" hidden="false" customHeight="false" outlineLevel="0" collapsed="false">
      <c r="A371" s="7" t="n">
        <f aca="false">ROW()-1</f>
        <v>370</v>
      </c>
      <c r="B371" s="7" t="str">
        <f aca="false">IF(Raw_Nigeria!B371="",TRIM(Raw_Nigeria!C371),TRIM(Raw_Nigeria!B371))</f>
        <v>Nigeria Multiple Indicator Cluster Survey 2016-2017</v>
      </c>
      <c r="C371" s="7" t="str">
        <f aca="false">IF(ISNUMBER(SEARCH("Demographic and Health",B371)),"DHS",IF(OR(ISNUMBER(SEARCH("Multiple Indicator Cluster",B371)),ISNUMBER(SEARCH("MICS",B371))),"MICS",IF(ISNUMBER(SEARCH("Immunization Coverage Survey",B371)),"Coverage survey",IF(ISNUMBER(SEARCH("Nutrition",B371)),"Nutrition survey","Other"))))</f>
        <v>MICS</v>
      </c>
      <c r="D371" s="7" t="n">
        <f aca="false">VALUE(LEFT(Raw_Nigeria!D371,4))</f>
        <v>2016</v>
      </c>
      <c r="E371" s="7" t="n">
        <f aca="false">IF(VALUE(RIGHT(Raw_Nigeria!D371,2))&gt;12,"",VALUE(RIGHT(Raw_Nigeria!D371,2)))</f>
        <v>9</v>
      </c>
      <c r="F371" s="7" t="n">
        <f aca="false">VALUE(LEFT(Raw_Nigeria!E371,4))</f>
        <v>2017</v>
      </c>
      <c r="G371" s="7" t="n">
        <f aca="false">IF(VALUE(RIGHT(Raw_Nigeria!E371,2))&gt;12,"",VALUE(RIGHT(Raw_Nigeria!E371,2)))</f>
        <v>1</v>
      </c>
      <c r="H371" s="7" t="n">
        <f aca="false">Raw_Nigeria!F371</f>
        <v>2014</v>
      </c>
      <c r="I371" s="7" t="str">
        <f aca="false">UPPER(TRIM(Raw_Nigeria!G371))</f>
        <v>DTP1</v>
      </c>
      <c r="J371" s="7" t="str">
        <f aca="false">Raw_Nigeria!H371</f>
        <v>Record or Recall</v>
      </c>
      <c r="K371" s="7" t="str">
        <f aca="false">Raw_Nigeria!L371</f>
        <v>24-35 m</v>
      </c>
      <c r="L371" s="7" t="str">
        <f aca="false">IF(Raw_Nigeria!K371="","n/a",Raw_Nigeria!K371)</f>
        <v>0-35 m</v>
      </c>
      <c r="M371" s="7" t="str">
        <f aca="false">IF(Raw_Nigeria!I371="","",Raw_Nigeria!I371)</f>
        <v/>
      </c>
      <c r="N371" s="7" t="n">
        <f aca="false">Raw_Nigeria!M371</f>
        <v>47.8</v>
      </c>
      <c r="O371" s="7" t="n">
        <f aca="false">IF(Raw_Nigeria!N371="","",Raw_Nigeria!N371)</f>
        <v>5514</v>
      </c>
      <c r="P371" s="7" t="str">
        <f aca="false">IF(K371="CBAW","Women of child-bearing age","Children")</f>
        <v>Children</v>
      </c>
      <c r="Q371" s="7" t="n">
        <f aca="false">IF(J371="NOT USED",1,0)</f>
        <v>0</v>
      </c>
      <c r="R371" s="7" t="n">
        <f aca="false">IF(AND(P371="Children",Q371=0),1,0)</f>
        <v>1</v>
      </c>
      <c r="S371" s="7" t="n">
        <f aca="false">IF(AND(R371=1,J371="Record or Recall",K371="12-23 m"),1,0)</f>
        <v>0</v>
      </c>
      <c r="T371" s="7" t="n">
        <f aca="false">IF(OR(I371="BCG",I371="DTP1",I371="DTP3",I371="POL3",I371="MCV1",I371="FULL"),1,0)</f>
        <v>1</v>
      </c>
      <c r="U371" s="7" t="n">
        <f aca="false">IF(OR(C371="DHS",C371="MICS"),1,0)</f>
        <v>1</v>
      </c>
      <c r="V371" s="7" t="n">
        <f aca="false">IF(O371="",1,0)</f>
        <v>0</v>
      </c>
      <c r="W371" s="7" t="n">
        <f aca="false">IF(M371="",1,0)</f>
        <v>1</v>
      </c>
      <c r="X371" s="7" t="n">
        <f aca="false">COUNTIFS($B$2:$B$1141,B371,$H$2:$H$1141,H371,$I$2:$I$1141,I371,$J$2:$J$1141,J371,$K$2:$K$1141,K371,$L$2:$L$1141,L371)</f>
        <v>1</v>
      </c>
    </row>
    <row r="372" customFormat="false" ht="15" hidden="false" customHeight="false" outlineLevel="0" collapsed="false">
      <c r="A372" s="7" t="n">
        <f aca="false">ROW()-1</f>
        <v>371</v>
      </c>
      <c r="B372" s="7" t="str">
        <f aca="false">IF(Raw_Nigeria!B372="",TRIM(Raw_Nigeria!C372),TRIM(Raw_Nigeria!B372))</f>
        <v>Nigeria Multiple Indicator Cluster Survey 2016-2017</v>
      </c>
      <c r="C372" s="7" t="str">
        <f aca="false">IF(ISNUMBER(SEARCH("Demographic and Health",B372)),"DHS",IF(OR(ISNUMBER(SEARCH("Multiple Indicator Cluster",B372)),ISNUMBER(SEARCH("MICS",B372))),"MICS",IF(ISNUMBER(SEARCH("Immunization Coverage Survey",B372)),"Coverage survey",IF(ISNUMBER(SEARCH("Nutrition",B372)),"Nutrition survey","Other"))))</f>
        <v>MICS</v>
      </c>
      <c r="D372" s="7" t="n">
        <f aca="false">VALUE(LEFT(Raw_Nigeria!D372,4))</f>
        <v>2016</v>
      </c>
      <c r="E372" s="7" t="n">
        <f aca="false">IF(VALUE(RIGHT(Raw_Nigeria!D372,2))&gt;12,"",VALUE(RIGHT(Raw_Nigeria!D372,2)))</f>
        <v>9</v>
      </c>
      <c r="F372" s="7" t="n">
        <f aca="false">VALUE(LEFT(Raw_Nigeria!E372,4))</f>
        <v>2017</v>
      </c>
      <c r="G372" s="7" t="n">
        <f aca="false">IF(VALUE(RIGHT(Raw_Nigeria!E372,2))&gt;12,"",VALUE(RIGHT(Raw_Nigeria!E372,2)))</f>
        <v>1</v>
      </c>
      <c r="H372" s="7" t="n">
        <f aca="false">Raw_Nigeria!F372</f>
        <v>2014</v>
      </c>
      <c r="I372" s="7" t="str">
        <f aca="false">UPPER(TRIM(Raw_Nigeria!G372))</f>
        <v>DTP1</v>
      </c>
      <c r="J372" s="7" t="str">
        <f aca="false">Raw_Nigeria!H372</f>
        <v>Recall</v>
      </c>
      <c r="K372" s="7" t="str">
        <f aca="false">Raw_Nigeria!L372</f>
        <v>24-35 m</v>
      </c>
      <c r="L372" s="7" t="str">
        <f aca="false">IF(Raw_Nigeria!K372="","n/a",Raw_Nigeria!K372)</f>
        <v>0-35 m</v>
      </c>
      <c r="M372" s="7" t="str">
        <f aca="false">IF(Raw_Nigeria!I372="","",Raw_Nigeria!I372)</f>
        <v/>
      </c>
      <c r="N372" s="7" t="n">
        <f aca="false">Raw_Nigeria!M372</f>
        <v>29.4</v>
      </c>
      <c r="O372" s="7" t="n">
        <f aca="false">IF(Raw_Nigeria!N372="","",Raw_Nigeria!N372)</f>
        <v>5514</v>
      </c>
      <c r="P372" s="7" t="str">
        <f aca="false">IF(K372="CBAW","Women of child-bearing age","Children")</f>
        <v>Children</v>
      </c>
      <c r="Q372" s="7" t="n">
        <f aca="false">IF(J372="NOT USED",1,0)</f>
        <v>0</v>
      </c>
      <c r="R372" s="7" t="n">
        <f aca="false">IF(AND(P372="Children",Q372=0),1,0)</f>
        <v>1</v>
      </c>
      <c r="S372" s="7" t="n">
        <f aca="false">IF(AND(R372=1,J372="Record or Recall",K372="12-23 m"),1,0)</f>
        <v>0</v>
      </c>
      <c r="T372" s="7" t="n">
        <f aca="false">IF(OR(I372="BCG",I372="DTP1",I372="DTP3",I372="POL3",I372="MCV1",I372="FULL"),1,0)</f>
        <v>1</v>
      </c>
      <c r="U372" s="7" t="n">
        <f aca="false">IF(OR(C372="DHS",C372="MICS"),1,0)</f>
        <v>1</v>
      </c>
      <c r="V372" s="7" t="n">
        <f aca="false">IF(O372="",1,0)</f>
        <v>0</v>
      </c>
      <c r="W372" s="7" t="n">
        <f aca="false">IF(M372="",1,0)</f>
        <v>1</v>
      </c>
      <c r="X372" s="7" t="n">
        <f aca="false">COUNTIFS($B$2:$B$1141,B372,$H$2:$H$1141,H372,$I$2:$I$1141,I372,$J$2:$J$1141,J372,$K$2:$K$1141,K372,$L$2:$L$1141,L372)</f>
        <v>1</v>
      </c>
    </row>
    <row r="373" customFormat="false" ht="15" hidden="false" customHeight="false" outlineLevel="0" collapsed="false">
      <c r="A373" s="7" t="n">
        <f aca="false">ROW()-1</f>
        <v>372</v>
      </c>
      <c r="B373" s="7" t="str">
        <f aca="false">IF(Raw_Nigeria!B373="",TRIM(Raw_Nigeria!C373),TRIM(Raw_Nigeria!B373))</f>
        <v>Nigeria Multiple Indicator Cluster Survey 2016-2017</v>
      </c>
      <c r="C373" s="7" t="str">
        <f aca="false">IF(ISNUMBER(SEARCH("Demographic and Health",B373)),"DHS",IF(OR(ISNUMBER(SEARCH("Multiple Indicator Cluster",B373)),ISNUMBER(SEARCH("MICS",B373))),"MICS",IF(ISNUMBER(SEARCH("Immunization Coverage Survey",B373)),"Coverage survey",IF(ISNUMBER(SEARCH("Nutrition",B373)),"Nutrition survey","Other"))))</f>
        <v>MICS</v>
      </c>
      <c r="D373" s="7" t="n">
        <f aca="false">VALUE(LEFT(Raw_Nigeria!D373,4))</f>
        <v>2016</v>
      </c>
      <c r="E373" s="7" t="n">
        <f aca="false">IF(VALUE(RIGHT(Raw_Nigeria!D373,2))&gt;12,"",VALUE(RIGHT(Raw_Nigeria!D373,2)))</f>
        <v>9</v>
      </c>
      <c r="F373" s="7" t="n">
        <f aca="false">VALUE(LEFT(Raw_Nigeria!E373,4))</f>
        <v>2017</v>
      </c>
      <c r="G373" s="7" t="n">
        <f aca="false">IF(VALUE(RIGHT(Raw_Nigeria!E373,2))&gt;12,"",VALUE(RIGHT(Raw_Nigeria!E373,2)))</f>
        <v>1</v>
      </c>
      <c r="H373" s="7" t="n">
        <f aca="false">Raw_Nigeria!F373</f>
        <v>2014</v>
      </c>
      <c r="I373" s="7" t="str">
        <f aca="false">UPPER(TRIM(Raw_Nigeria!G373))</f>
        <v>DTP2</v>
      </c>
      <c r="J373" s="7" t="str">
        <f aca="false">Raw_Nigeria!H373</f>
        <v>Record or Recall&lt;12m</v>
      </c>
      <c r="K373" s="7" t="str">
        <f aca="false">Raw_Nigeria!L373</f>
        <v>24-35 m</v>
      </c>
      <c r="L373" s="7" t="str">
        <f aca="false">IF(Raw_Nigeria!K373="","n/a",Raw_Nigeria!K373)</f>
        <v>0-12 m</v>
      </c>
      <c r="M373" s="7" t="str">
        <f aca="false">IF(Raw_Nigeria!I373="","",Raw_Nigeria!I373)</f>
        <v/>
      </c>
      <c r="N373" s="7" t="n">
        <f aca="false">Raw_Nigeria!M373</f>
        <v>35.1</v>
      </c>
      <c r="O373" s="7" t="n">
        <f aca="false">IF(Raw_Nigeria!N373="","",Raw_Nigeria!N373)</f>
        <v>5514</v>
      </c>
      <c r="P373" s="7" t="str">
        <f aca="false">IF(K373="CBAW","Women of child-bearing age","Children")</f>
        <v>Children</v>
      </c>
      <c r="Q373" s="7" t="n">
        <f aca="false">IF(J373="NOT USED",1,0)</f>
        <v>0</v>
      </c>
      <c r="R373" s="7" t="n">
        <f aca="false">IF(AND(P373="Children",Q373=0),1,0)</f>
        <v>1</v>
      </c>
      <c r="S373" s="7" t="n">
        <f aca="false">IF(AND(R373=1,J373="Record or Recall",K373="12-23 m"),1,0)</f>
        <v>0</v>
      </c>
      <c r="T373" s="7" t="n">
        <f aca="false">IF(OR(I373="BCG",I373="DTP1",I373="DTP3",I373="POL3",I373="MCV1",I373="FULL"),1,0)</f>
        <v>0</v>
      </c>
      <c r="U373" s="7" t="n">
        <f aca="false">IF(OR(C373="DHS",C373="MICS"),1,0)</f>
        <v>1</v>
      </c>
      <c r="V373" s="7" t="n">
        <f aca="false">IF(O373="",1,0)</f>
        <v>0</v>
      </c>
      <c r="W373" s="7" t="n">
        <f aca="false">IF(M373="",1,0)</f>
        <v>1</v>
      </c>
      <c r="X373" s="7" t="n">
        <f aca="false">COUNTIFS($B$2:$B$1141,B373,$H$2:$H$1141,H373,$I$2:$I$1141,I373,$J$2:$J$1141,J373,$K$2:$K$1141,K373,$L$2:$L$1141,L373)</f>
        <v>1</v>
      </c>
    </row>
    <row r="374" customFormat="false" ht="15" hidden="false" customHeight="false" outlineLevel="0" collapsed="false">
      <c r="A374" s="7" t="n">
        <f aca="false">ROW()-1</f>
        <v>373</v>
      </c>
      <c r="B374" s="7" t="str">
        <f aca="false">IF(Raw_Nigeria!B374="",TRIM(Raw_Nigeria!C374),TRIM(Raw_Nigeria!B374))</f>
        <v>Nigeria Multiple Indicator Cluster Survey 2016-2017</v>
      </c>
      <c r="C374" s="7" t="str">
        <f aca="false">IF(ISNUMBER(SEARCH("Demographic and Health",B374)),"DHS",IF(OR(ISNUMBER(SEARCH("Multiple Indicator Cluster",B374)),ISNUMBER(SEARCH("MICS",B374))),"MICS",IF(ISNUMBER(SEARCH("Immunization Coverage Survey",B374)),"Coverage survey",IF(ISNUMBER(SEARCH("Nutrition",B374)),"Nutrition survey","Other"))))</f>
        <v>MICS</v>
      </c>
      <c r="D374" s="7" t="n">
        <f aca="false">VALUE(LEFT(Raw_Nigeria!D374,4))</f>
        <v>2016</v>
      </c>
      <c r="E374" s="7" t="n">
        <f aca="false">IF(VALUE(RIGHT(Raw_Nigeria!D374,2))&gt;12,"",VALUE(RIGHT(Raw_Nigeria!D374,2)))</f>
        <v>9</v>
      </c>
      <c r="F374" s="7" t="n">
        <f aca="false">VALUE(LEFT(Raw_Nigeria!E374,4))</f>
        <v>2017</v>
      </c>
      <c r="G374" s="7" t="n">
        <f aca="false">IF(VALUE(RIGHT(Raw_Nigeria!E374,2))&gt;12,"",VALUE(RIGHT(Raw_Nigeria!E374,2)))</f>
        <v>1</v>
      </c>
      <c r="H374" s="7" t="n">
        <f aca="false">Raw_Nigeria!F374</f>
        <v>2014</v>
      </c>
      <c r="I374" s="7" t="str">
        <f aca="false">UPPER(TRIM(Raw_Nigeria!G374))</f>
        <v>DTP2</v>
      </c>
      <c r="J374" s="7" t="str">
        <f aca="false">Raw_Nigeria!H374</f>
        <v>Record</v>
      </c>
      <c r="K374" s="7" t="str">
        <f aca="false">Raw_Nigeria!L374</f>
        <v>24-35 m</v>
      </c>
      <c r="L374" s="7" t="str">
        <f aca="false">IF(Raw_Nigeria!K374="","n/a",Raw_Nigeria!K374)</f>
        <v>0-35 m</v>
      </c>
      <c r="M374" s="7" t="str">
        <f aca="false">IF(Raw_Nigeria!I374="","",Raw_Nigeria!I374)</f>
        <v/>
      </c>
      <c r="N374" s="7" t="n">
        <f aca="false">Raw_Nigeria!M374</f>
        <v>16.8</v>
      </c>
      <c r="O374" s="7" t="n">
        <f aca="false">IF(Raw_Nigeria!N374="","",Raw_Nigeria!N374)</f>
        <v>5514</v>
      </c>
      <c r="P374" s="7" t="str">
        <f aca="false">IF(K374="CBAW","Women of child-bearing age","Children")</f>
        <v>Children</v>
      </c>
      <c r="Q374" s="7" t="n">
        <f aca="false">IF(J374="NOT USED",1,0)</f>
        <v>0</v>
      </c>
      <c r="R374" s="7" t="n">
        <f aca="false">IF(AND(P374="Children",Q374=0),1,0)</f>
        <v>1</v>
      </c>
      <c r="S374" s="7" t="n">
        <f aca="false">IF(AND(R374=1,J374="Record or Recall",K374="12-23 m"),1,0)</f>
        <v>0</v>
      </c>
      <c r="T374" s="7" t="n">
        <f aca="false">IF(OR(I374="BCG",I374="DTP1",I374="DTP3",I374="POL3",I374="MCV1",I374="FULL"),1,0)</f>
        <v>0</v>
      </c>
      <c r="U374" s="7" t="n">
        <f aca="false">IF(OR(C374="DHS",C374="MICS"),1,0)</f>
        <v>1</v>
      </c>
      <c r="V374" s="7" t="n">
        <f aca="false">IF(O374="",1,0)</f>
        <v>0</v>
      </c>
      <c r="W374" s="7" t="n">
        <f aca="false">IF(M374="",1,0)</f>
        <v>1</v>
      </c>
      <c r="X374" s="7" t="n">
        <f aca="false">COUNTIFS($B$2:$B$1141,B374,$H$2:$H$1141,H374,$I$2:$I$1141,I374,$J$2:$J$1141,J374,$K$2:$K$1141,K374,$L$2:$L$1141,L374)</f>
        <v>1</v>
      </c>
    </row>
    <row r="375" customFormat="false" ht="15" hidden="false" customHeight="false" outlineLevel="0" collapsed="false">
      <c r="A375" s="7" t="n">
        <f aca="false">ROW()-1</f>
        <v>374</v>
      </c>
      <c r="B375" s="7" t="str">
        <f aca="false">IF(Raw_Nigeria!B375="",TRIM(Raw_Nigeria!C375),TRIM(Raw_Nigeria!B375))</f>
        <v>Nigeria Multiple Indicator Cluster Survey 2016-2017</v>
      </c>
      <c r="C375" s="7" t="str">
        <f aca="false">IF(ISNUMBER(SEARCH("Demographic and Health",B375)),"DHS",IF(OR(ISNUMBER(SEARCH("Multiple Indicator Cluster",B375)),ISNUMBER(SEARCH("MICS",B375))),"MICS",IF(ISNUMBER(SEARCH("Immunization Coverage Survey",B375)),"Coverage survey",IF(ISNUMBER(SEARCH("Nutrition",B375)),"Nutrition survey","Other"))))</f>
        <v>MICS</v>
      </c>
      <c r="D375" s="7" t="n">
        <f aca="false">VALUE(LEFT(Raw_Nigeria!D375,4))</f>
        <v>2016</v>
      </c>
      <c r="E375" s="7" t="n">
        <f aca="false">IF(VALUE(RIGHT(Raw_Nigeria!D375,2))&gt;12,"",VALUE(RIGHT(Raw_Nigeria!D375,2)))</f>
        <v>9</v>
      </c>
      <c r="F375" s="7" t="n">
        <f aca="false">VALUE(LEFT(Raw_Nigeria!E375,4))</f>
        <v>2017</v>
      </c>
      <c r="G375" s="7" t="n">
        <f aca="false">IF(VALUE(RIGHT(Raw_Nigeria!E375,2))&gt;12,"",VALUE(RIGHT(Raw_Nigeria!E375,2)))</f>
        <v>1</v>
      </c>
      <c r="H375" s="7" t="n">
        <f aca="false">Raw_Nigeria!F375</f>
        <v>2014</v>
      </c>
      <c r="I375" s="7" t="str">
        <f aca="false">UPPER(TRIM(Raw_Nigeria!G375))</f>
        <v>DTP2</v>
      </c>
      <c r="J375" s="7" t="str">
        <f aca="false">Raw_Nigeria!H375</f>
        <v>Record or Recall</v>
      </c>
      <c r="K375" s="7" t="str">
        <f aca="false">Raw_Nigeria!L375</f>
        <v>24-35 m</v>
      </c>
      <c r="L375" s="7" t="str">
        <f aca="false">IF(Raw_Nigeria!K375="","n/a",Raw_Nigeria!K375)</f>
        <v>0-35 m</v>
      </c>
      <c r="M375" s="7" t="str">
        <f aca="false">IF(Raw_Nigeria!I375="","",Raw_Nigeria!I375)</f>
        <v/>
      </c>
      <c r="N375" s="7" t="n">
        <f aca="false">Raw_Nigeria!M375</f>
        <v>38.2</v>
      </c>
      <c r="O375" s="7" t="n">
        <f aca="false">IF(Raw_Nigeria!N375="","",Raw_Nigeria!N375)</f>
        <v>5514</v>
      </c>
      <c r="P375" s="7" t="str">
        <f aca="false">IF(K375="CBAW","Women of child-bearing age","Children")</f>
        <v>Children</v>
      </c>
      <c r="Q375" s="7" t="n">
        <f aca="false">IF(J375="NOT USED",1,0)</f>
        <v>0</v>
      </c>
      <c r="R375" s="7" t="n">
        <f aca="false">IF(AND(P375="Children",Q375=0),1,0)</f>
        <v>1</v>
      </c>
      <c r="S375" s="7" t="n">
        <f aca="false">IF(AND(R375=1,J375="Record or Recall",K375="12-23 m"),1,0)</f>
        <v>0</v>
      </c>
      <c r="T375" s="7" t="n">
        <f aca="false">IF(OR(I375="BCG",I375="DTP1",I375="DTP3",I375="POL3",I375="MCV1",I375="FULL"),1,0)</f>
        <v>0</v>
      </c>
      <c r="U375" s="7" t="n">
        <f aca="false">IF(OR(C375="DHS",C375="MICS"),1,0)</f>
        <v>1</v>
      </c>
      <c r="V375" s="7" t="n">
        <f aca="false">IF(O375="",1,0)</f>
        <v>0</v>
      </c>
      <c r="W375" s="7" t="n">
        <f aca="false">IF(M375="",1,0)</f>
        <v>1</v>
      </c>
      <c r="X375" s="7" t="n">
        <f aca="false">COUNTIFS($B$2:$B$1141,B375,$H$2:$H$1141,H375,$I$2:$I$1141,I375,$J$2:$J$1141,J375,$K$2:$K$1141,K375,$L$2:$L$1141,L375)</f>
        <v>1</v>
      </c>
    </row>
    <row r="376" customFormat="false" ht="15" hidden="false" customHeight="false" outlineLevel="0" collapsed="false">
      <c r="A376" s="7" t="n">
        <f aca="false">ROW()-1</f>
        <v>375</v>
      </c>
      <c r="B376" s="7" t="str">
        <f aca="false">IF(Raw_Nigeria!B376="",TRIM(Raw_Nigeria!C376),TRIM(Raw_Nigeria!B376))</f>
        <v>Nigeria Multiple Indicator Cluster Survey 2016-2017</v>
      </c>
      <c r="C376" s="7" t="str">
        <f aca="false">IF(ISNUMBER(SEARCH("Demographic and Health",B376)),"DHS",IF(OR(ISNUMBER(SEARCH("Multiple Indicator Cluster",B376)),ISNUMBER(SEARCH("MICS",B376))),"MICS",IF(ISNUMBER(SEARCH("Immunization Coverage Survey",B376)),"Coverage survey",IF(ISNUMBER(SEARCH("Nutrition",B376)),"Nutrition survey","Other"))))</f>
        <v>MICS</v>
      </c>
      <c r="D376" s="7" t="n">
        <f aca="false">VALUE(LEFT(Raw_Nigeria!D376,4))</f>
        <v>2016</v>
      </c>
      <c r="E376" s="7" t="n">
        <f aca="false">IF(VALUE(RIGHT(Raw_Nigeria!D376,2))&gt;12,"",VALUE(RIGHT(Raw_Nigeria!D376,2)))</f>
        <v>9</v>
      </c>
      <c r="F376" s="7" t="n">
        <f aca="false">VALUE(LEFT(Raw_Nigeria!E376,4))</f>
        <v>2017</v>
      </c>
      <c r="G376" s="7" t="n">
        <f aca="false">IF(VALUE(RIGHT(Raw_Nigeria!E376,2))&gt;12,"",VALUE(RIGHT(Raw_Nigeria!E376,2)))</f>
        <v>1</v>
      </c>
      <c r="H376" s="7" t="n">
        <f aca="false">Raw_Nigeria!F376</f>
        <v>2014</v>
      </c>
      <c r="I376" s="7" t="str">
        <f aca="false">UPPER(TRIM(Raw_Nigeria!G376))</f>
        <v>DTP2</v>
      </c>
      <c r="J376" s="7" t="str">
        <f aca="false">Raw_Nigeria!H376</f>
        <v>Recall</v>
      </c>
      <c r="K376" s="7" t="str">
        <f aca="false">Raw_Nigeria!L376</f>
        <v>24-35 m</v>
      </c>
      <c r="L376" s="7" t="str">
        <f aca="false">IF(Raw_Nigeria!K376="","n/a",Raw_Nigeria!K376)</f>
        <v>0-35 m</v>
      </c>
      <c r="M376" s="7" t="str">
        <f aca="false">IF(Raw_Nigeria!I376="","",Raw_Nigeria!I376)</f>
        <v/>
      </c>
      <c r="N376" s="7" t="n">
        <f aca="false">Raw_Nigeria!M376</f>
        <v>21.3</v>
      </c>
      <c r="O376" s="7" t="n">
        <f aca="false">IF(Raw_Nigeria!N376="","",Raw_Nigeria!N376)</f>
        <v>5514</v>
      </c>
      <c r="P376" s="7" t="str">
        <f aca="false">IF(K376="CBAW","Women of child-bearing age","Children")</f>
        <v>Children</v>
      </c>
      <c r="Q376" s="7" t="n">
        <f aca="false">IF(J376="NOT USED",1,0)</f>
        <v>0</v>
      </c>
      <c r="R376" s="7" t="n">
        <f aca="false">IF(AND(P376="Children",Q376=0),1,0)</f>
        <v>1</v>
      </c>
      <c r="S376" s="7" t="n">
        <f aca="false">IF(AND(R376=1,J376="Record or Recall",K376="12-23 m"),1,0)</f>
        <v>0</v>
      </c>
      <c r="T376" s="7" t="n">
        <f aca="false">IF(OR(I376="BCG",I376="DTP1",I376="DTP3",I376="POL3",I376="MCV1",I376="FULL"),1,0)</f>
        <v>0</v>
      </c>
      <c r="U376" s="7" t="n">
        <f aca="false">IF(OR(C376="DHS",C376="MICS"),1,0)</f>
        <v>1</v>
      </c>
      <c r="V376" s="7" t="n">
        <f aca="false">IF(O376="",1,0)</f>
        <v>0</v>
      </c>
      <c r="W376" s="7" t="n">
        <f aca="false">IF(M376="",1,0)</f>
        <v>1</v>
      </c>
      <c r="X376" s="7" t="n">
        <f aca="false">COUNTIFS($B$2:$B$1141,B376,$H$2:$H$1141,H376,$I$2:$I$1141,I376,$J$2:$J$1141,J376,$K$2:$K$1141,K376,$L$2:$L$1141,L376)</f>
        <v>1</v>
      </c>
    </row>
    <row r="377" customFormat="false" ht="15" hidden="false" customHeight="false" outlineLevel="0" collapsed="false">
      <c r="A377" s="7" t="n">
        <f aca="false">ROW()-1</f>
        <v>376</v>
      </c>
      <c r="B377" s="7" t="str">
        <f aca="false">IF(Raw_Nigeria!B377="",TRIM(Raw_Nigeria!C377),TRIM(Raw_Nigeria!B377))</f>
        <v>Nigeria Multiple Indicator Cluster Survey 2016-2017</v>
      </c>
      <c r="C377" s="7" t="str">
        <f aca="false">IF(ISNUMBER(SEARCH("Demographic and Health",B377)),"DHS",IF(OR(ISNUMBER(SEARCH("Multiple Indicator Cluster",B377)),ISNUMBER(SEARCH("MICS",B377))),"MICS",IF(ISNUMBER(SEARCH("Immunization Coverage Survey",B377)),"Coverage survey",IF(ISNUMBER(SEARCH("Nutrition",B377)),"Nutrition survey","Other"))))</f>
        <v>MICS</v>
      </c>
      <c r="D377" s="7" t="n">
        <f aca="false">VALUE(LEFT(Raw_Nigeria!D377,4))</f>
        <v>2016</v>
      </c>
      <c r="E377" s="7" t="n">
        <f aca="false">IF(VALUE(RIGHT(Raw_Nigeria!D377,2))&gt;12,"",VALUE(RIGHT(Raw_Nigeria!D377,2)))</f>
        <v>9</v>
      </c>
      <c r="F377" s="7" t="n">
        <f aca="false">VALUE(LEFT(Raw_Nigeria!E377,4))</f>
        <v>2017</v>
      </c>
      <c r="G377" s="7" t="n">
        <f aca="false">IF(VALUE(RIGHT(Raw_Nigeria!E377,2))&gt;12,"",VALUE(RIGHT(Raw_Nigeria!E377,2)))</f>
        <v>1</v>
      </c>
      <c r="H377" s="7" t="n">
        <f aca="false">Raw_Nigeria!F377</f>
        <v>2014</v>
      </c>
      <c r="I377" s="7" t="str">
        <f aca="false">UPPER(TRIM(Raw_Nigeria!G377))</f>
        <v>DTP3</v>
      </c>
      <c r="J377" s="7" t="str">
        <f aca="false">Raw_Nigeria!H377</f>
        <v>Record or Recall&lt;12m</v>
      </c>
      <c r="K377" s="7" t="str">
        <f aca="false">Raw_Nigeria!L377</f>
        <v>24-35 m</v>
      </c>
      <c r="L377" s="7" t="str">
        <f aca="false">IF(Raw_Nigeria!K377="","n/a",Raw_Nigeria!K377)</f>
        <v>0-12 m</v>
      </c>
      <c r="M377" s="7" t="str">
        <f aca="false">IF(Raw_Nigeria!I377="","",Raw_Nigeria!I377)</f>
        <v/>
      </c>
      <c r="N377" s="7" t="n">
        <f aca="false">Raw_Nigeria!M377</f>
        <v>28.3</v>
      </c>
      <c r="O377" s="7" t="n">
        <f aca="false">IF(Raw_Nigeria!N377="","",Raw_Nigeria!N377)</f>
        <v>5514</v>
      </c>
      <c r="P377" s="7" t="str">
        <f aca="false">IF(K377="CBAW","Women of child-bearing age","Children")</f>
        <v>Children</v>
      </c>
      <c r="Q377" s="7" t="n">
        <f aca="false">IF(J377="NOT USED",1,0)</f>
        <v>0</v>
      </c>
      <c r="R377" s="7" t="n">
        <f aca="false">IF(AND(P377="Children",Q377=0),1,0)</f>
        <v>1</v>
      </c>
      <c r="S377" s="7" t="n">
        <f aca="false">IF(AND(R377=1,J377="Record or Recall",K377="12-23 m"),1,0)</f>
        <v>0</v>
      </c>
      <c r="T377" s="7" t="n">
        <f aca="false">IF(OR(I377="BCG",I377="DTP1",I377="DTP3",I377="POL3",I377="MCV1",I377="FULL"),1,0)</f>
        <v>1</v>
      </c>
      <c r="U377" s="7" t="n">
        <f aca="false">IF(OR(C377="DHS",C377="MICS"),1,0)</f>
        <v>1</v>
      </c>
      <c r="V377" s="7" t="n">
        <f aca="false">IF(O377="",1,0)</f>
        <v>0</v>
      </c>
      <c r="W377" s="7" t="n">
        <f aca="false">IF(M377="",1,0)</f>
        <v>1</v>
      </c>
      <c r="X377" s="7" t="n">
        <f aca="false">COUNTIFS($B$2:$B$1141,B377,$H$2:$H$1141,H377,$I$2:$I$1141,I377,$J$2:$J$1141,J377,$K$2:$K$1141,K377,$L$2:$L$1141,L377)</f>
        <v>1</v>
      </c>
    </row>
    <row r="378" customFormat="false" ht="15" hidden="false" customHeight="false" outlineLevel="0" collapsed="false">
      <c r="A378" s="7" t="n">
        <f aca="false">ROW()-1</f>
        <v>377</v>
      </c>
      <c r="B378" s="7" t="str">
        <f aca="false">IF(Raw_Nigeria!B378="",TRIM(Raw_Nigeria!C378),TRIM(Raw_Nigeria!B378))</f>
        <v>Nigeria Multiple Indicator Cluster Survey 2016-2017</v>
      </c>
      <c r="C378" s="7" t="str">
        <f aca="false">IF(ISNUMBER(SEARCH("Demographic and Health",B378)),"DHS",IF(OR(ISNUMBER(SEARCH("Multiple Indicator Cluster",B378)),ISNUMBER(SEARCH("MICS",B378))),"MICS",IF(ISNUMBER(SEARCH("Immunization Coverage Survey",B378)),"Coverage survey",IF(ISNUMBER(SEARCH("Nutrition",B378)),"Nutrition survey","Other"))))</f>
        <v>MICS</v>
      </c>
      <c r="D378" s="7" t="n">
        <f aca="false">VALUE(LEFT(Raw_Nigeria!D378,4))</f>
        <v>2016</v>
      </c>
      <c r="E378" s="7" t="n">
        <f aca="false">IF(VALUE(RIGHT(Raw_Nigeria!D378,2))&gt;12,"",VALUE(RIGHT(Raw_Nigeria!D378,2)))</f>
        <v>9</v>
      </c>
      <c r="F378" s="7" t="n">
        <f aca="false">VALUE(LEFT(Raw_Nigeria!E378,4))</f>
        <v>2017</v>
      </c>
      <c r="G378" s="7" t="n">
        <f aca="false">IF(VALUE(RIGHT(Raw_Nigeria!E378,2))&gt;12,"",VALUE(RIGHT(Raw_Nigeria!E378,2)))</f>
        <v>1</v>
      </c>
      <c r="H378" s="7" t="n">
        <f aca="false">Raw_Nigeria!F378</f>
        <v>2014</v>
      </c>
      <c r="I378" s="7" t="str">
        <f aca="false">UPPER(TRIM(Raw_Nigeria!G378))</f>
        <v>DTP3</v>
      </c>
      <c r="J378" s="7" t="str">
        <f aca="false">Raw_Nigeria!H378</f>
        <v>Record</v>
      </c>
      <c r="K378" s="7" t="str">
        <f aca="false">Raw_Nigeria!L378</f>
        <v>24-35 m</v>
      </c>
      <c r="L378" s="7" t="str">
        <f aca="false">IF(Raw_Nigeria!K378="","n/a",Raw_Nigeria!K378)</f>
        <v>0-35 m</v>
      </c>
      <c r="M378" s="7" t="str">
        <f aca="false">IF(Raw_Nigeria!I378="","",Raw_Nigeria!I378)</f>
        <v/>
      </c>
      <c r="N378" s="7" t="n">
        <f aca="false">Raw_Nigeria!M378</f>
        <v>15.5</v>
      </c>
      <c r="O378" s="7" t="n">
        <f aca="false">IF(Raw_Nigeria!N378="","",Raw_Nigeria!N378)</f>
        <v>5514</v>
      </c>
      <c r="P378" s="7" t="str">
        <f aca="false">IF(K378="CBAW","Women of child-bearing age","Children")</f>
        <v>Children</v>
      </c>
      <c r="Q378" s="7" t="n">
        <f aca="false">IF(J378="NOT USED",1,0)</f>
        <v>0</v>
      </c>
      <c r="R378" s="7" t="n">
        <f aca="false">IF(AND(P378="Children",Q378=0),1,0)</f>
        <v>1</v>
      </c>
      <c r="S378" s="7" t="n">
        <f aca="false">IF(AND(R378=1,J378="Record or Recall",K378="12-23 m"),1,0)</f>
        <v>0</v>
      </c>
      <c r="T378" s="7" t="n">
        <f aca="false">IF(OR(I378="BCG",I378="DTP1",I378="DTP3",I378="POL3",I378="MCV1",I378="FULL"),1,0)</f>
        <v>1</v>
      </c>
      <c r="U378" s="7" t="n">
        <f aca="false">IF(OR(C378="DHS",C378="MICS"),1,0)</f>
        <v>1</v>
      </c>
      <c r="V378" s="7" t="n">
        <f aca="false">IF(O378="",1,0)</f>
        <v>0</v>
      </c>
      <c r="W378" s="7" t="n">
        <f aca="false">IF(M378="",1,0)</f>
        <v>1</v>
      </c>
      <c r="X378" s="7" t="n">
        <f aca="false">COUNTIFS($B$2:$B$1141,B378,$H$2:$H$1141,H378,$I$2:$I$1141,I378,$J$2:$J$1141,J378,$K$2:$K$1141,K378,$L$2:$L$1141,L378)</f>
        <v>1</v>
      </c>
    </row>
    <row r="379" customFormat="false" ht="15" hidden="false" customHeight="false" outlineLevel="0" collapsed="false">
      <c r="A379" s="7" t="n">
        <f aca="false">ROW()-1</f>
        <v>378</v>
      </c>
      <c r="B379" s="7" t="str">
        <f aca="false">IF(Raw_Nigeria!B379="",TRIM(Raw_Nigeria!C379),TRIM(Raw_Nigeria!B379))</f>
        <v>Nigeria Multiple Indicator Cluster Survey 2016-2017</v>
      </c>
      <c r="C379" s="7" t="str">
        <f aca="false">IF(ISNUMBER(SEARCH("Demographic and Health",B379)),"DHS",IF(OR(ISNUMBER(SEARCH("Multiple Indicator Cluster",B379)),ISNUMBER(SEARCH("MICS",B379))),"MICS",IF(ISNUMBER(SEARCH("Immunization Coverage Survey",B379)),"Coverage survey",IF(ISNUMBER(SEARCH("Nutrition",B379)),"Nutrition survey","Other"))))</f>
        <v>MICS</v>
      </c>
      <c r="D379" s="7" t="n">
        <f aca="false">VALUE(LEFT(Raw_Nigeria!D379,4))</f>
        <v>2016</v>
      </c>
      <c r="E379" s="7" t="n">
        <f aca="false">IF(VALUE(RIGHT(Raw_Nigeria!D379,2))&gt;12,"",VALUE(RIGHT(Raw_Nigeria!D379,2)))</f>
        <v>9</v>
      </c>
      <c r="F379" s="7" t="n">
        <f aca="false">VALUE(LEFT(Raw_Nigeria!E379,4))</f>
        <v>2017</v>
      </c>
      <c r="G379" s="7" t="n">
        <f aca="false">IF(VALUE(RIGHT(Raw_Nigeria!E379,2))&gt;12,"",VALUE(RIGHT(Raw_Nigeria!E379,2)))</f>
        <v>1</v>
      </c>
      <c r="H379" s="7" t="n">
        <f aca="false">Raw_Nigeria!F379</f>
        <v>2014</v>
      </c>
      <c r="I379" s="7" t="str">
        <f aca="false">UPPER(TRIM(Raw_Nigeria!G379))</f>
        <v>DTP3</v>
      </c>
      <c r="J379" s="7" t="str">
        <f aca="false">Raw_Nigeria!H379</f>
        <v>Record or Recall</v>
      </c>
      <c r="K379" s="7" t="str">
        <f aca="false">Raw_Nigeria!L379</f>
        <v>24-35 m</v>
      </c>
      <c r="L379" s="7" t="str">
        <f aca="false">IF(Raw_Nigeria!K379="","n/a",Raw_Nigeria!K379)</f>
        <v>0-35 m</v>
      </c>
      <c r="M379" s="7" t="str">
        <f aca="false">IF(Raw_Nigeria!I379="","",Raw_Nigeria!I379)</f>
        <v/>
      </c>
      <c r="N379" s="7" t="n">
        <f aca="false">Raw_Nigeria!M379</f>
        <v>32.3</v>
      </c>
      <c r="O379" s="7" t="n">
        <f aca="false">IF(Raw_Nigeria!N379="","",Raw_Nigeria!N379)</f>
        <v>5514</v>
      </c>
      <c r="P379" s="7" t="str">
        <f aca="false">IF(K379="CBAW","Women of child-bearing age","Children")</f>
        <v>Children</v>
      </c>
      <c r="Q379" s="7" t="n">
        <f aca="false">IF(J379="NOT USED",1,0)</f>
        <v>0</v>
      </c>
      <c r="R379" s="7" t="n">
        <f aca="false">IF(AND(P379="Children",Q379=0),1,0)</f>
        <v>1</v>
      </c>
      <c r="S379" s="7" t="n">
        <f aca="false">IF(AND(R379=1,J379="Record or Recall",K379="12-23 m"),1,0)</f>
        <v>0</v>
      </c>
      <c r="T379" s="7" t="n">
        <f aca="false">IF(OR(I379="BCG",I379="DTP1",I379="DTP3",I379="POL3",I379="MCV1",I379="FULL"),1,0)</f>
        <v>1</v>
      </c>
      <c r="U379" s="7" t="n">
        <f aca="false">IF(OR(C379="DHS",C379="MICS"),1,0)</f>
        <v>1</v>
      </c>
      <c r="V379" s="7" t="n">
        <f aca="false">IF(O379="",1,0)</f>
        <v>0</v>
      </c>
      <c r="W379" s="7" t="n">
        <f aca="false">IF(M379="",1,0)</f>
        <v>1</v>
      </c>
      <c r="X379" s="7" t="n">
        <f aca="false">COUNTIFS($B$2:$B$1141,B379,$H$2:$H$1141,H379,$I$2:$I$1141,I379,$J$2:$J$1141,J379,$K$2:$K$1141,K379,$L$2:$L$1141,L379)</f>
        <v>1</v>
      </c>
    </row>
    <row r="380" customFormat="false" ht="15" hidden="false" customHeight="false" outlineLevel="0" collapsed="false">
      <c r="A380" s="7" t="n">
        <f aca="false">ROW()-1</f>
        <v>379</v>
      </c>
      <c r="B380" s="7" t="str">
        <f aca="false">IF(Raw_Nigeria!B380="",TRIM(Raw_Nigeria!C380),TRIM(Raw_Nigeria!B380))</f>
        <v>Nigeria Multiple Indicator Cluster Survey 2016-2017</v>
      </c>
      <c r="C380" s="7" t="str">
        <f aca="false">IF(ISNUMBER(SEARCH("Demographic and Health",B380)),"DHS",IF(OR(ISNUMBER(SEARCH("Multiple Indicator Cluster",B380)),ISNUMBER(SEARCH("MICS",B380))),"MICS",IF(ISNUMBER(SEARCH("Immunization Coverage Survey",B380)),"Coverage survey",IF(ISNUMBER(SEARCH("Nutrition",B380)),"Nutrition survey","Other"))))</f>
        <v>MICS</v>
      </c>
      <c r="D380" s="7" t="n">
        <f aca="false">VALUE(LEFT(Raw_Nigeria!D380,4))</f>
        <v>2016</v>
      </c>
      <c r="E380" s="7" t="n">
        <f aca="false">IF(VALUE(RIGHT(Raw_Nigeria!D380,2))&gt;12,"",VALUE(RIGHT(Raw_Nigeria!D380,2)))</f>
        <v>9</v>
      </c>
      <c r="F380" s="7" t="n">
        <f aca="false">VALUE(LEFT(Raw_Nigeria!E380,4))</f>
        <v>2017</v>
      </c>
      <c r="G380" s="7" t="n">
        <f aca="false">IF(VALUE(RIGHT(Raw_Nigeria!E380,2))&gt;12,"",VALUE(RIGHT(Raw_Nigeria!E380,2)))</f>
        <v>1</v>
      </c>
      <c r="H380" s="7" t="n">
        <f aca="false">Raw_Nigeria!F380</f>
        <v>2014</v>
      </c>
      <c r="I380" s="7" t="str">
        <f aca="false">UPPER(TRIM(Raw_Nigeria!G380))</f>
        <v>DTP3</v>
      </c>
      <c r="J380" s="7" t="str">
        <f aca="false">Raw_Nigeria!H380</f>
        <v>Recall</v>
      </c>
      <c r="K380" s="7" t="str">
        <f aca="false">Raw_Nigeria!L380</f>
        <v>24-35 m</v>
      </c>
      <c r="L380" s="7" t="str">
        <f aca="false">IF(Raw_Nigeria!K380="","n/a",Raw_Nigeria!K380)</f>
        <v>0-35 m</v>
      </c>
      <c r="M380" s="7" t="str">
        <f aca="false">IF(Raw_Nigeria!I380="","",Raw_Nigeria!I380)</f>
        <v/>
      </c>
      <c r="N380" s="7" t="n">
        <f aca="false">Raw_Nigeria!M380</f>
        <v>16.8</v>
      </c>
      <c r="O380" s="7" t="n">
        <f aca="false">IF(Raw_Nigeria!N380="","",Raw_Nigeria!N380)</f>
        <v>5514</v>
      </c>
      <c r="P380" s="7" t="str">
        <f aca="false">IF(K380="CBAW","Women of child-bearing age","Children")</f>
        <v>Children</v>
      </c>
      <c r="Q380" s="7" t="n">
        <f aca="false">IF(J380="NOT USED",1,0)</f>
        <v>0</v>
      </c>
      <c r="R380" s="7" t="n">
        <f aca="false">IF(AND(P380="Children",Q380=0),1,0)</f>
        <v>1</v>
      </c>
      <c r="S380" s="7" t="n">
        <f aca="false">IF(AND(R380=1,J380="Record or Recall",K380="12-23 m"),1,0)</f>
        <v>0</v>
      </c>
      <c r="T380" s="7" t="n">
        <f aca="false">IF(OR(I380="BCG",I380="DTP1",I380="DTP3",I380="POL3",I380="MCV1",I380="FULL"),1,0)</f>
        <v>1</v>
      </c>
      <c r="U380" s="7" t="n">
        <f aca="false">IF(OR(C380="DHS",C380="MICS"),1,0)</f>
        <v>1</v>
      </c>
      <c r="V380" s="7" t="n">
        <f aca="false">IF(O380="",1,0)</f>
        <v>0</v>
      </c>
      <c r="W380" s="7" t="n">
        <f aca="false">IF(M380="",1,0)</f>
        <v>1</v>
      </c>
      <c r="X380" s="7" t="n">
        <f aca="false">COUNTIFS($B$2:$B$1141,B380,$H$2:$H$1141,H380,$I$2:$I$1141,I380,$J$2:$J$1141,J380,$K$2:$K$1141,K380,$L$2:$L$1141,L380)</f>
        <v>1</v>
      </c>
    </row>
    <row r="381" customFormat="false" ht="15" hidden="false" customHeight="false" outlineLevel="0" collapsed="false">
      <c r="A381" s="7" t="n">
        <f aca="false">ROW()-1</f>
        <v>380</v>
      </c>
      <c r="B381" s="7" t="str">
        <f aca="false">IF(Raw_Nigeria!B381="",TRIM(Raw_Nigeria!C381),TRIM(Raw_Nigeria!B381))</f>
        <v>Nigeria Multiple Indicator Cluster Survey 2016-2017</v>
      </c>
      <c r="C381" s="7" t="str">
        <f aca="false">IF(ISNUMBER(SEARCH("Demographic and Health",B381)),"DHS",IF(OR(ISNUMBER(SEARCH("Multiple Indicator Cluster",B381)),ISNUMBER(SEARCH("MICS",B381))),"MICS",IF(ISNUMBER(SEARCH("Immunization Coverage Survey",B381)),"Coverage survey",IF(ISNUMBER(SEARCH("Nutrition",B381)),"Nutrition survey","Other"))))</f>
        <v>MICS</v>
      </c>
      <c r="D381" s="7" t="n">
        <f aca="false">VALUE(LEFT(Raw_Nigeria!D381,4))</f>
        <v>2016</v>
      </c>
      <c r="E381" s="7" t="n">
        <f aca="false">IF(VALUE(RIGHT(Raw_Nigeria!D381,2))&gt;12,"",VALUE(RIGHT(Raw_Nigeria!D381,2)))</f>
        <v>9</v>
      </c>
      <c r="F381" s="7" t="n">
        <f aca="false">VALUE(LEFT(Raw_Nigeria!E381,4))</f>
        <v>2017</v>
      </c>
      <c r="G381" s="7" t="n">
        <f aca="false">IF(VALUE(RIGHT(Raw_Nigeria!E381,2))&gt;12,"",VALUE(RIGHT(Raw_Nigeria!E381,2)))</f>
        <v>1</v>
      </c>
      <c r="H381" s="7" t="n">
        <f aca="false">Raw_Nigeria!F381</f>
        <v>2014</v>
      </c>
      <c r="I381" s="7" t="str">
        <f aca="false">UPPER(TRIM(Raw_Nigeria!G381))</f>
        <v>FULL</v>
      </c>
      <c r="J381" s="7" t="str">
        <f aca="false">Raw_Nigeria!H381</f>
        <v>Record or Recall&lt;12m</v>
      </c>
      <c r="K381" s="7" t="str">
        <f aca="false">Raw_Nigeria!L381</f>
        <v>24-35 m</v>
      </c>
      <c r="L381" s="7" t="str">
        <f aca="false">IF(Raw_Nigeria!K381="","n/a",Raw_Nigeria!K381)</f>
        <v>0-12 m</v>
      </c>
      <c r="M381" s="7" t="str">
        <f aca="false">IF(Raw_Nigeria!I381="","",Raw_Nigeria!I381)</f>
        <v/>
      </c>
      <c r="N381" s="7" t="n">
        <f aca="false">Raw_Nigeria!M381</f>
        <v>11.9</v>
      </c>
      <c r="O381" s="7" t="n">
        <f aca="false">IF(Raw_Nigeria!N381="","",Raw_Nigeria!N381)</f>
        <v>5514</v>
      </c>
      <c r="P381" s="7" t="str">
        <f aca="false">IF(K381="CBAW","Women of child-bearing age","Children")</f>
        <v>Children</v>
      </c>
      <c r="Q381" s="7" t="n">
        <f aca="false">IF(J381="NOT USED",1,0)</f>
        <v>0</v>
      </c>
      <c r="R381" s="7" t="n">
        <f aca="false">IF(AND(P381="Children",Q381=0),1,0)</f>
        <v>1</v>
      </c>
      <c r="S381" s="7" t="n">
        <f aca="false">IF(AND(R381=1,J381="Record or Recall",K381="12-23 m"),1,0)</f>
        <v>0</v>
      </c>
      <c r="T381" s="7" t="n">
        <f aca="false">IF(OR(I381="BCG",I381="DTP1",I381="DTP3",I381="POL3",I381="MCV1",I381="FULL"),1,0)</f>
        <v>1</v>
      </c>
      <c r="U381" s="7" t="n">
        <f aca="false">IF(OR(C381="DHS",C381="MICS"),1,0)</f>
        <v>1</v>
      </c>
      <c r="V381" s="7" t="n">
        <f aca="false">IF(O381="",1,0)</f>
        <v>0</v>
      </c>
      <c r="W381" s="7" t="n">
        <f aca="false">IF(M381="",1,0)</f>
        <v>1</v>
      </c>
      <c r="X381" s="7" t="n">
        <f aca="false">COUNTIFS($B$2:$B$1141,B381,$H$2:$H$1141,H381,$I$2:$I$1141,I381,$J$2:$J$1141,J381,$K$2:$K$1141,K381,$L$2:$L$1141,L381)</f>
        <v>1</v>
      </c>
    </row>
    <row r="382" customFormat="false" ht="15" hidden="false" customHeight="false" outlineLevel="0" collapsed="false">
      <c r="A382" s="7" t="n">
        <f aca="false">ROW()-1</f>
        <v>381</v>
      </c>
      <c r="B382" s="7" t="str">
        <f aca="false">IF(Raw_Nigeria!B382="",TRIM(Raw_Nigeria!C382),TRIM(Raw_Nigeria!B382))</f>
        <v>Nigeria Multiple Indicator Cluster Survey 2016-2017</v>
      </c>
      <c r="C382" s="7" t="str">
        <f aca="false">IF(ISNUMBER(SEARCH("Demographic and Health",B382)),"DHS",IF(OR(ISNUMBER(SEARCH("Multiple Indicator Cluster",B382)),ISNUMBER(SEARCH("MICS",B382))),"MICS",IF(ISNUMBER(SEARCH("Immunization Coverage Survey",B382)),"Coverage survey",IF(ISNUMBER(SEARCH("Nutrition",B382)),"Nutrition survey","Other"))))</f>
        <v>MICS</v>
      </c>
      <c r="D382" s="7" t="n">
        <f aca="false">VALUE(LEFT(Raw_Nigeria!D382,4))</f>
        <v>2016</v>
      </c>
      <c r="E382" s="7" t="n">
        <f aca="false">IF(VALUE(RIGHT(Raw_Nigeria!D382,2))&gt;12,"",VALUE(RIGHT(Raw_Nigeria!D382,2)))</f>
        <v>9</v>
      </c>
      <c r="F382" s="7" t="n">
        <f aca="false">VALUE(LEFT(Raw_Nigeria!E382,4))</f>
        <v>2017</v>
      </c>
      <c r="G382" s="7" t="n">
        <f aca="false">IF(VALUE(RIGHT(Raw_Nigeria!E382,2))&gt;12,"",VALUE(RIGHT(Raw_Nigeria!E382,2)))</f>
        <v>1</v>
      </c>
      <c r="H382" s="7" t="n">
        <f aca="false">Raw_Nigeria!F382</f>
        <v>2014</v>
      </c>
      <c r="I382" s="7" t="str">
        <f aca="false">UPPER(TRIM(Raw_Nigeria!G382))</f>
        <v>FULL</v>
      </c>
      <c r="J382" s="7" t="str">
        <f aca="false">Raw_Nigeria!H382</f>
        <v>Record</v>
      </c>
      <c r="K382" s="7" t="str">
        <f aca="false">Raw_Nigeria!L382</f>
        <v>24-35 m</v>
      </c>
      <c r="L382" s="7" t="str">
        <f aca="false">IF(Raw_Nigeria!K382="","n/a",Raw_Nigeria!K382)</f>
        <v>0-35 m</v>
      </c>
      <c r="M382" s="7" t="str">
        <f aca="false">IF(Raw_Nigeria!I382="","",Raw_Nigeria!I382)</f>
        <v/>
      </c>
      <c r="N382" s="7" t="n">
        <f aca="false">Raw_Nigeria!M382</f>
        <v>11.8</v>
      </c>
      <c r="O382" s="7" t="n">
        <f aca="false">IF(Raw_Nigeria!N382="","",Raw_Nigeria!N382)</f>
        <v>5514</v>
      </c>
      <c r="P382" s="7" t="str">
        <f aca="false">IF(K382="CBAW","Women of child-bearing age","Children")</f>
        <v>Children</v>
      </c>
      <c r="Q382" s="7" t="n">
        <f aca="false">IF(J382="NOT USED",1,0)</f>
        <v>0</v>
      </c>
      <c r="R382" s="7" t="n">
        <f aca="false">IF(AND(P382="Children",Q382=0),1,0)</f>
        <v>1</v>
      </c>
      <c r="S382" s="7" t="n">
        <f aca="false">IF(AND(R382=1,J382="Record or Recall",K382="12-23 m"),1,0)</f>
        <v>0</v>
      </c>
      <c r="T382" s="7" t="n">
        <f aca="false">IF(OR(I382="BCG",I382="DTP1",I382="DTP3",I382="POL3",I382="MCV1",I382="FULL"),1,0)</f>
        <v>1</v>
      </c>
      <c r="U382" s="7" t="n">
        <f aca="false">IF(OR(C382="DHS",C382="MICS"),1,0)</f>
        <v>1</v>
      </c>
      <c r="V382" s="7" t="n">
        <f aca="false">IF(O382="",1,0)</f>
        <v>0</v>
      </c>
      <c r="W382" s="7" t="n">
        <f aca="false">IF(M382="",1,0)</f>
        <v>1</v>
      </c>
      <c r="X382" s="7" t="n">
        <f aca="false">COUNTIFS($B$2:$B$1141,B382,$H$2:$H$1141,H382,$I$2:$I$1141,I382,$J$2:$J$1141,J382,$K$2:$K$1141,K382,$L$2:$L$1141,L382)</f>
        <v>1</v>
      </c>
    </row>
    <row r="383" customFormat="false" ht="15" hidden="false" customHeight="false" outlineLevel="0" collapsed="false">
      <c r="A383" s="7" t="n">
        <f aca="false">ROW()-1</f>
        <v>382</v>
      </c>
      <c r="B383" s="7" t="str">
        <f aca="false">IF(Raw_Nigeria!B383="",TRIM(Raw_Nigeria!C383),TRIM(Raw_Nigeria!B383))</f>
        <v>Nigeria Multiple Indicator Cluster Survey 2016-2017</v>
      </c>
      <c r="C383" s="7" t="str">
        <f aca="false">IF(ISNUMBER(SEARCH("Demographic and Health",B383)),"DHS",IF(OR(ISNUMBER(SEARCH("Multiple Indicator Cluster",B383)),ISNUMBER(SEARCH("MICS",B383))),"MICS",IF(ISNUMBER(SEARCH("Immunization Coverage Survey",B383)),"Coverage survey",IF(ISNUMBER(SEARCH("Nutrition",B383)),"Nutrition survey","Other"))))</f>
        <v>MICS</v>
      </c>
      <c r="D383" s="7" t="n">
        <f aca="false">VALUE(LEFT(Raw_Nigeria!D383,4))</f>
        <v>2016</v>
      </c>
      <c r="E383" s="7" t="n">
        <f aca="false">IF(VALUE(RIGHT(Raw_Nigeria!D383,2))&gt;12,"",VALUE(RIGHT(Raw_Nigeria!D383,2)))</f>
        <v>9</v>
      </c>
      <c r="F383" s="7" t="n">
        <f aca="false">VALUE(LEFT(Raw_Nigeria!E383,4))</f>
        <v>2017</v>
      </c>
      <c r="G383" s="7" t="n">
        <f aca="false">IF(VALUE(RIGHT(Raw_Nigeria!E383,2))&gt;12,"",VALUE(RIGHT(Raw_Nigeria!E383,2)))</f>
        <v>1</v>
      </c>
      <c r="H383" s="7" t="n">
        <f aca="false">Raw_Nigeria!F383</f>
        <v>2014</v>
      </c>
      <c r="I383" s="7" t="str">
        <f aca="false">UPPER(TRIM(Raw_Nigeria!G383))</f>
        <v>FULL</v>
      </c>
      <c r="J383" s="7" t="str">
        <f aca="false">Raw_Nigeria!H383</f>
        <v>Record or Recall</v>
      </c>
      <c r="K383" s="7" t="str">
        <f aca="false">Raw_Nigeria!L383</f>
        <v>24-35 m</v>
      </c>
      <c r="L383" s="7" t="str">
        <f aca="false">IF(Raw_Nigeria!K383="","n/a",Raw_Nigeria!K383)</f>
        <v>0-35 m</v>
      </c>
      <c r="M383" s="7" t="str">
        <f aca="false">IF(Raw_Nigeria!I383="","",Raw_Nigeria!I383)</f>
        <v/>
      </c>
      <c r="N383" s="7" t="n">
        <f aca="false">Raw_Nigeria!M383</f>
        <v>18.8</v>
      </c>
      <c r="O383" s="7" t="n">
        <f aca="false">IF(Raw_Nigeria!N383="","",Raw_Nigeria!N383)</f>
        <v>5514</v>
      </c>
      <c r="P383" s="7" t="str">
        <f aca="false">IF(K383="CBAW","Women of child-bearing age","Children")</f>
        <v>Children</v>
      </c>
      <c r="Q383" s="7" t="n">
        <f aca="false">IF(J383="NOT USED",1,0)</f>
        <v>0</v>
      </c>
      <c r="R383" s="7" t="n">
        <f aca="false">IF(AND(P383="Children",Q383=0),1,0)</f>
        <v>1</v>
      </c>
      <c r="S383" s="7" t="n">
        <f aca="false">IF(AND(R383=1,J383="Record or Recall",K383="12-23 m"),1,0)</f>
        <v>0</v>
      </c>
      <c r="T383" s="7" t="n">
        <f aca="false">IF(OR(I383="BCG",I383="DTP1",I383="DTP3",I383="POL3",I383="MCV1",I383="FULL"),1,0)</f>
        <v>1</v>
      </c>
      <c r="U383" s="7" t="n">
        <f aca="false">IF(OR(C383="DHS",C383="MICS"),1,0)</f>
        <v>1</v>
      </c>
      <c r="V383" s="7" t="n">
        <f aca="false">IF(O383="",1,0)</f>
        <v>0</v>
      </c>
      <c r="W383" s="7" t="n">
        <f aca="false">IF(M383="",1,0)</f>
        <v>1</v>
      </c>
      <c r="X383" s="7" t="n">
        <f aca="false">COUNTIFS($B$2:$B$1141,B383,$H$2:$H$1141,H383,$I$2:$I$1141,I383,$J$2:$J$1141,J383,$K$2:$K$1141,K383,$L$2:$L$1141,L383)</f>
        <v>1</v>
      </c>
    </row>
    <row r="384" customFormat="false" ht="15" hidden="false" customHeight="false" outlineLevel="0" collapsed="false">
      <c r="A384" s="7" t="n">
        <f aca="false">ROW()-1</f>
        <v>383</v>
      </c>
      <c r="B384" s="7" t="str">
        <f aca="false">IF(Raw_Nigeria!B384="",TRIM(Raw_Nigeria!C384),TRIM(Raw_Nigeria!B384))</f>
        <v>Nigeria Multiple Indicator Cluster Survey 2016-2017</v>
      </c>
      <c r="C384" s="7" t="str">
        <f aca="false">IF(ISNUMBER(SEARCH("Demographic and Health",B384)),"DHS",IF(OR(ISNUMBER(SEARCH("Multiple Indicator Cluster",B384)),ISNUMBER(SEARCH("MICS",B384))),"MICS",IF(ISNUMBER(SEARCH("Immunization Coverage Survey",B384)),"Coverage survey",IF(ISNUMBER(SEARCH("Nutrition",B384)),"Nutrition survey","Other"))))</f>
        <v>MICS</v>
      </c>
      <c r="D384" s="7" t="n">
        <f aca="false">VALUE(LEFT(Raw_Nigeria!D384,4))</f>
        <v>2016</v>
      </c>
      <c r="E384" s="7" t="n">
        <f aca="false">IF(VALUE(RIGHT(Raw_Nigeria!D384,2))&gt;12,"",VALUE(RIGHT(Raw_Nigeria!D384,2)))</f>
        <v>9</v>
      </c>
      <c r="F384" s="7" t="n">
        <f aca="false">VALUE(LEFT(Raw_Nigeria!E384,4))</f>
        <v>2017</v>
      </c>
      <c r="G384" s="7" t="n">
        <f aca="false">IF(VALUE(RIGHT(Raw_Nigeria!E384,2))&gt;12,"",VALUE(RIGHT(Raw_Nigeria!E384,2)))</f>
        <v>1</v>
      </c>
      <c r="H384" s="7" t="n">
        <f aca="false">Raw_Nigeria!F384</f>
        <v>2014</v>
      </c>
      <c r="I384" s="7" t="str">
        <f aca="false">UPPER(TRIM(Raw_Nigeria!G384))</f>
        <v>FULL</v>
      </c>
      <c r="J384" s="7" t="str">
        <f aca="false">Raw_Nigeria!H384</f>
        <v>Recall</v>
      </c>
      <c r="K384" s="7" t="str">
        <f aca="false">Raw_Nigeria!L384</f>
        <v>24-35 m</v>
      </c>
      <c r="L384" s="7" t="str">
        <f aca="false">IF(Raw_Nigeria!K384="","n/a",Raw_Nigeria!K384)</f>
        <v>0-35 m</v>
      </c>
      <c r="M384" s="7" t="str">
        <f aca="false">IF(Raw_Nigeria!I384="","",Raw_Nigeria!I384)</f>
        <v/>
      </c>
      <c r="N384" s="7" t="n">
        <f aca="false">Raw_Nigeria!M384</f>
        <v>7</v>
      </c>
      <c r="O384" s="7" t="n">
        <f aca="false">IF(Raw_Nigeria!N384="","",Raw_Nigeria!N384)</f>
        <v>5514</v>
      </c>
      <c r="P384" s="7" t="str">
        <f aca="false">IF(K384="CBAW","Women of child-bearing age","Children")</f>
        <v>Children</v>
      </c>
      <c r="Q384" s="7" t="n">
        <f aca="false">IF(J384="NOT USED",1,0)</f>
        <v>0</v>
      </c>
      <c r="R384" s="7" t="n">
        <f aca="false">IF(AND(P384="Children",Q384=0),1,0)</f>
        <v>1</v>
      </c>
      <c r="S384" s="7" t="n">
        <f aca="false">IF(AND(R384=1,J384="Record or Recall",K384="12-23 m"),1,0)</f>
        <v>0</v>
      </c>
      <c r="T384" s="7" t="n">
        <f aca="false">IF(OR(I384="BCG",I384="DTP1",I384="DTP3",I384="POL3",I384="MCV1",I384="FULL"),1,0)</f>
        <v>1</v>
      </c>
      <c r="U384" s="7" t="n">
        <f aca="false">IF(OR(C384="DHS",C384="MICS"),1,0)</f>
        <v>1</v>
      </c>
      <c r="V384" s="7" t="n">
        <f aca="false">IF(O384="",1,0)</f>
        <v>0</v>
      </c>
      <c r="W384" s="7" t="n">
        <f aca="false">IF(M384="",1,0)</f>
        <v>1</v>
      </c>
      <c r="X384" s="7" t="n">
        <f aca="false">COUNTIFS($B$2:$B$1141,B384,$H$2:$H$1141,H384,$I$2:$I$1141,I384,$J$2:$J$1141,J384,$K$2:$K$1141,K384,$L$2:$L$1141,L384)</f>
        <v>1</v>
      </c>
    </row>
    <row r="385" customFormat="false" ht="15" hidden="false" customHeight="false" outlineLevel="0" collapsed="false">
      <c r="A385" s="7" t="n">
        <f aca="false">ROW()-1</f>
        <v>384</v>
      </c>
      <c r="B385" s="7" t="str">
        <f aca="false">IF(Raw_Nigeria!B385="",TRIM(Raw_Nigeria!C385),TRIM(Raw_Nigeria!B385))</f>
        <v>Nigeria Multiple Indicator Cluster Survey 2016-2017</v>
      </c>
      <c r="C385" s="7" t="str">
        <f aca="false">IF(ISNUMBER(SEARCH("Demographic and Health",B385)),"DHS",IF(OR(ISNUMBER(SEARCH("Multiple Indicator Cluster",B385)),ISNUMBER(SEARCH("MICS",B385))),"MICS",IF(ISNUMBER(SEARCH("Immunization Coverage Survey",B385)),"Coverage survey",IF(ISNUMBER(SEARCH("Nutrition",B385)),"Nutrition survey","Other"))))</f>
        <v>MICS</v>
      </c>
      <c r="D385" s="7" t="n">
        <f aca="false">VALUE(LEFT(Raw_Nigeria!D385,4))</f>
        <v>2016</v>
      </c>
      <c r="E385" s="7" t="n">
        <f aca="false">IF(VALUE(RIGHT(Raw_Nigeria!D385,2))&gt;12,"",VALUE(RIGHT(Raw_Nigeria!D385,2)))</f>
        <v>9</v>
      </c>
      <c r="F385" s="7" t="n">
        <f aca="false">VALUE(LEFT(Raw_Nigeria!E385,4))</f>
        <v>2017</v>
      </c>
      <c r="G385" s="7" t="n">
        <f aca="false">IF(VALUE(RIGHT(Raw_Nigeria!E385,2))&gt;12,"",VALUE(RIGHT(Raw_Nigeria!E385,2)))</f>
        <v>1</v>
      </c>
      <c r="H385" s="7" t="n">
        <f aca="false">Raw_Nigeria!F385</f>
        <v>2014</v>
      </c>
      <c r="I385" s="7" t="str">
        <f aca="false">UPPER(TRIM(Raw_Nigeria!G385))</f>
        <v>HEPB1</v>
      </c>
      <c r="J385" s="7" t="str">
        <f aca="false">Raw_Nigeria!H385</f>
        <v>Record or Recall&lt;12m</v>
      </c>
      <c r="K385" s="7" t="str">
        <f aca="false">Raw_Nigeria!L385</f>
        <v>24-35 m</v>
      </c>
      <c r="L385" s="7" t="str">
        <f aca="false">IF(Raw_Nigeria!K385="","n/a",Raw_Nigeria!K385)</f>
        <v>0-12 m</v>
      </c>
      <c r="M385" s="7" t="str">
        <f aca="false">IF(Raw_Nigeria!I385="","",Raw_Nigeria!I385)</f>
        <v/>
      </c>
      <c r="N385" s="7" t="n">
        <f aca="false">Raw_Nigeria!M385</f>
        <v>44.7</v>
      </c>
      <c r="O385" s="7" t="n">
        <f aca="false">IF(Raw_Nigeria!N385="","",Raw_Nigeria!N385)</f>
        <v>5514</v>
      </c>
      <c r="P385" s="7" t="str">
        <f aca="false">IF(K385="CBAW","Women of child-bearing age","Children")</f>
        <v>Children</v>
      </c>
      <c r="Q385" s="7" t="n">
        <f aca="false">IF(J385="NOT USED",1,0)</f>
        <v>0</v>
      </c>
      <c r="R385" s="7" t="n">
        <f aca="false">IF(AND(P385="Children",Q385=0),1,0)</f>
        <v>1</v>
      </c>
      <c r="S385" s="7" t="n">
        <f aca="false">IF(AND(R385=1,J385="Record or Recall",K385="12-23 m"),1,0)</f>
        <v>0</v>
      </c>
      <c r="T385" s="7" t="n">
        <f aca="false">IF(OR(I385="BCG",I385="DTP1",I385="DTP3",I385="POL3",I385="MCV1",I385="FULL"),1,0)</f>
        <v>0</v>
      </c>
      <c r="U385" s="7" t="n">
        <f aca="false">IF(OR(C385="DHS",C385="MICS"),1,0)</f>
        <v>1</v>
      </c>
      <c r="V385" s="7" t="n">
        <f aca="false">IF(O385="",1,0)</f>
        <v>0</v>
      </c>
      <c r="W385" s="7" t="n">
        <f aca="false">IF(M385="",1,0)</f>
        <v>1</v>
      </c>
      <c r="X385" s="7" t="n">
        <f aca="false">COUNTIFS($B$2:$B$1141,B385,$H$2:$H$1141,H385,$I$2:$I$1141,I385,$J$2:$J$1141,J385,$K$2:$K$1141,K385,$L$2:$L$1141,L385)</f>
        <v>1</v>
      </c>
    </row>
    <row r="386" customFormat="false" ht="15" hidden="false" customHeight="false" outlineLevel="0" collapsed="false">
      <c r="A386" s="7" t="n">
        <f aca="false">ROW()-1</f>
        <v>385</v>
      </c>
      <c r="B386" s="7" t="str">
        <f aca="false">IF(Raw_Nigeria!B386="",TRIM(Raw_Nigeria!C386),TRIM(Raw_Nigeria!B386))</f>
        <v>Nigeria Multiple Indicator Cluster Survey 2016-2017</v>
      </c>
      <c r="C386" s="7" t="str">
        <f aca="false">IF(ISNUMBER(SEARCH("Demographic and Health",B386)),"DHS",IF(OR(ISNUMBER(SEARCH("Multiple Indicator Cluster",B386)),ISNUMBER(SEARCH("MICS",B386))),"MICS",IF(ISNUMBER(SEARCH("Immunization Coverage Survey",B386)),"Coverage survey",IF(ISNUMBER(SEARCH("Nutrition",B386)),"Nutrition survey","Other"))))</f>
        <v>MICS</v>
      </c>
      <c r="D386" s="7" t="n">
        <f aca="false">VALUE(LEFT(Raw_Nigeria!D386,4))</f>
        <v>2016</v>
      </c>
      <c r="E386" s="7" t="n">
        <f aca="false">IF(VALUE(RIGHT(Raw_Nigeria!D386,2))&gt;12,"",VALUE(RIGHT(Raw_Nigeria!D386,2)))</f>
        <v>9</v>
      </c>
      <c r="F386" s="7" t="n">
        <f aca="false">VALUE(LEFT(Raw_Nigeria!E386,4))</f>
        <v>2017</v>
      </c>
      <c r="G386" s="7" t="n">
        <f aca="false">IF(VALUE(RIGHT(Raw_Nigeria!E386,2))&gt;12,"",VALUE(RIGHT(Raw_Nigeria!E386,2)))</f>
        <v>1</v>
      </c>
      <c r="H386" s="7" t="n">
        <f aca="false">Raw_Nigeria!F386</f>
        <v>2014</v>
      </c>
      <c r="I386" s="7" t="str">
        <f aca="false">UPPER(TRIM(Raw_Nigeria!G386))</f>
        <v>HEPB1</v>
      </c>
      <c r="J386" s="7" t="str">
        <f aca="false">Raw_Nigeria!H386</f>
        <v>Record</v>
      </c>
      <c r="K386" s="7" t="str">
        <f aca="false">Raw_Nigeria!L386</f>
        <v>24-35 m</v>
      </c>
      <c r="L386" s="7" t="str">
        <f aca="false">IF(Raw_Nigeria!K386="","n/a",Raw_Nigeria!K386)</f>
        <v>0-35 m</v>
      </c>
      <c r="M386" s="7" t="str">
        <f aca="false">IF(Raw_Nigeria!I386="","",Raw_Nigeria!I386)</f>
        <v/>
      </c>
      <c r="N386" s="7" t="n">
        <f aca="false">Raw_Nigeria!M386</f>
        <v>18.4</v>
      </c>
      <c r="O386" s="7" t="n">
        <f aca="false">IF(Raw_Nigeria!N386="","",Raw_Nigeria!N386)</f>
        <v>5514</v>
      </c>
      <c r="P386" s="7" t="str">
        <f aca="false">IF(K386="CBAW","Women of child-bearing age","Children")</f>
        <v>Children</v>
      </c>
      <c r="Q386" s="7" t="n">
        <f aca="false">IF(J386="NOT USED",1,0)</f>
        <v>0</v>
      </c>
      <c r="R386" s="7" t="n">
        <f aca="false">IF(AND(P386="Children",Q386=0),1,0)</f>
        <v>1</v>
      </c>
      <c r="S386" s="7" t="n">
        <f aca="false">IF(AND(R386=1,J386="Record or Recall",K386="12-23 m"),1,0)</f>
        <v>0</v>
      </c>
      <c r="T386" s="7" t="n">
        <f aca="false">IF(OR(I386="BCG",I386="DTP1",I386="DTP3",I386="POL3",I386="MCV1",I386="FULL"),1,0)</f>
        <v>0</v>
      </c>
      <c r="U386" s="7" t="n">
        <f aca="false">IF(OR(C386="DHS",C386="MICS"),1,0)</f>
        <v>1</v>
      </c>
      <c r="V386" s="7" t="n">
        <f aca="false">IF(O386="",1,0)</f>
        <v>0</v>
      </c>
      <c r="W386" s="7" t="n">
        <f aca="false">IF(M386="",1,0)</f>
        <v>1</v>
      </c>
      <c r="X386" s="7" t="n">
        <f aca="false">COUNTIFS($B$2:$B$1141,B386,$H$2:$H$1141,H386,$I$2:$I$1141,I386,$J$2:$J$1141,J386,$K$2:$K$1141,K386,$L$2:$L$1141,L386)</f>
        <v>1</v>
      </c>
    </row>
    <row r="387" customFormat="false" ht="15" hidden="false" customHeight="false" outlineLevel="0" collapsed="false">
      <c r="A387" s="7" t="n">
        <f aca="false">ROW()-1</f>
        <v>386</v>
      </c>
      <c r="B387" s="7" t="str">
        <f aca="false">IF(Raw_Nigeria!B387="",TRIM(Raw_Nigeria!C387),TRIM(Raw_Nigeria!B387))</f>
        <v>Nigeria Multiple Indicator Cluster Survey 2016-2017</v>
      </c>
      <c r="C387" s="7" t="str">
        <f aca="false">IF(ISNUMBER(SEARCH("Demographic and Health",B387)),"DHS",IF(OR(ISNUMBER(SEARCH("Multiple Indicator Cluster",B387)),ISNUMBER(SEARCH("MICS",B387))),"MICS",IF(ISNUMBER(SEARCH("Immunization Coverage Survey",B387)),"Coverage survey",IF(ISNUMBER(SEARCH("Nutrition",B387)),"Nutrition survey","Other"))))</f>
        <v>MICS</v>
      </c>
      <c r="D387" s="7" t="n">
        <f aca="false">VALUE(LEFT(Raw_Nigeria!D387,4))</f>
        <v>2016</v>
      </c>
      <c r="E387" s="7" t="n">
        <f aca="false">IF(VALUE(RIGHT(Raw_Nigeria!D387,2))&gt;12,"",VALUE(RIGHT(Raw_Nigeria!D387,2)))</f>
        <v>9</v>
      </c>
      <c r="F387" s="7" t="n">
        <f aca="false">VALUE(LEFT(Raw_Nigeria!E387,4))</f>
        <v>2017</v>
      </c>
      <c r="G387" s="7" t="n">
        <f aca="false">IF(VALUE(RIGHT(Raw_Nigeria!E387,2))&gt;12,"",VALUE(RIGHT(Raw_Nigeria!E387,2)))</f>
        <v>1</v>
      </c>
      <c r="H387" s="7" t="n">
        <f aca="false">Raw_Nigeria!F387</f>
        <v>2014</v>
      </c>
      <c r="I387" s="7" t="str">
        <f aca="false">UPPER(TRIM(Raw_Nigeria!G387))</f>
        <v>HEPB1</v>
      </c>
      <c r="J387" s="7" t="str">
        <f aca="false">Raw_Nigeria!H387</f>
        <v>Record or Recall</v>
      </c>
      <c r="K387" s="7" t="str">
        <f aca="false">Raw_Nigeria!L387</f>
        <v>24-35 m</v>
      </c>
      <c r="L387" s="7" t="str">
        <f aca="false">IF(Raw_Nigeria!K387="","n/a",Raw_Nigeria!K387)</f>
        <v>0-35 m</v>
      </c>
      <c r="M387" s="7" t="str">
        <f aca="false">IF(Raw_Nigeria!I387="","",Raw_Nigeria!I387)</f>
        <v/>
      </c>
      <c r="N387" s="7" t="n">
        <f aca="false">Raw_Nigeria!M387</f>
        <v>47.8</v>
      </c>
      <c r="O387" s="7" t="n">
        <f aca="false">IF(Raw_Nigeria!N387="","",Raw_Nigeria!N387)</f>
        <v>5514</v>
      </c>
      <c r="P387" s="7" t="str">
        <f aca="false">IF(K387="CBAW","Women of child-bearing age","Children")</f>
        <v>Children</v>
      </c>
      <c r="Q387" s="7" t="n">
        <f aca="false">IF(J387="NOT USED",1,0)</f>
        <v>0</v>
      </c>
      <c r="R387" s="7" t="n">
        <f aca="false">IF(AND(P387="Children",Q387=0),1,0)</f>
        <v>1</v>
      </c>
      <c r="S387" s="7" t="n">
        <f aca="false">IF(AND(R387=1,J387="Record or Recall",K387="12-23 m"),1,0)</f>
        <v>0</v>
      </c>
      <c r="T387" s="7" t="n">
        <f aca="false">IF(OR(I387="BCG",I387="DTP1",I387="DTP3",I387="POL3",I387="MCV1",I387="FULL"),1,0)</f>
        <v>0</v>
      </c>
      <c r="U387" s="7" t="n">
        <f aca="false">IF(OR(C387="DHS",C387="MICS"),1,0)</f>
        <v>1</v>
      </c>
      <c r="V387" s="7" t="n">
        <f aca="false">IF(O387="",1,0)</f>
        <v>0</v>
      </c>
      <c r="W387" s="7" t="n">
        <f aca="false">IF(M387="",1,0)</f>
        <v>1</v>
      </c>
      <c r="X387" s="7" t="n">
        <f aca="false">COUNTIFS($B$2:$B$1141,B387,$H$2:$H$1141,H387,$I$2:$I$1141,I387,$J$2:$J$1141,J387,$K$2:$K$1141,K387,$L$2:$L$1141,L387)</f>
        <v>1</v>
      </c>
    </row>
    <row r="388" customFormat="false" ht="15" hidden="false" customHeight="false" outlineLevel="0" collapsed="false">
      <c r="A388" s="7" t="n">
        <f aca="false">ROW()-1</f>
        <v>387</v>
      </c>
      <c r="B388" s="7" t="str">
        <f aca="false">IF(Raw_Nigeria!B388="",TRIM(Raw_Nigeria!C388),TRIM(Raw_Nigeria!B388))</f>
        <v>Nigeria Multiple Indicator Cluster Survey 2016-2017</v>
      </c>
      <c r="C388" s="7" t="str">
        <f aca="false">IF(ISNUMBER(SEARCH("Demographic and Health",B388)),"DHS",IF(OR(ISNUMBER(SEARCH("Multiple Indicator Cluster",B388)),ISNUMBER(SEARCH("MICS",B388))),"MICS",IF(ISNUMBER(SEARCH("Immunization Coverage Survey",B388)),"Coverage survey",IF(ISNUMBER(SEARCH("Nutrition",B388)),"Nutrition survey","Other"))))</f>
        <v>MICS</v>
      </c>
      <c r="D388" s="7" t="n">
        <f aca="false">VALUE(LEFT(Raw_Nigeria!D388,4))</f>
        <v>2016</v>
      </c>
      <c r="E388" s="7" t="n">
        <f aca="false">IF(VALUE(RIGHT(Raw_Nigeria!D388,2))&gt;12,"",VALUE(RIGHT(Raw_Nigeria!D388,2)))</f>
        <v>9</v>
      </c>
      <c r="F388" s="7" t="n">
        <f aca="false">VALUE(LEFT(Raw_Nigeria!E388,4))</f>
        <v>2017</v>
      </c>
      <c r="G388" s="7" t="n">
        <f aca="false">IF(VALUE(RIGHT(Raw_Nigeria!E388,2))&gt;12,"",VALUE(RIGHT(Raw_Nigeria!E388,2)))</f>
        <v>1</v>
      </c>
      <c r="H388" s="7" t="n">
        <f aca="false">Raw_Nigeria!F388</f>
        <v>2014</v>
      </c>
      <c r="I388" s="7" t="str">
        <f aca="false">UPPER(TRIM(Raw_Nigeria!G388))</f>
        <v>HEPB1</v>
      </c>
      <c r="J388" s="7" t="str">
        <f aca="false">Raw_Nigeria!H388</f>
        <v>Recall</v>
      </c>
      <c r="K388" s="7" t="str">
        <f aca="false">Raw_Nigeria!L388</f>
        <v>24-35 m</v>
      </c>
      <c r="L388" s="7" t="str">
        <f aca="false">IF(Raw_Nigeria!K388="","n/a",Raw_Nigeria!K388)</f>
        <v>0-35 m</v>
      </c>
      <c r="M388" s="7" t="str">
        <f aca="false">IF(Raw_Nigeria!I388="","",Raw_Nigeria!I388)</f>
        <v/>
      </c>
      <c r="N388" s="7" t="n">
        <f aca="false">Raw_Nigeria!M388</f>
        <v>29.4</v>
      </c>
      <c r="O388" s="7" t="n">
        <f aca="false">IF(Raw_Nigeria!N388="","",Raw_Nigeria!N388)</f>
        <v>5514</v>
      </c>
      <c r="P388" s="7" t="str">
        <f aca="false">IF(K388="CBAW","Women of child-bearing age","Children")</f>
        <v>Children</v>
      </c>
      <c r="Q388" s="7" t="n">
        <f aca="false">IF(J388="NOT USED",1,0)</f>
        <v>0</v>
      </c>
      <c r="R388" s="7" t="n">
        <f aca="false">IF(AND(P388="Children",Q388=0),1,0)</f>
        <v>1</v>
      </c>
      <c r="S388" s="7" t="n">
        <f aca="false">IF(AND(R388=1,J388="Record or Recall",K388="12-23 m"),1,0)</f>
        <v>0</v>
      </c>
      <c r="T388" s="7" t="n">
        <f aca="false">IF(OR(I388="BCG",I388="DTP1",I388="DTP3",I388="POL3",I388="MCV1",I388="FULL"),1,0)</f>
        <v>0</v>
      </c>
      <c r="U388" s="7" t="n">
        <f aca="false">IF(OR(C388="DHS",C388="MICS"),1,0)</f>
        <v>1</v>
      </c>
      <c r="V388" s="7" t="n">
        <f aca="false">IF(O388="",1,0)</f>
        <v>0</v>
      </c>
      <c r="W388" s="7" t="n">
        <f aca="false">IF(M388="",1,0)</f>
        <v>1</v>
      </c>
      <c r="X388" s="7" t="n">
        <f aca="false">COUNTIFS($B$2:$B$1141,B388,$H$2:$H$1141,H388,$I$2:$I$1141,I388,$J$2:$J$1141,J388,$K$2:$K$1141,K388,$L$2:$L$1141,L388)</f>
        <v>1</v>
      </c>
    </row>
    <row r="389" customFormat="false" ht="15" hidden="false" customHeight="false" outlineLevel="0" collapsed="false">
      <c r="A389" s="7" t="n">
        <f aca="false">ROW()-1</f>
        <v>388</v>
      </c>
      <c r="B389" s="7" t="str">
        <f aca="false">IF(Raw_Nigeria!B389="",TRIM(Raw_Nigeria!C389),TRIM(Raw_Nigeria!B389))</f>
        <v>Nigeria Multiple Indicator Cluster Survey 2016-2017</v>
      </c>
      <c r="C389" s="7" t="str">
        <f aca="false">IF(ISNUMBER(SEARCH("Demographic and Health",B389)),"DHS",IF(OR(ISNUMBER(SEARCH("Multiple Indicator Cluster",B389)),ISNUMBER(SEARCH("MICS",B389))),"MICS",IF(ISNUMBER(SEARCH("Immunization Coverage Survey",B389)),"Coverage survey",IF(ISNUMBER(SEARCH("Nutrition",B389)),"Nutrition survey","Other"))))</f>
        <v>MICS</v>
      </c>
      <c r="D389" s="7" t="n">
        <f aca="false">VALUE(LEFT(Raw_Nigeria!D389,4))</f>
        <v>2016</v>
      </c>
      <c r="E389" s="7" t="n">
        <f aca="false">IF(VALUE(RIGHT(Raw_Nigeria!D389,2))&gt;12,"",VALUE(RIGHT(Raw_Nigeria!D389,2)))</f>
        <v>9</v>
      </c>
      <c r="F389" s="7" t="n">
        <f aca="false">VALUE(LEFT(Raw_Nigeria!E389,4))</f>
        <v>2017</v>
      </c>
      <c r="G389" s="7" t="n">
        <f aca="false">IF(VALUE(RIGHT(Raw_Nigeria!E389,2))&gt;12,"",VALUE(RIGHT(Raw_Nigeria!E389,2)))</f>
        <v>1</v>
      </c>
      <c r="H389" s="7" t="n">
        <f aca="false">Raw_Nigeria!F389</f>
        <v>2014</v>
      </c>
      <c r="I389" s="7" t="str">
        <f aca="false">UPPER(TRIM(Raw_Nigeria!G389))</f>
        <v>HEPB3</v>
      </c>
      <c r="J389" s="7" t="str">
        <f aca="false">Raw_Nigeria!H389</f>
        <v>Record or Recall&lt;12m</v>
      </c>
      <c r="K389" s="7" t="str">
        <f aca="false">Raw_Nigeria!L389</f>
        <v>24-35 m</v>
      </c>
      <c r="L389" s="7" t="str">
        <f aca="false">IF(Raw_Nigeria!K389="","n/a",Raw_Nigeria!K389)</f>
        <v>0-12 m</v>
      </c>
      <c r="M389" s="7" t="str">
        <f aca="false">IF(Raw_Nigeria!I389="","",Raw_Nigeria!I389)</f>
        <v/>
      </c>
      <c r="N389" s="7" t="n">
        <f aca="false">Raw_Nigeria!M389</f>
        <v>28.3</v>
      </c>
      <c r="O389" s="7" t="n">
        <f aca="false">IF(Raw_Nigeria!N389="","",Raw_Nigeria!N389)</f>
        <v>5514</v>
      </c>
      <c r="P389" s="7" t="str">
        <f aca="false">IF(K389="CBAW","Women of child-bearing age","Children")</f>
        <v>Children</v>
      </c>
      <c r="Q389" s="7" t="n">
        <f aca="false">IF(J389="NOT USED",1,0)</f>
        <v>0</v>
      </c>
      <c r="R389" s="7" t="n">
        <f aca="false">IF(AND(P389="Children",Q389=0),1,0)</f>
        <v>1</v>
      </c>
      <c r="S389" s="7" t="n">
        <f aca="false">IF(AND(R389=1,J389="Record or Recall",K389="12-23 m"),1,0)</f>
        <v>0</v>
      </c>
      <c r="T389" s="7" t="n">
        <f aca="false">IF(OR(I389="BCG",I389="DTP1",I389="DTP3",I389="POL3",I389="MCV1",I389="FULL"),1,0)</f>
        <v>0</v>
      </c>
      <c r="U389" s="7" t="n">
        <f aca="false">IF(OR(C389="DHS",C389="MICS"),1,0)</f>
        <v>1</v>
      </c>
      <c r="V389" s="7" t="n">
        <f aca="false">IF(O389="",1,0)</f>
        <v>0</v>
      </c>
      <c r="W389" s="7" t="n">
        <f aca="false">IF(M389="",1,0)</f>
        <v>1</v>
      </c>
      <c r="X389" s="7" t="n">
        <f aca="false">COUNTIFS($B$2:$B$1141,B389,$H$2:$H$1141,H389,$I$2:$I$1141,I389,$J$2:$J$1141,J389,$K$2:$K$1141,K389,$L$2:$L$1141,L389)</f>
        <v>1</v>
      </c>
    </row>
    <row r="390" customFormat="false" ht="15" hidden="false" customHeight="false" outlineLevel="0" collapsed="false">
      <c r="A390" s="7" t="n">
        <f aca="false">ROW()-1</f>
        <v>389</v>
      </c>
      <c r="B390" s="7" t="str">
        <f aca="false">IF(Raw_Nigeria!B390="",TRIM(Raw_Nigeria!C390),TRIM(Raw_Nigeria!B390))</f>
        <v>Nigeria Multiple Indicator Cluster Survey 2016-2017</v>
      </c>
      <c r="C390" s="7" t="str">
        <f aca="false">IF(ISNUMBER(SEARCH("Demographic and Health",B390)),"DHS",IF(OR(ISNUMBER(SEARCH("Multiple Indicator Cluster",B390)),ISNUMBER(SEARCH("MICS",B390))),"MICS",IF(ISNUMBER(SEARCH("Immunization Coverage Survey",B390)),"Coverage survey",IF(ISNUMBER(SEARCH("Nutrition",B390)),"Nutrition survey","Other"))))</f>
        <v>MICS</v>
      </c>
      <c r="D390" s="7" t="n">
        <f aca="false">VALUE(LEFT(Raw_Nigeria!D390,4))</f>
        <v>2016</v>
      </c>
      <c r="E390" s="7" t="n">
        <f aca="false">IF(VALUE(RIGHT(Raw_Nigeria!D390,2))&gt;12,"",VALUE(RIGHT(Raw_Nigeria!D390,2)))</f>
        <v>9</v>
      </c>
      <c r="F390" s="7" t="n">
        <f aca="false">VALUE(LEFT(Raw_Nigeria!E390,4))</f>
        <v>2017</v>
      </c>
      <c r="G390" s="7" t="n">
        <f aca="false">IF(VALUE(RIGHT(Raw_Nigeria!E390,2))&gt;12,"",VALUE(RIGHT(Raw_Nigeria!E390,2)))</f>
        <v>1</v>
      </c>
      <c r="H390" s="7" t="n">
        <f aca="false">Raw_Nigeria!F390</f>
        <v>2014</v>
      </c>
      <c r="I390" s="7" t="str">
        <f aca="false">UPPER(TRIM(Raw_Nigeria!G390))</f>
        <v>HEPB3</v>
      </c>
      <c r="J390" s="7" t="str">
        <f aca="false">Raw_Nigeria!H390</f>
        <v>Record</v>
      </c>
      <c r="K390" s="7" t="str">
        <f aca="false">Raw_Nigeria!L390</f>
        <v>24-35 m</v>
      </c>
      <c r="L390" s="7" t="str">
        <f aca="false">IF(Raw_Nigeria!K390="","n/a",Raw_Nigeria!K390)</f>
        <v>0-35 m</v>
      </c>
      <c r="M390" s="7" t="str">
        <f aca="false">IF(Raw_Nigeria!I390="","",Raw_Nigeria!I390)</f>
        <v/>
      </c>
      <c r="N390" s="7" t="n">
        <f aca="false">Raw_Nigeria!M390</f>
        <v>15.5</v>
      </c>
      <c r="O390" s="7" t="n">
        <f aca="false">IF(Raw_Nigeria!N390="","",Raw_Nigeria!N390)</f>
        <v>5514</v>
      </c>
      <c r="P390" s="7" t="str">
        <f aca="false">IF(K390="CBAW","Women of child-bearing age","Children")</f>
        <v>Children</v>
      </c>
      <c r="Q390" s="7" t="n">
        <f aca="false">IF(J390="NOT USED",1,0)</f>
        <v>0</v>
      </c>
      <c r="R390" s="7" t="n">
        <f aca="false">IF(AND(P390="Children",Q390=0),1,0)</f>
        <v>1</v>
      </c>
      <c r="S390" s="7" t="n">
        <f aca="false">IF(AND(R390=1,J390="Record or Recall",K390="12-23 m"),1,0)</f>
        <v>0</v>
      </c>
      <c r="T390" s="7" t="n">
        <f aca="false">IF(OR(I390="BCG",I390="DTP1",I390="DTP3",I390="POL3",I390="MCV1",I390="FULL"),1,0)</f>
        <v>0</v>
      </c>
      <c r="U390" s="7" t="n">
        <f aca="false">IF(OR(C390="DHS",C390="MICS"),1,0)</f>
        <v>1</v>
      </c>
      <c r="V390" s="7" t="n">
        <f aca="false">IF(O390="",1,0)</f>
        <v>0</v>
      </c>
      <c r="W390" s="7" t="n">
        <f aca="false">IF(M390="",1,0)</f>
        <v>1</v>
      </c>
      <c r="X390" s="7" t="n">
        <f aca="false">COUNTIFS($B$2:$B$1141,B390,$H$2:$H$1141,H390,$I$2:$I$1141,I390,$J$2:$J$1141,J390,$K$2:$K$1141,K390,$L$2:$L$1141,L390)</f>
        <v>1</v>
      </c>
    </row>
    <row r="391" customFormat="false" ht="15" hidden="false" customHeight="false" outlineLevel="0" collapsed="false">
      <c r="A391" s="7" t="n">
        <f aca="false">ROW()-1</f>
        <v>390</v>
      </c>
      <c r="B391" s="7" t="str">
        <f aca="false">IF(Raw_Nigeria!B391="",TRIM(Raw_Nigeria!C391),TRIM(Raw_Nigeria!B391))</f>
        <v>Nigeria Multiple Indicator Cluster Survey 2016-2017</v>
      </c>
      <c r="C391" s="7" t="str">
        <f aca="false">IF(ISNUMBER(SEARCH("Demographic and Health",B391)),"DHS",IF(OR(ISNUMBER(SEARCH("Multiple Indicator Cluster",B391)),ISNUMBER(SEARCH("MICS",B391))),"MICS",IF(ISNUMBER(SEARCH("Immunization Coverage Survey",B391)),"Coverage survey",IF(ISNUMBER(SEARCH("Nutrition",B391)),"Nutrition survey","Other"))))</f>
        <v>MICS</v>
      </c>
      <c r="D391" s="7" t="n">
        <f aca="false">VALUE(LEFT(Raw_Nigeria!D391,4))</f>
        <v>2016</v>
      </c>
      <c r="E391" s="7" t="n">
        <f aca="false">IF(VALUE(RIGHT(Raw_Nigeria!D391,2))&gt;12,"",VALUE(RIGHT(Raw_Nigeria!D391,2)))</f>
        <v>9</v>
      </c>
      <c r="F391" s="7" t="n">
        <f aca="false">VALUE(LEFT(Raw_Nigeria!E391,4))</f>
        <v>2017</v>
      </c>
      <c r="G391" s="7" t="n">
        <f aca="false">IF(VALUE(RIGHT(Raw_Nigeria!E391,2))&gt;12,"",VALUE(RIGHT(Raw_Nigeria!E391,2)))</f>
        <v>1</v>
      </c>
      <c r="H391" s="7" t="n">
        <f aca="false">Raw_Nigeria!F391</f>
        <v>2014</v>
      </c>
      <c r="I391" s="7" t="str">
        <f aca="false">UPPER(TRIM(Raw_Nigeria!G391))</f>
        <v>HEPB3</v>
      </c>
      <c r="J391" s="7" t="str">
        <f aca="false">Raw_Nigeria!H391</f>
        <v>Record or Recall</v>
      </c>
      <c r="K391" s="7" t="str">
        <f aca="false">Raw_Nigeria!L391</f>
        <v>24-35 m</v>
      </c>
      <c r="L391" s="7" t="str">
        <f aca="false">IF(Raw_Nigeria!K391="","n/a",Raw_Nigeria!K391)</f>
        <v>0-35 m</v>
      </c>
      <c r="M391" s="7" t="str">
        <f aca="false">IF(Raw_Nigeria!I391="","",Raw_Nigeria!I391)</f>
        <v/>
      </c>
      <c r="N391" s="7" t="n">
        <f aca="false">Raw_Nigeria!M391</f>
        <v>32.3</v>
      </c>
      <c r="O391" s="7" t="n">
        <f aca="false">IF(Raw_Nigeria!N391="","",Raw_Nigeria!N391)</f>
        <v>5514</v>
      </c>
      <c r="P391" s="7" t="str">
        <f aca="false">IF(K391="CBAW","Women of child-bearing age","Children")</f>
        <v>Children</v>
      </c>
      <c r="Q391" s="7" t="n">
        <f aca="false">IF(J391="NOT USED",1,0)</f>
        <v>0</v>
      </c>
      <c r="R391" s="7" t="n">
        <f aca="false">IF(AND(P391="Children",Q391=0),1,0)</f>
        <v>1</v>
      </c>
      <c r="S391" s="7" t="n">
        <f aca="false">IF(AND(R391=1,J391="Record or Recall",K391="12-23 m"),1,0)</f>
        <v>0</v>
      </c>
      <c r="T391" s="7" t="n">
        <f aca="false">IF(OR(I391="BCG",I391="DTP1",I391="DTP3",I391="POL3",I391="MCV1",I391="FULL"),1,0)</f>
        <v>0</v>
      </c>
      <c r="U391" s="7" t="n">
        <f aca="false">IF(OR(C391="DHS",C391="MICS"),1,0)</f>
        <v>1</v>
      </c>
      <c r="V391" s="7" t="n">
        <f aca="false">IF(O391="",1,0)</f>
        <v>0</v>
      </c>
      <c r="W391" s="7" t="n">
        <f aca="false">IF(M391="",1,0)</f>
        <v>1</v>
      </c>
      <c r="X391" s="7" t="n">
        <f aca="false">COUNTIFS($B$2:$B$1141,B391,$H$2:$H$1141,H391,$I$2:$I$1141,I391,$J$2:$J$1141,J391,$K$2:$K$1141,K391,$L$2:$L$1141,L391)</f>
        <v>1</v>
      </c>
    </row>
    <row r="392" customFormat="false" ht="15" hidden="false" customHeight="false" outlineLevel="0" collapsed="false">
      <c r="A392" s="7" t="n">
        <f aca="false">ROW()-1</f>
        <v>391</v>
      </c>
      <c r="B392" s="7" t="str">
        <f aca="false">IF(Raw_Nigeria!B392="",TRIM(Raw_Nigeria!C392),TRIM(Raw_Nigeria!B392))</f>
        <v>Nigeria Multiple Indicator Cluster Survey 2016-2017</v>
      </c>
      <c r="C392" s="7" t="str">
        <f aca="false">IF(ISNUMBER(SEARCH("Demographic and Health",B392)),"DHS",IF(OR(ISNUMBER(SEARCH("Multiple Indicator Cluster",B392)),ISNUMBER(SEARCH("MICS",B392))),"MICS",IF(ISNUMBER(SEARCH("Immunization Coverage Survey",B392)),"Coverage survey",IF(ISNUMBER(SEARCH("Nutrition",B392)),"Nutrition survey","Other"))))</f>
        <v>MICS</v>
      </c>
      <c r="D392" s="7" t="n">
        <f aca="false">VALUE(LEFT(Raw_Nigeria!D392,4))</f>
        <v>2016</v>
      </c>
      <c r="E392" s="7" t="n">
        <f aca="false">IF(VALUE(RIGHT(Raw_Nigeria!D392,2))&gt;12,"",VALUE(RIGHT(Raw_Nigeria!D392,2)))</f>
        <v>9</v>
      </c>
      <c r="F392" s="7" t="n">
        <f aca="false">VALUE(LEFT(Raw_Nigeria!E392,4))</f>
        <v>2017</v>
      </c>
      <c r="G392" s="7" t="n">
        <f aca="false">IF(VALUE(RIGHT(Raw_Nigeria!E392,2))&gt;12,"",VALUE(RIGHT(Raw_Nigeria!E392,2)))</f>
        <v>1</v>
      </c>
      <c r="H392" s="7" t="n">
        <f aca="false">Raw_Nigeria!F392</f>
        <v>2014</v>
      </c>
      <c r="I392" s="7" t="str">
        <f aca="false">UPPER(TRIM(Raw_Nigeria!G392))</f>
        <v>HEPB3</v>
      </c>
      <c r="J392" s="7" t="str">
        <f aca="false">Raw_Nigeria!H392</f>
        <v>Recall</v>
      </c>
      <c r="K392" s="7" t="str">
        <f aca="false">Raw_Nigeria!L392</f>
        <v>24-35 m</v>
      </c>
      <c r="L392" s="7" t="str">
        <f aca="false">IF(Raw_Nigeria!K392="","n/a",Raw_Nigeria!K392)</f>
        <v>0-35 m</v>
      </c>
      <c r="M392" s="7" t="str">
        <f aca="false">IF(Raw_Nigeria!I392="","",Raw_Nigeria!I392)</f>
        <v/>
      </c>
      <c r="N392" s="7" t="n">
        <f aca="false">Raw_Nigeria!M392</f>
        <v>16.8</v>
      </c>
      <c r="O392" s="7" t="n">
        <f aca="false">IF(Raw_Nigeria!N392="","",Raw_Nigeria!N392)</f>
        <v>5514</v>
      </c>
      <c r="P392" s="7" t="str">
        <f aca="false">IF(K392="CBAW","Women of child-bearing age","Children")</f>
        <v>Children</v>
      </c>
      <c r="Q392" s="7" t="n">
        <f aca="false">IF(J392="NOT USED",1,0)</f>
        <v>0</v>
      </c>
      <c r="R392" s="7" t="n">
        <f aca="false">IF(AND(P392="Children",Q392=0),1,0)</f>
        <v>1</v>
      </c>
      <c r="S392" s="7" t="n">
        <f aca="false">IF(AND(R392=1,J392="Record or Recall",K392="12-23 m"),1,0)</f>
        <v>0</v>
      </c>
      <c r="T392" s="7" t="n">
        <f aca="false">IF(OR(I392="BCG",I392="DTP1",I392="DTP3",I392="POL3",I392="MCV1",I392="FULL"),1,0)</f>
        <v>0</v>
      </c>
      <c r="U392" s="7" t="n">
        <f aca="false">IF(OR(C392="DHS",C392="MICS"),1,0)</f>
        <v>1</v>
      </c>
      <c r="V392" s="7" t="n">
        <f aca="false">IF(O392="",1,0)</f>
        <v>0</v>
      </c>
      <c r="W392" s="7" t="n">
        <f aca="false">IF(M392="",1,0)</f>
        <v>1</v>
      </c>
      <c r="X392" s="7" t="n">
        <f aca="false">COUNTIFS($B$2:$B$1141,B392,$H$2:$H$1141,H392,$I$2:$I$1141,I392,$J$2:$J$1141,J392,$K$2:$K$1141,K392,$L$2:$L$1141,L392)</f>
        <v>1</v>
      </c>
    </row>
    <row r="393" customFormat="false" ht="15" hidden="false" customHeight="false" outlineLevel="0" collapsed="false">
      <c r="A393" s="7" t="n">
        <f aca="false">ROW()-1</f>
        <v>392</v>
      </c>
      <c r="B393" s="7" t="str">
        <f aca="false">IF(Raw_Nigeria!B393="",TRIM(Raw_Nigeria!C393),TRIM(Raw_Nigeria!B393))</f>
        <v>Nigeria Multiple Indicator Cluster Survey 2016-2017</v>
      </c>
      <c r="C393" s="7" t="str">
        <f aca="false">IF(ISNUMBER(SEARCH("Demographic and Health",B393)),"DHS",IF(OR(ISNUMBER(SEARCH("Multiple Indicator Cluster",B393)),ISNUMBER(SEARCH("MICS",B393))),"MICS",IF(ISNUMBER(SEARCH("Immunization Coverage Survey",B393)),"Coverage survey",IF(ISNUMBER(SEARCH("Nutrition",B393)),"Nutrition survey","Other"))))</f>
        <v>MICS</v>
      </c>
      <c r="D393" s="7" t="n">
        <f aca="false">VALUE(LEFT(Raw_Nigeria!D393,4))</f>
        <v>2016</v>
      </c>
      <c r="E393" s="7" t="n">
        <f aca="false">IF(VALUE(RIGHT(Raw_Nigeria!D393,2))&gt;12,"",VALUE(RIGHT(Raw_Nigeria!D393,2)))</f>
        <v>9</v>
      </c>
      <c r="F393" s="7" t="n">
        <f aca="false">VALUE(LEFT(Raw_Nigeria!E393,4))</f>
        <v>2017</v>
      </c>
      <c r="G393" s="7" t="n">
        <f aca="false">IF(VALUE(RIGHT(Raw_Nigeria!E393,2))&gt;12,"",VALUE(RIGHT(Raw_Nigeria!E393,2)))</f>
        <v>1</v>
      </c>
      <c r="H393" s="7" t="n">
        <f aca="false">Raw_Nigeria!F393</f>
        <v>2014</v>
      </c>
      <c r="I393" s="7" t="str">
        <f aca="false">UPPER(TRIM(Raw_Nigeria!G393))</f>
        <v>HEPBB</v>
      </c>
      <c r="J393" s="7" t="str">
        <f aca="false">Raw_Nigeria!H393</f>
        <v>Record</v>
      </c>
      <c r="K393" s="7" t="str">
        <f aca="false">Raw_Nigeria!L393</f>
        <v>24-35 m</v>
      </c>
      <c r="L393" s="7" t="str">
        <f aca="false">IF(Raw_Nigeria!K393="","n/a",Raw_Nigeria!K393)</f>
        <v>0-35 m</v>
      </c>
      <c r="M393" s="7" t="str">
        <f aca="false">IF(Raw_Nigeria!I393="","",Raw_Nigeria!I393)</f>
        <v/>
      </c>
      <c r="N393" s="7" t="n">
        <f aca="false">Raw_Nigeria!M393</f>
        <v>16.3</v>
      </c>
      <c r="O393" s="7" t="n">
        <f aca="false">IF(Raw_Nigeria!N393="","",Raw_Nigeria!N393)</f>
        <v>5514</v>
      </c>
      <c r="P393" s="7" t="str">
        <f aca="false">IF(K393="CBAW","Women of child-bearing age","Children")</f>
        <v>Children</v>
      </c>
      <c r="Q393" s="7" t="n">
        <f aca="false">IF(J393="NOT USED",1,0)</f>
        <v>0</v>
      </c>
      <c r="R393" s="7" t="n">
        <f aca="false">IF(AND(P393="Children",Q393=0),1,0)</f>
        <v>1</v>
      </c>
      <c r="S393" s="7" t="n">
        <f aca="false">IF(AND(R393=1,J393="Record or Recall",K393="12-23 m"),1,0)</f>
        <v>0</v>
      </c>
      <c r="T393" s="7" t="n">
        <f aca="false">IF(OR(I393="BCG",I393="DTP1",I393="DTP3",I393="POL3",I393="MCV1",I393="FULL"),1,0)</f>
        <v>0</v>
      </c>
      <c r="U393" s="7" t="n">
        <f aca="false">IF(OR(C393="DHS",C393="MICS"),1,0)</f>
        <v>1</v>
      </c>
      <c r="V393" s="7" t="n">
        <f aca="false">IF(O393="",1,0)</f>
        <v>0</v>
      </c>
      <c r="W393" s="7" t="n">
        <f aca="false">IF(M393="",1,0)</f>
        <v>1</v>
      </c>
      <c r="X393" s="7" t="n">
        <f aca="false">COUNTIFS($B$2:$B$1141,B393,$H$2:$H$1141,H393,$I$2:$I$1141,I393,$J$2:$J$1141,J393,$K$2:$K$1141,K393,$L$2:$L$1141,L393)</f>
        <v>1</v>
      </c>
    </row>
    <row r="394" customFormat="false" ht="15" hidden="false" customHeight="false" outlineLevel="0" collapsed="false">
      <c r="A394" s="7" t="n">
        <f aca="false">ROW()-1</f>
        <v>393</v>
      </c>
      <c r="B394" s="7" t="str">
        <f aca="false">IF(Raw_Nigeria!B394="",TRIM(Raw_Nigeria!C394),TRIM(Raw_Nigeria!B394))</f>
        <v>Nigeria Multiple Indicator Cluster Survey 2016-2017</v>
      </c>
      <c r="C394" s="7" t="str">
        <f aca="false">IF(ISNUMBER(SEARCH("Demographic and Health",B394)),"DHS",IF(OR(ISNUMBER(SEARCH("Multiple Indicator Cluster",B394)),ISNUMBER(SEARCH("MICS",B394))),"MICS",IF(ISNUMBER(SEARCH("Immunization Coverage Survey",B394)),"Coverage survey",IF(ISNUMBER(SEARCH("Nutrition",B394)),"Nutrition survey","Other"))))</f>
        <v>MICS</v>
      </c>
      <c r="D394" s="7" t="n">
        <f aca="false">VALUE(LEFT(Raw_Nigeria!D394,4))</f>
        <v>2016</v>
      </c>
      <c r="E394" s="7" t="n">
        <f aca="false">IF(VALUE(RIGHT(Raw_Nigeria!D394,2))&gt;12,"",VALUE(RIGHT(Raw_Nigeria!D394,2)))</f>
        <v>9</v>
      </c>
      <c r="F394" s="7" t="n">
        <f aca="false">VALUE(LEFT(Raw_Nigeria!E394,4))</f>
        <v>2017</v>
      </c>
      <c r="G394" s="7" t="n">
        <f aca="false">IF(VALUE(RIGHT(Raw_Nigeria!E394,2))&gt;12,"",VALUE(RIGHT(Raw_Nigeria!E394,2)))</f>
        <v>1</v>
      </c>
      <c r="H394" s="7" t="n">
        <f aca="false">Raw_Nigeria!F394</f>
        <v>2014</v>
      </c>
      <c r="I394" s="7" t="str">
        <f aca="false">UPPER(TRIM(Raw_Nigeria!G394))</f>
        <v>HEPBB</v>
      </c>
      <c r="J394" s="7" t="str">
        <f aca="false">Raw_Nigeria!H394</f>
        <v>Recall</v>
      </c>
      <c r="K394" s="7" t="str">
        <f aca="false">Raw_Nigeria!L394</f>
        <v>24-35 m</v>
      </c>
      <c r="L394" s="7" t="str">
        <f aca="false">IF(Raw_Nigeria!K394="","n/a",Raw_Nigeria!K394)</f>
        <v>0-35 m</v>
      </c>
      <c r="M394" s="7" t="str">
        <f aca="false">IF(Raw_Nigeria!I394="","",Raw_Nigeria!I394)</f>
        <v/>
      </c>
      <c r="N394" s="7" t="n">
        <f aca="false">Raw_Nigeria!M394</f>
        <v>14.1</v>
      </c>
      <c r="O394" s="7" t="n">
        <f aca="false">IF(Raw_Nigeria!N394="","",Raw_Nigeria!N394)</f>
        <v>5514</v>
      </c>
      <c r="P394" s="7" t="str">
        <f aca="false">IF(K394="CBAW","Women of child-bearing age","Children")</f>
        <v>Children</v>
      </c>
      <c r="Q394" s="7" t="n">
        <f aca="false">IF(J394="NOT USED",1,0)</f>
        <v>0</v>
      </c>
      <c r="R394" s="7" t="n">
        <f aca="false">IF(AND(P394="Children",Q394=0),1,0)</f>
        <v>1</v>
      </c>
      <c r="S394" s="7" t="n">
        <f aca="false">IF(AND(R394=1,J394="Record or Recall",K394="12-23 m"),1,0)</f>
        <v>0</v>
      </c>
      <c r="T394" s="7" t="n">
        <f aca="false">IF(OR(I394="BCG",I394="DTP1",I394="DTP3",I394="POL3",I394="MCV1",I394="FULL"),1,0)</f>
        <v>0</v>
      </c>
      <c r="U394" s="7" t="n">
        <f aca="false">IF(OR(C394="DHS",C394="MICS"),1,0)</f>
        <v>1</v>
      </c>
      <c r="V394" s="7" t="n">
        <f aca="false">IF(O394="",1,0)</f>
        <v>0</v>
      </c>
      <c r="W394" s="7" t="n">
        <f aca="false">IF(M394="",1,0)</f>
        <v>1</v>
      </c>
      <c r="X394" s="7" t="n">
        <f aca="false">COUNTIFS($B$2:$B$1141,B394,$H$2:$H$1141,H394,$I$2:$I$1141,I394,$J$2:$J$1141,J394,$K$2:$K$1141,K394,$L$2:$L$1141,L394)</f>
        <v>1</v>
      </c>
    </row>
    <row r="395" customFormat="false" ht="15" hidden="false" customHeight="false" outlineLevel="0" collapsed="false">
      <c r="A395" s="7" t="n">
        <f aca="false">ROW()-1</f>
        <v>394</v>
      </c>
      <c r="B395" s="7" t="str">
        <f aca="false">IF(Raw_Nigeria!B395="",TRIM(Raw_Nigeria!C395),TRIM(Raw_Nigeria!B395))</f>
        <v>Nigeria Multiple Indicator Cluster Survey 2016-2017</v>
      </c>
      <c r="C395" s="7" t="str">
        <f aca="false">IF(ISNUMBER(SEARCH("Demographic and Health",B395)),"DHS",IF(OR(ISNUMBER(SEARCH("Multiple Indicator Cluster",B395)),ISNUMBER(SEARCH("MICS",B395))),"MICS",IF(ISNUMBER(SEARCH("Immunization Coverage Survey",B395)),"Coverage survey",IF(ISNUMBER(SEARCH("Nutrition",B395)),"Nutrition survey","Other"))))</f>
        <v>MICS</v>
      </c>
      <c r="D395" s="7" t="n">
        <f aca="false">VALUE(LEFT(Raw_Nigeria!D395,4))</f>
        <v>2016</v>
      </c>
      <c r="E395" s="7" t="n">
        <f aca="false">IF(VALUE(RIGHT(Raw_Nigeria!D395,2))&gt;12,"",VALUE(RIGHT(Raw_Nigeria!D395,2)))</f>
        <v>9</v>
      </c>
      <c r="F395" s="7" t="n">
        <f aca="false">VALUE(LEFT(Raw_Nigeria!E395,4))</f>
        <v>2017</v>
      </c>
      <c r="G395" s="7" t="n">
        <f aca="false">IF(VALUE(RIGHT(Raw_Nigeria!E395,2))&gt;12,"",VALUE(RIGHT(Raw_Nigeria!E395,2)))</f>
        <v>1</v>
      </c>
      <c r="H395" s="7" t="n">
        <f aca="false">Raw_Nigeria!F395</f>
        <v>2014</v>
      </c>
      <c r="I395" s="7" t="str">
        <f aca="false">UPPER(TRIM(Raw_Nigeria!G395))</f>
        <v>HIB1</v>
      </c>
      <c r="J395" s="7" t="str">
        <f aca="false">Raw_Nigeria!H395</f>
        <v>Record or Recall&lt;12m</v>
      </c>
      <c r="K395" s="7" t="str">
        <f aca="false">Raw_Nigeria!L395</f>
        <v>24-35 m</v>
      </c>
      <c r="L395" s="7" t="str">
        <f aca="false">IF(Raw_Nigeria!K395="","n/a",Raw_Nigeria!K395)</f>
        <v>0-12 m</v>
      </c>
      <c r="M395" s="7" t="str">
        <f aca="false">IF(Raw_Nigeria!I395="","",Raw_Nigeria!I395)</f>
        <v/>
      </c>
      <c r="N395" s="7" t="n">
        <f aca="false">Raw_Nigeria!M395</f>
        <v>44.7</v>
      </c>
      <c r="O395" s="7" t="n">
        <f aca="false">IF(Raw_Nigeria!N395="","",Raw_Nigeria!N395)</f>
        <v>5514</v>
      </c>
      <c r="P395" s="7" t="str">
        <f aca="false">IF(K395="CBAW","Women of child-bearing age","Children")</f>
        <v>Children</v>
      </c>
      <c r="Q395" s="7" t="n">
        <f aca="false">IF(J395="NOT USED",1,0)</f>
        <v>0</v>
      </c>
      <c r="R395" s="7" t="n">
        <f aca="false">IF(AND(P395="Children",Q395=0),1,0)</f>
        <v>1</v>
      </c>
      <c r="S395" s="7" t="n">
        <f aca="false">IF(AND(R395=1,J395="Record or Recall",K395="12-23 m"),1,0)</f>
        <v>0</v>
      </c>
      <c r="T395" s="7" t="n">
        <f aca="false">IF(OR(I395="BCG",I395="DTP1",I395="DTP3",I395="POL3",I395="MCV1",I395="FULL"),1,0)</f>
        <v>0</v>
      </c>
      <c r="U395" s="7" t="n">
        <f aca="false">IF(OR(C395="DHS",C395="MICS"),1,0)</f>
        <v>1</v>
      </c>
      <c r="V395" s="7" t="n">
        <f aca="false">IF(O395="",1,0)</f>
        <v>0</v>
      </c>
      <c r="W395" s="7" t="n">
        <f aca="false">IF(M395="",1,0)</f>
        <v>1</v>
      </c>
      <c r="X395" s="7" t="n">
        <f aca="false">COUNTIFS($B$2:$B$1141,B395,$H$2:$H$1141,H395,$I$2:$I$1141,I395,$J$2:$J$1141,J395,$K$2:$K$1141,K395,$L$2:$L$1141,L395)</f>
        <v>1</v>
      </c>
    </row>
    <row r="396" customFormat="false" ht="15" hidden="false" customHeight="false" outlineLevel="0" collapsed="false">
      <c r="A396" s="7" t="n">
        <f aca="false">ROW()-1</f>
        <v>395</v>
      </c>
      <c r="B396" s="7" t="str">
        <f aca="false">IF(Raw_Nigeria!B396="",TRIM(Raw_Nigeria!C396),TRIM(Raw_Nigeria!B396))</f>
        <v>Nigeria Multiple Indicator Cluster Survey 2016-2017</v>
      </c>
      <c r="C396" s="7" t="str">
        <f aca="false">IF(ISNUMBER(SEARCH("Demographic and Health",B396)),"DHS",IF(OR(ISNUMBER(SEARCH("Multiple Indicator Cluster",B396)),ISNUMBER(SEARCH("MICS",B396))),"MICS",IF(ISNUMBER(SEARCH("Immunization Coverage Survey",B396)),"Coverage survey",IF(ISNUMBER(SEARCH("Nutrition",B396)),"Nutrition survey","Other"))))</f>
        <v>MICS</v>
      </c>
      <c r="D396" s="7" t="n">
        <f aca="false">VALUE(LEFT(Raw_Nigeria!D396,4))</f>
        <v>2016</v>
      </c>
      <c r="E396" s="7" t="n">
        <f aca="false">IF(VALUE(RIGHT(Raw_Nigeria!D396,2))&gt;12,"",VALUE(RIGHT(Raw_Nigeria!D396,2)))</f>
        <v>9</v>
      </c>
      <c r="F396" s="7" t="n">
        <f aca="false">VALUE(LEFT(Raw_Nigeria!E396,4))</f>
        <v>2017</v>
      </c>
      <c r="G396" s="7" t="n">
        <f aca="false">IF(VALUE(RIGHT(Raw_Nigeria!E396,2))&gt;12,"",VALUE(RIGHT(Raw_Nigeria!E396,2)))</f>
        <v>1</v>
      </c>
      <c r="H396" s="7" t="n">
        <f aca="false">Raw_Nigeria!F396</f>
        <v>2014</v>
      </c>
      <c r="I396" s="7" t="str">
        <f aca="false">UPPER(TRIM(Raw_Nigeria!G396))</f>
        <v>HIB1</v>
      </c>
      <c r="J396" s="7" t="str">
        <f aca="false">Raw_Nigeria!H396</f>
        <v>Record</v>
      </c>
      <c r="K396" s="7" t="str">
        <f aca="false">Raw_Nigeria!L396</f>
        <v>24-35 m</v>
      </c>
      <c r="L396" s="7" t="str">
        <f aca="false">IF(Raw_Nigeria!K396="","n/a",Raw_Nigeria!K396)</f>
        <v>0-35 m</v>
      </c>
      <c r="M396" s="7" t="str">
        <f aca="false">IF(Raw_Nigeria!I396="","",Raw_Nigeria!I396)</f>
        <v/>
      </c>
      <c r="N396" s="7" t="n">
        <f aca="false">Raw_Nigeria!M396</f>
        <v>18.4</v>
      </c>
      <c r="O396" s="7" t="n">
        <f aca="false">IF(Raw_Nigeria!N396="","",Raw_Nigeria!N396)</f>
        <v>5514</v>
      </c>
      <c r="P396" s="7" t="str">
        <f aca="false">IF(K396="CBAW","Women of child-bearing age","Children")</f>
        <v>Children</v>
      </c>
      <c r="Q396" s="7" t="n">
        <f aca="false">IF(J396="NOT USED",1,0)</f>
        <v>0</v>
      </c>
      <c r="R396" s="7" t="n">
        <f aca="false">IF(AND(P396="Children",Q396=0),1,0)</f>
        <v>1</v>
      </c>
      <c r="S396" s="7" t="n">
        <f aca="false">IF(AND(R396=1,J396="Record or Recall",K396="12-23 m"),1,0)</f>
        <v>0</v>
      </c>
      <c r="T396" s="7" t="n">
        <f aca="false">IF(OR(I396="BCG",I396="DTP1",I396="DTP3",I396="POL3",I396="MCV1",I396="FULL"),1,0)</f>
        <v>0</v>
      </c>
      <c r="U396" s="7" t="n">
        <f aca="false">IF(OR(C396="DHS",C396="MICS"),1,0)</f>
        <v>1</v>
      </c>
      <c r="V396" s="7" t="n">
        <f aca="false">IF(O396="",1,0)</f>
        <v>0</v>
      </c>
      <c r="W396" s="7" t="n">
        <f aca="false">IF(M396="",1,0)</f>
        <v>1</v>
      </c>
      <c r="X396" s="7" t="n">
        <f aca="false">COUNTIFS($B$2:$B$1141,B396,$H$2:$H$1141,H396,$I$2:$I$1141,I396,$J$2:$J$1141,J396,$K$2:$K$1141,K396,$L$2:$L$1141,L396)</f>
        <v>1</v>
      </c>
    </row>
    <row r="397" customFormat="false" ht="15" hidden="false" customHeight="false" outlineLevel="0" collapsed="false">
      <c r="A397" s="7" t="n">
        <f aca="false">ROW()-1</f>
        <v>396</v>
      </c>
      <c r="B397" s="7" t="str">
        <f aca="false">IF(Raw_Nigeria!B397="",TRIM(Raw_Nigeria!C397),TRIM(Raw_Nigeria!B397))</f>
        <v>Nigeria Multiple Indicator Cluster Survey 2016-2017</v>
      </c>
      <c r="C397" s="7" t="str">
        <f aca="false">IF(ISNUMBER(SEARCH("Demographic and Health",B397)),"DHS",IF(OR(ISNUMBER(SEARCH("Multiple Indicator Cluster",B397)),ISNUMBER(SEARCH("MICS",B397))),"MICS",IF(ISNUMBER(SEARCH("Immunization Coverage Survey",B397)),"Coverage survey",IF(ISNUMBER(SEARCH("Nutrition",B397)),"Nutrition survey","Other"))))</f>
        <v>MICS</v>
      </c>
      <c r="D397" s="7" t="n">
        <f aca="false">VALUE(LEFT(Raw_Nigeria!D397,4))</f>
        <v>2016</v>
      </c>
      <c r="E397" s="7" t="n">
        <f aca="false">IF(VALUE(RIGHT(Raw_Nigeria!D397,2))&gt;12,"",VALUE(RIGHT(Raw_Nigeria!D397,2)))</f>
        <v>9</v>
      </c>
      <c r="F397" s="7" t="n">
        <f aca="false">VALUE(LEFT(Raw_Nigeria!E397,4))</f>
        <v>2017</v>
      </c>
      <c r="G397" s="7" t="n">
        <f aca="false">IF(VALUE(RIGHT(Raw_Nigeria!E397,2))&gt;12,"",VALUE(RIGHT(Raw_Nigeria!E397,2)))</f>
        <v>1</v>
      </c>
      <c r="H397" s="7" t="n">
        <f aca="false">Raw_Nigeria!F397</f>
        <v>2014</v>
      </c>
      <c r="I397" s="7" t="str">
        <f aca="false">UPPER(TRIM(Raw_Nigeria!G397))</f>
        <v>HIB1</v>
      </c>
      <c r="J397" s="7" t="str">
        <f aca="false">Raw_Nigeria!H397</f>
        <v>Record or Recall</v>
      </c>
      <c r="K397" s="7" t="str">
        <f aca="false">Raw_Nigeria!L397</f>
        <v>24-35 m</v>
      </c>
      <c r="L397" s="7" t="str">
        <f aca="false">IF(Raw_Nigeria!K397="","n/a",Raw_Nigeria!K397)</f>
        <v>0-35 m</v>
      </c>
      <c r="M397" s="7" t="str">
        <f aca="false">IF(Raw_Nigeria!I397="","",Raw_Nigeria!I397)</f>
        <v/>
      </c>
      <c r="N397" s="7" t="n">
        <f aca="false">Raw_Nigeria!M397</f>
        <v>47.8</v>
      </c>
      <c r="O397" s="7" t="n">
        <f aca="false">IF(Raw_Nigeria!N397="","",Raw_Nigeria!N397)</f>
        <v>5514</v>
      </c>
      <c r="P397" s="7" t="str">
        <f aca="false">IF(K397="CBAW","Women of child-bearing age","Children")</f>
        <v>Children</v>
      </c>
      <c r="Q397" s="7" t="n">
        <f aca="false">IF(J397="NOT USED",1,0)</f>
        <v>0</v>
      </c>
      <c r="R397" s="7" t="n">
        <f aca="false">IF(AND(P397="Children",Q397=0),1,0)</f>
        <v>1</v>
      </c>
      <c r="S397" s="7" t="n">
        <f aca="false">IF(AND(R397=1,J397="Record or Recall",K397="12-23 m"),1,0)</f>
        <v>0</v>
      </c>
      <c r="T397" s="7" t="n">
        <f aca="false">IF(OR(I397="BCG",I397="DTP1",I397="DTP3",I397="POL3",I397="MCV1",I397="FULL"),1,0)</f>
        <v>0</v>
      </c>
      <c r="U397" s="7" t="n">
        <f aca="false">IF(OR(C397="DHS",C397="MICS"),1,0)</f>
        <v>1</v>
      </c>
      <c r="V397" s="7" t="n">
        <f aca="false">IF(O397="",1,0)</f>
        <v>0</v>
      </c>
      <c r="W397" s="7" t="n">
        <f aca="false">IF(M397="",1,0)</f>
        <v>1</v>
      </c>
      <c r="X397" s="7" t="n">
        <f aca="false">COUNTIFS($B$2:$B$1141,B397,$H$2:$H$1141,H397,$I$2:$I$1141,I397,$J$2:$J$1141,J397,$K$2:$K$1141,K397,$L$2:$L$1141,L397)</f>
        <v>1</v>
      </c>
    </row>
    <row r="398" customFormat="false" ht="15" hidden="false" customHeight="false" outlineLevel="0" collapsed="false">
      <c r="A398" s="7" t="n">
        <f aca="false">ROW()-1</f>
        <v>397</v>
      </c>
      <c r="B398" s="7" t="str">
        <f aca="false">IF(Raw_Nigeria!B398="",TRIM(Raw_Nigeria!C398),TRIM(Raw_Nigeria!B398))</f>
        <v>Nigeria Multiple Indicator Cluster Survey 2016-2017</v>
      </c>
      <c r="C398" s="7" t="str">
        <f aca="false">IF(ISNUMBER(SEARCH("Demographic and Health",B398)),"DHS",IF(OR(ISNUMBER(SEARCH("Multiple Indicator Cluster",B398)),ISNUMBER(SEARCH("MICS",B398))),"MICS",IF(ISNUMBER(SEARCH("Immunization Coverage Survey",B398)),"Coverage survey",IF(ISNUMBER(SEARCH("Nutrition",B398)),"Nutrition survey","Other"))))</f>
        <v>MICS</v>
      </c>
      <c r="D398" s="7" t="n">
        <f aca="false">VALUE(LEFT(Raw_Nigeria!D398,4))</f>
        <v>2016</v>
      </c>
      <c r="E398" s="7" t="n">
        <f aca="false">IF(VALUE(RIGHT(Raw_Nigeria!D398,2))&gt;12,"",VALUE(RIGHT(Raw_Nigeria!D398,2)))</f>
        <v>9</v>
      </c>
      <c r="F398" s="7" t="n">
        <f aca="false">VALUE(LEFT(Raw_Nigeria!E398,4))</f>
        <v>2017</v>
      </c>
      <c r="G398" s="7" t="n">
        <f aca="false">IF(VALUE(RIGHT(Raw_Nigeria!E398,2))&gt;12,"",VALUE(RIGHT(Raw_Nigeria!E398,2)))</f>
        <v>1</v>
      </c>
      <c r="H398" s="7" t="n">
        <f aca="false">Raw_Nigeria!F398</f>
        <v>2014</v>
      </c>
      <c r="I398" s="7" t="str">
        <f aca="false">UPPER(TRIM(Raw_Nigeria!G398))</f>
        <v>HIB1</v>
      </c>
      <c r="J398" s="7" t="str">
        <f aca="false">Raw_Nigeria!H398</f>
        <v>Recall</v>
      </c>
      <c r="K398" s="7" t="str">
        <f aca="false">Raw_Nigeria!L398</f>
        <v>24-35 m</v>
      </c>
      <c r="L398" s="7" t="str">
        <f aca="false">IF(Raw_Nigeria!K398="","n/a",Raw_Nigeria!K398)</f>
        <v>0-35 m</v>
      </c>
      <c r="M398" s="7" t="str">
        <f aca="false">IF(Raw_Nigeria!I398="","",Raw_Nigeria!I398)</f>
        <v/>
      </c>
      <c r="N398" s="7" t="n">
        <f aca="false">Raw_Nigeria!M398</f>
        <v>29.4</v>
      </c>
      <c r="O398" s="7" t="n">
        <f aca="false">IF(Raw_Nigeria!N398="","",Raw_Nigeria!N398)</f>
        <v>5514</v>
      </c>
      <c r="P398" s="7" t="str">
        <f aca="false">IF(K398="CBAW","Women of child-bearing age","Children")</f>
        <v>Children</v>
      </c>
      <c r="Q398" s="7" t="n">
        <f aca="false">IF(J398="NOT USED",1,0)</f>
        <v>0</v>
      </c>
      <c r="R398" s="7" t="n">
        <f aca="false">IF(AND(P398="Children",Q398=0),1,0)</f>
        <v>1</v>
      </c>
      <c r="S398" s="7" t="n">
        <f aca="false">IF(AND(R398=1,J398="Record or Recall",K398="12-23 m"),1,0)</f>
        <v>0</v>
      </c>
      <c r="T398" s="7" t="n">
        <f aca="false">IF(OR(I398="BCG",I398="DTP1",I398="DTP3",I398="POL3",I398="MCV1",I398="FULL"),1,0)</f>
        <v>0</v>
      </c>
      <c r="U398" s="7" t="n">
        <f aca="false">IF(OR(C398="DHS",C398="MICS"),1,0)</f>
        <v>1</v>
      </c>
      <c r="V398" s="7" t="n">
        <f aca="false">IF(O398="",1,0)</f>
        <v>0</v>
      </c>
      <c r="W398" s="7" t="n">
        <f aca="false">IF(M398="",1,0)</f>
        <v>1</v>
      </c>
      <c r="X398" s="7" t="n">
        <f aca="false">COUNTIFS($B$2:$B$1141,B398,$H$2:$H$1141,H398,$I$2:$I$1141,I398,$J$2:$J$1141,J398,$K$2:$K$1141,K398,$L$2:$L$1141,L398)</f>
        <v>1</v>
      </c>
    </row>
    <row r="399" customFormat="false" ht="15" hidden="false" customHeight="false" outlineLevel="0" collapsed="false">
      <c r="A399" s="7" t="n">
        <f aca="false">ROW()-1</f>
        <v>398</v>
      </c>
      <c r="B399" s="7" t="str">
        <f aca="false">IF(Raw_Nigeria!B399="",TRIM(Raw_Nigeria!C399),TRIM(Raw_Nigeria!B399))</f>
        <v>Nigeria Multiple Indicator Cluster Survey 2016-2017</v>
      </c>
      <c r="C399" s="7" t="str">
        <f aca="false">IF(ISNUMBER(SEARCH("Demographic and Health",B399)),"DHS",IF(OR(ISNUMBER(SEARCH("Multiple Indicator Cluster",B399)),ISNUMBER(SEARCH("MICS",B399))),"MICS",IF(ISNUMBER(SEARCH("Immunization Coverage Survey",B399)),"Coverage survey",IF(ISNUMBER(SEARCH("Nutrition",B399)),"Nutrition survey","Other"))))</f>
        <v>MICS</v>
      </c>
      <c r="D399" s="7" t="n">
        <f aca="false">VALUE(LEFT(Raw_Nigeria!D399,4))</f>
        <v>2016</v>
      </c>
      <c r="E399" s="7" t="n">
        <f aca="false">IF(VALUE(RIGHT(Raw_Nigeria!D399,2))&gt;12,"",VALUE(RIGHT(Raw_Nigeria!D399,2)))</f>
        <v>9</v>
      </c>
      <c r="F399" s="7" t="n">
        <f aca="false">VALUE(LEFT(Raw_Nigeria!E399,4))</f>
        <v>2017</v>
      </c>
      <c r="G399" s="7" t="n">
        <f aca="false">IF(VALUE(RIGHT(Raw_Nigeria!E399,2))&gt;12,"",VALUE(RIGHT(Raw_Nigeria!E399,2)))</f>
        <v>1</v>
      </c>
      <c r="H399" s="7" t="n">
        <f aca="false">Raw_Nigeria!F399</f>
        <v>2014</v>
      </c>
      <c r="I399" s="7" t="str">
        <f aca="false">UPPER(TRIM(Raw_Nigeria!G399))</f>
        <v>HIB3</v>
      </c>
      <c r="J399" s="7" t="str">
        <f aca="false">Raw_Nigeria!H399</f>
        <v>Record or Recall&lt;12m</v>
      </c>
      <c r="K399" s="7" t="str">
        <f aca="false">Raw_Nigeria!L399</f>
        <v>24-35 m</v>
      </c>
      <c r="L399" s="7" t="str">
        <f aca="false">IF(Raw_Nigeria!K399="","n/a",Raw_Nigeria!K399)</f>
        <v>0-12 m</v>
      </c>
      <c r="M399" s="7" t="str">
        <f aca="false">IF(Raw_Nigeria!I399="","",Raw_Nigeria!I399)</f>
        <v/>
      </c>
      <c r="N399" s="7" t="n">
        <f aca="false">Raw_Nigeria!M399</f>
        <v>28.3</v>
      </c>
      <c r="O399" s="7" t="n">
        <f aca="false">IF(Raw_Nigeria!N399="","",Raw_Nigeria!N399)</f>
        <v>5514</v>
      </c>
      <c r="P399" s="7" t="str">
        <f aca="false">IF(K399="CBAW","Women of child-bearing age","Children")</f>
        <v>Children</v>
      </c>
      <c r="Q399" s="7" t="n">
        <f aca="false">IF(J399="NOT USED",1,0)</f>
        <v>0</v>
      </c>
      <c r="R399" s="7" t="n">
        <f aca="false">IF(AND(P399="Children",Q399=0),1,0)</f>
        <v>1</v>
      </c>
      <c r="S399" s="7" t="n">
        <f aca="false">IF(AND(R399=1,J399="Record or Recall",K399="12-23 m"),1,0)</f>
        <v>0</v>
      </c>
      <c r="T399" s="7" t="n">
        <f aca="false">IF(OR(I399="BCG",I399="DTP1",I399="DTP3",I399="POL3",I399="MCV1",I399="FULL"),1,0)</f>
        <v>0</v>
      </c>
      <c r="U399" s="7" t="n">
        <f aca="false">IF(OR(C399="DHS",C399="MICS"),1,0)</f>
        <v>1</v>
      </c>
      <c r="V399" s="7" t="n">
        <f aca="false">IF(O399="",1,0)</f>
        <v>0</v>
      </c>
      <c r="W399" s="7" t="n">
        <f aca="false">IF(M399="",1,0)</f>
        <v>1</v>
      </c>
      <c r="X399" s="7" t="n">
        <f aca="false">COUNTIFS($B$2:$B$1141,B399,$H$2:$H$1141,H399,$I$2:$I$1141,I399,$J$2:$J$1141,J399,$K$2:$K$1141,K399,$L$2:$L$1141,L399)</f>
        <v>1</v>
      </c>
    </row>
    <row r="400" customFormat="false" ht="15" hidden="false" customHeight="false" outlineLevel="0" collapsed="false">
      <c r="A400" s="7" t="n">
        <f aca="false">ROW()-1</f>
        <v>399</v>
      </c>
      <c r="B400" s="7" t="str">
        <f aca="false">IF(Raw_Nigeria!B400="",TRIM(Raw_Nigeria!C400),TRIM(Raw_Nigeria!B400))</f>
        <v>Nigeria Multiple Indicator Cluster Survey 2016-2017</v>
      </c>
      <c r="C400" s="7" t="str">
        <f aca="false">IF(ISNUMBER(SEARCH("Demographic and Health",B400)),"DHS",IF(OR(ISNUMBER(SEARCH("Multiple Indicator Cluster",B400)),ISNUMBER(SEARCH("MICS",B400))),"MICS",IF(ISNUMBER(SEARCH("Immunization Coverage Survey",B400)),"Coverage survey",IF(ISNUMBER(SEARCH("Nutrition",B400)),"Nutrition survey","Other"))))</f>
        <v>MICS</v>
      </c>
      <c r="D400" s="7" t="n">
        <f aca="false">VALUE(LEFT(Raw_Nigeria!D400,4))</f>
        <v>2016</v>
      </c>
      <c r="E400" s="7" t="n">
        <f aca="false">IF(VALUE(RIGHT(Raw_Nigeria!D400,2))&gt;12,"",VALUE(RIGHT(Raw_Nigeria!D400,2)))</f>
        <v>9</v>
      </c>
      <c r="F400" s="7" t="n">
        <f aca="false">VALUE(LEFT(Raw_Nigeria!E400,4))</f>
        <v>2017</v>
      </c>
      <c r="G400" s="7" t="n">
        <f aca="false">IF(VALUE(RIGHT(Raw_Nigeria!E400,2))&gt;12,"",VALUE(RIGHT(Raw_Nigeria!E400,2)))</f>
        <v>1</v>
      </c>
      <c r="H400" s="7" t="n">
        <f aca="false">Raw_Nigeria!F400</f>
        <v>2014</v>
      </c>
      <c r="I400" s="7" t="str">
        <f aca="false">UPPER(TRIM(Raw_Nigeria!G400))</f>
        <v>HIB3</v>
      </c>
      <c r="J400" s="7" t="str">
        <f aca="false">Raw_Nigeria!H400</f>
        <v>Record</v>
      </c>
      <c r="K400" s="7" t="str">
        <f aca="false">Raw_Nigeria!L400</f>
        <v>24-35 m</v>
      </c>
      <c r="L400" s="7" t="str">
        <f aca="false">IF(Raw_Nigeria!K400="","n/a",Raw_Nigeria!K400)</f>
        <v>0-35 m</v>
      </c>
      <c r="M400" s="7" t="str">
        <f aca="false">IF(Raw_Nigeria!I400="","",Raw_Nigeria!I400)</f>
        <v/>
      </c>
      <c r="N400" s="7" t="n">
        <f aca="false">Raw_Nigeria!M400</f>
        <v>15.5</v>
      </c>
      <c r="O400" s="7" t="n">
        <f aca="false">IF(Raw_Nigeria!N400="","",Raw_Nigeria!N400)</f>
        <v>5514</v>
      </c>
      <c r="P400" s="7" t="str">
        <f aca="false">IF(K400="CBAW","Women of child-bearing age","Children")</f>
        <v>Children</v>
      </c>
      <c r="Q400" s="7" t="n">
        <f aca="false">IF(J400="NOT USED",1,0)</f>
        <v>0</v>
      </c>
      <c r="R400" s="7" t="n">
        <f aca="false">IF(AND(P400="Children",Q400=0),1,0)</f>
        <v>1</v>
      </c>
      <c r="S400" s="7" t="n">
        <f aca="false">IF(AND(R400=1,J400="Record or Recall",K400="12-23 m"),1,0)</f>
        <v>0</v>
      </c>
      <c r="T400" s="7" t="n">
        <f aca="false">IF(OR(I400="BCG",I400="DTP1",I400="DTP3",I400="POL3",I400="MCV1",I400="FULL"),1,0)</f>
        <v>0</v>
      </c>
      <c r="U400" s="7" t="n">
        <f aca="false">IF(OR(C400="DHS",C400="MICS"),1,0)</f>
        <v>1</v>
      </c>
      <c r="V400" s="7" t="n">
        <f aca="false">IF(O400="",1,0)</f>
        <v>0</v>
      </c>
      <c r="W400" s="7" t="n">
        <f aca="false">IF(M400="",1,0)</f>
        <v>1</v>
      </c>
      <c r="X400" s="7" t="n">
        <f aca="false">COUNTIFS($B$2:$B$1141,B400,$H$2:$H$1141,H400,$I$2:$I$1141,I400,$J$2:$J$1141,J400,$K$2:$K$1141,K400,$L$2:$L$1141,L400)</f>
        <v>1</v>
      </c>
    </row>
    <row r="401" customFormat="false" ht="15" hidden="false" customHeight="false" outlineLevel="0" collapsed="false">
      <c r="A401" s="7" t="n">
        <f aca="false">ROW()-1</f>
        <v>400</v>
      </c>
      <c r="B401" s="7" t="str">
        <f aca="false">IF(Raw_Nigeria!B401="",TRIM(Raw_Nigeria!C401),TRIM(Raw_Nigeria!B401))</f>
        <v>Nigeria Multiple Indicator Cluster Survey 2016-2017</v>
      </c>
      <c r="C401" s="7" t="str">
        <f aca="false">IF(ISNUMBER(SEARCH("Demographic and Health",B401)),"DHS",IF(OR(ISNUMBER(SEARCH("Multiple Indicator Cluster",B401)),ISNUMBER(SEARCH("MICS",B401))),"MICS",IF(ISNUMBER(SEARCH("Immunization Coverage Survey",B401)),"Coverage survey",IF(ISNUMBER(SEARCH("Nutrition",B401)),"Nutrition survey","Other"))))</f>
        <v>MICS</v>
      </c>
      <c r="D401" s="7" t="n">
        <f aca="false">VALUE(LEFT(Raw_Nigeria!D401,4))</f>
        <v>2016</v>
      </c>
      <c r="E401" s="7" t="n">
        <f aca="false">IF(VALUE(RIGHT(Raw_Nigeria!D401,2))&gt;12,"",VALUE(RIGHT(Raw_Nigeria!D401,2)))</f>
        <v>9</v>
      </c>
      <c r="F401" s="7" t="n">
        <f aca="false">VALUE(LEFT(Raw_Nigeria!E401,4))</f>
        <v>2017</v>
      </c>
      <c r="G401" s="7" t="n">
        <f aca="false">IF(VALUE(RIGHT(Raw_Nigeria!E401,2))&gt;12,"",VALUE(RIGHT(Raw_Nigeria!E401,2)))</f>
        <v>1</v>
      </c>
      <c r="H401" s="7" t="n">
        <f aca="false">Raw_Nigeria!F401</f>
        <v>2014</v>
      </c>
      <c r="I401" s="7" t="str">
        <f aca="false">UPPER(TRIM(Raw_Nigeria!G401))</f>
        <v>HIB3</v>
      </c>
      <c r="J401" s="7" t="str">
        <f aca="false">Raw_Nigeria!H401</f>
        <v>Record or Recall</v>
      </c>
      <c r="K401" s="7" t="str">
        <f aca="false">Raw_Nigeria!L401</f>
        <v>24-35 m</v>
      </c>
      <c r="L401" s="7" t="str">
        <f aca="false">IF(Raw_Nigeria!K401="","n/a",Raw_Nigeria!K401)</f>
        <v>0-35 m</v>
      </c>
      <c r="M401" s="7" t="str">
        <f aca="false">IF(Raw_Nigeria!I401="","",Raw_Nigeria!I401)</f>
        <v/>
      </c>
      <c r="N401" s="7" t="n">
        <f aca="false">Raw_Nigeria!M401</f>
        <v>32.3</v>
      </c>
      <c r="O401" s="7" t="n">
        <f aca="false">IF(Raw_Nigeria!N401="","",Raw_Nigeria!N401)</f>
        <v>5514</v>
      </c>
      <c r="P401" s="7" t="str">
        <f aca="false">IF(K401="CBAW","Women of child-bearing age","Children")</f>
        <v>Children</v>
      </c>
      <c r="Q401" s="7" t="n">
        <f aca="false">IF(J401="NOT USED",1,0)</f>
        <v>0</v>
      </c>
      <c r="R401" s="7" t="n">
        <f aca="false">IF(AND(P401="Children",Q401=0),1,0)</f>
        <v>1</v>
      </c>
      <c r="S401" s="7" t="n">
        <f aca="false">IF(AND(R401=1,J401="Record or Recall",K401="12-23 m"),1,0)</f>
        <v>0</v>
      </c>
      <c r="T401" s="7" t="n">
        <f aca="false">IF(OR(I401="BCG",I401="DTP1",I401="DTP3",I401="POL3",I401="MCV1",I401="FULL"),1,0)</f>
        <v>0</v>
      </c>
      <c r="U401" s="7" t="n">
        <f aca="false">IF(OR(C401="DHS",C401="MICS"),1,0)</f>
        <v>1</v>
      </c>
      <c r="V401" s="7" t="n">
        <f aca="false">IF(O401="",1,0)</f>
        <v>0</v>
      </c>
      <c r="W401" s="7" t="n">
        <f aca="false">IF(M401="",1,0)</f>
        <v>1</v>
      </c>
      <c r="X401" s="7" t="n">
        <f aca="false">COUNTIFS($B$2:$B$1141,B401,$H$2:$H$1141,H401,$I$2:$I$1141,I401,$J$2:$J$1141,J401,$K$2:$K$1141,K401,$L$2:$L$1141,L401)</f>
        <v>1</v>
      </c>
    </row>
    <row r="402" customFormat="false" ht="15" hidden="false" customHeight="false" outlineLevel="0" collapsed="false">
      <c r="A402" s="7" t="n">
        <f aca="false">ROW()-1</f>
        <v>401</v>
      </c>
      <c r="B402" s="7" t="str">
        <f aca="false">IF(Raw_Nigeria!B402="",TRIM(Raw_Nigeria!C402),TRIM(Raw_Nigeria!B402))</f>
        <v>Nigeria Multiple Indicator Cluster Survey 2016-2017</v>
      </c>
      <c r="C402" s="7" t="str">
        <f aca="false">IF(ISNUMBER(SEARCH("Demographic and Health",B402)),"DHS",IF(OR(ISNUMBER(SEARCH("Multiple Indicator Cluster",B402)),ISNUMBER(SEARCH("MICS",B402))),"MICS",IF(ISNUMBER(SEARCH("Immunization Coverage Survey",B402)),"Coverage survey",IF(ISNUMBER(SEARCH("Nutrition",B402)),"Nutrition survey","Other"))))</f>
        <v>MICS</v>
      </c>
      <c r="D402" s="7" t="n">
        <f aca="false">VALUE(LEFT(Raw_Nigeria!D402,4))</f>
        <v>2016</v>
      </c>
      <c r="E402" s="7" t="n">
        <f aca="false">IF(VALUE(RIGHT(Raw_Nigeria!D402,2))&gt;12,"",VALUE(RIGHT(Raw_Nigeria!D402,2)))</f>
        <v>9</v>
      </c>
      <c r="F402" s="7" t="n">
        <f aca="false">VALUE(LEFT(Raw_Nigeria!E402,4))</f>
        <v>2017</v>
      </c>
      <c r="G402" s="7" t="n">
        <f aca="false">IF(VALUE(RIGHT(Raw_Nigeria!E402,2))&gt;12,"",VALUE(RIGHT(Raw_Nigeria!E402,2)))</f>
        <v>1</v>
      </c>
      <c r="H402" s="7" t="n">
        <f aca="false">Raw_Nigeria!F402</f>
        <v>2014</v>
      </c>
      <c r="I402" s="7" t="str">
        <f aca="false">UPPER(TRIM(Raw_Nigeria!G402))</f>
        <v>HIB3</v>
      </c>
      <c r="J402" s="7" t="str">
        <f aca="false">Raw_Nigeria!H402</f>
        <v>Recall</v>
      </c>
      <c r="K402" s="7" t="str">
        <f aca="false">Raw_Nigeria!L402</f>
        <v>24-35 m</v>
      </c>
      <c r="L402" s="7" t="str">
        <f aca="false">IF(Raw_Nigeria!K402="","n/a",Raw_Nigeria!K402)</f>
        <v>0-35 m</v>
      </c>
      <c r="M402" s="7" t="str">
        <f aca="false">IF(Raw_Nigeria!I402="","",Raw_Nigeria!I402)</f>
        <v/>
      </c>
      <c r="N402" s="7" t="n">
        <f aca="false">Raw_Nigeria!M402</f>
        <v>16.8</v>
      </c>
      <c r="O402" s="7" t="n">
        <f aca="false">IF(Raw_Nigeria!N402="","",Raw_Nigeria!N402)</f>
        <v>5514</v>
      </c>
      <c r="P402" s="7" t="str">
        <f aca="false">IF(K402="CBAW","Women of child-bearing age","Children")</f>
        <v>Children</v>
      </c>
      <c r="Q402" s="7" t="n">
        <f aca="false">IF(J402="NOT USED",1,0)</f>
        <v>0</v>
      </c>
      <c r="R402" s="7" t="n">
        <f aca="false">IF(AND(P402="Children",Q402=0),1,0)</f>
        <v>1</v>
      </c>
      <c r="S402" s="7" t="n">
        <f aca="false">IF(AND(R402=1,J402="Record or Recall",K402="12-23 m"),1,0)</f>
        <v>0</v>
      </c>
      <c r="T402" s="7" t="n">
        <f aca="false">IF(OR(I402="BCG",I402="DTP1",I402="DTP3",I402="POL3",I402="MCV1",I402="FULL"),1,0)</f>
        <v>0</v>
      </c>
      <c r="U402" s="7" t="n">
        <f aca="false">IF(OR(C402="DHS",C402="MICS"),1,0)</f>
        <v>1</v>
      </c>
      <c r="V402" s="7" t="n">
        <f aca="false">IF(O402="",1,0)</f>
        <v>0</v>
      </c>
      <c r="W402" s="7" t="n">
        <f aca="false">IF(M402="",1,0)</f>
        <v>1</v>
      </c>
      <c r="X402" s="7" t="n">
        <f aca="false">COUNTIFS($B$2:$B$1141,B402,$H$2:$H$1141,H402,$I$2:$I$1141,I402,$J$2:$J$1141,J402,$K$2:$K$1141,K402,$L$2:$L$1141,L402)</f>
        <v>1</v>
      </c>
    </row>
    <row r="403" customFormat="false" ht="15" hidden="false" customHeight="false" outlineLevel="0" collapsed="false">
      <c r="A403" s="7" t="n">
        <f aca="false">ROW()-1</f>
        <v>402</v>
      </c>
      <c r="B403" s="7" t="str">
        <f aca="false">IF(Raw_Nigeria!B403="",TRIM(Raw_Nigeria!C403),TRIM(Raw_Nigeria!B403))</f>
        <v>Nigeria Multiple Indicator Cluster Survey 2016-2017</v>
      </c>
      <c r="C403" s="7" t="str">
        <f aca="false">IF(ISNUMBER(SEARCH("Demographic and Health",B403)),"DHS",IF(OR(ISNUMBER(SEARCH("Multiple Indicator Cluster",B403)),ISNUMBER(SEARCH("MICS",B403))),"MICS",IF(ISNUMBER(SEARCH("Immunization Coverage Survey",B403)),"Coverage survey",IF(ISNUMBER(SEARCH("Nutrition",B403)),"Nutrition survey","Other"))))</f>
        <v>MICS</v>
      </c>
      <c r="D403" s="7" t="n">
        <f aca="false">VALUE(LEFT(Raw_Nigeria!D403,4))</f>
        <v>2016</v>
      </c>
      <c r="E403" s="7" t="n">
        <f aca="false">IF(VALUE(RIGHT(Raw_Nigeria!D403,2))&gt;12,"",VALUE(RIGHT(Raw_Nigeria!D403,2)))</f>
        <v>9</v>
      </c>
      <c r="F403" s="7" t="n">
        <f aca="false">VALUE(LEFT(Raw_Nigeria!E403,4))</f>
        <v>2017</v>
      </c>
      <c r="G403" s="7" t="n">
        <f aca="false">IF(VALUE(RIGHT(Raw_Nigeria!E403,2))&gt;12,"",VALUE(RIGHT(Raw_Nigeria!E403,2)))</f>
        <v>1</v>
      </c>
      <c r="H403" s="7" t="n">
        <f aca="false">Raw_Nigeria!F403</f>
        <v>2014</v>
      </c>
      <c r="I403" s="7" t="str">
        <f aca="false">UPPER(TRIM(Raw_Nigeria!G403))</f>
        <v>IPV1</v>
      </c>
      <c r="J403" s="7" t="str">
        <f aca="false">Raw_Nigeria!H403</f>
        <v>Record or Recall&lt;12m</v>
      </c>
      <c r="K403" s="7" t="str">
        <f aca="false">Raw_Nigeria!L403</f>
        <v>24-35 m</v>
      </c>
      <c r="L403" s="7" t="str">
        <f aca="false">IF(Raw_Nigeria!K403="","n/a",Raw_Nigeria!K403)</f>
        <v>0-12 m</v>
      </c>
      <c r="M403" s="7" t="str">
        <f aca="false">IF(Raw_Nigeria!I403="","",Raw_Nigeria!I403)</f>
        <v/>
      </c>
      <c r="N403" s="7" t="n">
        <f aca="false">Raw_Nigeria!M403</f>
        <v>29.7</v>
      </c>
      <c r="O403" s="7" t="n">
        <f aca="false">IF(Raw_Nigeria!N403="","",Raw_Nigeria!N403)</f>
        <v>5514</v>
      </c>
      <c r="P403" s="7" t="str">
        <f aca="false">IF(K403="CBAW","Women of child-bearing age","Children")</f>
        <v>Children</v>
      </c>
      <c r="Q403" s="7" t="n">
        <f aca="false">IF(J403="NOT USED",1,0)</f>
        <v>0</v>
      </c>
      <c r="R403" s="7" t="n">
        <f aca="false">IF(AND(P403="Children",Q403=0),1,0)</f>
        <v>1</v>
      </c>
      <c r="S403" s="7" t="n">
        <f aca="false">IF(AND(R403=1,J403="Record or Recall",K403="12-23 m"),1,0)</f>
        <v>0</v>
      </c>
      <c r="T403" s="7" t="n">
        <f aca="false">IF(OR(I403="BCG",I403="DTP1",I403="DTP3",I403="POL3",I403="MCV1",I403="FULL"),1,0)</f>
        <v>0</v>
      </c>
      <c r="U403" s="7" t="n">
        <f aca="false">IF(OR(C403="DHS",C403="MICS"),1,0)</f>
        <v>1</v>
      </c>
      <c r="V403" s="7" t="n">
        <f aca="false">IF(O403="",1,0)</f>
        <v>0</v>
      </c>
      <c r="W403" s="7" t="n">
        <f aca="false">IF(M403="",1,0)</f>
        <v>1</v>
      </c>
      <c r="X403" s="7" t="n">
        <f aca="false">COUNTIFS($B$2:$B$1141,B403,$H$2:$H$1141,H403,$I$2:$I$1141,I403,$J$2:$J$1141,J403,$K$2:$K$1141,K403,$L$2:$L$1141,L403)</f>
        <v>1</v>
      </c>
    </row>
    <row r="404" customFormat="false" ht="15" hidden="false" customHeight="false" outlineLevel="0" collapsed="false">
      <c r="A404" s="7" t="n">
        <f aca="false">ROW()-1</f>
        <v>403</v>
      </c>
      <c r="B404" s="7" t="str">
        <f aca="false">IF(Raw_Nigeria!B404="",TRIM(Raw_Nigeria!C404),TRIM(Raw_Nigeria!B404))</f>
        <v>Nigeria Multiple Indicator Cluster Survey 2016-2017</v>
      </c>
      <c r="C404" s="7" t="str">
        <f aca="false">IF(ISNUMBER(SEARCH("Demographic and Health",B404)),"DHS",IF(OR(ISNUMBER(SEARCH("Multiple Indicator Cluster",B404)),ISNUMBER(SEARCH("MICS",B404))),"MICS",IF(ISNUMBER(SEARCH("Immunization Coverage Survey",B404)),"Coverage survey",IF(ISNUMBER(SEARCH("Nutrition",B404)),"Nutrition survey","Other"))))</f>
        <v>MICS</v>
      </c>
      <c r="D404" s="7" t="n">
        <f aca="false">VALUE(LEFT(Raw_Nigeria!D404,4))</f>
        <v>2016</v>
      </c>
      <c r="E404" s="7" t="n">
        <f aca="false">IF(VALUE(RIGHT(Raw_Nigeria!D404,2))&gt;12,"",VALUE(RIGHT(Raw_Nigeria!D404,2)))</f>
        <v>9</v>
      </c>
      <c r="F404" s="7" t="n">
        <f aca="false">VALUE(LEFT(Raw_Nigeria!E404,4))</f>
        <v>2017</v>
      </c>
      <c r="G404" s="7" t="n">
        <f aca="false">IF(VALUE(RIGHT(Raw_Nigeria!E404,2))&gt;12,"",VALUE(RIGHT(Raw_Nigeria!E404,2)))</f>
        <v>1</v>
      </c>
      <c r="H404" s="7" t="n">
        <f aca="false">Raw_Nigeria!F404</f>
        <v>2014</v>
      </c>
      <c r="I404" s="7" t="str">
        <f aca="false">UPPER(TRIM(Raw_Nigeria!G404))</f>
        <v>IPV1</v>
      </c>
      <c r="J404" s="7" t="str">
        <f aca="false">Raw_Nigeria!H404</f>
        <v>Record</v>
      </c>
      <c r="K404" s="7" t="str">
        <f aca="false">Raw_Nigeria!L404</f>
        <v>24-35 m</v>
      </c>
      <c r="L404" s="7" t="str">
        <f aca="false">IF(Raw_Nigeria!K404="","n/a",Raw_Nigeria!K404)</f>
        <v>0-35 m</v>
      </c>
      <c r="M404" s="7" t="str">
        <f aca="false">IF(Raw_Nigeria!I404="","",Raw_Nigeria!I404)</f>
        <v/>
      </c>
      <c r="N404" s="7" t="n">
        <f aca="false">Raw_Nigeria!M404</f>
        <v>8.2</v>
      </c>
      <c r="O404" s="7" t="n">
        <f aca="false">IF(Raw_Nigeria!N404="","",Raw_Nigeria!N404)</f>
        <v>5514</v>
      </c>
      <c r="P404" s="7" t="str">
        <f aca="false">IF(K404="CBAW","Women of child-bearing age","Children")</f>
        <v>Children</v>
      </c>
      <c r="Q404" s="7" t="n">
        <f aca="false">IF(J404="NOT USED",1,0)</f>
        <v>0</v>
      </c>
      <c r="R404" s="7" t="n">
        <f aca="false">IF(AND(P404="Children",Q404=0),1,0)</f>
        <v>1</v>
      </c>
      <c r="S404" s="7" t="n">
        <f aca="false">IF(AND(R404=1,J404="Record or Recall",K404="12-23 m"),1,0)</f>
        <v>0</v>
      </c>
      <c r="T404" s="7" t="n">
        <f aca="false">IF(OR(I404="BCG",I404="DTP1",I404="DTP3",I404="POL3",I404="MCV1",I404="FULL"),1,0)</f>
        <v>0</v>
      </c>
      <c r="U404" s="7" t="n">
        <f aca="false">IF(OR(C404="DHS",C404="MICS"),1,0)</f>
        <v>1</v>
      </c>
      <c r="V404" s="7" t="n">
        <f aca="false">IF(O404="",1,0)</f>
        <v>0</v>
      </c>
      <c r="W404" s="7" t="n">
        <f aca="false">IF(M404="",1,0)</f>
        <v>1</v>
      </c>
      <c r="X404" s="7" t="n">
        <f aca="false">COUNTIFS($B$2:$B$1141,B404,$H$2:$H$1141,H404,$I$2:$I$1141,I404,$J$2:$J$1141,J404,$K$2:$K$1141,K404,$L$2:$L$1141,L404)</f>
        <v>1</v>
      </c>
    </row>
    <row r="405" customFormat="false" ht="15" hidden="false" customHeight="false" outlineLevel="0" collapsed="false">
      <c r="A405" s="7" t="n">
        <f aca="false">ROW()-1</f>
        <v>404</v>
      </c>
      <c r="B405" s="7" t="str">
        <f aca="false">IF(Raw_Nigeria!B405="",TRIM(Raw_Nigeria!C405),TRIM(Raw_Nigeria!B405))</f>
        <v>Nigeria Multiple Indicator Cluster Survey 2016-2017</v>
      </c>
      <c r="C405" s="7" t="str">
        <f aca="false">IF(ISNUMBER(SEARCH("Demographic and Health",B405)),"DHS",IF(OR(ISNUMBER(SEARCH("Multiple Indicator Cluster",B405)),ISNUMBER(SEARCH("MICS",B405))),"MICS",IF(ISNUMBER(SEARCH("Immunization Coverage Survey",B405)),"Coverage survey",IF(ISNUMBER(SEARCH("Nutrition",B405)),"Nutrition survey","Other"))))</f>
        <v>MICS</v>
      </c>
      <c r="D405" s="7" t="n">
        <f aca="false">VALUE(LEFT(Raw_Nigeria!D405,4))</f>
        <v>2016</v>
      </c>
      <c r="E405" s="7" t="n">
        <f aca="false">IF(VALUE(RIGHT(Raw_Nigeria!D405,2))&gt;12,"",VALUE(RIGHT(Raw_Nigeria!D405,2)))</f>
        <v>9</v>
      </c>
      <c r="F405" s="7" t="n">
        <f aca="false">VALUE(LEFT(Raw_Nigeria!E405,4))</f>
        <v>2017</v>
      </c>
      <c r="G405" s="7" t="n">
        <f aca="false">IF(VALUE(RIGHT(Raw_Nigeria!E405,2))&gt;12,"",VALUE(RIGHT(Raw_Nigeria!E405,2)))</f>
        <v>1</v>
      </c>
      <c r="H405" s="7" t="n">
        <f aca="false">Raw_Nigeria!F405</f>
        <v>2014</v>
      </c>
      <c r="I405" s="7" t="str">
        <f aca="false">UPPER(TRIM(Raw_Nigeria!G405))</f>
        <v>IPV1</v>
      </c>
      <c r="J405" s="7" t="str">
        <f aca="false">Raw_Nigeria!H405</f>
        <v>Record or Recall</v>
      </c>
      <c r="K405" s="7" t="str">
        <f aca="false">Raw_Nigeria!L405</f>
        <v>24-35 m</v>
      </c>
      <c r="L405" s="7" t="str">
        <f aca="false">IF(Raw_Nigeria!K405="","n/a",Raw_Nigeria!K405)</f>
        <v>0-35 m</v>
      </c>
      <c r="M405" s="7" t="str">
        <f aca="false">IF(Raw_Nigeria!I405="","",Raw_Nigeria!I405)</f>
        <v/>
      </c>
      <c r="N405" s="7" t="n">
        <f aca="false">Raw_Nigeria!M405</f>
        <v>38.7</v>
      </c>
      <c r="O405" s="7" t="n">
        <f aca="false">IF(Raw_Nigeria!N405="","",Raw_Nigeria!N405)</f>
        <v>5514</v>
      </c>
      <c r="P405" s="7" t="str">
        <f aca="false">IF(K405="CBAW","Women of child-bearing age","Children")</f>
        <v>Children</v>
      </c>
      <c r="Q405" s="7" t="n">
        <f aca="false">IF(J405="NOT USED",1,0)</f>
        <v>0</v>
      </c>
      <c r="R405" s="7" t="n">
        <f aca="false">IF(AND(P405="Children",Q405=0),1,0)</f>
        <v>1</v>
      </c>
      <c r="S405" s="7" t="n">
        <f aca="false">IF(AND(R405=1,J405="Record or Recall",K405="12-23 m"),1,0)</f>
        <v>0</v>
      </c>
      <c r="T405" s="7" t="n">
        <f aca="false">IF(OR(I405="BCG",I405="DTP1",I405="DTP3",I405="POL3",I405="MCV1",I405="FULL"),1,0)</f>
        <v>0</v>
      </c>
      <c r="U405" s="7" t="n">
        <f aca="false">IF(OR(C405="DHS",C405="MICS"),1,0)</f>
        <v>1</v>
      </c>
      <c r="V405" s="7" t="n">
        <f aca="false">IF(O405="",1,0)</f>
        <v>0</v>
      </c>
      <c r="W405" s="7" t="n">
        <f aca="false">IF(M405="",1,0)</f>
        <v>1</v>
      </c>
      <c r="X405" s="7" t="n">
        <f aca="false">COUNTIFS($B$2:$B$1141,B405,$H$2:$H$1141,H405,$I$2:$I$1141,I405,$J$2:$J$1141,J405,$K$2:$K$1141,K405,$L$2:$L$1141,L405)</f>
        <v>1</v>
      </c>
    </row>
    <row r="406" customFormat="false" ht="15" hidden="false" customHeight="false" outlineLevel="0" collapsed="false">
      <c r="A406" s="7" t="n">
        <f aca="false">ROW()-1</f>
        <v>405</v>
      </c>
      <c r="B406" s="7" t="str">
        <f aca="false">IF(Raw_Nigeria!B406="",TRIM(Raw_Nigeria!C406),TRIM(Raw_Nigeria!B406))</f>
        <v>Nigeria Multiple Indicator Cluster Survey 2016-2017</v>
      </c>
      <c r="C406" s="7" t="str">
        <f aca="false">IF(ISNUMBER(SEARCH("Demographic and Health",B406)),"DHS",IF(OR(ISNUMBER(SEARCH("Multiple Indicator Cluster",B406)),ISNUMBER(SEARCH("MICS",B406))),"MICS",IF(ISNUMBER(SEARCH("Immunization Coverage Survey",B406)),"Coverage survey",IF(ISNUMBER(SEARCH("Nutrition",B406)),"Nutrition survey","Other"))))</f>
        <v>MICS</v>
      </c>
      <c r="D406" s="7" t="n">
        <f aca="false">VALUE(LEFT(Raw_Nigeria!D406,4))</f>
        <v>2016</v>
      </c>
      <c r="E406" s="7" t="n">
        <f aca="false">IF(VALUE(RIGHT(Raw_Nigeria!D406,2))&gt;12,"",VALUE(RIGHT(Raw_Nigeria!D406,2)))</f>
        <v>9</v>
      </c>
      <c r="F406" s="7" t="n">
        <f aca="false">VALUE(LEFT(Raw_Nigeria!E406,4))</f>
        <v>2017</v>
      </c>
      <c r="G406" s="7" t="n">
        <f aca="false">IF(VALUE(RIGHT(Raw_Nigeria!E406,2))&gt;12,"",VALUE(RIGHT(Raw_Nigeria!E406,2)))</f>
        <v>1</v>
      </c>
      <c r="H406" s="7" t="n">
        <f aca="false">Raw_Nigeria!F406</f>
        <v>2014</v>
      </c>
      <c r="I406" s="7" t="str">
        <f aca="false">UPPER(TRIM(Raw_Nigeria!G406))</f>
        <v>IPV1</v>
      </c>
      <c r="J406" s="7" t="str">
        <f aca="false">Raw_Nigeria!H406</f>
        <v>Recall</v>
      </c>
      <c r="K406" s="7" t="str">
        <f aca="false">Raw_Nigeria!L406</f>
        <v>24-35 m</v>
      </c>
      <c r="L406" s="7" t="str">
        <f aca="false">IF(Raw_Nigeria!K406="","n/a",Raw_Nigeria!K406)</f>
        <v>0-35 m</v>
      </c>
      <c r="M406" s="7" t="str">
        <f aca="false">IF(Raw_Nigeria!I406="","",Raw_Nigeria!I406)</f>
        <v/>
      </c>
      <c r="N406" s="7" t="n">
        <f aca="false">Raw_Nigeria!M406</f>
        <v>30.4</v>
      </c>
      <c r="O406" s="7" t="n">
        <f aca="false">IF(Raw_Nigeria!N406="","",Raw_Nigeria!N406)</f>
        <v>5514</v>
      </c>
      <c r="P406" s="7" t="str">
        <f aca="false">IF(K406="CBAW","Women of child-bearing age","Children")</f>
        <v>Children</v>
      </c>
      <c r="Q406" s="7" t="n">
        <f aca="false">IF(J406="NOT USED",1,0)</f>
        <v>0</v>
      </c>
      <c r="R406" s="7" t="n">
        <f aca="false">IF(AND(P406="Children",Q406=0),1,0)</f>
        <v>1</v>
      </c>
      <c r="S406" s="7" t="n">
        <f aca="false">IF(AND(R406=1,J406="Record or Recall",K406="12-23 m"),1,0)</f>
        <v>0</v>
      </c>
      <c r="T406" s="7" t="n">
        <f aca="false">IF(OR(I406="BCG",I406="DTP1",I406="DTP3",I406="POL3",I406="MCV1",I406="FULL"),1,0)</f>
        <v>0</v>
      </c>
      <c r="U406" s="7" t="n">
        <f aca="false">IF(OR(C406="DHS",C406="MICS"),1,0)</f>
        <v>1</v>
      </c>
      <c r="V406" s="7" t="n">
        <f aca="false">IF(O406="",1,0)</f>
        <v>0</v>
      </c>
      <c r="W406" s="7" t="n">
        <f aca="false">IF(M406="",1,0)</f>
        <v>1</v>
      </c>
      <c r="X406" s="7" t="n">
        <f aca="false">COUNTIFS($B$2:$B$1141,B406,$H$2:$H$1141,H406,$I$2:$I$1141,I406,$J$2:$J$1141,J406,$K$2:$K$1141,K406,$L$2:$L$1141,L406)</f>
        <v>1</v>
      </c>
    </row>
    <row r="407" customFormat="false" ht="15" hidden="false" customHeight="false" outlineLevel="0" collapsed="false">
      <c r="A407" s="7" t="n">
        <f aca="false">ROW()-1</f>
        <v>406</v>
      </c>
      <c r="B407" s="7" t="str">
        <f aca="false">IF(Raw_Nigeria!B407="",TRIM(Raw_Nigeria!C407),TRIM(Raw_Nigeria!B407))</f>
        <v>Nigeria Multiple Indicator Cluster Survey 2016-2017</v>
      </c>
      <c r="C407" s="7" t="str">
        <f aca="false">IF(ISNUMBER(SEARCH("Demographic and Health",B407)),"DHS",IF(OR(ISNUMBER(SEARCH("Multiple Indicator Cluster",B407)),ISNUMBER(SEARCH("MICS",B407))),"MICS",IF(ISNUMBER(SEARCH("Immunization Coverage Survey",B407)),"Coverage survey",IF(ISNUMBER(SEARCH("Nutrition",B407)),"Nutrition survey","Other"))))</f>
        <v>MICS</v>
      </c>
      <c r="D407" s="7" t="n">
        <f aca="false">VALUE(LEFT(Raw_Nigeria!D407,4))</f>
        <v>2016</v>
      </c>
      <c r="E407" s="7" t="n">
        <f aca="false">IF(VALUE(RIGHT(Raw_Nigeria!D407,2))&gt;12,"",VALUE(RIGHT(Raw_Nigeria!D407,2)))</f>
        <v>9</v>
      </c>
      <c r="F407" s="7" t="n">
        <f aca="false">VALUE(LEFT(Raw_Nigeria!E407,4))</f>
        <v>2017</v>
      </c>
      <c r="G407" s="7" t="n">
        <f aca="false">IF(VALUE(RIGHT(Raw_Nigeria!E407,2))&gt;12,"",VALUE(RIGHT(Raw_Nigeria!E407,2)))</f>
        <v>1</v>
      </c>
      <c r="H407" s="7" t="n">
        <f aca="false">Raw_Nigeria!F407</f>
        <v>2014</v>
      </c>
      <c r="I407" s="7" t="str">
        <f aca="false">UPPER(TRIM(Raw_Nigeria!G407))</f>
        <v>MCV1</v>
      </c>
      <c r="J407" s="7" t="str">
        <f aca="false">Raw_Nigeria!H407</f>
        <v>Recall</v>
      </c>
      <c r="K407" s="7" t="str">
        <f aca="false">Raw_Nigeria!L407</f>
        <v>24-35 m</v>
      </c>
      <c r="L407" s="7" t="str">
        <f aca="false">IF(Raw_Nigeria!K407="","n/a",Raw_Nigeria!K407)</f>
        <v>0-35 m</v>
      </c>
      <c r="M407" s="7" t="str">
        <f aca="false">IF(Raw_Nigeria!I407="","",Raw_Nigeria!I407)</f>
        <v/>
      </c>
      <c r="N407" s="7" t="n">
        <f aca="false">Raw_Nigeria!M407</f>
        <v>29.4</v>
      </c>
      <c r="O407" s="7" t="n">
        <f aca="false">IF(Raw_Nigeria!N407="","",Raw_Nigeria!N407)</f>
        <v>5514</v>
      </c>
      <c r="P407" s="7" t="str">
        <f aca="false">IF(K407="CBAW","Women of child-bearing age","Children")</f>
        <v>Children</v>
      </c>
      <c r="Q407" s="7" t="n">
        <f aca="false">IF(J407="NOT USED",1,0)</f>
        <v>0</v>
      </c>
      <c r="R407" s="7" t="n">
        <f aca="false">IF(AND(P407="Children",Q407=0),1,0)</f>
        <v>1</v>
      </c>
      <c r="S407" s="7" t="n">
        <f aca="false">IF(AND(R407=1,J407="Record or Recall",K407="12-23 m"),1,0)</f>
        <v>0</v>
      </c>
      <c r="T407" s="7" t="n">
        <f aca="false">IF(OR(I407="BCG",I407="DTP1",I407="DTP3",I407="POL3",I407="MCV1",I407="FULL"),1,0)</f>
        <v>1</v>
      </c>
      <c r="U407" s="7" t="n">
        <f aca="false">IF(OR(C407="DHS",C407="MICS"),1,0)</f>
        <v>1</v>
      </c>
      <c r="V407" s="7" t="n">
        <f aca="false">IF(O407="",1,0)</f>
        <v>0</v>
      </c>
      <c r="W407" s="7" t="n">
        <f aca="false">IF(M407="",1,0)</f>
        <v>1</v>
      </c>
      <c r="X407" s="7" t="n">
        <f aca="false">COUNTIFS($B$2:$B$1141,B407,$H$2:$H$1141,H407,$I$2:$I$1141,I407,$J$2:$J$1141,J407,$K$2:$K$1141,K407,$L$2:$L$1141,L407)</f>
        <v>1</v>
      </c>
    </row>
    <row r="408" customFormat="false" ht="15" hidden="false" customHeight="false" outlineLevel="0" collapsed="false">
      <c r="A408" s="7" t="n">
        <f aca="false">ROW()-1</f>
        <v>407</v>
      </c>
      <c r="B408" s="7" t="str">
        <f aca="false">IF(Raw_Nigeria!B408="",TRIM(Raw_Nigeria!C408),TRIM(Raw_Nigeria!B408))</f>
        <v>Nigeria Multiple Indicator Cluster Survey 2016-2017</v>
      </c>
      <c r="C408" s="7" t="str">
        <f aca="false">IF(ISNUMBER(SEARCH("Demographic and Health",B408)),"DHS",IF(OR(ISNUMBER(SEARCH("Multiple Indicator Cluster",B408)),ISNUMBER(SEARCH("MICS",B408))),"MICS",IF(ISNUMBER(SEARCH("Immunization Coverage Survey",B408)),"Coverage survey",IF(ISNUMBER(SEARCH("Nutrition",B408)),"Nutrition survey","Other"))))</f>
        <v>MICS</v>
      </c>
      <c r="D408" s="7" t="n">
        <f aca="false">VALUE(LEFT(Raw_Nigeria!D408,4))</f>
        <v>2016</v>
      </c>
      <c r="E408" s="7" t="n">
        <f aca="false">IF(VALUE(RIGHT(Raw_Nigeria!D408,2))&gt;12,"",VALUE(RIGHT(Raw_Nigeria!D408,2)))</f>
        <v>9</v>
      </c>
      <c r="F408" s="7" t="n">
        <f aca="false">VALUE(LEFT(Raw_Nigeria!E408,4))</f>
        <v>2017</v>
      </c>
      <c r="G408" s="7" t="n">
        <f aca="false">IF(VALUE(RIGHT(Raw_Nigeria!E408,2))&gt;12,"",VALUE(RIGHT(Raw_Nigeria!E408,2)))</f>
        <v>1</v>
      </c>
      <c r="H408" s="7" t="n">
        <f aca="false">Raw_Nigeria!F408</f>
        <v>2014</v>
      </c>
      <c r="I408" s="7" t="str">
        <f aca="false">UPPER(TRIM(Raw_Nigeria!G408))</f>
        <v>MCV1</v>
      </c>
      <c r="J408" s="7" t="str">
        <f aca="false">Raw_Nigeria!H408</f>
        <v>Record or Recall&lt;12m</v>
      </c>
      <c r="K408" s="7" t="str">
        <f aca="false">Raw_Nigeria!L408</f>
        <v>24-35 m</v>
      </c>
      <c r="L408" s="7" t="str">
        <f aca="false">IF(Raw_Nigeria!K408="","n/a",Raw_Nigeria!K408)</f>
        <v>0-12 m</v>
      </c>
      <c r="M408" s="7" t="str">
        <f aca="false">IF(Raw_Nigeria!I408="","",Raw_Nigeria!I408)</f>
        <v/>
      </c>
      <c r="N408" s="7" t="n">
        <f aca="false">Raw_Nigeria!M408</f>
        <v>36.5</v>
      </c>
      <c r="O408" s="7" t="n">
        <f aca="false">IF(Raw_Nigeria!N408="","",Raw_Nigeria!N408)</f>
        <v>5514</v>
      </c>
      <c r="P408" s="7" t="str">
        <f aca="false">IF(K408="CBAW","Women of child-bearing age","Children")</f>
        <v>Children</v>
      </c>
      <c r="Q408" s="7" t="n">
        <f aca="false">IF(J408="NOT USED",1,0)</f>
        <v>0</v>
      </c>
      <c r="R408" s="7" t="n">
        <f aca="false">IF(AND(P408="Children",Q408=0),1,0)</f>
        <v>1</v>
      </c>
      <c r="S408" s="7" t="n">
        <f aca="false">IF(AND(R408=1,J408="Record or Recall",K408="12-23 m"),1,0)</f>
        <v>0</v>
      </c>
      <c r="T408" s="7" t="n">
        <f aca="false">IF(OR(I408="BCG",I408="DTP1",I408="DTP3",I408="POL3",I408="MCV1",I408="FULL"),1,0)</f>
        <v>1</v>
      </c>
      <c r="U408" s="7" t="n">
        <f aca="false">IF(OR(C408="DHS",C408="MICS"),1,0)</f>
        <v>1</v>
      </c>
      <c r="V408" s="7" t="n">
        <f aca="false">IF(O408="",1,0)</f>
        <v>0</v>
      </c>
      <c r="W408" s="7" t="n">
        <f aca="false">IF(M408="",1,0)</f>
        <v>1</v>
      </c>
      <c r="X408" s="7" t="n">
        <f aca="false">COUNTIFS($B$2:$B$1141,B408,$H$2:$H$1141,H408,$I$2:$I$1141,I408,$J$2:$J$1141,J408,$K$2:$K$1141,K408,$L$2:$L$1141,L408)</f>
        <v>1</v>
      </c>
    </row>
    <row r="409" customFormat="false" ht="15" hidden="false" customHeight="false" outlineLevel="0" collapsed="false">
      <c r="A409" s="7" t="n">
        <f aca="false">ROW()-1</f>
        <v>408</v>
      </c>
      <c r="B409" s="7" t="str">
        <f aca="false">IF(Raw_Nigeria!B409="",TRIM(Raw_Nigeria!C409),TRIM(Raw_Nigeria!B409))</f>
        <v>Nigeria Multiple Indicator Cluster Survey 2016-2017</v>
      </c>
      <c r="C409" s="7" t="str">
        <f aca="false">IF(ISNUMBER(SEARCH("Demographic and Health",B409)),"DHS",IF(OR(ISNUMBER(SEARCH("Multiple Indicator Cluster",B409)),ISNUMBER(SEARCH("MICS",B409))),"MICS",IF(ISNUMBER(SEARCH("Immunization Coverage Survey",B409)),"Coverage survey",IF(ISNUMBER(SEARCH("Nutrition",B409)),"Nutrition survey","Other"))))</f>
        <v>MICS</v>
      </c>
      <c r="D409" s="7" t="n">
        <f aca="false">VALUE(LEFT(Raw_Nigeria!D409,4))</f>
        <v>2016</v>
      </c>
      <c r="E409" s="7" t="n">
        <f aca="false">IF(VALUE(RIGHT(Raw_Nigeria!D409,2))&gt;12,"",VALUE(RIGHT(Raw_Nigeria!D409,2)))</f>
        <v>9</v>
      </c>
      <c r="F409" s="7" t="n">
        <f aca="false">VALUE(LEFT(Raw_Nigeria!E409,4))</f>
        <v>2017</v>
      </c>
      <c r="G409" s="7" t="n">
        <f aca="false">IF(VALUE(RIGHT(Raw_Nigeria!E409,2))&gt;12,"",VALUE(RIGHT(Raw_Nigeria!E409,2)))</f>
        <v>1</v>
      </c>
      <c r="H409" s="7" t="n">
        <f aca="false">Raw_Nigeria!F409</f>
        <v>2014</v>
      </c>
      <c r="I409" s="7" t="str">
        <f aca="false">UPPER(TRIM(Raw_Nigeria!G409))</f>
        <v>MCV1</v>
      </c>
      <c r="J409" s="7" t="str">
        <f aca="false">Raw_Nigeria!H409</f>
        <v>Record</v>
      </c>
      <c r="K409" s="7" t="str">
        <f aca="false">Raw_Nigeria!L409</f>
        <v>24-35 m</v>
      </c>
      <c r="L409" s="7" t="str">
        <f aca="false">IF(Raw_Nigeria!K409="","n/a",Raw_Nigeria!K409)</f>
        <v>0-35 m</v>
      </c>
      <c r="M409" s="7" t="str">
        <f aca="false">IF(Raw_Nigeria!I409="","",Raw_Nigeria!I409)</f>
        <v/>
      </c>
      <c r="N409" s="7" t="n">
        <f aca="false">Raw_Nigeria!M409</f>
        <v>15</v>
      </c>
      <c r="O409" s="7" t="n">
        <f aca="false">IF(Raw_Nigeria!N409="","",Raw_Nigeria!N409)</f>
        <v>5514</v>
      </c>
      <c r="P409" s="7" t="str">
        <f aca="false">IF(K409="CBAW","Women of child-bearing age","Children")</f>
        <v>Children</v>
      </c>
      <c r="Q409" s="7" t="n">
        <f aca="false">IF(J409="NOT USED",1,0)</f>
        <v>0</v>
      </c>
      <c r="R409" s="7" t="n">
        <f aca="false">IF(AND(P409="Children",Q409=0),1,0)</f>
        <v>1</v>
      </c>
      <c r="S409" s="7" t="n">
        <f aca="false">IF(AND(R409=1,J409="Record or Recall",K409="12-23 m"),1,0)</f>
        <v>0</v>
      </c>
      <c r="T409" s="7" t="n">
        <f aca="false">IF(OR(I409="BCG",I409="DTP1",I409="DTP3",I409="POL3",I409="MCV1",I409="FULL"),1,0)</f>
        <v>1</v>
      </c>
      <c r="U409" s="7" t="n">
        <f aca="false">IF(OR(C409="DHS",C409="MICS"),1,0)</f>
        <v>1</v>
      </c>
      <c r="V409" s="7" t="n">
        <f aca="false">IF(O409="",1,0)</f>
        <v>0</v>
      </c>
      <c r="W409" s="7" t="n">
        <f aca="false">IF(M409="",1,0)</f>
        <v>1</v>
      </c>
      <c r="X409" s="7" t="n">
        <f aca="false">COUNTIFS($B$2:$B$1141,B409,$H$2:$H$1141,H409,$I$2:$I$1141,I409,$J$2:$J$1141,J409,$K$2:$K$1141,K409,$L$2:$L$1141,L409)</f>
        <v>1</v>
      </c>
    </row>
    <row r="410" customFormat="false" ht="15" hidden="false" customHeight="false" outlineLevel="0" collapsed="false">
      <c r="A410" s="7" t="n">
        <f aca="false">ROW()-1</f>
        <v>409</v>
      </c>
      <c r="B410" s="7" t="str">
        <f aca="false">IF(Raw_Nigeria!B410="",TRIM(Raw_Nigeria!C410),TRIM(Raw_Nigeria!B410))</f>
        <v>Nigeria Multiple Indicator Cluster Survey 2016-2017</v>
      </c>
      <c r="C410" s="7" t="str">
        <f aca="false">IF(ISNUMBER(SEARCH("Demographic and Health",B410)),"DHS",IF(OR(ISNUMBER(SEARCH("Multiple Indicator Cluster",B410)),ISNUMBER(SEARCH("MICS",B410))),"MICS",IF(ISNUMBER(SEARCH("Immunization Coverage Survey",B410)),"Coverage survey",IF(ISNUMBER(SEARCH("Nutrition",B410)),"Nutrition survey","Other"))))</f>
        <v>MICS</v>
      </c>
      <c r="D410" s="7" t="n">
        <f aca="false">VALUE(LEFT(Raw_Nigeria!D410,4))</f>
        <v>2016</v>
      </c>
      <c r="E410" s="7" t="n">
        <f aca="false">IF(VALUE(RIGHT(Raw_Nigeria!D410,2))&gt;12,"",VALUE(RIGHT(Raw_Nigeria!D410,2)))</f>
        <v>9</v>
      </c>
      <c r="F410" s="7" t="n">
        <f aca="false">VALUE(LEFT(Raw_Nigeria!E410,4))</f>
        <v>2017</v>
      </c>
      <c r="G410" s="7" t="n">
        <f aca="false">IF(VALUE(RIGHT(Raw_Nigeria!E410,2))&gt;12,"",VALUE(RIGHT(Raw_Nigeria!E410,2)))</f>
        <v>1</v>
      </c>
      <c r="H410" s="7" t="n">
        <f aca="false">Raw_Nigeria!F410</f>
        <v>2014</v>
      </c>
      <c r="I410" s="7" t="str">
        <f aca="false">UPPER(TRIM(Raw_Nigeria!G410))</f>
        <v>MCV1</v>
      </c>
      <c r="J410" s="7" t="str">
        <f aca="false">Raw_Nigeria!H410</f>
        <v>Record or Recall</v>
      </c>
      <c r="K410" s="7" t="str">
        <f aca="false">Raw_Nigeria!L410</f>
        <v>24-35 m</v>
      </c>
      <c r="L410" s="7" t="str">
        <f aca="false">IF(Raw_Nigeria!K410="","n/a",Raw_Nigeria!K410)</f>
        <v>0-35 m</v>
      </c>
      <c r="M410" s="7" t="str">
        <f aca="false">IF(Raw_Nigeria!I410="","",Raw_Nigeria!I410)</f>
        <v/>
      </c>
      <c r="N410" s="7" t="n">
        <f aca="false">Raw_Nigeria!M410</f>
        <v>44.3</v>
      </c>
      <c r="O410" s="7" t="n">
        <f aca="false">IF(Raw_Nigeria!N410="","",Raw_Nigeria!N410)</f>
        <v>5514</v>
      </c>
      <c r="P410" s="7" t="str">
        <f aca="false">IF(K410="CBAW","Women of child-bearing age","Children")</f>
        <v>Children</v>
      </c>
      <c r="Q410" s="7" t="n">
        <f aca="false">IF(J410="NOT USED",1,0)</f>
        <v>0</v>
      </c>
      <c r="R410" s="7" t="n">
        <f aca="false">IF(AND(P410="Children",Q410=0),1,0)</f>
        <v>1</v>
      </c>
      <c r="S410" s="7" t="n">
        <f aca="false">IF(AND(R410=1,J410="Record or Recall",K410="12-23 m"),1,0)</f>
        <v>0</v>
      </c>
      <c r="T410" s="7" t="n">
        <f aca="false">IF(OR(I410="BCG",I410="DTP1",I410="DTP3",I410="POL3",I410="MCV1",I410="FULL"),1,0)</f>
        <v>1</v>
      </c>
      <c r="U410" s="7" t="n">
        <f aca="false">IF(OR(C410="DHS",C410="MICS"),1,0)</f>
        <v>1</v>
      </c>
      <c r="V410" s="7" t="n">
        <f aca="false">IF(O410="",1,0)</f>
        <v>0</v>
      </c>
      <c r="W410" s="7" t="n">
        <f aca="false">IF(M410="",1,0)</f>
        <v>1</v>
      </c>
      <c r="X410" s="7" t="n">
        <f aca="false">COUNTIFS($B$2:$B$1141,B410,$H$2:$H$1141,H410,$I$2:$I$1141,I410,$J$2:$J$1141,J410,$K$2:$K$1141,K410,$L$2:$L$1141,L410)</f>
        <v>1</v>
      </c>
    </row>
    <row r="411" customFormat="false" ht="15" hidden="false" customHeight="false" outlineLevel="0" collapsed="false">
      <c r="A411" s="7" t="n">
        <f aca="false">ROW()-1</f>
        <v>410</v>
      </c>
      <c r="B411" s="7" t="str">
        <f aca="false">IF(Raw_Nigeria!B411="",TRIM(Raw_Nigeria!C411),TRIM(Raw_Nigeria!B411))</f>
        <v>Nigeria Multiple Indicator Cluster Survey 2016-2017</v>
      </c>
      <c r="C411" s="7" t="str">
        <f aca="false">IF(ISNUMBER(SEARCH("Demographic and Health",B411)),"DHS",IF(OR(ISNUMBER(SEARCH("Multiple Indicator Cluster",B411)),ISNUMBER(SEARCH("MICS",B411))),"MICS",IF(ISNUMBER(SEARCH("Immunization Coverage Survey",B411)),"Coverage survey",IF(ISNUMBER(SEARCH("Nutrition",B411)),"Nutrition survey","Other"))))</f>
        <v>MICS</v>
      </c>
      <c r="D411" s="7" t="n">
        <f aca="false">VALUE(LEFT(Raw_Nigeria!D411,4))</f>
        <v>2016</v>
      </c>
      <c r="E411" s="7" t="n">
        <f aca="false">IF(VALUE(RIGHT(Raw_Nigeria!D411,2))&gt;12,"",VALUE(RIGHT(Raw_Nigeria!D411,2)))</f>
        <v>9</v>
      </c>
      <c r="F411" s="7" t="n">
        <f aca="false">VALUE(LEFT(Raw_Nigeria!E411,4))</f>
        <v>2017</v>
      </c>
      <c r="G411" s="7" t="n">
        <f aca="false">IF(VALUE(RIGHT(Raw_Nigeria!E411,2))&gt;12,"",VALUE(RIGHT(Raw_Nigeria!E411,2)))</f>
        <v>1</v>
      </c>
      <c r="H411" s="7" t="n">
        <f aca="false">Raw_Nigeria!F411</f>
        <v>2014</v>
      </c>
      <c r="I411" s="7" t="str">
        <f aca="false">UPPER(TRIM(Raw_Nigeria!G411))</f>
        <v>PCV1</v>
      </c>
      <c r="J411" s="7" t="str">
        <f aca="false">Raw_Nigeria!H411</f>
        <v>Record or Recall&lt;12m</v>
      </c>
      <c r="K411" s="7" t="str">
        <f aca="false">Raw_Nigeria!L411</f>
        <v>24-35 m</v>
      </c>
      <c r="L411" s="7" t="str">
        <f aca="false">IF(Raw_Nigeria!K411="","n/a",Raw_Nigeria!K411)</f>
        <v>0-12 m</v>
      </c>
      <c r="M411" s="7" t="str">
        <f aca="false">IF(Raw_Nigeria!I411="","",Raw_Nigeria!I411)</f>
        <v/>
      </c>
      <c r="N411" s="7" t="n">
        <f aca="false">Raw_Nigeria!M411</f>
        <v>36.3</v>
      </c>
      <c r="O411" s="7" t="n">
        <f aca="false">IF(Raw_Nigeria!N411="","",Raw_Nigeria!N411)</f>
        <v>5514</v>
      </c>
      <c r="P411" s="7" t="str">
        <f aca="false">IF(K411="CBAW","Women of child-bearing age","Children")</f>
        <v>Children</v>
      </c>
      <c r="Q411" s="7" t="n">
        <f aca="false">IF(J411="NOT USED",1,0)</f>
        <v>0</v>
      </c>
      <c r="R411" s="7" t="n">
        <f aca="false">IF(AND(P411="Children",Q411=0),1,0)</f>
        <v>1</v>
      </c>
      <c r="S411" s="7" t="n">
        <f aca="false">IF(AND(R411=1,J411="Record or Recall",K411="12-23 m"),1,0)</f>
        <v>0</v>
      </c>
      <c r="T411" s="7" t="n">
        <f aca="false">IF(OR(I411="BCG",I411="DTP1",I411="DTP3",I411="POL3",I411="MCV1",I411="FULL"),1,0)</f>
        <v>0</v>
      </c>
      <c r="U411" s="7" t="n">
        <f aca="false">IF(OR(C411="DHS",C411="MICS"),1,0)</f>
        <v>1</v>
      </c>
      <c r="V411" s="7" t="n">
        <f aca="false">IF(O411="",1,0)</f>
        <v>0</v>
      </c>
      <c r="W411" s="7" t="n">
        <f aca="false">IF(M411="",1,0)</f>
        <v>1</v>
      </c>
      <c r="X411" s="7" t="n">
        <f aca="false">COUNTIFS($B$2:$B$1141,B411,$H$2:$H$1141,H411,$I$2:$I$1141,I411,$J$2:$J$1141,J411,$K$2:$K$1141,K411,$L$2:$L$1141,L411)</f>
        <v>1</v>
      </c>
    </row>
    <row r="412" customFormat="false" ht="15" hidden="false" customHeight="false" outlineLevel="0" collapsed="false">
      <c r="A412" s="7" t="n">
        <f aca="false">ROW()-1</f>
        <v>411</v>
      </c>
      <c r="B412" s="7" t="str">
        <f aca="false">IF(Raw_Nigeria!B412="",TRIM(Raw_Nigeria!C412),TRIM(Raw_Nigeria!B412))</f>
        <v>Nigeria Multiple Indicator Cluster Survey 2016-2017</v>
      </c>
      <c r="C412" s="7" t="str">
        <f aca="false">IF(ISNUMBER(SEARCH("Demographic and Health",B412)),"DHS",IF(OR(ISNUMBER(SEARCH("Multiple Indicator Cluster",B412)),ISNUMBER(SEARCH("MICS",B412))),"MICS",IF(ISNUMBER(SEARCH("Immunization Coverage Survey",B412)),"Coverage survey",IF(ISNUMBER(SEARCH("Nutrition",B412)),"Nutrition survey","Other"))))</f>
        <v>MICS</v>
      </c>
      <c r="D412" s="7" t="n">
        <f aca="false">VALUE(LEFT(Raw_Nigeria!D412,4))</f>
        <v>2016</v>
      </c>
      <c r="E412" s="7" t="n">
        <f aca="false">IF(VALUE(RIGHT(Raw_Nigeria!D412,2))&gt;12,"",VALUE(RIGHT(Raw_Nigeria!D412,2)))</f>
        <v>9</v>
      </c>
      <c r="F412" s="7" t="n">
        <f aca="false">VALUE(LEFT(Raw_Nigeria!E412,4))</f>
        <v>2017</v>
      </c>
      <c r="G412" s="7" t="n">
        <f aca="false">IF(VALUE(RIGHT(Raw_Nigeria!E412,2))&gt;12,"",VALUE(RIGHT(Raw_Nigeria!E412,2)))</f>
        <v>1</v>
      </c>
      <c r="H412" s="7" t="n">
        <f aca="false">Raw_Nigeria!F412</f>
        <v>2014</v>
      </c>
      <c r="I412" s="7" t="str">
        <f aca="false">UPPER(TRIM(Raw_Nigeria!G412))</f>
        <v>PCV1</v>
      </c>
      <c r="J412" s="7" t="str">
        <f aca="false">Raw_Nigeria!H412</f>
        <v>Record</v>
      </c>
      <c r="K412" s="7" t="str">
        <f aca="false">Raw_Nigeria!L412</f>
        <v>24-35 m</v>
      </c>
      <c r="L412" s="7" t="str">
        <f aca="false">IF(Raw_Nigeria!K412="","n/a",Raw_Nigeria!K412)</f>
        <v>0-35 m</v>
      </c>
      <c r="M412" s="7" t="str">
        <f aca="false">IF(Raw_Nigeria!I412="","",Raw_Nigeria!I412)</f>
        <v/>
      </c>
      <c r="N412" s="7" t="n">
        <f aca="false">Raw_Nigeria!M412</f>
        <v>12.3</v>
      </c>
      <c r="O412" s="7" t="n">
        <f aca="false">IF(Raw_Nigeria!N412="","",Raw_Nigeria!N412)</f>
        <v>5514</v>
      </c>
      <c r="P412" s="7" t="str">
        <f aca="false">IF(K412="CBAW","Women of child-bearing age","Children")</f>
        <v>Children</v>
      </c>
      <c r="Q412" s="7" t="n">
        <f aca="false">IF(J412="NOT USED",1,0)</f>
        <v>0</v>
      </c>
      <c r="R412" s="7" t="n">
        <f aca="false">IF(AND(P412="Children",Q412=0),1,0)</f>
        <v>1</v>
      </c>
      <c r="S412" s="7" t="n">
        <f aca="false">IF(AND(R412=1,J412="Record or Recall",K412="12-23 m"),1,0)</f>
        <v>0</v>
      </c>
      <c r="T412" s="7" t="n">
        <f aca="false">IF(OR(I412="BCG",I412="DTP1",I412="DTP3",I412="POL3",I412="MCV1",I412="FULL"),1,0)</f>
        <v>0</v>
      </c>
      <c r="U412" s="7" t="n">
        <f aca="false">IF(OR(C412="DHS",C412="MICS"),1,0)</f>
        <v>1</v>
      </c>
      <c r="V412" s="7" t="n">
        <f aca="false">IF(O412="",1,0)</f>
        <v>0</v>
      </c>
      <c r="W412" s="7" t="n">
        <f aca="false">IF(M412="",1,0)</f>
        <v>1</v>
      </c>
      <c r="X412" s="7" t="n">
        <f aca="false">COUNTIFS($B$2:$B$1141,B412,$H$2:$H$1141,H412,$I$2:$I$1141,I412,$J$2:$J$1141,J412,$K$2:$K$1141,K412,$L$2:$L$1141,L412)</f>
        <v>1</v>
      </c>
    </row>
    <row r="413" customFormat="false" ht="15" hidden="false" customHeight="false" outlineLevel="0" collapsed="false">
      <c r="A413" s="7" t="n">
        <f aca="false">ROW()-1</f>
        <v>412</v>
      </c>
      <c r="B413" s="7" t="str">
        <f aca="false">IF(Raw_Nigeria!B413="",TRIM(Raw_Nigeria!C413),TRIM(Raw_Nigeria!B413))</f>
        <v>Nigeria Multiple Indicator Cluster Survey 2016-2017</v>
      </c>
      <c r="C413" s="7" t="str">
        <f aca="false">IF(ISNUMBER(SEARCH("Demographic and Health",B413)),"DHS",IF(OR(ISNUMBER(SEARCH("Multiple Indicator Cluster",B413)),ISNUMBER(SEARCH("MICS",B413))),"MICS",IF(ISNUMBER(SEARCH("Immunization Coverage Survey",B413)),"Coverage survey",IF(ISNUMBER(SEARCH("Nutrition",B413)),"Nutrition survey","Other"))))</f>
        <v>MICS</v>
      </c>
      <c r="D413" s="7" t="n">
        <f aca="false">VALUE(LEFT(Raw_Nigeria!D413,4))</f>
        <v>2016</v>
      </c>
      <c r="E413" s="7" t="n">
        <f aca="false">IF(VALUE(RIGHT(Raw_Nigeria!D413,2))&gt;12,"",VALUE(RIGHT(Raw_Nigeria!D413,2)))</f>
        <v>9</v>
      </c>
      <c r="F413" s="7" t="n">
        <f aca="false">VALUE(LEFT(Raw_Nigeria!E413,4))</f>
        <v>2017</v>
      </c>
      <c r="G413" s="7" t="n">
        <f aca="false">IF(VALUE(RIGHT(Raw_Nigeria!E413,2))&gt;12,"",VALUE(RIGHT(Raw_Nigeria!E413,2)))</f>
        <v>1</v>
      </c>
      <c r="H413" s="7" t="n">
        <f aca="false">Raw_Nigeria!F413</f>
        <v>2014</v>
      </c>
      <c r="I413" s="7" t="str">
        <f aca="false">UPPER(TRIM(Raw_Nigeria!G413))</f>
        <v>PCV1</v>
      </c>
      <c r="J413" s="7" t="str">
        <f aca="false">Raw_Nigeria!H413</f>
        <v>Record or Recall</v>
      </c>
      <c r="K413" s="7" t="str">
        <f aca="false">Raw_Nigeria!L413</f>
        <v>24-35 m</v>
      </c>
      <c r="L413" s="7" t="str">
        <f aca="false">IF(Raw_Nigeria!K413="","n/a",Raw_Nigeria!K413)</f>
        <v>0-35 m</v>
      </c>
      <c r="M413" s="7" t="str">
        <f aca="false">IF(Raw_Nigeria!I413="","",Raw_Nigeria!I413)</f>
        <v/>
      </c>
      <c r="N413" s="7" t="n">
        <f aca="false">Raw_Nigeria!M413</f>
        <v>39.9</v>
      </c>
      <c r="O413" s="7" t="n">
        <f aca="false">IF(Raw_Nigeria!N413="","",Raw_Nigeria!N413)</f>
        <v>5514</v>
      </c>
      <c r="P413" s="7" t="str">
        <f aca="false">IF(K413="CBAW","Women of child-bearing age","Children")</f>
        <v>Children</v>
      </c>
      <c r="Q413" s="7" t="n">
        <f aca="false">IF(J413="NOT USED",1,0)</f>
        <v>0</v>
      </c>
      <c r="R413" s="7" t="n">
        <f aca="false">IF(AND(P413="Children",Q413=0),1,0)</f>
        <v>1</v>
      </c>
      <c r="S413" s="7" t="n">
        <f aca="false">IF(AND(R413=1,J413="Record or Recall",K413="12-23 m"),1,0)</f>
        <v>0</v>
      </c>
      <c r="T413" s="7" t="n">
        <f aca="false">IF(OR(I413="BCG",I413="DTP1",I413="DTP3",I413="POL3",I413="MCV1",I413="FULL"),1,0)</f>
        <v>0</v>
      </c>
      <c r="U413" s="7" t="n">
        <f aca="false">IF(OR(C413="DHS",C413="MICS"),1,0)</f>
        <v>1</v>
      </c>
      <c r="V413" s="7" t="n">
        <f aca="false">IF(O413="",1,0)</f>
        <v>0</v>
      </c>
      <c r="W413" s="7" t="n">
        <f aca="false">IF(M413="",1,0)</f>
        <v>1</v>
      </c>
      <c r="X413" s="7" t="n">
        <f aca="false">COUNTIFS($B$2:$B$1141,B413,$H$2:$H$1141,H413,$I$2:$I$1141,I413,$J$2:$J$1141,J413,$K$2:$K$1141,K413,$L$2:$L$1141,L413)</f>
        <v>1</v>
      </c>
    </row>
    <row r="414" customFormat="false" ht="15" hidden="false" customHeight="false" outlineLevel="0" collapsed="false">
      <c r="A414" s="7" t="n">
        <f aca="false">ROW()-1</f>
        <v>413</v>
      </c>
      <c r="B414" s="7" t="str">
        <f aca="false">IF(Raw_Nigeria!B414="",TRIM(Raw_Nigeria!C414),TRIM(Raw_Nigeria!B414))</f>
        <v>Nigeria Multiple Indicator Cluster Survey 2016-2017</v>
      </c>
      <c r="C414" s="7" t="str">
        <f aca="false">IF(ISNUMBER(SEARCH("Demographic and Health",B414)),"DHS",IF(OR(ISNUMBER(SEARCH("Multiple Indicator Cluster",B414)),ISNUMBER(SEARCH("MICS",B414))),"MICS",IF(ISNUMBER(SEARCH("Immunization Coverage Survey",B414)),"Coverage survey",IF(ISNUMBER(SEARCH("Nutrition",B414)),"Nutrition survey","Other"))))</f>
        <v>MICS</v>
      </c>
      <c r="D414" s="7" t="n">
        <f aca="false">VALUE(LEFT(Raw_Nigeria!D414,4))</f>
        <v>2016</v>
      </c>
      <c r="E414" s="7" t="n">
        <f aca="false">IF(VALUE(RIGHT(Raw_Nigeria!D414,2))&gt;12,"",VALUE(RIGHT(Raw_Nigeria!D414,2)))</f>
        <v>9</v>
      </c>
      <c r="F414" s="7" t="n">
        <f aca="false">VALUE(LEFT(Raw_Nigeria!E414,4))</f>
        <v>2017</v>
      </c>
      <c r="G414" s="7" t="n">
        <f aca="false">IF(VALUE(RIGHT(Raw_Nigeria!E414,2))&gt;12,"",VALUE(RIGHT(Raw_Nigeria!E414,2)))</f>
        <v>1</v>
      </c>
      <c r="H414" s="7" t="n">
        <f aca="false">Raw_Nigeria!F414</f>
        <v>2014</v>
      </c>
      <c r="I414" s="7" t="str">
        <f aca="false">UPPER(TRIM(Raw_Nigeria!G414))</f>
        <v>PCV1</v>
      </c>
      <c r="J414" s="7" t="str">
        <f aca="false">Raw_Nigeria!H414</f>
        <v>Recall</v>
      </c>
      <c r="K414" s="7" t="str">
        <f aca="false">Raw_Nigeria!L414</f>
        <v>24-35 m</v>
      </c>
      <c r="L414" s="7" t="str">
        <f aca="false">IF(Raw_Nigeria!K414="","n/a",Raw_Nigeria!K414)</f>
        <v>0-35 m</v>
      </c>
      <c r="M414" s="7" t="str">
        <f aca="false">IF(Raw_Nigeria!I414="","",Raw_Nigeria!I414)</f>
        <v/>
      </c>
      <c r="N414" s="7" t="n">
        <f aca="false">Raw_Nigeria!M414</f>
        <v>27.6</v>
      </c>
      <c r="O414" s="7" t="n">
        <f aca="false">IF(Raw_Nigeria!N414="","",Raw_Nigeria!N414)</f>
        <v>5514</v>
      </c>
      <c r="P414" s="7" t="str">
        <f aca="false">IF(K414="CBAW","Women of child-bearing age","Children")</f>
        <v>Children</v>
      </c>
      <c r="Q414" s="7" t="n">
        <f aca="false">IF(J414="NOT USED",1,0)</f>
        <v>0</v>
      </c>
      <c r="R414" s="7" t="n">
        <f aca="false">IF(AND(P414="Children",Q414=0),1,0)</f>
        <v>1</v>
      </c>
      <c r="S414" s="7" t="n">
        <f aca="false">IF(AND(R414=1,J414="Record or Recall",K414="12-23 m"),1,0)</f>
        <v>0</v>
      </c>
      <c r="T414" s="7" t="n">
        <f aca="false">IF(OR(I414="BCG",I414="DTP1",I414="DTP3",I414="POL3",I414="MCV1",I414="FULL"),1,0)</f>
        <v>0</v>
      </c>
      <c r="U414" s="7" t="n">
        <f aca="false">IF(OR(C414="DHS",C414="MICS"),1,0)</f>
        <v>1</v>
      </c>
      <c r="V414" s="7" t="n">
        <f aca="false">IF(O414="",1,0)</f>
        <v>0</v>
      </c>
      <c r="W414" s="7" t="n">
        <f aca="false">IF(M414="",1,0)</f>
        <v>1</v>
      </c>
      <c r="X414" s="7" t="n">
        <f aca="false">COUNTIFS($B$2:$B$1141,B414,$H$2:$H$1141,H414,$I$2:$I$1141,I414,$J$2:$J$1141,J414,$K$2:$K$1141,K414,$L$2:$L$1141,L414)</f>
        <v>1</v>
      </c>
    </row>
    <row r="415" customFormat="false" ht="15" hidden="false" customHeight="false" outlineLevel="0" collapsed="false">
      <c r="A415" s="7" t="n">
        <f aca="false">ROW()-1</f>
        <v>414</v>
      </c>
      <c r="B415" s="7" t="str">
        <f aca="false">IF(Raw_Nigeria!B415="",TRIM(Raw_Nigeria!C415),TRIM(Raw_Nigeria!B415))</f>
        <v>Nigeria Multiple Indicator Cluster Survey 2016-2017</v>
      </c>
      <c r="C415" s="7" t="str">
        <f aca="false">IF(ISNUMBER(SEARCH("Demographic and Health",B415)),"DHS",IF(OR(ISNUMBER(SEARCH("Multiple Indicator Cluster",B415)),ISNUMBER(SEARCH("MICS",B415))),"MICS",IF(ISNUMBER(SEARCH("Immunization Coverage Survey",B415)),"Coverage survey",IF(ISNUMBER(SEARCH("Nutrition",B415)),"Nutrition survey","Other"))))</f>
        <v>MICS</v>
      </c>
      <c r="D415" s="7" t="n">
        <f aca="false">VALUE(LEFT(Raw_Nigeria!D415,4))</f>
        <v>2016</v>
      </c>
      <c r="E415" s="7" t="n">
        <f aca="false">IF(VALUE(RIGHT(Raw_Nigeria!D415,2))&gt;12,"",VALUE(RIGHT(Raw_Nigeria!D415,2)))</f>
        <v>9</v>
      </c>
      <c r="F415" s="7" t="n">
        <f aca="false">VALUE(LEFT(Raw_Nigeria!E415,4))</f>
        <v>2017</v>
      </c>
      <c r="G415" s="7" t="n">
        <f aca="false">IF(VALUE(RIGHT(Raw_Nigeria!E415,2))&gt;12,"",VALUE(RIGHT(Raw_Nigeria!E415,2)))</f>
        <v>1</v>
      </c>
      <c r="H415" s="7" t="n">
        <f aca="false">Raw_Nigeria!F415</f>
        <v>2014</v>
      </c>
      <c r="I415" s="7" t="str">
        <f aca="false">UPPER(TRIM(Raw_Nigeria!G415))</f>
        <v>PCV2</v>
      </c>
      <c r="J415" s="7" t="str">
        <f aca="false">Raw_Nigeria!H415</f>
        <v>Record or Recall&lt;12m</v>
      </c>
      <c r="K415" s="7" t="str">
        <f aca="false">Raw_Nigeria!L415</f>
        <v>24-35 m</v>
      </c>
      <c r="L415" s="7" t="str">
        <f aca="false">IF(Raw_Nigeria!K415="","n/a",Raw_Nigeria!K415)</f>
        <v>0-12 m</v>
      </c>
      <c r="M415" s="7" t="str">
        <f aca="false">IF(Raw_Nigeria!I415="","",Raw_Nigeria!I415)</f>
        <v/>
      </c>
      <c r="N415" s="7" t="n">
        <f aca="false">Raw_Nigeria!M415</f>
        <v>27.4</v>
      </c>
      <c r="O415" s="7" t="n">
        <f aca="false">IF(Raw_Nigeria!N415="","",Raw_Nigeria!N415)</f>
        <v>5514</v>
      </c>
      <c r="P415" s="7" t="str">
        <f aca="false">IF(K415="CBAW","Women of child-bearing age","Children")</f>
        <v>Children</v>
      </c>
      <c r="Q415" s="7" t="n">
        <f aca="false">IF(J415="NOT USED",1,0)</f>
        <v>0</v>
      </c>
      <c r="R415" s="7" t="n">
        <f aca="false">IF(AND(P415="Children",Q415=0),1,0)</f>
        <v>1</v>
      </c>
      <c r="S415" s="7" t="n">
        <f aca="false">IF(AND(R415=1,J415="Record or Recall",K415="12-23 m"),1,0)</f>
        <v>0</v>
      </c>
      <c r="T415" s="7" t="n">
        <f aca="false">IF(OR(I415="BCG",I415="DTP1",I415="DTP3",I415="POL3",I415="MCV1",I415="FULL"),1,0)</f>
        <v>0</v>
      </c>
      <c r="U415" s="7" t="n">
        <f aca="false">IF(OR(C415="DHS",C415="MICS"),1,0)</f>
        <v>1</v>
      </c>
      <c r="V415" s="7" t="n">
        <f aca="false">IF(O415="",1,0)</f>
        <v>0</v>
      </c>
      <c r="W415" s="7" t="n">
        <f aca="false">IF(M415="",1,0)</f>
        <v>1</v>
      </c>
      <c r="X415" s="7" t="n">
        <f aca="false">COUNTIFS($B$2:$B$1141,B415,$H$2:$H$1141,H415,$I$2:$I$1141,I415,$J$2:$J$1141,J415,$K$2:$K$1141,K415,$L$2:$L$1141,L415)</f>
        <v>1</v>
      </c>
    </row>
    <row r="416" customFormat="false" ht="15" hidden="false" customHeight="false" outlineLevel="0" collapsed="false">
      <c r="A416" s="7" t="n">
        <f aca="false">ROW()-1</f>
        <v>415</v>
      </c>
      <c r="B416" s="7" t="str">
        <f aca="false">IF(Raw_Nigeria!B416="",TRIM(Raw_Nigeria!C416),TRIM(Raw_Nigeria!B416))</f>
        <v>Nigeria Multiple Indicator Cluster Survey 2016-2017</v>
      </c>
      <c r="C416" s="7" t="str">
        <f aca="false">IF(ISNUMBER(SEARCH("Demographic and Health",B416)),"DHS",IF(OR(ISNUMBER(SEARCH("Multiple Indicator Cluster",B416)),ISNUMBER(SEARCH("MICS",B416))),"MICS",IF(ISNUMBER(SEARCH("Immunization Coverage Survey",B416)),"Coverage survey",IF(ISNUMBER(SEARCH("Nutrition",B416)),"Nutrition survey","Other"))))</f>
        <v>MICS</v>
      </c>
      <c r="D416" s="7" t="n">
        <f aca="false">VALUE(LEFT(Raw_Nigeria!D416,4))</f>
        <v>2016</v>
      </c>
      <c r="E416" s="7" t="n">
        <f aca="false">IF(VALUE(RIGHT(Raw_Nigeria!D416,2))&gt;12,"",VALUE(RIGHT(Raw_Nigeria!D416,2)))</f>
        <v>9</v>
      </c>
      <c r="F416" s="7" t="n">
        <f aca="false">VALUE(LEFT(Raw_Nigeria!E416,4))</f>
        <v>2017</v>
      </c>
      <c r="G416" s="7" t="n">
        <f aca="false">IF(VALUE(RIGHT(Raw_Nigeria!E416,2))&gt;12,"",VALUE(RIGHT(Raw_Nigeria!E416,2)))</f>
        <v>1</v>
      </c>
      <c r="H416" s="7" t="n">
        <f aca="false">Raw_Nigeria!F416</f>
        <v>2014</v>
      </c>
      <c r="I416" s="7" t="str">
        <f aca="false">UPPER(TRIM(Raw_Nigeria!G416))</f>
        <v>PCV2</v>
      </c>
      <c r="J416" s="7" t="str">
        <f aca="false">Raw_Nigeria!H416</f>
        <v>Record</v>
      </c>
      <c r="K416" s="7" t="str">
        <f aca="false">Raw_Nigeria!L416</f>
        <v>24-35 m</v>
      </c>
      <c r="L416" s="7" t="str">
        <f aca="false">IF(Raw_Nigeria!K416="","n/a",Raw_Nigeria!K416)</f>
        <v>0-35 m</v>
      </c>
      <c r="M416" s="7" t="str">
        <f aca="false">IF(Raw_Nigeria!I416="","",Raw_Nigeria!I416)</f>
        <v/>
      </c>
      <c r="N416" s="7" t="n">
        <f aca="false">Raw_Nigeria!M416</f>
        <v>11</v>
      </c>
      <c r="O416" s="7" t="n">
        <f aca="false">IF(Raw_Nigeria!N416="","",Raw_Nigeria!N416)</f>
        <v>5514</v>
      </c>
      <c r="P416" s="7" t="str">
        <f aca="false">IF(K416="CBAW","Women of child-bearing age","Children")</f>
        <v>Children</v>
      </c>
      <c r="Q416" s="7" t="n">
        <f aca="false">IF(J416="NOT USED",1,0)</f>
        <v>0</v>
      </c>
      <c r="R416" s="7" t="n">
        <f aca="false">IF(AND(P416="Children",Q416=0),1,0)</f>
        <v>1</v>
      </c>
      <c r="S416" s="7" t="n">
        <f aca="false">IF(AND(R416=1,J416="Record or Recall",K416="12-23 m"),1,0)</f>
        <v>0</v>
      </c>
      <c r="T416" s="7" t="n">
        <f aca="false">IF(OR(I416="BCG",I416="DTP1",I416="DTP3",I416="POL3",I416="MCV1",I416="FULL"),1,0)</f>
        <v>0</v>
      </c>
      <c r="U416" s="7" t="n">
        <f aca="false">IF(OR(C416="DHS",C416="MICS"),1,0)</f>
        <v>1</v>
      </c>
      <c r="V416" s="7" t="n">
        <f aca="false">IF(O416="",1,0)</f>
        <v>0</v>
      </c>
      <c r="W416" s="7" t="n">
        <f aca="false">IF(M416="",1,0)</f>
        <v>1</v>
      </c>
      <c r="X416" s="7" t="n">
        <f aca="false">COUNTIFS($B$2:$B$1141,B416,$H$2:$H$1141,H416,$I$2:$I$1141,I416,$J$2:$J$1141,J416,$K$2:$K$1141,K416,$L$2:$L$1141,L416)</f>
        <v>1</v>
      </c>
    </row>
    <row r="417" customFormat="false" ht="15" hidden="false" customHeight="false" outlineLevel="0" collapsed="false">
      <c r="A417" s="7" t="n">
        <f aca="false">ROW()-1</f>
        <v>416</v>
      </c>
      <c r="B417" s="7" t="str">
        <f aca="false">IF(Raw_Nigeria!B417="",TRIM(Raw_Nigeria!C417),TRIM(Raw_Nigeria!B417))</f>
        <v>Nigeria Multiple Indicator Cluster Survey 2016-2017</v>
      </c>
      <c r="C417" s="7" t="str">
        <f aca="false">IF(ISNUMBER(SEARCH("Demographic and Health",B417)),"DHS",IF(OR(ISNUMBER(SEARCH("Multiple Indicator Cluster",B417)),ISNUMBER(SEARCH("MICS",B417))),"MICS",IF(ISNUMBER(SEARCH("Immunization Coverage Survey",B417)),"Coverage survey",IF(ISNUMBER(SEARCH("Nutrition",B417)),"Nutrition survey","Other"))))</f>
        <v>MICS</v>
      </c>
      <c r="D417" s="7" t="n">
        <f aca="false">VALUE(LEFT(Raw_Nigeria!D417,4))</f>
        <v>2016</v>
      </c>
      <c r="E417" s="7" t="n">
        <f aca="false">IF(VALUE(RIGHT(Raw_Nigeria!D417,2))&gt;12,"",VALUE(RIGHT(Raw_Nigeria!D417,2)))</f>
        <v>9</v>
      </c>
      <c r="F417" s="7" t="n">
        <f aca="false">VALUE(LEFT(Raw_Nigeria!E417,4))</f>
        <v>2017</v>
      </c>
      <c r="G417" s="7" t="n">
        <f aca="false">IF(VALUE(RIGHT(Raw_Nigeria!E417,2))&gt;12,"",VALUE(RIGHT(Raw_Nigeria!E417,2)))</f>
        <v>1</v>
      </c>
      <c r="H417" s="7" t="n">
        <f aca="false">Raw_Nigeria!F417</f>
        <v>2014</v>
      </c>
      <c r="I417" s="7" t="str">
        <f aca="false">UPPER(TRIM(Raw_Nigeria!G417))</f>
        <v>PCV2</v>
      </c>
      <c r="J417" s="7" t="str">
        <f aca="false">Raw_Nigeria!H417</f>
        <v>Record or Recall</v>
      </c>
      <c r="K417" s="7" t="str">
        <f aca="false">Raw_Nigeria!L417</f>
        <v>24-35 m</v>
      </c>
      <c r="L417" s="7" t="str">
        <f aca="false">IF(Raw_Nigeria!K417="","n/a",Raw_Nigeria!K417)</f>
        <v>0-35 m</v>
      </c>
      <c r="M417" s="7" t="str">
        <f aca="false">IF(Raw_Nigeria!I417="","",Raw_Nigeria!I417)</f>
        <v/>
      </c>
      <c r="N417" s="7" t="n">
        <f aca="false">Raw_Nigeria!M417</f>
        <v>30.8</v>
      </c>
      <c r="O417" s="7" t="n">
        <f aca="false">IF(Raw_Nigeria!N417="","",Raw_Nigeria!N417)</f>
        <v>5514</v>
      </c>
      <c r="P417" s="7" t="str">
        <f aca="false">IF(K417="CBAW","Women of child-bearing age","Children")</f>
        <v>Children</v>
      </c>
      <c r="Q417" s="7" t="n">
        <f aca="false">IF(J417="NOT USED",1,0)</f>
        <v>0</v>
      </c>
      <c r="R417" s="7" t="n">
        <f aca="false">IF(AND(P417="Children",Q417=0),1,0)</f>
        <v>1</v>
      </c>
      <c r="S417" s="7" t="n">
        <f aca="false">IF(AND(R417=1,J417="Record or Recall",K417="12-23 m"),1,0)</f>
        <v>0</v>
      </c>
      <c r="T417" s="7" t="n">
        <f aca="false">IF(OR(I417="BCG",I417="DTP1",I417="DTP3",I417="POL3",I417="MCV1",I417="FULL"),1,0)</f>
        <v>0</v>
      </c>
      <c r="U417" s="7" t="n">
        <f aca="false">IF(OR(C417="DHS",C417="MICS"),1,0)</f>
        <v>1</v>
      </c>
      <c r="V417" s="7" t="n">
        <f aca="false">IF(O417="",1,0)</f>
        <v>0</v>
      </c>
      <c r="W417" s="7" t="n">
        <f aca="false">IF(M417="",1,0)</f>
        <v>1</v>
      </c>
      <c r="X417" s="7" t="n">
        <f aca="false">COUNTIFS($B$2:$B$1141,B417,$H$2:$H$1141,H417,$I$2:$I$1141,I417,$J$2:$J$1141,J417,$K$2:$K$1141,K417,$L$2:$L$1141,L417)</f>
        <v>1</v>
      </c>
    </row>
    <row r="418" customFormat="false" ht="15" hidden="false" customHeight="false" outlineLevel="0" collapsed="false">
      <c r="A418" s="7" t="n">
        <f aca="false">ROW()-1</f>
        <v>417</v>
      </c>
      <c r="B418" s="7" t="str">
        <f aca="false">IF(Raw_Nigeria!B418="",TRIM(Raw_Nigeria!C418),TRIM(Raw_Nigeria!B418))</f>
        <v>Nigeria Multiple Indicator Cluster Survey 2016-2017</v>
      </c>
      <c r="C418" s="7" t="str">
        <f aca="false">IF(ISNUMBER(SEARCH("Demographic and Health",B418)),"DHS",IF(OR(ISNUMBER(SEARCH("Multiple Indicator Cluster",B418)),ISNUMBER(SEARCH("MICS",B418))),"MICS",IF(ISNUMBER(SEARCH("Immunization Coverage Survey",B418)),"Coverage survey",IF(ISNUMBER(SEARCH("Nutrition",B418)),"Nutrition survey","Other"))))</f>
        <v>MICS</v>
      </c>
      <c r="D418" s="7" t="n">
        <f aca="false">VALUE(LEFT(Raw_Nigeria!D418,4))</f>
        <v>2016</v>
      </c>
      <c r="E418" s="7" t="n">
        <f aca="false">IF(VALUE(RIGHT(Raw_Nigeria!D418,2))&gt;12,"",VALUE(RIGHT(Raw_Nigeria!D418,2)))</f>
        <v>9</v>
      </c>
      <c r="F418" s="7" t="n">
        <f aca="false">VALUE(LEFT(Raw_Nigeria!E418,4))</f>
        <v>2017</v>
      </c>
      <c r="G418" s="7" t="n">
        <f aca="false">IF(VALUE(RIGHT(Raw_Nigeria!E418,2))&gt;12,"",VALUE(RIGHT(Raw_Nigeria!E418,2)))</f>
        <v>1</v>
      </c>
      <c r="H418" s="7" t="n">
        <f aca="false">Raw_Nigeria!F418</f>
        <v>2014</v>
      </c>
      <c r="I418" s="7" t="str">
        <f aca="false">UPPER(TRIM(Raw_Nigeria!G418))</f>
        <v>PCV2</v>
      </c>
      <c r="J418" s="7" t="str">
        <f aca="false">Raw_Nigeria!H418</f>
        <v>Recall</v>
      </c>
      <c r="K418" s="7" t="str">
        <f aca="false">Raw_Nigeria!L418</f>
        <v>24-35 m</v>
      </c>
      <c r="L418" s="7" t="str">
        <f aca="false">IF(Raw_Nigeria!K418="","n/a",Raw_Nigeria!K418)</f>
        <v>0-35 m</v>
      </c>
      <c r="M418" s="7" t="str">
        <f aca="false">IF(Raw_Nigeria!I418="","",Raw_Nigeria!I418)</f>
        <v/>
      </c>
      <c r="N418" s="7" t="n">
        <f aca="false">Raw_Nigeria!M418</f>
        <v>19.9</v>
      </c>
      <c r="O418" s="7" t="n">
        <f aca="false">IF(Raw_Nigeria!N418="","",Raw_Nigeria!N418)</f>
        <v>5514</v>
      </c>
      <c r="P418" s="7" t="str">
        <f aca="false">IF(K418="CBAW","Women of child-bearing age","Children")</f>
        <v>Children</v>
      </c>
      <c r="Q418" s="7" t="n">
        <f aca="false">IF(J418="NOT USED",1,0)</f>
        <v>0</v>
      </c>
      <c r="R418" s="7" t="n">
        <f aca="false">IF(AND(P418="Children",Q418=0),1,0)</f>
        <v>1</v>
      </c>
      <c r="S418" s="7" t="n">
        <f aca="false">IF(AND(R418=1,J418="Record or Recall",K418="12-23 m"),1,0)</f>
        <v>0</v>
      </c>
      <c r="T418" s="7" t="n">
        <f aca="false">IF(OR(I418="BCG",I418="DTP1",I418="DTP3",I418="POL3",I418="MCV1",I418="FULL"),1,0)</f>
        <v>0</v>
      </c>
      <c r="U418" s="7" t="n">
        <f aca="false">IF(OR(C418="DHS",C418="MICS"),1,0)</f>
        <v>1</v>
      </c>
      <c r="V418" s="7" t="n">
        <f aca="false">IF(O418="",1,0)</f>
        <v>0</v>
      </c>
      <c r="W418" s="7" t="n">
        <f aca="false">IF(M418="",1,0)</f>
        <v>1</v>
      </c>
      <c r="X418" s="7" t="n">
        <f aca="false">COUNTIFS($B$2:$B$1141,B418,$H$2:$H$1141,H418,$I$2:$I$1141,I418,$J$2:$J$1141,J418,$K$2:$K$1141,K418,$L$2:$L$1141,L418)</f>
        <v>1</v>
      </c>
    </row>
    <row r="419" customFormat="false" ht="15" hidden="false" customHeight="false" outlineLevel="0" collapsed="false">
      <c r="A419" s="7" t="n">
        <f aca="false">ROW()-1</f>
        <v>418</v>
      </c>
      <c r="B419" s="7" t="str">
        <f aca="false">IF(Raw_Nigeria!B419="",TRIM(Raw_Nigeria!C419),TRIM(Raw_Nigeria!B419))</f>
        <v>Nigeria Multiple Indicator Cluster Survey 2016-2017</v>
      </c>
      <c r="C419" s="7" t="str">
        <f aca="false">IF(ISNUMBER(SEARCH("Demographic and Health",B419)),"DHS",IF(OR(ISNUMBER(SEARCH("Multiple Indicator Cluster",B419)),ISNUMBER(SEARCH("MICS",B419))),"MICS",IF(ISNUMBER(SEARCH("Immunization Coverage Survey",B419)),"Coverage survey",IF(ISNUMBER(SEARCH("Nutrition",B419)),"Nutrition survey","Other"))))</f>
        <v>MICS</v>
      </c>
      <c r="D419" s="7" t="n">
        <f aca="false">VALUE(LEFT(Raw_Nigeria!D419,4))</f>
        <v>2016</v>
      </c>
      <c r="E419" s="7" t="n">
        <f aca="false">IF(VALUE(RIGHT(Raw_Nigeria!D419,2))&gt;12,"",VALUE(RIGHT(Raw_Nigeria!D419,2)))</f>
        <v>9</v>
      </c>
      <c r="F419" s="7" t="n">
        <f aca="false">VALUE(LEFT(Raw_Nigeria!E419,4))</f>
        <v>2017</v>
      </c>
      <c r="G419" s="7" t="n">
        <f aca="false">IF(VALUE(RIGHT(Raw_Nigeria!E419,2))&gt;12,"",VALUE(RIGHT(Raw_Nigeria!E419,2)))</f>
        <v>1</v>
      </c>
      <c r="H419" s="7" t="n">
        <f aca="false">Raw_Nigeria!F419</f>
        <v>2014</v>
      </c>
      <c r="I419" s="7" t="str">
        <f aca="false">UPPER(TRIM(Raw_Nigeria!G419))</f>
        <v>PCVC</v>
      </c>
      <c r="J419" s="7" t="str">
        <f aca="false">Raw_Nigeria!H419</f>
        <v>Record or Recall&lt;12m</v>
      </c>
      <c r="K419" s="7" t="str">
        <f aca="false">Raw_Nigeria!L419</f>
        <v>24-35 m</v>
      </c>
      <c r="L419" s="7" t="str">
        <f aca="false">IF(Raw_Nigeria!K419="","n/a",Raw_Nigeria!K419)</f>
        <v>0-12 m</v>
      </c>
      <c r="M419" s="7" t="str">
        <f aca="false">IF(Raw_Nigeria!I419="","",Raw_Nigeria!I419)</f>
        <v/>
      </c>
      <c r="N419" s="7" t="n">
        <f aca="false">Raw_Nigeria!M419</f>
        <v>21.1</v>
      </c>
      <c r="O419" s="7" t="n">
        <f aca="false">IF(Raw_Nigeria!N419="","",Raw_Nigeria!N419)</f>
        <v>5514</v>
      </c>
      <c r="P419" s="7" t="str">
        <f aca="false">IF(K419="CBAW","Women of child-bearing age","Children")</f>
        <v>Children</v>
      </c>
      <c r="Q419" s="7" t="n">
        <f aca="false">IF(J419="NOT USED",1,0)</f>
        <v>0</v>
      </c>
      <c r="R419" s="7" t="n">
        <f aca="false">IF(AND(P419="Children",Q419=0),1,0)</f>
        <v>1</v>
      </c>
      <c r="S419" s="7" t="n">
        <f aca="false">IF(AND(R419=1,J419="Record or Recall",K419="12-23 m"),1,0)</f>
        <v>0</v>
      </c>
      <c r="T419" s="7" t="n">
        <f aca="false">IF(OR(I419="BCG",I419="DTP1",I419="DTP3",I419="POL3",I419="MCV1",I419="FULL"),1,0)</f>
        <v>0</v>
      </c>
      <c r="U419" s="7" t="n">
        <f aca="false">IF(OR(C419="DHS",C419="MICS"),1,0)</f>
        <v>1</v>
      </c>
      <c r="V419" s="7" t="n">
        <f aca="false">IF(O419="",1,0)</f>
        <v>0</v>
      </c>
      <c r="W419" s="7" t="n">
        <f aca="false">IF(M419="",1,0)</f>
        <v>1</v>
      </c>
      <c r="X419" s="7" t="n">
        <f aca="false">COUNTIFS($B$2:$B$1141,B419,$H$2:$H$1141,H419,$I$2:$I$1141,I419,$J$2:$J$1141,J419,$K$2:$K$1141,K419,$L$2:$L$1141,L419)</f>
        <v>1</v>
      </c>
    </row>
    <row r="420" customFormat="false" ht="15" hidden="false" customHeight="false" outlineLevel="0" collapsed="false">
      <c r="A420" s="7" t="n">
        <f aca="false">ROW()-1</f>
        <v>419</v>
      </c>
      <c r="B420" s="7" t="str">
        <f aca="false">IF(Raw_Nigeria!B420="",TRIM(Raw_Nigeria!C420),TRIM(Raw_Nigeria!B420))</f>
        <v>Nigeria Multiple Indicator Cluster Survey 2016-2017</v>
      </c>
      <c r="C420" s="7" t="str">
        <f aca="false">IF(ISNUMBER(SEARCH("Demographic and Health",B420)),"DHS",IF(OR(ISNUMBER(SEARCH("Multiple Indicator Cluster",B420)),ISNUMBER(SEARCH("MICS",B420))),"MICS",IF(ISNUMBER(SEARCH("Immunization Coverage Survey",B420)),"Coverage survey",IF(ISNUMBER(SEARCH("Nutrition",B420)),"Nutrition survey","Other"))))</f>
        <v>MICS</v>
      </c>
      <c r="D420" s="7" t="n">
        <f aca="false">VALUE(LEFT(Raw_Nigeria!D420,4))</f>
        <v>2016</v>
      </c>
      <c r="E420" s="7" t="n">
        <f aca="false">IF(VALUE(RIGHT(Raw_Nigeria!D420,2))&gt;12,"",VALUE(RIGHT(Raw_Nigeria!D420,2)))</f>
        <v>9</v>
      </c>
      <c r="F420" s="7" t="n">
        <f aca="false">VALUE(LEFT(Raw_Nigeria!E420,4))</f>
        <v>2017</v>
      </c>
      <c r="G420" s="7" t="n">
        <f aca="false">IF(VALUE(RIGHT(Raw_Nigeria!E420,2))&gt;12,"",VALUE(RIGHT(Raw_Nigeria!E420,2)))</f>
        <v>1</v>
      </c>
      <c r="H420" s="7" t="n">
        <f aca="false">Raw_Nigeria!F420</f>
        <v>2014</v>
      </c>
      <c r="I420" s="7" t="str">
        <f aca="false">UPPER(TRIM(Raw_Nigeria!G420))</f>
        <v>PCVC</v>
      </c>
      <c r="J420" s="7" t="str">
        <f aca="false">Raw_Nigeria!H420</f>
        <v>Record</v>
      </c>
      <c r="K420" s="7" t="str">
        <f aca="false">Raw_Nigeria!L420</f>
        <v>24-35 m</v>
      </c>
      <c r="L420" s="7" t="str">
        <f aca="false">IF(Raw_Nigeria!K420="","n/a",Raw_Nigeria!K420)</f>
        <v>0-35 m</v>
      </c>
      <c r="M420" s="7" t="str">
        <f aca="false">IF(Raw_Nigeria!I420="","",Raw_Nigeria!I420)</f>
        <v/>
      </c>
      <c r="N420" s="7" t="n">
        <f aca="false">Raw_Nigeria!M420</f>
        <v>10.2</v>
      </c>
      <c r="O420" s="7" t="n">
        <f aca="false">IF(Raw_Nigeria!N420="","",Raw_Nigeria!N420)</f>
        <v>5514</v>
      </c>
      <c r="P420" s="7" t="str">
        <f aca="false">IF(K420="CBAW","Women of child-bearing age","Children")</f>
        <v>Children</v>
      </c>
      <c r="Q420" s="7" t="n">
        <f aca="false">IF(J420="NOT USED",1,0)</f>
        <v>0</v>
      </c>
      <c r="R420" s="7" t="n">
        <f aca="false">IF(AND(P420="Children",Q420=0),1,0)</f>
        <v>1</v>
      </c>
      <c r="S420" s="7" t="n">
        <f aca="false">IF(AND(R420=1,J420="Record or Recall",K420="12-23 m"),1,0)</f>
        <v>0</v>
      </c>
      <c r="T420" s="7" t="n">
        <f aca="false">IF(OR(I420="BCG",I420="DTP1",I420="DTP3",I420="POL3",I420="MCV1",I420="FULL"),1,0)</f>
        <v>0</v>
      </c>
      <c r="U420" s="7" t="n">
        <f aca="false">IF(OR(C420="DHS",C420="MICS"),1,0)</f>
        <v>1</v>
      </c>
      <c r="V420" s="7" t="n">
        <f aca="false">IF(O420="",1,0)</f>
        <v>0</v>
      </c>
      <c r="W420" s="7" t="n">
        <f aca="false">IF(M420="",1,0)</f>
        <v>1</v>
      </c>
      <c r="X420" s="7" t="n">
        <f aca="false">COUNTIFS($B$2:$B$1141,B420,$H$2:$H$1141,H420,$I$2:$I$1141,I420,$J$2:$J$1141,J420,$K$2:$K$1141,K420,$L$2:$L$1141,L420)</f>
        <v>1</v>
      </c>
    </row>
    <row r="421" customFormat="false" ht="15" hidden="false" customHeight="false" outlineLevel="0" collapsed="false">
      <c r="A421" s="7" t="n">
        <f aca="false">ROW()-1</f>
        <v>420</v>
      </c>
      <c r="B421" s="7" t="str">
        <f aca="false">IF(Raw_Nigeria!B421="",TRIM(Raw_Nigeria!C421),TRIM(Raw_Nigeria!B421))</f>
        <v>Nigeria Multiple Indicator Cluster Survey 2016-2017</v>
      </c>
      <c r="C421" s="7" t="str">
        <f aca="false">IF(ISNUMBER(SEARCH("Demographic and Health",B421)),"DHS",IF(OR(ISNUMBER(SEARCH("Multiple Indicator Cluster",B421)),ISNUMBER(SEARCH("MICS",B421))),"MICS",IF(ISNUMBER(SEARCH("Immunization Coverage Survey",B421)),"Coverage survey",IF(ISNUMBER(SEARCH("Nutrition",B421)),"Nutrition survey","Other"))))</f>
        <v>MICS</v>
      </c>
      <c r="D421" s="7" t="n">
        <f aca="false">VALUE(LEFT(Raw_Nigeria!D421,4))</f>
        <v>2016</v>
      </c>
      <c r="E421" s="7" t="n">
        <f aca="false">IF(VALUE(RIGHT(Raw_Nigeria!D421,2))&gt;12,"",VALUE(RIGHT(Raw_Nigeria!D421,2)))</f>
        <v>9</v>
      </c>
      <c r="F421" s="7" t="n">
        <f aca="false">VALUE(LEFT(Raw_Nigeria!E421,4))</f>
        <v>2017</v>
      </c>
      <c r="G421" s="7" t="n">
        <f aca="false">IF(VALUE(RIGHT(Raw_Nigeria!E421,2))&gt;12,"",VALUE(RIGHT(Raw_Nigeria!E421,2)))</f>
        <v>1</v>
      </c>
      <c r="H421" s="7" t="n">
        <f aca="false">Raw_Nigeria!F421</f>
        <v>2014</v>
      </c>
      <c r="I421" s="7" t="str">
        <f aca="false">UPPER(TRIM(Raw_Nigeria!G421))</f>
        <v>PCVC</v>
      </c>
      <c r="J421" s="7" t="str">
        <f aca="false">Raw_Nigeria!H421</f>
        <v>Record or Recall</v>
      </c>
      <c r="K421" s="7" t="str">
        <f aca="false">Raw_Nigeria!L421</f>
        <v>24-35 m</v>
      </c>
      <c r="L421" s="7" t="str">
        <f aca="false">IF(Raw_Nigeria!K421="","n/a",Raw_Nigeria!K421)</f>
        <v>0-35 m</v>
      </c>
      <c r="M421" s="7" t="str">
        <f aca="false">IF(Raw_Nigeria!I421="","",Raw_Nigeria!I421)</f>
        <v/>
      </c>
      <c r="N421" s="7" t="n">
        <f aca="false">Raw_Nigeria!M421</f>
        <v>25.1</v>
      </c>
      <c r="O421" s="7" t="n">
        <f aca="false">IF(Raw_Nigeria!N421="","",Raw_Nigeria!N421)</f>
        <v>5514</v>
      </c>
      <c r="P421" s="7" t="str">
        <f aca="false">IF(K421="CBAW","Women of child-bearing age","Children")</f>
        <v>Children</v>
      </c>
      <c r="Q421" s="7" t="n">
        <f aca="false">IF(J421="NOT USED",1,0)</f>
        <v>0</v>
      </c>
      <c r="R421" s="7" t="n">
        <f aca="false">IF(AND(P421="Children",Q421=0),1,0)</f>
        <v>1</v>
      </c>
      <c r="S421" s="7" t="n">
        <f aca="false">IF(AND(R421=1,J421="Record or Recall",K421="12-23 m"),1,0)</f>
        <v>0</v>
      </c>
      <c r="T421" s="7" t="n">
        <f aca="false">IF(OR(I421="BCG",I421="DTP1",I421="DTP3",I421="POL3",I421="MCV1",I421="FULL"),1,0)</f>
        <v>0</v>
      </c>
      <c r="U421" s="7" t="n">
        <f aca="false">IF(OR(C421="DHS",C421="MICS"),1,0)</f>
        <v>1</v>
      </c>
      <c r="V421" s="7" t="n">
        <f aca="false">IF(O421="",1,0)</f>
        <v>0</v>
      </c>
      <c r="W421" s="7" t="n">
        <f aca="false">IF(M421="",1,0)</f>
        <v>1</v>
      </c>
      <c r="X421" s="7" t="n">
        <f aca="false">COUNTIFS($B$2:$B$1141,B421,$H$2:$H$1141,H421,$I$2:$I$1141,I421,$J$2:$J$1141,J421,$K$2:$K$1141,K421,$L$2:$L$1141,L421)</f>
        <v>1</v>
      </c>
    </row>
    <row r="422" customFormat="false" ht="15" hidden="false" customHeight="false" outlineLevel="0" collapsed="false">
      <c r="A422" s="7" t="n">
        <f aca="false">ROW()-1</f>
        <v>421</v>
      </c>
      <c r="B422" s="7" t="str">
        <f aca="false">IF(Raw_Nigeria!B422="",TRIM(Raw_Nigeria!C422),TRIM(Raw_Nigeria!B422))</f>
        <v>Nigeria Multiple Indicator Cluster Survey 2016-2017</v>
      </c>
      <c r="C422" s="7" t="str">
        <f aca="false">IF(ISNUMBER(SEARCH("Demographic and Health",B422)),"DHS",IF(OR(ISNUMBER(SEARCH("Multiple Indicator Cluster",B422)),ISNUMBER(SEARCH("MICS",B422))),"MICS",IF(ISNUMBER(SEARCH("Immunization Coverage Survey",B422)),"Coverage survey",IF(ISNUMBER(SEARCH("Nutrition",B422)),"Nutrition survey","Other"))))</f>
        <v>MICS</v>
      </c>
      <c r="D422" s="7" t="n">
        <f aca="false">VALUE(LEFT(Raw_Nigeria!D422,4))</f>
        <v>2016</v>
      </c>
      <c r="E422" s="7" t="n">
        <f aca="false">IF(VALUE(RIGHT(Raw_Nigeria!D422,2))&gt;12,"",VALUE(RIGHT(Raw_Nigeria!D422,2)))</f>
        <v>9</v>
      </c>
      <c r="F422" s="7" t="n">
        <f aca="false">VALUE(LEFT(Raw_Nigeria!E422,4))</f>
        <v>2017</v>
      </c>
      <c r="G422" s="7" t="n">
        <f aca="false">IF(VALUE(RIGHT(Raw_Nigeria!E422,2))&gt;12,"",VALUE(RIGHT(Raw_Nigeria!E422,2)))</f>
        <v>1</v>
      </c>
      <c r="H422" s="7" t="n">
        <f aca="false">Raw_Nigeria!F422</f>
        <v>2014</v>
      </c>
      <c r="I422" s="7" t="str">
        <f aca="false">UPPER(TRIM(Raw_Nigeria!G422))</f>
        <v>PCVC</v>
      </c>
      <c r="J422" s="7" t="str">
        <f aca="false">Raw_Nigeria!H422</f>
        <v>Recall</v>
      </c>
      <c r="K422" s="7" t="str">
        <f aca="false">Raw_Nigeria!L422</f>
        <v>24-35 m</v>
      </c>
      <c r="L422" s="7" t="str">
        <f aca="false">IF(Raw_Nigeria!K422="","n/a",Raw_Nigeria!K422)</f>
        <v>0-35 m</v>
      </c>
      <c r="M422" s="7" t="str">
        <f aca="false">IF(Raw_Nigeria!I422="","",Raw_Nigeria!I422)</f>
        <v/>
      </c>
      <c r="N422" s="7" t="n">
        <f aca="false">Raw_Nigeria!M422</f>
        <v>15</v>
      </c>
      <c r="O422" s="7" t="n">
        <f aca="false">IF(Raw_Nigeria!N422="","",Raw_Nigeria!N422)</f>
        <v>5514</v>
      </c>
      <c r="P422" s="7" t="str">
        <f aca="false">IF(K422="CBAW","Women of child-bearing age","Children")</f>
        <v>Children</v>
      </c>
      <c r="Q422" s="7" t="n">
        <f aca="false">IF(J422="NOT USED",1,0)</f>
        <v>0</v>
      </c>
      <c r="R422" s="7" t="n">
        <f aca="false">IF(AND(P422="Children",Q422=0),1,0)</f>
        <v>1</v>
      </c>
      <c r="S422" s="7" t="n">
        <f aca="false">IF(AND(R422=1,J422="Record or Recall",K422="12-23 m"),1,0)</f>
        <v>0</v>
      </c>
      <c r="T422" s="7" t="n">
        <f aca="false">IF(OR(I422="BCG",I422="DTP1",I422="DTP3",I422="POL3",I422="MCV1",I422="FULL"),1,0)</f>
        <v>0</v>
      </c>
      <c r="U422" s="7" t="n">
        <f aca="false">IF(OR(C422="DHS",C422="MICS"),1,0)</f>
        <v>1</v>
      </c>
      <c r="V422" s="7" t="n">
        <f aca="false">IF(O422="",1,0)</f>
        <v>0</v>
      </c>
      <c r="W422" s="7" t="n">
        <f aca="false">IF(M422="",1,0)</f>
        <v>1</v>
      </c>
      <c r="X422" s="7" t="n">
        <f aca="false">COUNTIFS($B$2:$B$1141,B422,$H$2:$H$1141,H422,$I$2:$I$1141,I422,$J$2:$J$1141,J422,$K$2:$K$1141,K422,$L$2:$L$1141,L422)</f>
        <v>1</v>
      </c>
    </row>
    <row r="423" customFormat="false" ht="15" hidden="false" customHeight="false" outlineLevel="0" collapsed="false">
      <c r="A423" s="7" t="n">
        <f aca="false">ROW()-1</f>
        <v>422</v>
      </c>
      <c r="B423" s="7" t="str">
        <f aca="false">IF(Raw_Nigeria!B423="",TRIM(Raw_Nigeria!C423),TRIM(Raw_Nigeria!B423))</f>
        <v>Nigeria Multiple Indicator Cluster Survey 2016-2017</v>
      </c>
      <c r="C423" s="7" t="str">
        <f aca="false">IF(ISNUMBER(SEARCH("Demographic and Health",B423)),"DHS",IF(OR(ISNUMBER(SEARCH("Multiple Indicator Cluster",B423)),ISNUMBER(SEARCH("MICS",B423))),"MICS",IF(ISNUMBER(SEARCH("Immunization Coverage Survey",B423)),"Coverage survey",IF(ISNUMBER(SEARCH("Nutrition",B423)),"Nutrition survey","Other"))))</f>
        <v>MICS</v>
      </c>
      <c r="D423" s="7" t="n">
        <f aca="false">VALUE(LEFT(Raw_Nigeria!D423,4))</f>
        <v>2016</v>
      </c>
      <c r="E423" s="7" t="n">
        <f aca="false">IF(VALUE(RIGHT(Raw_Nigeria!D423,2))&gt;12,"",VALUE(RIGHT(Raw_Nigeria!D423,2)))</f>
        <v>9</v>
      </c>
      <c r="F423" s="7" t="n">
        <f aca="false">VALUE(LEFT(Raw_Nigeria!E423,4))</f>
        <v>2017</v>
      </c>
      <c r="G423" s="7" t="n">
        <f aca="false">IF(VALUE(RIGHT(Raw_Nigeria!E423,2))&gt;12,"",VALUE(RIGHT(Raw_Nigeria!E423,2)))</f>
        <v>1</v>
      </c>
      <c r="H423" s="7" t="n">
        <f aca="false">Raw_Nigeria!F423</f>
        <v>2014</v>
      </c>
      <c r="I423" s="7" t="str">
        <f aca="false">UPPER(TRIM(Raw_Nigeria!G423))</f>
        <v>POL1</v>
      </c>
      <c r="J423" s="7" t="str">
        <f aca="false">Raw_Nigeria!H423</f>
        <v>Record or Recall&lt;12m</v>
      </c>
      <c r="K423" s="7" t="str">
        <f aca="false">Raw_Nigeria!L423</f>
        <v>24-35 m</v>
      </c>
      <c r="L423" s="7" t="str">
        <f aca="false">IF(Raw_Nigeria!K423="","n/a",Raw_Nigeria!K423)</f>
        <v>0-12 m</v>
      </c>
      <c r="M423" s="7" t="str">
        <f aca="false">IF(Raw_Nigeria!I423="","",Raw_Nigeria!I423)</f>
        <v/>
      </c>
      <c r="N423" s="7" t="n">
        <f aca="false">Raw_Nigeria!M423</f>
        <v>45.2</v>
      </c>
      <c r="O423" s="7" t="n">
        <f aca="false">IF(Raw_Nigeria!N423="","",Raw_Nigeria!N423)</f>
        <v>5514</v>
      </c>
      <c r="P423" s="7" t="str">
        <f aca="false">IF(K423="CBAW","Women of child-bearing age","Children")</f>
        <v>Children</v>
      </c>
      <c r="Q423" s="7" t="n">
        <f aca="false">IF(J423="NOT USED",1,0)</f>
        <v>0</v>
      </c>
      <c r="R423" s="7" t="n">
        <f aca="false">IF(AND(P423="Children",Q423=0),1,0)</f>
        <v>1</v>
      </c>
      <c r="S423" s="7" t="n">
        <f aca="false">IF(AND(R423=1,J423="Record or Recall",K423="12-23 m"),1,0)</f>
        <v>0</v>
      </c>
      <c r="T423" s="7" t="n">
        <f aca="false">IF(OR(I423="BCG",I423="DTP1",I423="DTP3",I423="POL3",I423="MCV1",I423="FULL"),1,0)</f>
        <v>0</v>
      </c>
      <c r="U423" s="7" t="n">
        <f aca="false">IF(OR(C423="DHS",C423="MICS"),1,0)</f>
        <v>1</v>
      </c>
      <c r="V423" s="7" t="n">
        <f aca="false">IF(O423="",1,0)</f>
        <v>0</v>
      </c>
      <c r="W423" s="7" t="n">
        <f aca="false">IF(M423="",1,0)</f>
        <v>1</v>
      </c>
      <c r="X423" s="7" t="n">
        <f aca="false">COUNTIFS($B$2:$B$1141,B423,$H$2:$H$1141,H423,$I$2:$I$1141,I423,$J$2:$J$1141,J423,$K$2:$K$1141,K423,$L$2:$L$1141,L423)</f>
        <v>1</v>
      </c>
    </row>
    <row r="424" customFormat="false" ht="15" hidden="false" customHeight="false" outlineLevel="0" collapsed="false">
      <c r="A424" s="7" t="n">
        <f aca="false">ROW()-1</f>
        <v>423</v>
      </c>
      <c r="B424" s="7" t="str">
        <f aca="false">IF(Raw_Nigeria!B424="",TRIM(Raw_Nigeria!C424),TRIM(Raw_Nigeria!B424))</f>
        <v>Nigeria Multiple Indicator Cluster Survey 2016-2017</v>
      </c>
      <c r="C424" s="7" t="str">
        <f aca="false">IF(ISNUMBER(SEARCH("Demographic and Health",B424)),"DHS",IF(OR(ISNUMBER(SEARCH("Multiple Indicator Cluster",B424)),ISNUMBER(SEARCH("MICS",B424))),"MICS",IF(ISNUMBER(SEARCH("Immunization Coverage Survey",B424)),"Coverage survey",IF(ISNUMBER(SEARCH("Nutrition",B424)),"Nutrition survey","Other"))))</f>
        <v>MICS</v>
      </c>
      <c r="D424" s="7" t="n">
        <f aca="false">VALUE(LEFT(Raw_Nigeria!D424,4))</f>
        <v>2016</v>
      </c>
      <c r="E424" s="7" t="n">
        <f aca="false">IF(VALUE(RIGHT(Raw_Nigeria!D424,2))&gt;12,"",VALUE(RIGHT(Raw_Nigeria!D424,2)))</f>
        <v>9</v>
      </c>
      <c r="F424" s="7" t="n">
        <f aca="false">VALUE(LEFT(Raw_Nigeria!E424,4))</f>
        <v>2017</v>
      </c>
      <c r="G424" s="7" t="n">
        <f aca="false">IF(VALUE(RIGHT(Raw_Nigeria!E424,2))&gt;12,"",VALUE(RIGHT(Raw_Nigeria!E424,2)))</f>
        <v>1</v>
      </c>
      <c r="H424" s="7" t="n">
        <f aca="false">Raw_Nigeria!F424</f>
        <v>2014</v>
      </c>
      <c r="I424" s="7" t="str">
        <f aca="false">UPPER(TRIM(Raw_Nigeria!G424))</f>
        <v>POL1</v>
      </c>
      <c r="J424" s="7" t="str">
        <f aca="false">Raw_Nigeria!H424</f>
        <v>Record</v>
      </c>
      <c r="K424" s="7" t="str">
        <f aca="false">Raw_Nigeria!L424</f>
        <v>24-35 m</v>
      </c>
      <c r="L424" s="7" t="str">
        <f aca="false">IF(Raw_Nigeria!K424="","n/a",Raw_Nigeria!K424)</f>
        <v>0-35 m</v>
      </c>
      <c r="M424" s="7" t="str">
        <f aca="false">IF(Raw_Nigeria!I424="","",Raw_Nigeria!I424)</f>
        <v/>
      </c>
      <c r="N424" s="7" t="n">
        <f aca="false">Raw_Nigeria!M424</f>
        <v>17.2</v>
      </c>
      <c r="O424" s="7" t="n">
        <f aca="false">IF(Raw_Nigeria!N424="","",Raw_Nigeria!N424)</f>
        <v>5514</v>
      </c>
      <c r="P424" s="7" t="str">
        <f aca="false">IF(K424="CBAW","Women of child-bearing age","Children")</f>
        <v>Children</v>
      </c>
      <c r="Q424" s="7" t="n">
        <f aca="false">IF(J424="NOT USED",1,0)</f>
        <v>0</v>
      </c>
      <c r="R424" s="7" t="n">
        <f aca="false">IF(AND(P424="Children",Q424=0),1,0)</f>
        <v>1</v>
      </c>
      <c r="S424" s="7" t="n">
        <f aca="false">IF(AND(R424=1,J424="Record or Recall",K424="12-23 m"),1,0)</f>
        <v>0</v>
      </c>
      <c r="T424" s="7" t="n">
        <f aca="false">IF(OR(I424="BCG",I424="DTP1",I424="DTP3",I424="POL3",I424="MCV1",I424="FULL"),1,0)</f>
        <v>0</v>
      </c>
      <c r="U424" s="7" t="n">
        <f aca="false">IF(OR(C424="DHS",C424="MICS"),1,0)</f>
        <v>1</v>
      </c>
      <c r="V424" s="7" t="n">
        <f aca="false">IF(O424="",1,0)</f>
        <v>0</v>
      </c>
      <c r="W424" s="7" t="n">
        <f aca="false">IF(M424="",1,0)</f>
        <v>1</v>
      </c>
      <c r="X424" s="7" t="n">
        <f aca="false">COUNTIFS($B$2:$B$1141,B424,$H$2:$H$1141,H424,$I$2:$I$1141,I424,$J$2:$J$1141,J424,$K$2:$K$1141,K424,$L$2:$L$1141,L424)</f>
        <v>1</v>
      </c>
    </row>
    <row r="425" customFormat="false" ht="15" hidden="false" customHeight="false" outlineLevel="0" collapsed="false">
      <c r="A425" s="7" t="n">
        <f aca="false">ROW()-1</f>
        <v>424</v>
      </c>
      <c r="B425" s="7" t="str">
        <f aca="false">IF(Raw_Nigeria!B425="",TRIM(Raw_Nigeria!C425),TRIM(Raw_Nigeria!B425))</f>
        <v>Nigeria Multiple Indicator Cluster Survey 2016-2017</v>
      </c>
      <c r="C425" s="7" t="str">
        <f aca="false">IF(ISNUMBER(SEARCH("Demographic and Health",B425)),"DHS",IF(OR(ISNUMBER(SEARCH("Multiple Indicator Cluster",B425)),ISNUMBER(SEARCH("MICS",B425))),"MICS",IF(ISNUMBER(SEARCH("Immunization Coverage Survey",B425)),"Coverage survey",IF(ISNUMBER(SEARCH("Nutrition",B425)),"Nutrition survey","Other"))))</f>
        <v>MICS</v>
      </c>
      <c r="D425" s="7" t="n">
        <f aca="false">VALUE(LEFT(Raw_Nigeria!D425,4))</f>
        <v>2016</v>
      </c>
      <c r="E425" s="7" t="n">
        <f aca="false">IF(VALUE(RIGHT(Raw_Nigeria!D425,2))&gt;12,"",VALUE(RIGHT(Raw_Nigeria!D425,2)))</f>
        <v>9</v>
      </c>
      <c r="F425" s="7" t="n">
        <f aca="false">VALUE(LEFT(Raw_Nigeria!E425,4))</f>
        <v>2017</v>
      </c>
      <c r="G425" s="7" t="n">
        <f aca="false">IF(VALUE(RIGHT(Raw_Nigeria!E425,2))&gt;12,"",VALUE(RIGHT(Raw_Nigeria!E425,2)))</f>
        <v>1</v>
      </c>
      <c r="H425" s="7" t="n">
        <f aca="false">Raw_Nigeria!F425</f>
        <v>2014</v>
      </c>
      <c r="I425" s="7" t="str">
        <f aca="false">UPPER(TRIM(Raw_Nigeria!G425))</f>
        <v>POL1</v>
      </c>
      <c r="J425" s="7" t="str">
        <f aca="false">Raw_Nigeria!H425</f>
        <v>Record or Recall</v>
      </c>
      <c r="K425" s="7" t="str">
        <f aca="false">Raw_Nigeria!L425</f>
        <v>24-35 m</v>
      </c>
      <c r="L425" s="7" t="str">
        <f aca="false">IF(Raw_Nigeria!K425="","n/a",Raw_Nigeria!K425)</f>
        <v>0-35 m</v>
      </c>
      <c r="M425" s="7" t="str">
        <f aca="false">IF(Raw_Nigeria!I425="","",Raw_Nigeria!I425)</f>
        <v/>
      </c>
      <c r="N425" s="7" t="n">
        <f aca="false">Raw_Nigeria!M425</f>
        <v>48.3</v>
      </c>
      <c r="O425" s="7" t="n">
        <f aca="false">IF(Raw_Nigeria!N425="","",Raw_Nigeria!N425)</f>
        <v>5514</v>
      </c>
      <c r="P425" s="7" t="str">
        <f aca="false">IF(K425="CBAW","Women of child-bearing age","Children")</f>
        <v>Children</v>
      </c>
      <c r="Q425" s="7" t="n">
        <f aca="false">IF(J425="NOT USED",1,0)</f>
        <v>0</v>
      </c>
      <c r="R425" s="7" t="n">
        <f aca="false">IF(AND(P425="Children",Q425=0),1,0)</f>
        <v>1</v>
      </c>
      <c r="S425" s="7" t="n">
        <f aca="false">IF(AND(R425=1,J425="Record or Recall",K425="12-23 m"),1,0)</f>
        <v>0</v>
      </c>
      <c r="T425" s="7" t="n">
        <f aca="false">IF(OR(I425="BCG",I425="DTP1",I425="DTP3",I425="POL3",I425="MCV1",I425="FULL"),1,0)</f>
        <v>0</v>
      </c>
      <c r="U425" s="7" t="n">
        <f aca="false">IF(OR(C425="DHS",C425="MICS"),1,0)</f>
        <v>1</v>
      </c>
      <c r="V425" s="7" t="n">
        <f aca="false">IF(O425="",1,0)</f>
        <v>0</v>
      </c>
      <c r="W425" s="7" t="n">
        <f aca="false">IF(M425="",1,0)</f>
        <v>1</v>
      </c>
      <c r="X425" s="7" t="n">
        <f aca="false">COUNTIFS($B$2:$B$1141,B425,$H$2:$H$1141,H425,$I$2:$I$1141,I425,$J$2:$J$1141,J425,$K$2:$K$1141,K425,$L$2:$L$1141,L425)</f>
        <v>1</v>
      </c>
    </row>
    <row r="426" customFormat="false" ht="15" hidden="false" customHeight="false" outlineLevel="0" collapsed="false">
      <c r="A426" s="7" t="n">
        <f aca="false">ROW()-1</f>
        <v>425</v>
      </c>
      <c r="B426" s="7" t="str">
        <f aca="false">IF(Raw_Nigeria!B426="",TRIM(Raw_Nigeria!C426),TRIM(Raw_Nigeria!B426))</f>
        <v>Nigeria Multiple Indicator Cluster Survey 2016-2017</v>
      </c>
      <c r="C426" s="7" t="str">
        <f aca="false">IF(ISNUMBER(SEARCH("Demographic and Health",B426)),"DHS",IF(OR(ISNUMBER(SEARCH("Multiple Indicator Cluster",B426)),ISNUMBER(SEARCH("MICS",B426))),"MICS",IF(ISNUMBER(SEARCH("Immunization Coverage Survey",B426)),"Coverage survey",IF(ISNUMBER(SEARCH("Nutrition",B426)),"Nutrition survey","Other"))))</f>
        <v>MICS</v>
      </c>
      <c r="D426" s="7" t="n">
        <f aca="false">VALUE(LEFT(Raw_Nigeria!D426,4))</f>
        <v>2016</v>
      </c>
      <c r="E426" s="7" t="n">
        <f aca="false">IF(VALUE(RIGHT(Raw_Nigeria!D426,2))&gt;12,"",VALUE(RIGHT(Raw_Nigeria!D426,2)))</f>
        <v>9</v>
      </c>
      <c r="F426" s="7" t="n">
        <f aca="false">VALUE(LEFT(Raw_Nigeria!E426,4))</f>
        <v>2017</v>
      </c>
      <c r="G426" s="7" t="n">
        <f aca="false">IF(VALUE(RIGHT(Raw_Nigeria!E426,2))&gt;12,"",VALUE(RIGHT(Raw_Nigeria!E426,2)))</f>
        <v>1</v>
      </c>
      <c r="H426" s="7" t="n">
        <f aca="false">Raw_Nigeria!F426</f>
        <v>2014</v>
      </c>
      <c r="I426" s="7" t="str">
        <f aca="false">UPPER(TRIM(Raw_Nigeria!G426))</f>
        <v>POL1</v>
      </c>
      <c r="J426" s="7" t="str">
        <f aca="false">Raw_Nigeria!H426</f>
        <v>Recall</v>
      </c>
      <c r="K426" s="7" t="str">
        <f aca="false">Raw_Nigeria!L426</f>
        <v>24-35 m</v>
      </c>
      <c r="L426" s="7" t="str">
        <f aca="false">IF(Raw_Nigeria!K426="","n/a",Raw_Nigeria!K426)</f>
        <v>0-35 m</v>
      </c>
      <c r="M426" s="7" t="str">
        <f aca="false">IF(Raw_Nigeria!I426="","",Raw_Nigeria!I426)</f>
        <v/>
      </c>
      <c r="N426" s="7" t="n">
        <f aca="false">Raw_Nigeria!M426</f>
        <v>31.1</v>
      </c>
      <c r="O426" s="7" t="n">
        <f aca="false">IF(Raw_Nigeria!N426="","",Raw_Nigeria!N426)</f>
        <v>5514</v>
      </c>
      <c r="P426" s="7" t="str">
        <f aca="false">IF(K426="CBAW","Women of child-bearing age","Children")</f>
        <v>Children</v>
      </c>
      <c r="Q426" s="7" t="n">
        <f aca="false">IF(J426="NOT USED",1,0)</f>
        <v>0</v>
      </c>
      <c r="R426" s="7" t="n">
        <f aca="false">IF(AND(P426="Children",Q426=0),1,0)</f>
        <v>1</v>
      </c>
      <c r="S426" s="7" t="n">
        <f aca="false">IF(AND(R426=1,J426="Record or Recall",K426="12-23 m"),1,0)</f>
        <v>0</v>
      </c>
      <c r="T426" s="7" t="n">
        <f aca="false">IF(OR(I426="BCG",I426="DTP1",I426="DTP3",I426="POL3",I426="MCV1",I426="FULL"),1,0)</f>
        <v>0</v>
      </c>
      <c r="U426" s="7" t="n">
        <f aca="false">IF(OR(C426="DHS",C426="MICS"),1,0)</f>
        <v>1</v>
      </c>
      <c r="V426" s="7" t="n">
        <f aca="false">IF(O426="",1,0)</f>
        <v>0</v>
      </c>
      <c r="W426" s="7" t="n">
        <f aca="false">IF(M426="",1,0)</f>
        <v>1</v>
      </c>
      <c r="X426" s="7" t="n">
        <f aca="false">COUNTIFS($B$2:$B$1141,B426,$H$2:$H$1141,H426,$I$2:$I$1141,I426,$J$2:$J$1141,J426,$K$2:$K$1141,K426,$L$2:$L$1141,L426)</f>
        <v>1</v>
      </c>
    </row>
    <row r="427" customFormat="false" ht="15" hidden="false" customHeight="false" outlineLevel="0" collapsed="false">
      <c r="A427" s="7" t="n">
        <f aca="false">ROW()-1</f>
        <v>426</v>
      </c>
      <c r="B427" s="7" t="str">
        <f aca="false">IF(Raw_Nigeria!B427="",TRIM(Raw_Nigeria!C427),TRIM(Raw_Nigeria!B427))</f>
        <v>Nigeria Multiple Indicator Cluster Survey 2016-2017</v>
      </c>
      <c r="C427" s="7" t="str">
        <f aca="false">IF(ISNUMBER(SEARCH("Demographic and Health",B427)),"DHS",IF(OR(ISNUMBER(SEARCH("Multiple Indicator Cluster",B427)),ISNUMBER(SEARCH("MICS",B427))),"MICS",IF(ISNUMBER(SEARCH("Immunization Coverage Survey",B427)),"Coverage survey",IF(ISNUMBER(SEARCH("Nutrition",B427)),"Nutrition survey","Other"))))</f>
        <v>MICS</v>
      </c>
      <c r="D427" s="7" t="n">
        <f aca="false">VALUE(LEFT(Raw_Nigeria!D427,4))</f>
        <v>2016</v>
      </c>
      <c r="E427" s="7" t="n">
        <f aca="false">IF(VALUE(RIGHT(Raw_Nigeria!D427,2))&gt;12,"",VALUE(RIGHT(Raw_Nigeria!D427,2)))</f>
        <v>9</v>
      </c>
      <c r="F427" s="7" t="n">
        <f aca="false">VALUE(LEFT(Raw_Nigeria!E427,4))</f>
        <v>2017</v>
      </c>
      <c r="G427" s="7" t="n">
        <f aca="false">IF(VALUE(RIGHT(Raw_Nigeria!E427,2))&gt;12,"",VALUE(RIGHT(Raw_Nigeria!E427,2)))</f>
        <v>1</v>
      </c>
      <c r="H427" s="7" t="n">
        <f aca="false">Raw_Nigeria!F427</f>
        <v>2014</v>
      </c>
      <c r="I427" s="7" t="str">
        <f aca="false">UPPER(TRIM(Raw_Nigeria!G427))</f>
        <v>POL2</v>
      </c>
      <c r="J427" s="7" t="str">
        <f aca="false">Raw_Nigeria!H427</f>
        <v>Record or Recall&lt;12m</v>
      </c>
      <c r="K427" s="7" t="str">
        <f aca="false">Raw_Nigeria!L427</f>
        <v>24-35 m</v>
      </c>
      <c r="L427" s="7" t="str">
        <f aca="false">IF(Raw_Nigeria!K427="","n/a",Raw_Nigeria!K427)</f>
        <v>0-12 m</v>
      </c>
      <c r="M427" s="7" t="str">
        <f aca="false">IF(Raw_Nigeria!I427="","",Raw_Nigeria!I427)</f>
        <v/>
      </c>
      <c r="N427" s="7" t="n">
        <f aca="false">Raw_Nigeria!M427</f>
        <v>38.7</v>
      </c>
      <c r="O427" s="7" t="n">
        <f aca="false">IF(Raw_Nigeria!N427="","",Raw_Nigeria!N427)</f>
        <v>5514</v>
      </c>
      <c r="P427" s="7" t="str">
        <f aca="false">IF(K427="CBAW","Women of child-bearing age","Children")</f>
        <v>Children</v>
      </c>
      <c r="Q427" s="7" t="n">
        <f aca="false">IF(J427="NOT USED",1,0)</f>
        <v>0</v>
      </c>
      <c r="R427" s="7" t="n">
        <f aca="false">IF(AND(P427="Children",Q427=0),1,0)</f>
        <v>1</v>
      </c>
      <c r="S427" s="7" t="n">
        <f aca="false">IF(AND(R427=1,J427="Record or Recall",K427="12-23 m"),1,0)</f>
        <v>0</v>
      </c>
      <c r="T427" s="7" t="n">
        <f aca="false">IF(OR(I427="BCG",I427="DTP1",I427="DTP3",I427="POL3",I427="MCV1",I427="FULL"),1,0)</f>
        <v>0</v>
      </c>
      <c r="U427" s="7" t="n">
        <f aca="false">IF(OR(C427="DHS",C427="MICS"),1,0)</f>
        <v>1</v>
      </c>
      <c r="V427" s="7" t="n">
        <f aca="false">IF(O427="",1,0)</f>
        <v>0</v>
      </c>
      <c r="W427" s="7" t="n">
        <f aca="false">IF(M427="",1,0)</f>
        <v>1</v>
      </c>
      <c r="X427" s="7" t="n">
        <f aca="false">COUNTIFS($B$2:$B$1141,B427,$H$2:$H$1141,H427,$I$2:$I$1141,I427,$J$2:$J$1141,J427,$K$2:$K$1141,K427,$L$2:$L$1141,L427)</f>
        <v>1</v>
      </c>
    </row>
    <row r="428" customFormat="false" ht="15" hidden="false" customHeight="false" outlineLevel="0" collapsed="false">
      <c r="A428" s="7" t="n">
        <f aca="false">ROW()-1</f>
        <v>427</v>
      </c>
      <c r="B428" s="7" t="str">
        <f aca="false">IF(Raw_Nigeria!B428="",TRIM(Raw_Nigeria!C428),TRIM(Raw_Nigeria!B428))</f>
        <v>Nigeria Multiple Indicator Cluster Survey 2016-2017</v>
      </c>
      <c r="C428" s="7" t="str">
        <f aca="false">IF(ISNUMBER(SEARCH("Demographic and Health",B428)),"DHS",IF(OR(ISNUMBER(SEARCH("Multiple Indicator Cluster",B428)),ISNUMBER(SEARCH("MICS",B428))),"MICS",IF(ISNUMBER(SEARCH("Immunization Coverage Survey",B428)),"Coverage survey",IF(ISNUMBER(SEARCH("Nutrition",B428)),"Nutrition survey","Other"))))</f>
        <v>MICS</v>
      </c>
      <c r="D428" s="7" t="n">
        <f aca="false">VALUE(LEFT(Raw_Nigeria!D428,4))</f>
        <v>2016</v>
      </c>
      <c r="E428" s="7" t="n">
        <f aca="false">IF(VALUE(RIGHT(Raw_Nigeria!D428,2))&gt;12,"",VALUE(RIGHT(Raw_Nigeria!D428,2)))</f>
        <v>9</v>
      </c>
      <c r="F428" s="7" t="n">
        <f aca="false">VALUE(LEFT(Raw_Nigeria!E428,4))</f>
        <v>2017</v>
      </c>
      <c r="G428" s="7" t="n">
        <f aca="false">IF(VALUE(RIGHT(Raw_Nigeria!E428,2))&gt;12,"",VALUE(RIGHT(Raw_Nigeria!E428,2)))</f>
        <v>1</v>
      </c>
      <c r="H428" s="7" t="n">
        <f aca="false">Raw_Nigeria!F428</f>
        <v>2014</v>
      </c>
      <c r="I428" s="7" t="str">
        <f aca="false">UPPER(TRIM(Raw_Nigeria!G428))</f>
        <v>POL2</v>
      </c>
      <c r="J428" s="7" t="str">
        <f aca="false">Raw_Nigeria!H428</f>
        <v>Record</v>
      </c>
      <c r="K428" s="7" t="str">
        <f aca="false">Raw_Nigeria!L428</f>
        <v>24-35 m</v>
      </c>
      <c r="L428" s="7" t="str">
        <f aca="false">IF(Raw_Nigeria!K428="","n/a",Raw_Nigeria!K428)</f>
        <v>0-35 m</v>
      </c>
      <c r="M428" s="7" t="str">
        <f aca="false">IF(Raw_Nigeria!I428="","",Raw_Nigeria!I428)</f>
        <v/>
      </c>
      <c r="N428" s="7" t="n">
        <f aca="false">Raw_Nigeria!M428</f>
        <v>16</v>
      </c>
      <c r="O428" s="7" t="n">
        <f aca="false">IF(Raw_Nigeria!N428="","",Raw_Nigeria!N428)</f>
        <v>5514</v>
      </c>
      <c r="P428" s="7" t="str">
        <f aca="false">IF(K428="CBAW","Women of child-bearing age","Children")</f>
        <v>Children</v>
      </c>
      <c r="Q428" s="7" t="n">
        <f aca="false">IF(J428="NOT USED",1,0)</f>
        <v>0</v>
      </c>
      <c r="R428" s="7" t="n">
        <f aca="false">IF(AND(P428="Children",Q428=0),1,0)</f>
        <v>1</v>
      </c>
      <c r="S428" s="7" t="n">
        <f aca="false">IF(AND(R428=1,J428="Record or Recall",K428="12-23 m"),1,0)</f>
        <v>0</v>
      </c>
      <c r="T428" s="7" t="n">
        <f aca="false">IF(OR(I428="BCG",I428="DTP1",I428="DTP3",I428="POL3",I428="MCV1",I428="FULL"),1,0)</f>
        <v>0</v>
      </c>
      <c r="U428" s="7" t="n">
        <f aca="false">IF(OR(C428="DHS",C428="MICS"),1,0)</f>
        <v>1</v>
      </c>
      <c r="V428" s="7" t="n">
        <f aca="false">IF(O428="",1,0)</f>
        <v>0</v>
      </c>
      <c r="W428" s="7" t="n">
        <f aca="false">IF(M428="",1,0)</f>
        <v>1</v>
      </c>
      <c r="X428" s="7" t="n">
        <f aca="false">COUNTIFS($B$2:$B$1141,B428,$H$2:$H$1141,H428,$I$2:$I$1141,I428,$J$2:$J$1141,J428,$K$2:$K$1141,K428,$L$2:$L$1141,L428)</f>
        <v>1</v>
      </c>
    </row>
    <row r="429" customFormat="false" ht="15" hidden="false" customHeight="false" outlineLevel="0" collapsed="false">
      <c r="A429" s="7" t="n">
        <f aca="false">ROW()-1</f>
        <v>428</v>
      </c>
      <c r="B429" s="7" t="str">
        <f aca="false">IF(Raw_Nigeria!B429="",TRIM(Raw_Nigeria!C429),TRIM(Raw_Nigeria!B429))</f>
        <v>Nigeria Multiple Indicator Cluster Survey 2016-2017</v>
      </c>
      <c r="C429" s="7" t="str">
        <f aca="false">IF(ISNUMBER(SEARCH("Demographic and Health",B429)),"DHS",IF(OR(ISNUMBER(SEARCH("Multiple Indicator Cluster",B429)),ISNUMBER(SEARCH("MICS",B429))),"MICS",IF(ISNUMBER(SEARCH("Immunization Coverage Survey",B429)),"Coverage survey",IF(ISNUMBER(SEARCH("Nutrition",B429)),"Nutrition survey","Other"))))</f>
        <v>MICS</v>
      </c>
      <c r="D429" s="7" t="n">
        <f aca="false">VALUE(LEFT(Raw_Nigeria!D429,4))</f>
        <v>2016</v>
      </c>
      <c r="E429" s="7" t="n">
        <f aca="false">IF(VALUE(RIGHT(Raw_Nigeria!D429,2))&gt;12,"",VALUE(RIGHT(Raw_Nigeria!D429,2)))</f>
        <v>9</v>
      </c>
      <c r="F429" s="7" t="n">
        <f aca="false">VALUE(LEFT(Raw_Nigeria!E429,4))</f>
        <v>2017</v>
      </c>
      <c r="G429" s="7" t="n">
        <f aca="false">IF(VALUE(RIGHT(Raw_Nigeria!E429,2))&gt;12,"",VALUE(RIGHT(Raw_Nigeria!E429,2)))</f>
        <v>1</v>
      </c>
      <c r="H429" s="7" t="n">
        <f aca="false">Raw_Nigeria!F429</f>
        <v>2014</v>
      </c>
      <c r="I429" s="7" t="str">
        <f aca="false">UPPER(TRIM(Raw_Nigeria!G429))</f>
        <v>POL2</v>
      </c>
      <c r="J429" s="7" t="str">
        <f aca="false">Raw_Nigeria!H429</f>
        <v>Record or Recall</v>
      </c>
      <c r="K429" s="7" t="str">
        <f aca="false">Raw_Nigeria!L429</f>
        <v>24-35 m</v>
      </c>
      <c r="L429" s="7" t="str">
        <f aca="false">IF(Raw_Nigeria!K429="","n/a",Raw_Nigeria!K429)</f>
        <v>0-35 m</v>
      </c>
      <c r="M429" s="7" t="str">
        <f aca="false">IF(Raw_Nigeria!I429="","",Raw_Nigeria!I429)</f>
        <v/>
      </c>
      <c r="N429" s="7" t="n">
        <f aca="false">Raw_Nigeria!M429</f>
        <v>42.1</v>
      </c>
      <c r="O429" s="7" t="n">
        <f aca="false">IF(Raw_Nigeria!N429="","",Raw_Nigeria!N429)</f>
        <v>5514</v>
      </c>
      <c r="P429" s="7" t="str">
        <f aca="false">IF(K429="CBAW","Women of child-bearing age","Children")</f>
        <v>Children</v>
      </c>
      <c r="Q429" s="7" t="n">
        <f aca="false">IF(J429="NOT USED",1,0)</f>
        <v>0</v>
      </c>
      <c r="R429" s="7" t="n">
        <f aca="false">IF(AND(P429="Children",Q429=0),1,0)</f>
        <v>1</v>
      </c>
      <c r="S429" s="7" t="n">
        <f aca="false">IF(AND(R429=1,J429="Record or Recall",K429="12-23 m"),1,0)</f>
        <v>0</v>
      </c>
      <c r="T429" s="7" t="n">
        <f aca="false">IF(OR(I429="BCG",I429="DTP1",I429="DTP3",I429="POL3",I429="MCV1",I429="FULL"),1,0)</f>
        <v>0</v>
      </c>
      <c r="U429" s="7" t="n">
        <f aca="false">IF(OR(C429="DHS",C429="MICS"),1,0)</f>
        <v>1</v>
      </c>
      <c r="V429" s="7" t="n">
        <f aca="false">IF(O429="",1,0)</f>
        <v>0</v>
      </c>
      <c r="W429" s="7" t="n">
        <f aca="false">IF(M429="",1,0)</f>
        <v>1</v>
      </c>
      <c r="X429" s="7" t="n">
        <f aca="false">COUNTIFS($B$2:$B$1141,B429,$H$2:$H$1141,H429,$I$2:$I$1141,I429,$J$2:$J$1141,J429,$K$2:$K$1141,K429,$L$2:$L$1141,L429)</f>
        <v>1</v>
      </c>
    </row>
    <row r="430" customFormat="false" ht="15" hidden="false" customHeight="false" outlineLevel="0" collapsed="false">
      <c r="A430" s="7" t="n">
        <f aca="false">ROW()-1</f>
        <v>429</v>
      </c>
      <c r="B430" s="7" t="str">
        <f aca="false">IF(Raw_Nigeria!B430="",TRIM(Raw_Nigeria!C430),TRIM(Raw_Nigeria!B430))</f>
        <v>Nigeria Multiple Indicator Cluster Survey 2016-2017</v>
      </c>
      <c r="C430" s="7" t="str">
        <f aca="false">IF(ISNUMBER(SEARCH("Demographic and Health",B430)),"DHS",IF(OR(ISNUMBER(SEARCH("Multiple Indicator Cluster",B430)),ISNUMBER(SEARCH("MICS",B430))),"MICS",IF(ISNUMBER(SEARCH("Immunization Coverage Survey",B430)),"Coverage survey",IF(ISNUMBER(SEARCH("Nutrition",B430)),"Nutrition survey","Other"))))</f>
        <v>MICS</v>
      </c>
      <c r="D430" s="7" t="n">
        <f aca="false">VALUE(LEFT(Raw_Nigeria!D430,4))</f>
        <v>2016</v>
      </c>
      <c r="E430" s="7" t="n">
        <f aca="false">IF(VALUE(RIGHT(Raw_Nigeria!D430,2))&gt;12,"",VALUE(RIGHT(Raw_Nigeria!D430,2)))</f>
        <v>9</v>
      </c>
      <c r="F430" s="7" t="n">
        <f aca="false">VALUE(LEFT(Raw_Nigeria!E430,4))</f>
        <v>2017</v>
      </c>
      <c r="G430" s="7" t="n">
        <f aca="false">IF(VALUE(RIGHT(Raw_Nigeria!E430,2))&gt;12,"",VALUE(RIGHT(Raw_Nigeria!E430,2)))</f>
        <v>1</v>
      </c>
      <c r="H430" s="7" t="n">
        <f aca="false">Raw_Nigeria!F430</f>
        <v>2014</v>
      </c>
      <c r="I430" s="7" t="str">
        <f aca="false">UPPER(TRIM(Raw_Nigeria!G430))</f>
        <v>POL2</v>
      </c>
      <c r="J430" s="7" t="str">
        <f aca="false">Raw_Nigeria!H430</f>
        <v>Recall</v>
      </c>
      <c r="K430" s="7" t="str">
        <f aca="false">Raw_Nigeria!L430</f>
        <v>24-35 m</v>
      </c>
      <c r="L430" s="7" t="str">
        <f aca="false">IF(Raw_Nigeria!K430="","n/a",Raw_Nigeria!K430)</f>
        <v>0-35 m</v>
      </c>
      <c r="M430" s="7" t="str">
        <f aca="false">IF(Raw_Nigeria!I430="","",Raw_Nigeria!I430)</f>
        <v/>
      </c>
      <c r="N430" s="7" t="n">
        <f aca="false">Raw_Nigeria!M430</f>
        <v>26.2</v>
      </c>
      <c r="O430" s="7" t="n">
        <f aca="false">IF(Raw_Nigeria!N430="","",Raw_Nigeria!N430)</f>
        <v>5514</v>
      </c>
      <c r="P430" s="7" t="str">
        <f aca="false">IF(K430="CBAW","Women of child-bearing age","Children")</f>
        <v>Children</v>
      </c>
      <c r="Q430" s="7" t="n">
        <f aca="false">IF(J430="NOT USED",1,0)</f>
        <v>0</v>
      </c>
      <c r="R430" s="7" t="n">
        <f aca="false">IF(AND(P430="Children",Q430=0),1,0)</f>
        <v>1</v>
      </c>
      <c r="S430" s="7" t="n">
        <f aca="false">IF(AND(R430=1,J430="Record or Recall",K430="12-23 m"),1,0)</f>
        <v>0</v>
      </c>
      <c r="T430" s="7" t="n">
        <f aca="false">IF(OR(I430="BCG",I430="DTP1",I430="DTP3",I430="POL3",I430="MCV1",I430="FULL"),1,0)</f>
        <v>0</v>
      </c>
      <c r="U430" s="7" t="n">
        <f aca="false">IF(OR(C430="DHS",C430="MICS"),1,0)</f>
        <v>1</v>
      </c>
      <c r="V430" s="7" t="n">
        <f aca="false">IF(O430="",1,0)</f>
        <v>0</v>
      </c>
      <c r="W430" s="7" t="n">
        <f aca="false">IF(M430="",1,0)</f>
        <v>1</v>
      </c>
      <c r="X430" s="7" t="n">
        <f aca="false">COUNTIFS($B$2:$B$1141,B430,$H$2:$H$1141,H430,$I$2:$I$1141,I430,$J$2:$J$1141,J430,$K$2:$K$1141,K430,$L$2:$L$1141,L430)</f>
        <v>1</v>
      </c>
    </row>
    <row r="431" customFormat="false" ht="15" hidden="false" customHeight="false" outlineLevel="0" collapsed="false">
      <c r="A431" s="7" t="n">
        <f aca="false">ROW()-1</f>
        <v>430</v>
      </c>
      <c r="B431" s="7" t="str">
        <f aca="false">IF(Raw_Nigeria!B431="",TRIM(Raw_Nigeria!C431),TRIM(Raw_Nigeria!B431))</f>
        <v>Nigeria Multiple Indicator Cluster Survey 2016-2017</v>
      </c>
      <c r="C431" s="7" t="str">
        <f aca="false">IF(ISNUMBER(SEARCH("Demographic and Health",B431)),"DHS",IF(OR(ISNUMBER(SEARCH("Multiple Indicator Cluster",B431)),ISNUMBER(SEARCH("MICS",B431))),"MICS",IF(ISNUMBER(SEARCH("Immunization Coverage Survey",B431)),"Coverage survey",IF(ISNUMBER(SEARCH("Nutrition",B431)),"Nutrition survey","Other"))))</f>
        <v>MICS</v>
      </c>
      <c r="D431" s="7" t="n">
        <f aca="false">VALUE(LEFT(Raw_Nigeria!D431,4))</f>
        <v>2016</v>
      </c>
      <c r="E431" s="7" t="n">
        <f aca="false">IF(VALUE(RIGHT(Raw_Nigeria!D431,2))&gt;12,"",VALUE(RIGHT(Raw_Nigeria!D431,2)))</f>
        <v>9</v>
      </c>
      <c r="F431" s="7" t="n">
        <f aca="false">VALUE(LEFT(Raw_Nigeria!E431,4))</f>
        <v>2017</v>
      </c>
      <c r="G431" s="7" t="n">
        <f aca="false">IF(VALUE(RIGHT(Raw_Nigeria!E431,2))&gt;12,"",VALUE(RIGHT(Raw_Nigeria!E431,2)))</f>
        <v>1</v>
      </c>
      <c r="H431" s="7" t="n">
        <f aca="false">Raw_Nigeria!F431</f>
        <v>2014</v>
      </c>
      <c r="I431" s="7" t="str">
        <f aca="false">UPPER(TRIM(Raw_Nigeria!G431))</f>
        <v>POL3</v>
      </c>
      <c r="J431" s="7" t="str">
        <f aca="false">Raw_Nigeria!H431</f>
        <v>Record or Recall&lt;12m</v>
      </c>
      <c r="K431" s="7" t="str">
        <f aca="false">Raw_Nigeria!L431</f>
        <v>24-35 m</v>
      </c>
      <c r="L431" s="7" t="str">
        <f aca="false">IF(Raw_Nigeria!K431="","n/a",Raw_Nigeria!K431)</f>
        <v>0-12 m</v>
      </c>
      <c r="M431" s="7" t="str">
        <f aca="false">IF(Raw_Nigeria!I431="","",Raw_Nigeria!I431)</f>
        <v/>
      </c>
      <c r="N431" s="7" t="n">
        <f aca="false">Raw_Nigeria!M431</f>
        <v>26.5</v>
      </c>
      <c r="O431" s="7" t="n">
        <f aca="false">IF(Raw_Nigeria!N431="","",Raw_Nigeria!N431)</f>
        <v>5514</v>
      </c>
      <c r="P431" s="7" t="str">
        <f aca="false">IF(K431="CBAW","Women of child-bearing age","Children")</f>
        <v>Children</v>
      </c>
      <c r="Q431" s="7" t="n">
        <f aca="false">IF(J431="NOT USED",1,0)</f>
        <v>0</v>
      </c>
      <c r="R431" s="7" t="n">
        <f aca="false">IF(AND(P431="Children",Q431=0),1,0)</f>
        <v>1</v>
      </c>
      <c r="S431" s="7" t="n">
        <f aca="false">IF(AND(R431=1,J431="Record or Recall",K431="12-23 m"),1,0)</f>
        <v>0</v>
      </c>
      <c r="T431" s="7" t="n">
        <f aca="false">IF(OR(I431="BCG",I431="DTP1",I431="DTP3",I431="POL3",I431="MCV1",I431="FULL"),1,0)</f>
        <v>1</v>
      </c>
      <c r="U431" s="7" t="n">
        <f aca="false">IF(OR(C431="DHS",C431="MICS"),1,0)</f>
        <v>1</v>
      </c>
      <c r="V431" s="7" t="n">
        <f aca="false">IF(O431="",1,0)</f>
        <v>0</v>
      </c>
      <c r="W431" s="7" t="n">
        <f aca="false">IF(M431="",1,0)</f>
        <v>1</v>
      </c>
      <c r="X431" s="7" t="n">
        <f aca="false">COUNTIFS($B$2:$B$1141,B431,$H$2:$H$1141,H431,$I$2:$I$1141,I431,$J$2:$J$1141,J431,$K$2:$K$1141,K431,$L$2:$L$1141,L431)</f>
        <v>1</v>
      </c>
    </row>
    <row r="432" customFormat="false" ht="15" hidden="false" customHeight="false" outlineLevel="0" collapsed="false">
      <c r="A432" s="7" t="n">
        <f aca="false">ROW()-1</f>
        <v>431</v>
      </c>
      <c r="B432" s="7" t="str">
        <f aca="false">IF(Raw_Nigeria!B432="",TRIM(Raw_Nigeria!C432),TRIM(Raw_Nigeria!B432))</f>
        <v>Nigeria Multiple Indicator Cluster Survey 2016-2017</v>
      </c>
      <c r="C432" s="7" t="str">
        <f aca="false">IF(ISNUMBER(SEARCH("Demographic and Health",B432)),"DHS",IF(OR(ISNUMBER(SEARCH("Multiple Indicator Cluster",B432)),ISNUMBER(SEARCH("MICS",B432))),"MICS",IF(ISNUMBER(SEARCH("Immunization Coverage Survey",B432)),"Coverage survey",IF(ISNUMBER(SEARCH("Nutrition",B432)),"Nutrition survey","Other"))))</f>
        <v>MICS</v>
      </c>
      <c r="D432" s="7" t="n">
        <f aca="false">VALUE(LEFT(Raw_Nigeria!D432,4))</f>
        <v>2016</v>
      </c>
      <c r="E432" s="7" t="n">
        <f aca="false">IF(VALUE(RIGHT(Raw_Nigeria!D432,2))&gt;12,"",VALUE(RIGHT(Raw_Nigeria!D432,2)))</f>
        <v>9</v>
      </c>
      <c r="F432" s="7" t="n">
        <f aca="false">VALUE(LEFT(Raw_Nigeria!E432,4))</f>
        <v>2017</v>
      </c>
      <c r="G432" s="7" t="n">
        <f aca="false">IF(VALUE(RIGHT(Raw_Nigeria!E432,2))&gt;12,"",VALUE(RIGHT(Raw_Nigeria!E432,2)))</f>
        <v>1</v>
      </c>
      <c r="H432" s="7" t="n">
        <f aca="false">Raw_Nigeria!F432</f>
        <v>2014</v>
      </c>
      <c r="I432" s="7" t="str">
        <f aca="false">UPPER(TRIM(Raw_Nigeria!G432))</f>
        <v>POL3</v>
      </c>
      <c r="J432" s="7" t="str">
        <f aca="false">Raw_Nigeria!H432</f>
        <v>Record</v>
      </c>
      <c r="K432" s="7" t="str">
        <f aca="false">Raw_Nigeria!L432</f>
        <v>24-35 m</v>
      </c>
      <c r="L432" s="7" t="str">
        <f aca="false">IF(Raw_Nigeria!K432="","n/a",Raw_Nigeria!K432)</f>
        <v>0-35 m</v>
      </c>
      <c r="M432" s="7" t="str">
        <f aca="false">IF(Raw_Nigeria!I432="","",Raw_Nigeria!I432)</f>
        <v/>
      </c>
      <c r="N432" s="7" t="n">
        <f aca="false">Raw_Nigeria!M432</f>
        <v>14.5</v>
      </c>
      <c r="O432" s="7" t="n">
        <f aca="false">IF(Raw_Nigeria!N432="","",Raw_Nigeria!N432)</f>
        <v>5514</v>
      </c>
      <c r="P432" s="7" t="str">
        <f aca="false">IF(K432="CBAW","Women of child-bearing age","Children")</f>
        <v>Children</v>
      </c>
      <c r="Q432" s="7" t="n">
        <f aca="false">IF(J432="NOT USED",1,0)</f>
        <v>0</v>
      </c>
      <c r="R432" s="7" t="n">
        <f aca="false">IF(AND(P432="Children",Q432=0),1,0)</f>
        <v>1</v>
      </c>
      <c r="S432" s="7" t="n">
        <f aca="false">IF(AND(R432=1,J432="Record or Recall",K432="12-23 m"),1,0)</f>
        <v>0</v>
      </c>
      <c r="T432" s="7" t="n">
        <f aca="false">IF(OR(I432="BCG",I432="DTP1",I432="DTP3",I432="POL3",I432="MCV1",I432="FULL"),1,0)</f>
        <v>1</v>
      </c>
      <c r="U432" s="7" t="n">
        <f aca="false">IF(OR(C432="DHS",C432="MICS"),1,0)</f>
        <v>1</v>
      </c>
      <c r="V432" s="7" t="n">
        <f aca="false">IF(O432="",1,0)</f>
        <v>0</v>
      </c>
      <c r="W432" s="7" t="n">
        <f aca="false">IF(M432="",1,0)</f>
        <v>1</v>
      </c>
      <c r="X432" s="7" t="n">
        <f aca="false">COUNTIFS($B$2:$B$1141,B432,$H$2:$H$1141,H432,$I$2:$I$1141,I432,$J$2:$J$1141,J432,$K$2:$K$1141,K432,$L$2:$L$1141,L432)</f>
        <v>1</v>
      </c>
    </row>
    <row r="433" customFormat="false" ht="15" hidden="false" customHeight="false" outlineLevel="0" collapsed="false">
      <c r="A433" s="7" t="n">
        <f aca="false">ROW()-1</f>
        <v>432</v>
      </c>
      <c r="B433" s="7" t="str">
        <f aca="false">IF(Raw_Nigeria!B433="",TRIM(Raw_Nigeria!C433),TRIM(Raw_Nigeria!B433))</f>
        <v>Nigeria Multiple Indicator Cluster Survey 2016-2017</v>
      </c>
      <c r="C433" s="7" t="str">
        <f aca="false">IF(ISNUMBER(SEARCH("Demographic and Health",B433)),"DHS",IF(OR(ISNUMBER(SEARCH("Multiple Indicator Cluster",B433)),ISNUMBER(SEARCH("MICS",B433))),"MICS",IF(ISNUMBER(SEARCH("Immunization Coverage Survey",B433)),"Coverage survey",IF(ISNUMBER(SEARCH("Nutrition",B433)),"Nutrition survey","Other"))))</f>
        <v>MICS</v>
      </c>
      <c r="D433" s="7" t="n">
        <f aca="false">VALUE(LEFT(Raw_Nigeria!D433,4))</f>
        <v>2016</v>
      </c>
      <c r="E433" s="7" t="n">
        <f aca="false">IF(VALUE(RIGHT(Raw_Nigeria!D433,2))&gt;12,"",VALUE(RIGHT(Raw_Nigeria!D433,2)))</f>
        <v>9</v>
      </c>
      <c r="F433" s="7" t="n">
        <f aca="false">VALUE(LEFT(Raw_Nigeria!E433,4))</f>
        <v>2017</v>
      </c>
      <c r="G433" s="7" t="n">
        <f aca="false">IF(VALUE(RIGHT(Raw_Nigeria!E433,2))&gt;12,"",VALUE(RIGHT(Raw_Nigeria!E433,2)))</f>
        <v>1</v>
      </c>
      <c r="H433" s="7" t="n">
        <f aca="false">Raw_Nigeria!F433</f>
        <v>2014</v>
      </c>
      <c r="I433" s="7" t="str">
        <f aca="false">UPPER(TRIM(Raw_Nigeria!G433))</f>
        <v>POL3</v>
      </c>
      <c r="J433" s="7" t="str">
        <f aca="false">Raw_Nigeria!H433</f>
        <v>Record or Recall</v>
      </c>
      <c r="K433" s="7" t="str">
        <f aca="false">Raw_Nigeria!L433</f>
        <v>24-35 m</v>
      </c>
      <c r="L433" s="7" t="str">
        <f aca="false">IF(Raw_Nigeria!K433="","n/a",Raw_Nigeria!K433)</f>
        <v>0-35 m</v>
      </c>
      <c r="M433" s="7" t="str">
        <f aca="false">IF(Raw_Nigeria!I433="","",Raw_Nigeria!I433)</f>
        <v/>
      </c>
      <c r="N433" s="7" t="n">
        <f aca="false">Raw_Nigeria!M433</f>
        <v>30.2</v>
      </c>
      <c r="O433" s="7" t="n">
        <f aca="false">IF(Raw_Nigeria!N433="","",Raw_Nigeria!N433)</f>
        <v>5514</v>
      </c>
      <c r="P433" s="7" t="str">
        <f aca="false">IF(K433="CBAW","Women of child-bearing age","Children")</f>
        <v>Children</v>
      </c>
      <c r="Q433" s="7" t="n">
        <f aca="false">IF(J433="NOT USED",1,0)</f>
        <v>0</v>
      </c>
      <c r="R433" s="7" t="n">
        <f aca="false">IF(AND(P433="Children",Q433=0),1,0)</f>
        <v>1</v>
      </c>
      <c r="S433" s="7" t="n">
        <f aca="false">IF(AND(R433=1,J433="Record or Recall",K433="12-23 m"),1,0)</f>
        <v>0</v>
      </c>
      <c r="T433" s="7" t="n">
        <f aca="false">IF(OR(I433="BCG",I433="DTP1",I433="DTP3",I433="POL3",I433="MCV1",I433="FULL"),1,0)</f>
        <v>1</v>
      </c>
      <c r="U433" s="7" t="n">
        <f aca="false">IF(OR(C433="DHS",C433="MICS"),1,0)</f>
        <v>1</v>
      </c>
      <c r="V433" s="7" t="n">
        <f aca="false">IF(O433="",1,0)</f>
        <v>0</v>
      </c>
      <c r="W433" s="7" t="n">
        <f aca="false">IF(M433="",1,0)</f>
        <v>1</v>
      </c>
      <c r="X433" s="7" t="n">
        <f aca="false">COUNTIFS($B$2:$B$1141,B433,$H$2:$H$1141,H433,$I$2:$I$1141,I433,$J$2:$J$1141,J433,$K$2:$K$1141,K433,$L$2:$L$1141,L433)</f>
        <v>1</v>
      </c>
    </row>
    <row r="434" customFormat="false" ht="15" hidden="false" customHeight="false" outlineLevel="0" collapsed="false">
      <c r="A434" s="7" t="n">
        <f aca="false">ROW()-1</f>
        <v>433</v>
      </c>
      <c r="B434" s="7" t="str">
        <f aca="false">IF(Raw_Nigeria!B434="",TRIM(Raw_Nigeria!C434),TRIM(Raw_Nigeria!B434))</f>
        <v>Nigeria Multiple Indicator Cluster Survey 2016-2017</v>
      </c>
      <c r="C434" s="7" t="str">
        <f aca="false">IF(ISNUMBER(SEARCH("Demographic and Health",B434)),"DHS",IF(OR(ISNUMBER(SEARCH("Multiple Indicator Cluster",B434)),ISNUMBER(SEARCH("MICS",B434))),"MICS",IF(ISNUMBER(SEARCH("Immunization Coverage Survey",B434)),"Coverage survey",IF(ISNUMBER(SEARCH("Nutrition",B434)),"Nutrition survey","Other"))))</f>
        <v>MICS</v>
      </c>
      <c r="D434" s="7" t="n">
        <f aca="false">VALUE(LEFT(Raw_Nigeria!D434,4))</f>
        <v>2016</v>
      </c>
      <c r="E434" s="7" t="n">
        <f aca="false">IF(VALUE(RIGHT(Raw_Nigeria!D434,2))&gt;12,"",VALUE(RIGHT(Raw_Nigeria!D434,2)))</f>
        <v>9</v>
      </c>
      <c r="F434" s="7" t="n">
        <f aca="false">VALUE(LEFT(Raw_Nigeria!E434,4))</f>
        <v>2017</v>
      </c>
      <c r="G434" s="7" t="n">
        <f aca="false">IF(VALUE(RIGHT(Raw_Nigeria!E434,2))&gt;12,"",VALUE(RIGHT(Raw_Nigeria!E434,2)))</f>
        <v>1</v>
      </c>
      <c r="H434" s="7" t="n">
        <f aca="false">Raw_Nigeria!F434</f>
        <v>2014</v>
      </c>
      <c r="I434" s="7" t="str">
        <f aca="false">UPPER(TRIM(Raw_Nigeria!G434))</f>
        <v>POL3</v>
      </c>
      <c r="J434" s="7" t="str">
        <f aca="false">Raw_Nigeria!H434</f>
        <v>Recall</v>
      </c>
      <c r="K434" s="7" t="str">
        <f aca="false">Raw_Nigeria!L434</f>
        <v>24-35 m</v>
      </c>
      <c r="L434" s="7" t="str">
        <f aca="false">IF(Raw_Nigeria!K434="","n/a",Raw_Nigeria!K434)</f>
        <v>0-35 m</v>
      </c>
      <c r="M434" s="7" t="str">
        <f aca="false">IF(Raw_Nigeria!I434="","",Raw_Nigeria!I434)</f>
        <v/>
      </c>
      <c r="N434" s="7" t="n">
        <f aca="false">Raw_Nigeria!M434</f>
        <v>15.7</v>
      </c>
      <c r="O434" s="7" t="n">
        <f aca="false">IF(Raw_Nigeria!N434="","",Raw_Nigeria!N434)</f>
        <v>5514</v>
      </c>
      <c r="P434" s="7" t="str">
        <f aca="false">IF(K434="CBAW","Women of child-bearing age","Children")</f>
        <v>Children</v>
      </c>
      <c r="Q434" s="7" t="n">
        <f aca="false">IF(J434="NOT USED",1,0)</f>
        <v>0</v>
      </c>
      <c r="R434" s="7" t="n">
        <f aca="false">IF(AND(P434="Children",Q434=0),1,0)</f>
        <v>1</v>
      </c>
      <c r="S434" s="7" t="n">
        <f aca="false">IF(AND(R434=1,J434="Record or Recall",K434="12-23 m"),1,0)</f>
        <v>0</v>
      </c>
      <c r="T434" s="7" t="n">
        <f aca="false">IF(OR(I434="BCG",I434="DTP1",I434="DTP3",I434="POL3",I434="MCV1",I434="FULL"),1,0)</f>
        <v>1</v>
      </c>
      <c r="U434" s="7" t="n">
        <f aca="false">IF(OR(C434="DHS",C434="MICS"),1,0)</f>
        <v>1</v>
      </c>
      <c r="V434" s="7" t="n">
        <f aca="false">IF(O434="",1,0)</f>
        <v>0</v>
      </c>
      <c r="W434" s="7" t="n">
        <f aca="false">IF(M434="",1,0)</f>
        <v>1</v>
      </c>
      <c r="X434" s="7" t="n">
        <f aca="false">COUNTIFS($B$2:$B$1141,B434,$H$2:$H$1141,H434,$I$2:$I$1141,I434,$J$2:$J$1141,J434,$K$2:$K$1141,K434,$L$2:$L$1141,L434)</f>
        <v>1</v>
      </c>
    </row>
    <row r="435" customFormat="false" ht="15" hidden="false" customHeight="false" outlineLevel="0" collapsed="false">
      <c r="A435" s="7" t="n">
        <f aca="false">ROW()-1</f>
        <v>434</v>
      </c>
      <c r="B435" s="7" t="str">
        <f aca="false">IF(Raw_Nigeria!B435="",TRIM(Raw_Nigeria!C435),TRIM(Raw_Nigeria!B435))</f>
        <v>Nigeria Multiple Indicator Cluster Survey 2016-2017</v>
      </c>
      <c r="C435" s="7" t="str">
        <f aca="false">IF(ISNUMBER(SEARCH("Demographic and Health",B435)),"DHS",IF(OR(ISNUMBER(SEARCH("Multiple Indicator Cluster",B435)),ISNUMBER(SEARCH("MICS",B435))),"MICS",IF(ISNUMBER(SEARCH("Immunization Coverage Survey",B435)),"Coverage survey",IF(ISNUMBER(SEARCH("Nutrition",B435)),"Nutrition survey","Other"))))</f>
        <v>MICS</v>
      </c>
      <c r="D435" s="7" t="n">
        <f aca="false">VALUE(LEFT(Raw_Nigeria!D435,4))</f>
        <v>2016</v>
      </c>
      <c r="E435" s="7" t="n">
        <f aca="false">IF(VALUE(RIGHT(Raw_Nigeria!D435,2))&gt;12,"",VALUE(RIGHT(Raw_Nigeria!D435,2)))</f>
        <v>9</v>
      </c>
      <c r="F435" s="7" t="n">
        <f aca="false">VALUE(LEFT(Raw_Nigeria!E435,4))</f>
        <v>2017</v>
      </c>
      <c r="G435" s="7" t="n">
        <f aca="false">IF(VALUE(RIGHT(Raw_Nigeria!E435,2))&gt;12,"",VALUE(RIGHT(Raw_Nigeria!E435,2)))</f>
        <v>1</v>
      </c>
      <c r="H435" s="7" t="n">
        <f aca="false">Raw_Nigeria!F435</f>
        <v>2014</v>
      </c>
      <c r="I435" s="7" t="str">
        <f aca="false">UPPER(TRIM(Raw_Nigeria!G435))</f>
        <v>YFV</v>
      </c>
      <c r="J435" s="7" t="str">
        <f aca="false">Raw_Nigeria!H435</f>
        <v>Record or Recall&lt;12m</v>
      </c>
      <c r="K435" s="7" t="str">
        <f aca="false">Raw_Nigeria!L435</f>
        <v>24-35 m</v>
      </c>
      <c r="L435" s="7" t="str">
        <f aca="false">IF(Raw_Nigeria!K435="","n/a",Raw_Nigeria!K435)</f>
        <v>0-12 m</v>
      </c>
      <c r="M435" s="7" t="str">
        <f aca="false">IF(Raw_Nigeria!I435="","",Raw_Nigeria!I435)</f>
        <v/>
      </c>
      <c r="N435" s="7" t="n">
        <f aca="false">Raw_Nigeria!M435</f>
        <v>33.4</v>
      </c>
      <c r="O435" s="7" t="n">
        <f aca="false">IF(Raw_Nigeria!N435="","",Raw_Nigeria!N435)</f>
        <v>5514</v>
      </c>
      <c r="P435" s="7" t="str">
        <f aca="false">IF(K435="CBAW","Women of child-bearing age","Children")</f>
        <v>Children</v>
      </c>
      <c r="Q435" s="7" t="n">
        <f aca="false">IF(J435="NOT USED",1,0)</f>
        <v>0</v>
      </c>
      <c r="R435" s="7" t="n">
        <f aca="false">IF(AND(P435="Children",Q435=0),1,0)</f>
        <v>1</v>
      </c>
      <c r="S435" s="7" t="n">
        <f aca="false">IF(AND(R435=1,J435="Record or Recall",K435="12-23 m"),1,0)</f>
        <v>0</v>
      </c>
      <c r="T435" s="7" t="n">
        <f aca="false">IF(OR(I435="BCG",I435="DTP1",I435="DTP3",I435="POL3",I435="MCV1",I435="FULL"),1,0)</f>
        <v>0</v>
      </c>
      <c r="U435" s="7" t="n">
        <f aca="false">IF(OR(C435="DHS",C435="MICS"),1,0)</f>
        <v>1</v>
      </c>
      <c r="V435" s="7" t="n">
        <f aca="false">IF(O435="",1,0)</f>
        <v>0</v>
      </c>
      <c r="W435" s="7" t="n">
        <f aca="false">IF(M435="",1,0)</f>
        <v>1</v>
      </c>
      <c r="X435" s="7" t="n">
        <f aca="false">COUNTIFS($B$2:$B$1141,B435,$H$2:$H$1141,H435,$I$2:$I$1141,I435,$J$2:$J$1141,J435,$K$2:$K$1141,K435,$L$2:$L$1141,L435)</f>
        <v>1</v>
      </c>
    </row>
    <row r="436" customFormat="false" ht="15" hidden="false" customHeight="false" outlineLevel="0" collapsed="false">
      <c r="A436" s="7" t="n">
        <f aca="false">ROW()-1</f>
        <v>435</v>
      </c>
      <c r="B436" s="7" t="str">
        <f aca="false">IF(Raw_Nigeria!B436="",TRIM(Raw_Nigeria!C436),TRIM(Raw_Nigeria!B436))</f>
        <v>Nigeria Multiple Indicator Cluster Survey 2016-2017</v>
      </c>
      <c r="C436" s="7" t="str">
        <f aca="false">IF(ISNUMBER(SEARCH("Demographic and Health",B436)),"DHS",IF(OR(ISNUMBER(SEARCH("Multiple Indicator Cluster",B436)),ISNUMBER(SEARCH("MICS",B436))),"MICS",IF(ISNUMBER(SEARCH("Immunization Coverage Survey",B436)),"Coverage survey",IF(ISNUMBER(SEARCH("Nutrition",B436)),"Nutrition survey","Other"))))</f>
        <v>MICS</v>
      </c>
      <c r="D436" s="7" t="n">
        <f aca="false">VALUE(LEFT(Raw_Nigeria!D436,4))</f>
        <v>2016</v>
      </c>
      <c r="E436" s="7" t="n">
        <f aca="false">IF(VALUE(RIGHT(Raw_Nigeria!D436,2))&gt;12,"",VALUE(RIGHT(Raw_Nigeria!D436,2)))</f>
        <v>9</v>
      </c>
      <c r="F436" s="7" t="n">
        <f aca="false">VALUE(LEFT(Raw_Nigeria!E436,4))</f>
        <v>2017</v>
      </c>
      <c r="G436" s="7" t="n">
        <f aca="false">IF(VALUE(RIGHT(Raw_Nigeria!E436,2))&gt;12,"",VALUE(RIGHT(Raw_Nigeria!E436,2)))</f>
        <v>1</v>
      </c>
      <c r="H436" s="7" t="n">
        <f aca="false">Raw_Nigeria!F436</f>
        <v>2014</v>
      </c>
      <c r="I436" s="7" t="str">
        <f aca="false">UPPER(TRIM(Raw_Nigeria!G436))</f>
        <v>YFV</v>
      </c>
      <c r="J436" s="7" t="str">
        <f aca="false">Raw_Nigeria!H436</f>
        <v>Record</v>
      </c>
      <c r="K436" s="7" t="str">
        <f aca="false">Raw_Nigeria!L436</f>
        <v>24-35 m</v>
      </c>
      <c r="L436" s="7" t="str">
        <f aca="false">IF(Raw_Nigeria!K436="","n/a",Raw_Nigeria!K436)</f>
        <v>0-35 m</v>
      </c>
      <c r="M436" s="7" t="str">
        <f aca="false">IF(Raw_Nigeria!I436="","",Raw_Nigeria!I436)</f>
        <v/>
      </c>
      <c r="N436" s="7" t="n">
        <f aca="false">Raw_Nigeria!M436</f>
        <v>14.1</v>
      </c>
      <c r="O436" s="7" t="n">
        <f aca="false">IF(Raw_Nigeria!N436="","",Raw_Nigeria!N436)</f>
        <v>5514</v>
      </c>
      <c r="P436" s="7" t="str">
        <f aca="false">IF(K436="CBAW","Women of child-bearing age","Children")</f>
        <v>Children</v>
      </c>
      <c r="Q436" s="7" t="n">
        <f aca="false">IF(J436="NOT USED",1,0)</f>
        <v>0</v>
      </c>
      <c r="R436" s="7" t="n">
        <f aca="false">IF(AND(P436="Children",Q436=0),1,0)</f>
        <v>1</v>
      </c>
      <c r="S436" s="7" t="n">
        <f aca="false">IF(AND(R436=1,J436="Record or Recall",K436="12-23 m"),1,0)</f>
        <v>0</v>
      </c>
      <c r="T436" s="7" t="n">
        <f aca="false">IF(OR(I436="BCG",I436="DTP1",I436="DTP3",I436="POL3",I436="MCV1",I436="FULL"),1,0)</f>
        <v>0</v>
      </c>
      <c r="U436" s="7" t="n">
        <f aca="false">IF(OR(C436="DHS",C436="MICS"),1,0)</f>
        <v>1</v>
      </c>
      <c r="V436" s="7" t="n">
        <f aca="false">IF(O436="",1,0)</f>
        <v>0</v>
      </c>
      <c r="W436" s="7" t="n">
        <f aca="false">IF(M436="",1,0)</f>
        <v>1</v>
      </c>
      <c r="X436" s="7" t="n">
        <f aca="false">COUNTIFS($B$2:$B$1141,B436,$H$2:$H$1141,H436,$I$2:$I$1141,I436,$J$2:$J$1141,J436,$K$2:$K$1141,K436,$L$2:$L$1141,L436)</f>
        <v>1</v>
      </c>
    </row>
    <row r="437" customFormat="false" ht="15" hidden="false" customHeight="false" outlineLevel="0" collapsed="false">
      <c r="A437" s="7" t="n">
        <f aca="false">ROW()-1</f>
        <v>436</v>
      </c>
      <c r="B437" s="7" t="str">
        <f aca="false">IF(Raw_Nigeria!B437="",TRIM(Raw_Nigeria!C437),TRIM(Raw_Nigeria!B437))</f>
        <v>Nigeria Multiple Indicator Cluster Survey 2016-2017</v>
      </c>
      <c r="C437" s="7" t="str">
        <f aca="false">IF(ISNUMBER(SEARCH("Demographic and Health",B437)),"DHS",IF(OR(ISNUMBER(SEARCH("Multiple Indicator Cluster",B437)),ISNUMBER(SEARCH("MICS",B437))),"MICS",IF(ISNUMBER(SEARCH("Immunization Coverage Survey",B437)),"Coverage survey",IF(ISNUMBER(SEARCH("Nutrition",B437)),"Nutrition survey","Other"))))</f>
        <v>MICS</v>
      </c>
      <c r="D437" s="7" t="n">
        <f aca="false">VALUE(LEFT(Raw_Nigeria!D437,4))</f>
        <v>2016</v>
      </c>
      <c r="E437" s="7" t="n">
        <f aca="false">IF(VALUE(RIGHT(Raw_Nigeria!D437,2))&gt;12,"",VALUE(RIGHT(Raw_Nigeria!D437,2)))</f>
        <v>9</v>
      </c>
      <c r="F437" s="7" t="n">
        <f aca="false">VALUE(LEFT(Raw_Nigeria!E437,4))</f>
        <v>2017</v>
      </c>
      <c r="G437" s="7" t="n">
        <f aca="false">IF(VALUE(RIGHT(Raw_Nigeria!E437,2))&gt;12,"",VALUE(RIGHT(Raw_Nigeria!E437,2)))</f>
        <v>1</v>
      </c>
      <c r="H437" s="7" t="n">
        <f aca="false">Raw_Nigeria!F437</f>
        <v>2014</v>
      </c>
      <c r="I437" s="7" t="str">
        <f aca="false">UPPER(TRIM(Raw_Nigeria!G437))</f>
        <v>YFV</v>
      </c>
      <c r="J437" s="7" t="str">
        <f aca="false">Raw_Nigeria!H437</f>
        <v>Record or Recall</v>
      </c>
      <c r="K437" s="7" t="str">
        <f aca="false">Raw_Nigeria!L437</f>
        <v>24-35 m</v>
      </c>
      <c r="L437" s="7" t="str">
        <f aca="false">IF(Raw_Nigeria!K437="","n/a",Raw_Nigeria!K437)</f>
        <v>0-35 m</v>
      </c>
      <c r="M437" s="7" t="str">
        <f aca="false">IF(Raw_Nigeria!I437="","",Raw_Nigeria!I437)</f>
        <v/>
      </c>
      <c r="N437" s="7" t="n">
        <f aca="false">Raw_Nigeria!M437</f>
        <v>41.3</v>
      </c>
      <c r="O437" s="7" t="n">
        <f aca="false">IF(Raw_Nigeria!N437="","",Raw_Nigeria!N437)</f>
        <v>5514</v>
      </c>
      <c r="P437" s="7" t="str">
        <f aca="false">IF(K437="CBAW","Women of child-bearing age","Children")</f>
        <v>Children</v>
      </c>
      <c r="Q437" s="7" t="n">
        <f aca="false">IF(J437="NOT USED",1,0)</f>
        <v>0</v>
      </c>
      <c r="R437" s="7" t="n">
        <f aca="false">IF(AND(P437="Children",Q437=0),1,0)</f>
        <v>1</v>
      </c>
      <c r="S437" s="7" t="n">
        <f aca="false">IF(AND(R437=1,J437="Record or Recall",K437="12-23 m"),1,0)</f>
        <v>0</v>
      </c>
      <c r="T437" s="7" t="n">
        <f aca="false">IF(OR(I437="BCG",I437="DTP1",I437="DTP3",I437="POL3",I437="MCV1",I437="FULL"),1,0)</f>
        <v>0</v>
      </c>
      <c r="U437" s="7" t="n">
        <f aca="false">IF(OR(C437="DHS",C437="MICS"),1,0)</f>
        <v>1</v>
      </c>
      <c r="V437" s="7" t="n">
        <f aca="false">IF(O437="",1,0)</f>
        <v>0</v>
      </c>
      <c r="W437" s="7" t="n">
        <f aca="false">IF(M437="",1,0)</f>
        <v>1</v>
      </c>
      <c r="X437" s="7" t="n">
        <f aca="false">COUNTIFS($B$2:$B$1141,B437,$H$2:$H$1141,H437,$I$2:$I$1141,I437,$J$2:$J$1141,J437,$K$2:$K$1141,K437,$L$2:$L$1141,L437)</f>
        <v>1</v>
      </c>
    </row>
    <row r="438" customFormat="false" ht="15" hidden="false" customHeight="false" outlineLevel="0" collapsed="false">
      <c r="A438" s="7" t="n">
        <f aca="false">ROW()-1</f>
        <v>437</v>
      </c>
      <c r="B438" s="7" t="str">
        <f aca="false">IF(Raw_Nigeria!B438="",TRIM(Raw_Nigeria!C438),TRIM(Raw_Nigeria!B438))</f>
        <v>Nigeria Multiple Indicator Cluster Survey 2016-2017</v>
      </c>
      <c r="C438" s="7" t="str">
        <f aca="false">IF(ISNUMBER(SEARCH("Demographic and Health",B438)),"DHS",IF(OR(ISNUMBER(SEARCH("Multiple Indicator Cluster",B438)),ISNUMBER(SEARCH("MICS",B438))),"MICS",IF(ISNUMBER(SEARCH("Immunization Coverage Survey",B438)),"Coverage survey",IF(ISNUMBER(SEARCH("Nutrition",B438)),"Nutrition survey","Other"))))</f>
        <v>MICS</v>
      </c>
      <c r="D438" s="7" t="n">
        <f aca="false">VALUE(LEFT(Raw_Nigeria!D438,4))</f>
        <v>2016</v>
      </c>
      <c r="E438" s="7" t="n">
        <f aca="false">IF(VALUE(RIGHT(Raw_Nigeria!D438,2))&gt;12,"",VALUE(RIGHT(Raw_Nigeria!D438,2)))</f>
        <v>9</v>
      </c>
      <c r="F438" s="7" t="n">
        <f aca="false">VALUE(LEFT(Raw_Nigeria!E438,4))</f>
        <v>2017</v>
      </c>
      <c r="G438" s="7" t="n">
        <f aca="false">IF(VALUE(RIGHT(Raw_Nigeria!E438,2))&gt;12,"",VALUE(RIGHT(Raw_Nigeria!E438,2)))</f>
        <v>1</v>
      </c>
      <c r="H438" s="7" t="n">
        <f aca="false">Raw_Nigeria!F438</f>
        <v>2014</v>
      </c>
      <c r="I438" s="7" t="str">
        <f aca="false">UPPER(TRIM(Raw_Nigeria!G438))</f>
        <v>YFV</v>
      </c>
      <c r="J438" s="7" t="str">
        <f aca="false">Raw_Nigeria!H438</f>
        <v>Recall</v>
      </c>
      <c r="K438" s="7" t="str">
        <f aca="false">Raw_Nigeria!L438</f>
        <v>24-35 m</v>
      </c>
      <c r="L438" s="7" t="str">
        <f aca="false">IF(Raw_Nigeria!K438="","n/a",Raw_Nigeria!K438)</f>
        <v>0-35 m</v>
      </c>
      <c r="M438" s="7" t="str">
        <f aca="false">IF(Raw_Nigeria!I438="","",Raw_Nigeria!I438)</f>
        <v/>
      </c>
      <c r="N438" s="7" t="n">
        <f aca="false">Raw_Nigeria!M438</f>
        <v>27.1</v>
      </c>
      <c r="O438" s="7" t="n">
        <f aca="false">IF(Raw_Nigeria!N438="","",Raw_Nigeria!N438)</f>
        <v>5514</v>
      </c>
      <c r="P438" s="7" t="str">
        <f aca="false">IF(K438="CBAW","Women of child-bearing age","Children")</f>
        <v>Children</v>
      </c>
      <c r="Q438" s="7" t="n">
        <f aca="false">IF(J438="NOT USED",1,0)</f>
        <v>0</v>
      </c>
      <c r="R438" s="7" t="n">
        <f aca="false">IF(AND(P438="Children",Q438=0),1,0)</f>
        <v>1</v>
      </c>
      <c r="S438" s="7" t="n">
        <f aca="false">IF(AND(R438=1,J438="Record or Recall",K438="12-23 m"),1,0)</f>
        <v>0</v>
      </c>
      <c r="T438" s="7" t="n">
        <f aca="false">IF(OR(I438="BCG",I438="DTP1",I438="DTP3",I438="POL3",I438="MCV1",I438="FULL"),1,0)</f>
        <v>0</v>
      </c>
      <c r="U438" s="7" t="n">
        <f aca="false">IF(OR(C438="DHS",C438="MICS"),1,0)</f>
        <v>1</v>
      </c>
      <c r="V438" s="7" t="n">
        <f aca="false">IF(O438="",1,0)</f>
        <v>0</v>
      </c>
      <c r="W438" s="7" t="n">
        <f aca="false">IF(M438="",1,0)</f>
        <v>1</v>
      </c>
      <c r="X438" s="7" t="n">
        <f aca="false">COUNTIFS($B$2:$B$1141,B438,$H$2:$H$1141,H438,$I$2:$I$1141,I438,$J$2:$J$1141,J438,$K$2:$K$1141,K438,$L$2:$L$1141,L438)</f>
        <v>1</v>
      </c>
    </row>
    <row r="439" customFormat="false" ht="15" hidden="false" customHeight="false" outlineLevel="0" collapsed="false">
      <c r="A439" s="7" t="n">
        <f aca="false">ROW()-1</f>
        <v>438</v>
      </c>
      <c r="B439" s="7" t="str">
        <f aca="false">IF(Raw_Nigeria!B439="",TRIM(Raw_Nigeria!C439),TRIM(Raw_Nigeria!B439))</f>
        <v>Nigeria National Nutrition and Health Survey, 2015</v>
      </c>
      <c r="C439" s="7" t="str">
        <f aca="false">IF(ISNUMBER(SEARCH("Demographic and Health",B439)),"DHS",IF(OR(ISNUMBER(SEARCH("Multiple Indicator Cluster",B439)),ISNUMBER(SEARCH("MICS",B439))),"MICS",IF(ISNUMBER(SEARCH("Immunization Coverage Survey",B439)),"Coverage survey",IF(ISNUMBER(SEARCH("Nutrition",B439)),"Nutrition survey","Other"))))</f>
        <v>Nutrition survey</v>
      </c>
      <c r="D439" s="7" t="n">
        <f aca="false">VALUE(LEFT(Raw_Nigeria!D439,4))</f>
        <v>2015</v>
      </c>
      <c r="E439" s="7" t="n">
        <f aca="false">IF(VALUE(RIGHT(Raw_Nigeria!D439,2))&gt;12,"",VALUE(RIGHT(Raw_Nigeria!D439,2)))</f>
        <v>7</v>
      </c>
      <c r="F439" s="7" t="n">
        <f aca="false">VALUE(LEFT(Raw_Nigeria!E439,4))</f>
        <v>2015</v>
      </c>
      <c r="G439" s="7" t="n">
        <f aca="false">IF(VALUE(RIGHT(Raw_Nigeria!E439,2))&gt;12,"",VALUE(RIGHT(Raw_Nigeria!E439,2)))</f>
        <v>9</v>
      </c>
      <c r="H439" s="7" t="n">
        <f aca="false">Raw_Nigeria!F439</f>
        <v>2014</v>
      </c>
      <c r="I439" s="7" t="str">
        <f aca="false">UPPER(TRIM(Raw_Nigeria!G439))</f>
        <v>DTP1</v>
      </c>
      <c r="J439" s="7" t="str">
        <f aca="false">Raw_Nigeria!H439</f>
        <v>Record or Recall</v>
      </c>
      <c r="K439" s="7" t="str">
        <f aca="false">Raw_Nigeria!L439</f>
        <v>12-23 m</v>
      </c>
      <c r="L439" s="7" t="str">
        <f aca="false">IF(Raw_Nigeria!K439="","n/a",Raw_Nigeria!K439)</f>
        <v>0-23 m</v>
      </c>
      <c r="M439" s="7" t="n">
        <f aca="false">IF(Raw_Nigeria!I439="","",Raw_Nigeria!I439)</f>
        <v>34.4</v>
      </c>
      <c r="N439" s="7" t="n">
        <f aca="false">Raw_Nigeria!M439</f>
        <v>63.5</v>
      </c>
      <c r="O439" s="7" t="n">
        <f aca="false">IF(Raw_Nigeria!N439="","",Raw_Nigeria!N439)</f>
        <v>4205</v>
      </c>
      <c r="P439" s="7" t="str">
        <f aca="false">IF(K439="CBAW","Women of child-bearing age","Children")</f>
        <v>Children</v>
      </c>
      <c r="Q439" s="7" t="n">
        <f aca="false">IF(J439="NOT USED",1,0)</f>
        <v>0</v>
      </c>
      <c r="R439" s="7" t="n">
        <f aca="false">IF(AND(P439="Children",Q439=0),1,0)</f>
        <v>1</v>
      </c>
      <c r="S439" s="7" t="n">
        <f aca="false">IF(AND(R439=1,J439="Record or Recall",K439="12-23 m"),1,0)</f>
        <v>1</v>
      </c>
      <c r="T439" s="7" t="n">
        <f aca="false">IF(OR(I439="BCG",I439="DTP1",I439="DTP3",I439="POL3",I439="MCV1",I439="FULL"),1,0)</f>
        <v>1</v>
      </c>
      <c r="U439" s="7" t="n">
        <f aca="false">IF(OR(C439="DHS",C439="MICS"),1,0)</f>
        <v>0</v>
      </c>
      <c r="V439" s="7" t="n">
        <f aca="false">IF(O439="",1,0)</f>
        <v>0</v>
      </c>
      <c r="W439" s="7" t="n">
        <f aca="false">IF(M439="",1,0)</f>
        <v>0</v>
      </c>
      <c r="X439" s="7" t="n">
        <f aca="false">COUNTIFS($B$2:$B$1141,B439,$H$2:$H$1141,H439,$I$2:$I$1141,I439,$J$2:$J$1141,J439,$K$2:$K$1141,K439,$L$2:$L$1141,L439)</f>
        <v>1</v>
      </c>
    </row>
    <row r="440" customFormat="false" ht="15" hidden="false" customHeight="false" outlineLevel="0" collapsed="false">
      <c r="A440" s="7" t="n">
        <f aca="false">ROW()-1</f>
        <v>439</v>
      </c>
      <c r="B440" s="7" t="str">
        <f aca="false">IF(Raw_Nigeria!B440="",TRIM(Raw_Nigeria!C440),TRIM(Raw_Nigeria!B440))</f>
        <v>Nigeria National Nutrition and Health Survey, 2015</v>
      </c>
      <c r="C440" s="7" t="str">
        <f aca="false">IF(ISNUMBER(SEARCH("Demographic and Health",B440)),"DHS",IF(OR(ISNUMBER(SEARCH("Multiple Indicator Cluster",B440)),ISNUMBER(SEARCH("MICS",B440))),"MICS",IF(ISNUMBER(SEARCH("Immunization Coverage Survey",B440)),"Coverage survey",IF(ISNUMBER(SEARCH("Nutrition",B440)),"Nutrition survey","Other"))))</f>
        <v>Nutrition survey</v>
      </c>
      <c r="D440" s="7" t="n">
        <f aca="false">VALUE(LEFT(Raw_Nigeria!D440,4))</f>
        <v>2015</v>
      </c>
      <c r="E440" s="7" t="n">
        <f aca="false">IF(VALUE(RIGHT(Raw_Nigeria!D440,2))&gt;12,"",VALUE(RIGHT(Raw_Nigeria!D440,2)))</f>
        <v>7</v>
      </c>
      <c r="F440" s="7" t="n">
        <f aca="false">VALUE(LEFT(Raw_Nigeria!E440,4))</f>
        <v>2015</v>
      </c>
      <c r="G440" s="7" t="n">
        <f aca="false">IF(VALUE(RIGHT(Raw_Nigeria!E440,2))&gt;12,"",VALUE(RIGHT(Raw_Nigeria!E440,2)))</f>
        <v>9</v>
      </c>
      <c r="H440" s="7" t="n">
        <f aca="false">Raw_Nigeria!F440</f>
        <v>2014</v>
      </c>
      <c r="I440" s="7" t="str">
        <f aca="false">UPPER(TRIM(Raw_Nigeria!G440))</f>
        <v>DTP3</v>
      </c>
      <c r="J440" s="7" t="str">
        <f aca="false">Raw_Nigeria!H440</f>
        <v>Record or Recall</v>
      </c>
      <c r="K440" s="7" t="str">
        <f aca="false">Raw_Nigeria!L440</f>
        <v>12-23 m</v>
      </c>
      <c r="L440" s="7" t="str">
        <f aca="false">IF(Raw_Nigeria!K440="","n/a",Raw_Nigeria!K440)</f>
        <v>0-23 m</v>
      </c>
      <c r="M440" s="7" t="n">
        <f aca="false">IF(Raw_Nigeria!I440="","",Raw_Nigeria!I440)</f>
        <v>34.4</v>
      </c>
      <c r="N440" s="7" t="n">
        <f aca="false">Raw_Nigeria!M440</f>
        <v>48.8</v>
      </c>
      <c r="O440" s="7" t="n">
        <f aca="false">IF(Raw_Nigeria!N440="","",Raw_Nigeria!N440)</f>
        <v>4205</v>
      </c>
      <c r="P440" s="7" t="str">
        <f aca="false">IF(K440="CBAW","Women of child-bearing age","Children")</f>
        <v>Children</v>
      </c>
      <c r="Q440" s="7" t="n">
        <f aca="false">IF(J440="NOT USED",1,0)</f>
        <v>0</v>
      </c>
      <c r="R440" s="7" t="n">
        <f aca="false">IF(AND(P440="Children",Q440=0),1,0)</f>
        <v>1</v>
      </c>
      <c r="S440" s="7" t="n">
        <f aca="false">IF(AND(R440=1,J440="Record or Recall",K440="12-23 m"),1,0)</f>
        <v>1</v>
      </c>
      <c r="T440" s="7" t="n">
        <f aca="false">IF(OR(I440="BCG",I440="DTP1",I440="DTP3",I440="POL3",I440="MCV1",I440="FULL"),1,0)</f>
        <v>1</v>
      </c>
      <c r="U440" s="7" t="n">
        <f aca="false">IF(OR(C440="DHS",C440="MICS"),1,0)</f>
        <v>0</v>
      </c>
      <c r="V440" s="7" t="n">
        <f aca="false">IF(O440="",1,0)</f>
        <v>0</v>
      </c>
      <c r="W440" s="7" t="n">
        <f aca="false">IF(M440="",1,0)</f>
        <v>0</v>
      </c>
      <c r="X440" s="7" t="n">
        <f aca="false">COUNTIFS($B$2:$B$1141,B440,$H$2:$H$1141,H440,$I$2:$I$1141,I440,$J$2:$J$1141,J440,$K$2:$K$1141,K440,$L$2:$L$1141,L440)</f>
        <v>1</v>
      </c>
    </row>
    <row r="441" customFormat="false" ht="15" hidden="false" customHeight="false" outlineLevel="0" collapsed="false">
      <c r="A441" s="7" t="n">
        <f aca="false">ROW()-1</f>
        <v>440</v>
      </c>
      <c r="B441" s="7" t="str">
        <f aca="false">IF(Raw_Nigeria!B441="",TRIM(Raw_Nigeria!C441),TRIM(Raw_Nigeria!B441))</f>
        <v>Nigeria National Nutrition and Health Survey, 2015</v>
      </c>
      <c r="C441" s="7" t="str">
        <f aca="false">IF(ISNUMBER(SEARCH("Demographic and Health",B441)),"DHS",IF(OR(ISNUMBER(SEARCH("Multiple Indicator Cluster",B441)),ISNUMBER(SEARCH("MICS",B441))),"MICS",IF(ISNUMBER(SEARCH("Immunization Coverage Survey",B441)),"Coverage survey",IF(ISNUMBER(SEARCH("Nutrition",B441)),"Nutrition survey","Other"))))</f>
        <v>Nutrition survey</v>
      </c>
      <c r="D441" s="7" t="n">
        <f aca="false">VALUE(LEFT(Raw_Nigeria!D441,4))</f>
        <v>2015</v>
      </c>
      <c r="E441" s="7" t="n">
        <f aca="false">IF(VALUE(RIGHT(Raw_Nigeria!D441,2))&gt;12,"",VALUE(RIGHT(Raw_Nigeria!D441,2)))</f>
        <v>7</v>
      </c>
      <c r="F441" s="7" t="n">
        <f aca="false">VALUE(LEFT(Raw_Nigeria!E441,4))</f>
        <v>2015</v>
      </c>
      <c r="G441" s="7" t="n">
        <f aca="false">IF(VALUE(RIGHT(Raw_Nigeria!E441,2))&gt;12,"",VALUE(RIGHT(Raw_Nigeria!E441,2)))</f>
        <v>9</v>
      </c>
      <c r="H441" s="7" t="n">
        <f aca="false">Raw_Nigeria!F441</f>
        <v>2014</v>
      </c>
      <c r="I441" s="7" t="str">
        <f aca="false">UPPER(TRIM(Raw_Nigeria!G441))</f>
        <v>MCV1</v>
      </c>
      <c r="J441" s="7" t="str">
        <f aca="false">Raw_Nigeria!H441</f>
        <v>Record or Recall</v>
      </c>
      <c r="K441" s="7" t="str">
        <f aca="false">Raw_Nigeria!L441</f>
        <v>12-23 m</v>
      </c>
      <c r="L441" s="7" t="str">
        <f aca="false">IF(Raw_Nigeria!K441="","n/a",Raw_Nigeria!K441)</f>
        <v>0-23 m</v>
      </c>
      <c r="M441" s="7" t="n">
        <f aca="false">IF(Raw_Nigeria!I441="","",Raw_Nigeria!I441)</f>
        <v>34.4</v>
      </c>
      <c r="N441" s="7" t="n">
        <f aca="false">Raw_Nigeria!M441</f>
        <v>50.6</v>
      </c>
      <c r="O441" s="7" t="n">
        <f aca="false">IF(Raw_Nigeria!N441="","",Raw_Nigeria!N441)</f>
        <v>4205</v>
      </c>
      <c r="P441" s="7" t="str">
        <f aca="false">IF(K441="CBAW","Women of child-bearing age","Children")</f>
        <v>Children</v>
      </c>
      <c r="Q441" s="7" t="n">
        <f aca="false">IF(J441="NOT USED",1,0)</f>
        <v>0</v>
      </c>
      <c r="R441" s="7" t="n">
        <f aca="false">IF(AND(P441="Children",Q441=0),1,0)</f>
        <v>1</v>
      </c>
      <c r="S441" s="7" t="n">
        <f aca="false">IF(AND(R441=1,J441="Record or Recall",K441="12-23 m"),1,0)</f>
        <v>1</v>
      </c>
      <c r="T441" s="7" t="n">
        <f aca="false">IF(OR(I441="BCG",I441="DTP1",I441="DTP3",I441="POL3",I441="MCV1",I441="FULL"),1,0)</f>
        <v>1</v>
      </c>
      <c r="U441" s="7" t="n">
        <f aca="false">IF(OR(C441="DHS",C441="MICS"),1,0)</f>
        <v>0</v>
      </c>
      <c r="V441" s="7" t="n">
        <f aca="false">IF(O441="",1,0)</f>
        <v>0</v>
      </c>
      <c r="W441" s="7" t="n">
        <f aca="false">IF(M441="",1,0)</f>
        <v>0</v>
      </c>
      <c r="X441" s="7" t="n">
        <f aca="false">COUNTIFS($B$2:$B$1141,B441,$H$2:$H$1141,H441,$I$2:$I$1141,I441,$J$2:$J$1141,J441,$K$2:$K$1141,K441,$L$2:$L$1141,L441)</f>
        <v>1</v>
      </c>
    </row>
    <row r="442" customFormat="false" ht="15" hidden="false" customHeight="false" outlineLevel="0" collapsed="false">
      <c r="A442" s="7" t="n">
        <f aca="false">ROW()-1</f>
        <v>441</v>
      </c>
      <c r="B442" s="7" t="str">
        <f aca="false">IF(Raw_Nigeria!B442="",TRIM(Raw_Nigeria!C442),TRIM(Raw_Nigeria!B442))</f>
        <v>Nigeria Multiple Indicator Cluster Survey 2016-2017</v>
      </c>
      <c r="C442" s="7" t="str">
        <f aca="false">IF(ISNUMBER(SEARCH("Demographic and Health",B442)),"DHS",IF(OR(ISNUMBER(SEARCH("Multiple Indicator Cluster",B442)),ISNUMBER(SEARCH("MICS",B442))),"MICS",IF(ISNUMBER(SEARCH("Immunization Coverage Survey",B442)),"Coverage survey",IF(ISNUMBER(SEARCH("Nutrition",B442)),"Nutrition survey","Other"))))</f>
        <v>MICS</v>
      </c>
      <c r="D442" s="7" t="n">
        <f aca="false">VALUE(LEFT(Raw_Nigeria!D442,4))</f>
        <v>2016</v>
      </c>
      <c r="E442" s="7" t="n">
        <f aca="false">IF(VALUE(RIGHT(Raw_Nigeria!D442,2))&gt;12,"",VALUE(RIGHT(Raw_Nigeria!D442,2)))</f>
        <v>9</v>
      </c>
      <c r="F442" s="7" t="n">
        <f aca="false">VALUE(LEFT(Raw_Nigeria!E442,4))</f>
        <v>2017</v>
      </c>
      <c r="G442" s="7" t="n">
        <f aca="false">IF(VALUE(RIGHT(Raw_Nigeria!E442,2))&gt;12,"",VALUE(RIGHT(Raw_Nigeria!E442,2)))</f>
        <v>1</v>
      </c>
      <c r="H442" s="7" t="n">
        <f aca="false">Raw_Nigeria!F442</f>
        <v>2015</v>
      </c>
      <c r="I442" s="7" t="str">
        <f aca="false">UPPER(TRIM(Raw_Nigeria!G442))</f>
        <v>BCG</v>
      </c>
      <c r="J442" s="7" t="str">
        <f aca="false">Raw_Nigeria!H442</f>
        <v>Record or Recall&lt;12m</v>
      </c>
      <c r="K442" s="7" t="str">
        <f aca="false">Raw_Nigeria!L442</f>
        <v>12-23 m</v>
      </c>
      <c r="L442" s="7" t="str">
        <f aca="false">IF(Raw_Nigeria!K442="","n/a",Raw_Nigeria!K442)</f>
        <v>0-12 m</v>
      </c>
      <c r="M442" s="7" t="n">
        <f aca="false">IF(Raw_Nigeria!I442="","",Raw_Nigeria!I442)</f>
        <v>29</v>
      </c>
      <c r="N442" s="7" t="n">
        <f aca="false">Raw_Nigeria!M442</f>
        <v>52.8</v>
      </c>
      <c r="O442" s="7" t="n">
        <f aca="false">IF(Raw_Nigeria!N442="","",Raw_Nigeria!N442)</f>
        <v>5535</v>
      </c>
      <c r="P442" s="7" t="str">
        <f aca="false">IF(K442="CBAW","Women of child-bearing age","Children")</f>
        <v>Children</v>
      </c>
      <c r="Q442" s="7" t="n">
        <f aca="false">IF(J442="NOT USED",1,0)</f>
        <v>0</v>
      </c>
      <c r="R442" s="7" t="n">
        <f aca="false">IF(AND(P442="Children",Q442=0),1,0)</f>
        <v>1</v>
      </c>
      <c r="S442" s="7" t="n">
        <f aca="false">IF(AND(R442=1,J442="Record or Recall",K442="12-23 m"),1,0)</f>
        <v>0</v>
      </c>
      <c r="T442" s="7" t="n">
        <f aca="false">IF(OR(I442="BCG",I442="DTP1",I442="DTP3",I442="POL3",I442="MCV1",I442="FULL"),1,0)</f>
        <v>1</v>
      </c>
      <c r="U442" s="7" t="n">
        <f aca="false">IF(OR(C442="DHS",C442="MICS"),1,0)</f>
        <v>1</v>
      </c>
      <c r="V442" s="7" t="n">
        <f aca="false">IF(O442="",1,0)</f>
        <v>0</v>
      </c>
      <c r="W442" s="7" t="n">
        <f aca="false">IF(M442="",1,0)</f>
        <v>0</v>
      </c>
      <c r="X442" s="7" t="n">
        <f aca="false">COUNTIFS($B$2:$B$1141,B442,$H$2:$H$1141,H442,$I$2:$I$1141,I442,$J$2:$J$1141,J442,$K$2:$K$1141,K442,$L$2:$L$1141,L442)</f>
        <v>1</v>
      </c>
    </row>
    <row r="443" customFormat="false" ht="15" hidden="false" customHeight="false" outlineLevel="0" collapsed="false">
      <c r="A443" s="7" t="n">
        <f aca="false">ROW()-1</f>
        <v>442</v>
      </c>
      <c r="B443" s="7" t="str">
        <f aca="false">IF(Raw_Nigeria!B443="",TRIM(Raw_Nigeria!C443),TRIM(Raw_Nigeria!B443))</f>
        <v>Nigeria Multiple Indicator Cluster Survey 2016-2017</v>
      </c>
      <c r="C443" s="7" t="str">
        <f aca="false">IF(ISNUMBER(SEARCH("Demographic and Health",B443)),"DHS",IF(OR(ISNUMBER(SEARCH("Multiple Indicator Cluster",B443)),ISNUMBER(SEARCH("MICS",B443))),"MICS",IF(ISNUMBER(SEARCH("Immunization Coverage Survey",B443)),"Coverage survey",IF(ISNUMBER(SEARCH("Nutrition",B443)),"Nutrition survey","Other"))))</f>
        <v>MICS</v>
      </c>
      <c r="D443" s="7" t="n">
        <f aca="false">VALUE(LEFT(Raw_Nigeria!D443,4))</f>
        <v>2016</v>
      </c>
      <c r="E443" s="7" t="n">
        <f aca="false">IF(VALUE(RIGHT(Raw_Nigeria!D443,2))&gt;12,"",VALUE(RIGHT(Raw_Nigeria!D443,2)))</f>
        <v>9</v>
      </c>
      <c r="F443" s="7" t="n">
        <f aca="false">VALUE(LEFT(Raw_Nigeria!E443,4))</f>
        <v>2017</v>
      </c>
      <c r="G443" s="7" t="n">
        <f aca="false">IF(VALUE(RIGHT(Raw_Nigeria!E443,2))&gt;12,"",VALUE(RIGHT(Raw_Nigeria!E443,2)))</f>
        <v>1</v>
      </c>
      <c r="H443" s="7" t="n">
        <f aca="false">Raw_Nigeria!F443</f>
        <v>2015</v>
      </c>
      <c r="I443" s="7" t="str">
        <f aca="false">UPPER(TRIM(Raw_Nigeria!G443))</f>
        <v>BCG</v>
      </c>
      <c r="J443" s="7" t="str">
        <f aca="false">Raw_Nigeria!H443</f>
        <v>Record</v>
      </c>
      <c r="K443" s="7" t="str">
        <f aca="false">Raw_Nigeria!L443</f>
        <v>12-23 m</v>
      </c>
      <c r="L443" s="7" t="str">
        <f aca="false">IF(Raw_Nigeria!K443="","n/a",Raw_Nigeria!K443)</f>
        <v>0-23 m</v>
      </c>
      <c r="M443" s="7" t="n">
        <f aca="false">IF(Raw_Nigeria!I443="","",Raw_Nigeria!I443)</f>
        <v>29</v>
      </c>
      <c r="N443" s="7" t="n">
        <f aca="false">Raw_Nigeria!M443</f>
        <v>27.8</v>
      </c>
      <c r="O443" s="7" t="n">
        <f aca="false">IF(Raw_Nigeria!N443="","",Raw_Nigeria!N443)</f>
        <v>5535</v>
      </c>
      <c r="P443" s="7" t="str">
        <f aca="false">IF(K443="CBAW","Women of child-bearing age","Children")</f>
        <v>Children</v>
      </c>
      <c r="Q443" s="7" t="n">
        <f aca="false">IF(J443="NOT USED",1,0)</f>
        <v>0</v>
      </c>
      <c r="R443" s="7" t="n">
        <f aca="false">IF(AND(P443="Children",Q443=0),1,0)</f>
        <v>1</v>
      </c>
      <c r="S443" s="7" t="n">
        <f aca="false">IF(AND(R443=1,J443="Record or Recall",K443="12-23 m"),1,0)</f>
        <v>0</v>
      </c>
      <c r="T443" s="7" t="n">
        <f aca="false">IF(OR(I443="BCG",I443="DTP1",I443="DTP3",I443="POL3",I443="MCV1",I443="FULL"),1,0)</f>
        <v>1</v>
      </c>
      <c r="U443" s="7" t="n">
        <f aca="false">IF(OR(C443="DHS",C443="MICS"),1,0)</f>
        <v>1</v>
      </c>
      <c r="V443" s="7" t="n">
        <f aca="false">IF(O443="",1,0)</f>
        <v>0</v>
      </c>
      <c r="W443" s="7" t="n">
        <f aca="false">IF(M443="",1,0)</f>
        <v>0</v>
      </c>
      <c r="X443" s="7" t="n">
        <f aca="false">COUNTIFS($B$2:$B$1141,B443,$H$2:$H$1141,H443,$I$2:$I$1141,I443,$J$2:$J$1141,J443,$K$2:$K$1141,K443,$L$2:$L$1141,L443)</f>
        <v>1</v>
      </c>
    </row>
    <row r="444" customFormat="false" ht="15" hidden="false" customHeight="false" outlineLevel="0" collapsed="false">
      <c r="A444" s="7" t="n">
        <f aca="false">ROW()-1</f>
        <v>443</v>
      </c>
      <c r="B444" s="7" t="str">
        <f aca="false">IF(Raw_Nigeria!B444="",TRIM(Raw_Nigeria!C444),TRIM(Raw_Nigeria!B444))</f>
        <v>Nigeria Multiple Indicator Cluster Survey 2016-2017</v>
      </c>
      <c r="C444" s="7" t="str">
        <f aca="false">IF(ISNUMBER(SEARCH("Demographic and Health",B444)),"DHS",IF(OR(ISNUMBER(SEARCH("Multiple Indicator Cluster",B444)),ISNUMBER(SEARCH("MICS",B444))),"MICS",IF(ISNUMBER(SEARCH("Immunization Coverage Survey",B444)),"Coverage survey",IF(ISNUMBER(SEARCH("Nutrition",B444)),"Nutrition survey","Other"))))</f>
        <v>MICS</v>
      </c>
      <c r="D444" s="7" t="n">
        <f aca="false">VALUE(LEFT(Raw_Nigeria!D444,4))</f>
        <v>2016</v>
      </c>
      <c r="E444" s="7" t="n">
        <f aca="false">IF(VALUE(RIGHT(Raw_Nigeria!D444,2))&gt;12,"",VALUE(RIGHT(Raw_Nigeria!D444,2)))</f>
        <v>9</v>
      </c>
      <c r="F444" s="7" t="n">
        <f aca="false">VALUE(LEFT(Raw_Nigeria!E444,4))</f>
        <v>2017</v>
      </c>
      <c r="G444" s="7" t="n">
        <f aca="false">IF(VALUE(RIGHT(Raw_Nigeria!E444,2))&gt;12,"",VALUE(RIGHT(Raw_Nigeria!E444,2)))</f>
        <v>1</v>
      </c>
      <c r="H444" s="7" t="n">
        <f aca="false">Raw_Nigeria!F444</f>
        <v>2015</v>
      </c>
      <c r="I444" s="7" t="str">
        <f aca="false">UPPER(TRIM(Raw_Nigeria!G444))</f>
        <v>BCG</v>
      </c>
      <c r="J444" s="7" t="str">
        <f aca="false">Raw_Nigeria!H444</f>
        <v>Record or Recall</v>
      </c>
      <c r="K444" s="7" t="str">
        <f aca="false">Raw_Nigeria!L444</f>
        <v>12-23 m</v>
      </c>
      <c r="L444" s="7" t="str">
        <f aca="false">IF(Raw_Nigeria!K444="","n/a",Raw_Nigeria!K444)</f>
        <v>0-23 m</v>
      </c>
      <c r="M444" s="7" t="n">
        <f aca="false">IF(Raw_Nigeria!I444="","",Raw_Nigeria!I444)</f>
        <v>29</v>
      </c>
      <c r="N444" s="7" t="n">
        <f aca="false">Raw_Nigeria!M444</f>
        <v>53.1</v>
      </c>
      <c r="O444" s="7" t="n">
        <f aca="false">IF(Raw_Nigeria!N444="","",Raw_Nigeria!N444)</f>
        <v>5535</v>
      </c>
      <c r="P444" s="7" t="str">
        <f aca="false">IF(K444="CBAW","Women of child-bearing age","Children")</f>
        <v>Children</v>
      </c>
      <c r="Q444" s="7" t="n">
        <f aca="false">IF(J444="NOT USED",1,0)</f>
        <v>0</v>
      </c>
      <c r="R444" s="7" t="n">
        <f aca="false">IF(AND(P444="Children",Q444=0),1,0)</f>
        <v>1</v>
      </c>
      <c r="S444" s="7" t="n">
        <f aca="false">IF(AND(R444=1,J444="Record or Recall",K444="12-23 m"),1,0)</f>
        <v>1</v>
      </c>
      <c r="T444" s="7" t="n">
        <f aca="false">IF(OR(I444="BCG",I444="DTP1",I444="DTP3",I444="POL3",I444="MCV1",I444="FULL"),1,0)</f>
        <v>1</v>
      </c>
      <c r="U444" s="7" t="n">
        <f aca="false">IF(OR(C444="DHS",C444="MICS"),1,0)</f>
        <v>1</v>
      </c>
      <c r="V444" s="7" t="n">
        <f aca="false">IF(O444="",1,0)</f>
        <v>0</v>
      </c>
      <c r="W444" s="7" t="n">
        <f aca="false">IF(M444="",1,0)</f>
        <v>0</v>
      </c>
      <c r="X444" s="7" t="n">
        <f aca="false">COUNTIFS($B$2:$B$1141,B444,$H$2:$H$1141,H444,$I$2:$I$1141,I444,$J$2:$J$1141,J444,$K$2:$K$1141,K444,$L$2:$L$1141,L444)</f>
        <v>1</v>
      </c>
    </row>
    <row r="445" customFormat="false" ht="15" hidden="false" customHeight="false" outlineLevel="0" collapsed="false">
      <c r="A445" s="7" t="n">
        <f aca="false">ROW()-1</f>
        <v>444</v>
      </c>
      <c r="B445" s="7" t="str">
        <f aca="false">IF(Raw_Nigeria!B445="",TRIM(Raw_Nigeria!C445),TRIM(Raw_Nigeria!B445))</f>
        <v>Nigeria Multiple Indicator Cluster Survey 2016-2017</v>
      </c>
      <c r="C445" s="7" t="str">
        <f aca="false">IF(ISNUMBER(SEARCH("Demographic and Health",B445)),"DHS",IF(OR(ISNUMBER(SEARCH("Multiple Indicator Cluster",B445)),ISNUMBER(SEARCH("MICS",B445))),"MICS",IF(ISNUMBER(SEARCH("Immunization Coverage Survey",B445)),"Coverage survey",IF(ISNUMBER(SEARCH("Nutrition",B445)),"Nutrition survey","Other"))))</f>
        <v>MICS</v>
      </c>
      <c r="D445" s="7" t="n">
        <f aca="false">VALUE(LEFT(Raw_Nigeria!D445,4))</f>
        <v>2016</v>
      </c>
      <c r="E445" s="7" t="n">
        <f aca="false">IF(VALUE(RIGHT(Raw_Nigeria!D445,2))&gt;12,"",VALUE(RIGHT(Raw_Nigeria!D445,2)))</f>
        <v>9</v>
      </c>
      <c r="F445" s="7" t="n">
        <f aca="false">VALUE(LEFT(Raw_Nigeria!E445,4))</f>
        <v>2017</v>
      </c>
      <c r="G445" s="7" t="n">
        <f aca="false">IF(VALUE(RIGHT(Raw_Nigeria!E445,2))&gt;12,"",VALUE(RIGHT(Raw_Nigeria!E445,2)))</f>
        <v>1</v>
      </c>
      <c r="H445" s="7" t="n">
        <f aca="false">Raw_Nigeria!F445</f>
        <v>2015</v>
      </c>
      <c r="I445" s="7" t="str">
        <f aca="false">UPPER(TRIM(Raw_Nigeria!G445))</f>
        <v>BCG</v>
      </c>
      <c r="J445" s="7" t="str">
        <f aca="false">Raw_Nigeria!H445</f>
        <v>Recall</v>
      </c>
      <c r="K445" s="7" t="str">
        <f aca="false">Raw_Nigeria!L445</f>
        <v>12-23 m</v>
      </c>
      <c r="L445" s="7" t="str">
        <f aca="false">IF(Raw_Nigeria!K445="","n/a",Raw_Nigeria!K445)</f>
        <v>0-23 m</v>
      </c>
      <c r="M445" s="7" t="n">
        <f aca="false">IF(Raw_Nigeria!I445="","",Raw_Nigeria!I445)</f>
        <v>29</v>
      </c>
      <c r="N445" s="7" t="n">
        <f aca="false">Raw_Nigeria!M445</f>
        <v>25.3</v>
      </c>
      <c r="O445" s="7" t="n">
        <f aca="false">IF(Raw_Nigeria!N445="","",Raw_Nigeria!N445)</f>
        <v>5535</v>
      </c>
      <c r="P445" s="7" t="str">
        <f aca="false">IF(K445="CBAW","Women of child-bearing age","Children")</f>
        <v>Children</v>
      </c>
      <c r="Q445" s="7" t="n">
        <f aca="false">IF(J445="NOT USED",1,0)</f>
        <v>0</v>
      </c>
      <c r="R445" s="7" t="n">
        <f aca="false">IF(AND(P445="Children",Q445=0),1,0)</f>
        <v>1</v>
      </c>
      <c r="S445" s="7" t="n">
        <f aca="false">IF(AND(R445=1,J445="Record or Recall",K445="12-23 m"),1,0)</f>
        <v>0</v>
      </c>
      <c r="T445" s="7" t="n">
        <f aca="false">IF(OR(I445="BCG",I445="DTP1",I445="DTP3",I445="POL3",I445="MCV1",I445="FULL"),1,0)</f>
        <v>1</v>
      </c>
      <c r="U445" s="7" t="n">
        <f aca="false">IF(OR(C445="DHS",C445="MICS"),1,0)</f>
        <v>1</v>
      </c>
      <c r="V445" s="7" t="n">
        <f aca="false">IF(O445="",1,0)</f>
        <v>0</v>
      </c>
      <c r="W445" s="7" t="n">
        <f aca="false">IF(M445="",1,0)</f>
        <v>0</v>
      </c>
      <c r="X445" s="7" t="n">
        <f aca="false">COUNTIFS($B$2:$B$1141,B445,$H$2:$H$1141,H445,$I$2:$I$1141,I445,$J$2:$J$1141,J445,$K$2:$K$1141,K445,$L$2:$L$1141,L445)</f>
        <v>1</v>
      </c>
    </row>
    <row r="446" customFormat="false" ht="15" hidden="false" customHeight="false" outlineLevel="0" collapsed="false">
      <c r="A446" s="7" t="n">
        <f aca="false">ROW()-1</f>
        <v>445</v>
      </c>
      <c r="B446" s="7" t="str">
        <f aca="false">IF(Raw_Nigeria!B446="",TRIM(Raw_Nigeria!C446),TRIM(Raw_Nigeria!B446))</f>
        <v>Nigeria Multiple Indicator Cluster Survey 2016-2017</v>
      </c>
      <c r="C446" s="7" t="str">
        <f aca="false">IF(ISNUMBER(SEARCH("Demographic and Health",B446)),"DHS",IF(OR(ISNUMBER(SEARCH("Multiple Indicator Cluster",B446)),ISNUMBER(SEARCH("MICS",B446))),"MICS",IF(ISNUMBER(SEARCH("Immunization Coverage Survey",B446)),"Coverage survey",IF(ISNUMBER(SEARCH("Nutrition",B446)),"Nutrition survey","Other"))))</f>
        <v>MICS</v>
      </c>
      <c r="D446" s="7" t="n">
        <f aca="false">VALUE(LEFT(Raw_Nigeria!D446,4))</f>
        <v>2016</v>
      </c>
      <c r="E446" s="7" t="n">
        <f aca="false">IF(VALUE(RIGHT(Raw_Nigeria!D446,2))&gt;12,"",VALUE(RIGHT(Raw_Nigeria!D446,2)))</f>
        <v>9</v>
      </c>
      <c r="F446" s="7" t="n">
        <f aca="false">VALUE(LEFT(Raw_Nigeria!E446,4))</f>
        <v>2017</v>
      </c>
      <c r="G446" s="7" t="n">
        <f aca="false">IF(VALUE(RIGHT(Raw_Nigeria!E446,2))&gt;12,"",VALUE(RIGHT(Raw_Nigeria!E446,2)))</f>
        <v>1</v>
      </c>
      <c r="H446" s="7" t="n">
        <f aca="false">Raw_Nigeria!F446</f>
        <v>2015</v>
      </c>
      <c r="I446" s="7" t="str">
        <f aca="false">UPPER(TRIM(Raw_Nigeria!G446))</f>
        <v>DTP1</v>
      </c>
      <c r="J446" s="7" t="str">
        <f aca="false">Raw_Nigeria!H446</f>
        <v>Record or Recall&lt;12m</v>
      </c>
      <c r="K446" s="7" t="str">
        <f aca="false">Raw_Nigeria!L446</f>
        <v>12-23 m</v>
      </c>
      <c r="L446" s="7" t="str">
        <f aca="false">IF(Raw_Nigeria!K446="","n/a",Raw_Nigeria!K446)</f>
        <v>0-12 m</v>
      </c>
      <c r="M446" s="7" t="n">
        <f aca="false">IF(Raw_Nigeria!I446="","",Raw_Nigeria!I446)</f>
        <v>29</v>
      </c>
      <c r="N446" s="7" t="n">
        <f aca="false">Raw_Nigeria!M446</f>
        <v>48.8</v>
      </c>
      <c r="O446" s="7" t="n">
        <f aca="false">IF(Raw_Nigeria!N446="","",Raw_Nigeria!N446)</f>
        <v>5535</v>
      </c>
      <c r="P446" s="7" t="str">
        <f aca="false">IF(K446="CBAW","Women of child-bearing age","Children")</f>
        <v>Children</v>
      </c>
      <c r="Q446" s="7" t="n">
        <f aca="false">IF(J446="NOT USED",1,0)</f>
        <v>0</v>
      </c>
      <c r="R446" s="7" t="n">
        <f aca="false">IF(AND(P446="Children",Q446=0),1,0)</f>
        <v>1</v>
      </c>
      <c r="S446" s="7" t="n">
        <f aca="false">IF(AND(R446=1,J446="Record or Recall",K446="12-23 m"),1,0)</f>
        <v>0</v>
      </c>
      <c r="T446" s="7" t="n">
        <f aca="false">IF(OR(I446="BCG",I446="DTP1",I446="DTP3",I446="POL3",I446="MCV1",I446="FULL"),1,0)</f>
        <v>1</v>
      </c>
      <c r="U446" s="7" t="n">
        <f aca="false">IF(OR(C446="DHS",C446="MICS"),1,0)</f>
        <v>1</v>
      </c>
      <c r="V446" s="7" t="n">
        <f aca="false">IF(O446="",1,0)</f>
        <v>0</v>
      </c>
      <c r="W446" s="7" t="n">
        <f aca="false">IF(M446="",1,0)</f>
        <v>0</v>
      </c>
      <c r="X446" s="7" t="n">
        <f aca="false">COUNTIFS($B$2:$B$1141,B446,$H$2:$H$1141,H446,$I$2:$I$1141,I446,$J$2:$J$1141,J446,$K$2:$K$1141,K446,$L$2:$L$1141,L446)</f>
        <v>1</v>
      </c>
    </row>
    <row r="447" customFormat="false" ht="15" hidden="false" customHeight="false" outlineLevel="0" collapsed="false">
      <c r="A447" s="7" t="n">
        <f aca="false">ROW()-1</f>
        <v>446</v>
      </c>
      <c r="B447" s="7" t="str">
        <f aca="false">IF(Raw_Nigeria!B447="",TRIM(Raw_Nigeria!C447),TRIM(Raw_Nigeria!B447))</f>
        <v>Nigeria Multiple Indicator Cluster Survey 2016-2017</v>
      </c>
      <c r="C447" s="7" t="str">
        <f aca="false">IF(ISNUMBER(SEARCH("Demographic and Health",B447)),"DHS",IF(OR(ISNUMBER(SEARCH("Multiple Indicator Cluster",B447)),ISNUMBER(SEARCH("MICS",B447))),"MICS",IF(ISNUMBER(SEARCH("Immunization Coverage Survey",B447)),"Coverage survey",IF(ISNUMBER(SEARCH("Nutrition",B447)),"Nutrition survey","Other"))))</f>
        <v>MICS</v>
      </c>
      <c r="D447" s="7" t="n">
        <f aca="false">VALUE(LEFT(Raw_Nigeria!D447,4))</f>
        <v>2016</v>
      </c>
      <c r="E447" s="7" t="n">
        <f aca="false">IF(VALUE(RIGHT(Raw_Nigeria!D447,2))&gt;12,"",VALUE(RIGHT(Raw_Nigeria!D447,2)))</f>
        <v>9</v>
      </c>
      <c r="F447" s="7" t="n">
        <f aca="false">VALUE(LEFT(Raw_Nigeria!E447,4))</f>
        <v>2017</v>
      </c>
      <c r="G447" s="7" t="n">
        <f aca="false">IF(VALUE(RIGHT(Raw_Nigeria!E447,2))&gt;12,"",VALUE(RIGHT(Raw_Nigeria!E447,2)))</f>
        <v>1</v>
      </c>
      <c r="H447" s="7" t="n">
        <f aca="false">Raw_Nigeria!F447</f>
        <v>2015</v>
      </c>
      <c r="I447" s="7" t="str">
        <f aca="false">UPPER(TRIM(Raw_Nigeria!G447))</f>
        <v>DTP1</v>
      </c>
      <c r="J447" s="7" t="str">
        <f aca="false">Raw_Nigeria!H447</f>
        <v>Record</v>
      </c>
      <c r="K447" s="7" t="str">
        <f aca="false">Raw_Nigeria!L447</f>
        <v>12-23 m</v>
      </c>
      <c r="L447" s="7" t="str">
        <f aca="false">IF(Raw_Nigeria!K447="","n/a",Raw_Nigeria!K447)</f>
        <v>0-23 m</v>
      </c>
      <c r="M447" s="7" t="n">
        <f aca="false">IF(Raw_Nigeria!I447="","",Raw_Nigeria!I447)</f>
        <v>29</v>
      </c>
      <c r="N447" s="7" t="n">
        <f aca="false">Raw_Nigeria!M447</f>
        <v>26.9</v>
      </c>
      <c r="O447" s="7" t="n">
        <f aca="false">IF(Raw_Nigeria!N447="","",Raw_Nigeria!N447)</f>
        <v>5535</v>
      </c>
      <c r="P447" s="7" t="str">
        <f aca="false">IF(K447="CBAW","Women of child-bearing age","Children")</f>
        <v>Children</v>
      </c>
      <c r="Q447" s="7" t="n">
        <f aca="false">IF(J447="NOT USED",1,0)</f>
        <v>0</v>
      </c>
      <c r="R447" s="7" t="n">
        <f aca="false">IF(AND(P447="Children",Q447=0),1,0)</f>
        <v>1</v>
      </c>
      <c r="S447" s="7" t="n">
        <f aca="false">IF(AND(R447=1,J447="Record or Recall",K447="12-23 m"),1,0)</f>
        <v>0</v>
      </c>
      <c r="T447" s="7" t="n">
        <f aca="false">IF(OR(I447="BCG",I447="DTP1",I447="DTP3",I447="POL3",I447="MCV1",I447="FULL"),1,0)</f>
        <v>1</v>
      </c>
      <c r="U447" s="7" t="n">
        <f aca="false">IF(OR(C447="DHS",C447="MICS"),1,0)</f>
        <v>1</v>
      </c>
      <c r="V447" s="7" t="n">
        <f aca="false">IF(O447="",1,0)</f>
        <v>0</v>
      </c>
      <c r="W447" s="7" t="n">
        <f aca="false">IF(M447="",1,0)</f>
        <v>0</v>
      </c>
      <c r="X447" s="7" t="n">
        <f aca="false">COUNTIFS($B$2:$B$1141,B447,$H$2:$H$1141,H447,$I$2:$I$1141,I447,$J$2:$J$1141,J447,$K$2:$K$1141,K447,$L$2:$L$1141,L447)</f>
        <v>1</v>
      </c>
    </row>
    <row r="448" customFormat="false" ht="15" hidden="false" customHeight="false" outlineLevel="0" collapsed="false">
      <c r="A448" s="7" t="n">
        <f aca="false">ROW()-1</f>
        <v>447</v>
      </c>
      <c r="B448" s="7" t="str">
        <f aca="false">IF(Raw_Nigeria!B448="",TRIM(Raw_Nigeria!C448),TRIM(Raw_Nigeria!B448))</f>
        <v>Nigeria Multiple Indicator Cluster Survey 2016-2017</v>
      </c>
      <c r="C448" s="7" t="str">
        <f aca="false">IF(ISNUMBER(SEARCH("Demographic and Health",B448)),"DHS",IF(OR(ISNUMBER(SEARCH("Multiple Indicator Cluster",B448)),ISNUMBER(SEARCH("MICS",B448))),"MICS",IF(ISNUMBER(SEARCH("Immunization Coverage Survey",B448)),"Coverage survey",IF(ISNUMBER(SEARCH("Nutrition",B448)),"Nutrition survey","Other"))))</f>
        <v>MICS</v>
      </c>
      <c r="D448" s="7" t="n">
        <f aca="false">VALUE(LEFT(Raw_Nigeria!D448,4))</f>
        <v>2016</v>
      </c>
      <c r="E448" s="7" t="n">
        <f aca="false">IF(VALUE(RIGHT(Raw_Nigeria!D448,2))&gt;12,"",VALUE(RIGHT(Raw_Nigeria!D448,2)))</f>
        <v>9</v>
      </c>
      <c r="F448" s="7" t="n">
        <f aca="false">VALUE(LEFT(Raw_Nigeria!E448,4))</f>
        <v>2017</v>
      </c>
      <c r="G448" s="7" t="n">
        <f aca="false">IF(VALUE(RIGHT(Raw_Nigeria!E448,2))&gt;12,"",VALUE(RIGHT(Raw_Nigeria!E448,2)))</f>
        <v>1</v>
      </c>
      <c r="H448" s="7" t="n">
        <f aca="false">Raw_Nigeria!F448</f>
        <v>2015</v>
      </c>
      <c r="I448" s="7" t="str">
        <f aca="false">UPPER(TRIM(Raw_Nigeria!G448))</f>
        <v>DTP1</v>
      </c>
      <c r="J448" s="7" t="str">
        <f aca="false">Raw_Nigeria!H448</f>
        <v>Record or Recall</v>
      </c>
      <c r="K448" s="7" t="str">
        <f aca="false">Raw_Nigeria!L448</f>
        <v>12-23 m</v>
      </c>
      <c r="L448" s="7" t="str">
        <f aca="false">IF(Raw_Nigeria!K448="","n/a",Raw_Nigeria!K448)</f>
        <v>0-23 m</v>
      </c>
      <c r="M448" s="7" t="n">
        <f aca="false">IF(Raw_Nigeria!I448="","",Raw_Nigeria!I448)</f>
        <v>29</v>
      </c>
      <c r="N448" s="7" t="n">
        <f aca="false">Raw_Nigeria!M448</f>
        <v>49.3</v>
      </c>
      <c r="O448" s="7" t="n">
        <f aca="false">IF(Raw_Nigeria!N448="","",Raw_Nigeria!N448)</f>
        <v>5535</v>
      </c>
      <c r="P448" s="7" t="str">
        <f aca="false">IF(K448="CBAW","Women of child-bearing age","Children")</f>
        <v>Children</v>
      </c>
      <c r="Q448" s="7" t="n">
        <f aca="false">IF(J448="NOT USED",1,0)</f>
        <v>0</v>
      </c>
      <c r="R448" s="7" t="n">
        <f aca="false">IF(AND(P448="Children",Q448=0),1,0)</f>
        <v>1</v>
      </c>
      <c r="S448" s="7" t="n">
        <f aca="false">IF(AND(R448=1,J448="Record or Recall",K448="12-23 m"),1,0)</f>
        <v>1</v>
      </c>
      <c r="T448" s="7" t="n">
        <f aca="false">IF(OR(I448="BCG",I448="DTP1",I448="DTP3",I448="POL3",I448="MCV1",I448="FULL"),1,0)</f>
        <v>1</v>
      </c>
      <c r="U448" s="7" t="n">
        <f aca="false">IF(OR(C448="DHS",C448="MICS"),1,0)</f>
        <v>1</v>
      </c>
      <c r="V448" s="7" t="n">
        <f aca="false">IF(O448="",1,0)</f>
        <v>0</v>
      </c>
      <c r="W448" s="7" t="n">
        <f aca="false">IF(M448="",1,0)</f>
        <v>0</v>
      </c>
      <c r="X448" s="7" t="n">
        <f aca="false">COUNTIFS($B$2:$B$1141,B448,$H$2:$H$1141,H448,$I$2:$I$1141,I448,$J$2:$J$1141,J448,$K$2:$K$1141,K448,$L$2:$L$1141,L448)</f>
        <v>1</v>
      </c>
    </row>
    <row r="449" customFormat="false" ht="15" hidden="false" customHeight="false" outlineLevel="0" collapsed="false">
      <c r="A449" s="7" t="n">
        <f aca="false">ROW()-1</f>
        <v>448</v>
      </c>
      <c r="B449" s="7" t="str">
        <f aca="false">IF(Raw_Nigeria!B449="",TRIM(Raw_Nigeria!C449),TRIM(Raw_Nigeria!B449))</f>
        <v>Nigeria Multiple Indicator Cluster Survey 2016-2017</v>
      </c>
      <c r="C449" s="7" t="str">
        <f aca="false">IF(ISNUMBER(SEARCH("Demographic and Health",B449)),"DHS",IF(OR(ISNUMBER(SEARCH("Multiple Indicator Cluster",B449)),ISNUMBER(SEARCH("MICS",B449))),"MICS",IF(ISNUMBER(SEARCH("Immunization Coverage Survey",B449)),"Coverage survey",IF(ISNUMBER(SEARCH("Nutrition",B449)),"Nutrition survey","Other"))))</f>
        <v>MICS</v>
      </c>
      <c r="D449" s="7" t="n">
        <f aca="false">VALUE(LEFT(Raw_Nigeria!D449,4))</f>
        <v>2016</v>
      </c>
      <c r="E449" s="7" t="n">
        <f aca="false">IF(VALUE(RIGHT(Raw_Nigeria!D449,2))&gt;12,"",VALUE(RIGHT(Raw_Nigeria!D449,2)))</f>
        <v>9</v>
      </c>
      <c r="F449" s="7" t="n">
        <f aca="false">VALUE(LEFT(Raw_Nigeria!E449,4))</f>
        <v>2017</v>
      </c>
      <c r="G449" s="7" t="n">
        <f aca="false">IF(VALUE(RIGHT(Raw_Nigeria!E449,2))&gt;12,"",VALUE(RIGHT(Raw_Nigeria!E449,2)))</f>
        <v>1</v>
      </c>
      <c r="H449" s="7" t="n">
        <f aca="false">Raw_Nigeria!F449</f>
        <v>2015</v>
      </c>
      <c r="I449" s="7" t="str">
        <f aca="false">UPPER(TRIM(Raw_Nigeria!G449))</f>
        <v>DTP1</v>
      </c>
      <c r="J449" s="7" t="str">
        <f aca="false">Raw_Nigeria!H449</f>
        <v>Recall</v>
      </c>
      <c r="K449" s="7" t="str">
        <f aca="false">Raw_Nigeria!L449</f>
        <v>12-23 m</v>
      </c>
      <c r="L449" s="7" t="str">
        <f aca="false">IF(Raw_Nigeria!K449="","n/a",Raw_Nigeria!K449)</f>
        <v>0-23 m</v>
      </c>
      <c r="M449" s="7" t="n">
        <f aca="false">IF(Raw_Nigeria!I449="","",Raw_Nigeria!I449)</f>
        <v>29</v>
      </c>
      <c r="N449" s="7" t="n">
        <f aca="false">Raw_Nigeria!M449</f>
        <v>22.3</v>
      </c>
      <c r="O449" s="7" t="n">
        <f aca="false">IF(Raw_Nigeria!N449="","",Raw_Nigeria!N449)</f>
        <v>5535</v>
      </c>
      <c r="P449" s="7" t="str">
        <f aca="false">IF(K449="CBAW","Women of child-bearing age","Children")</f>
        <v>Children</v>
      </c>
      <c r="Q449" s="7" t="n">
        <f aca="false">IF(J449="NOT USED",1,0)</f>
        <v>0</v>
      </c>
      <c r="R449" s="7" t="n">
        <f aca="false">IF(AND(P449="Children",Q449=0),1,0)</f>
        <v>1</v>
      </c>
      <c r="S449" s="7" t="n">
        <f aca="false">IF(AND(R449=1,J449="Record or Recall",K449="12-23 m"),1,0)</f>
        <v>0</v>
      </c>
      <c r="T449" s="7" t="n">
        <f aca="false">IF(OR(I449="BCG",I449="DTP1",I449="DTP3",I449="POL3",I449="MCV1",I449="FULL"),1,0)</f>
        <v>1</v>
      </c>
      <c r="U449" s="7" t="n">
        <f aca="false">IF(OR(C449="DHS",C449="MICS"),1,0)</f>
        <v>1</v>
      </c>
      <c r="V449" s="7" t="n">
        <f aca="false">IF(O449="",1,0)</f>
        <v>0</v>
      </c>
      <c r="W449" s="7" t="n">
        <f aca="false">IF(M449="",1,0)</f>
        <v>0</v>
      </c>
      <c r="X449" s="7" t="n">
        <f aca="false">COUNTIFS($B$2:$B$1141,B449,$H$2:$H$1141,H449,$I$2:$I$1141,I449,$J$2:$J$1141,J449,$K$2:$K$1141,K449,$L$2:$L$1141,L449)</f>
        <v>1</v>
      </c>
    </row>
    <row r="450" customFormat="false" ht="15" hidden="false" customHeight="false" outlineLevel="0" collapsed="false">
      <c r="A450" s="7" t="n">
        <f aca="false">ROW()-1</f>
        <v>449</v>
      </c>
      <c r="B450" s="7" t="str">
        <f aca="false">IF(Raw_Nigeria!B450="",TRIM(Raw_Nigeria!C450),TRIM(Raw_Nigeria!B450))</f>
        <v>Nigeria Multiple Indicator Cluster Survey 2016-2017</v>
      </c>
      <c r="C450" s="7" t="str">
        <f aca="false">IF(ISNUMBER(SEARCH("Demographic and Health",B450)),"DHS",IF(OR(ISNUMBER(SEARCH("Multiple Indicator Cluster",B450)),ISNUMBER(SEARCH("MICS",B450))),"MICS",IF(ISNUMBER(SEARCH("Immunization Coverage Survey",B450)),"Coverage survey",IF(ISNUMBER(SEARCH("Nutrition",B450)),"Nutrition survey","Other"))))</f>
        <v>MICS</v>
      </c>
      <c r="D450" s="7" t="n">
        <f aca="false">VALUE(LEFT(Raw_Nigeria!D450,4))</f>
        <v>2016</v>
      </c>
      <c r="E450" s="7" t="n">
        <f aca="false">IF(VALUE(RIGHT(Raw_Nigeria!D450,2))&gt;12,"",VALUE(RIGHT(Raw_Nigeria!D450,2)))</f>
        <v>9</v>
      </c>
      <c r="F450" s="7" t="n">
        <f aca="false">VALUE(LEFT(Raw_Nigeria!E450,4))</f>
        <v>2017</v>
      </c>
      <c r="G450" s="7" t="n">
        <f aca="false">IF(VALUE(RIGHT(Raw_Nigeria!E450,2))&gt;12,"",VALUE(RIGHT(Raw_Nigeria!E450,2)))</f>
        <v>1</v>
      </c>
      <c r="H450" s="7" t="n">
        <f aca="false">Raw_Nigeria!F450</f>
        <v>2015</v>
      </c>
      <c r="I450" s="7" t="str">
        <f aca="false">UPPER(TRIM(Raw_Nigeria!G450))</f>
        <v>DTP2</v>
      </c>
      <c r="J450" s="7" t="str">
        <f aca="false">Raw_Nigeria!H450</f>
        <v>Record or Recall&lt;12m</v>
      </c>
      <c r="K450" s="7" t="str">
        <f aca="false">Raw_Nigeria!L450</f>
        <v>12-23 m</v>
      </c>
      <c r="L450" s="7" t="str">
        <f aca="false">IF(Raw_Nigeria!K450="","n/a",Raw_Nigeria!K450)</f>
        <v>0-12 m</v>
      </c>
      <c r="M450" s="7" t="n">
        <f aca="false">IF(Raw_Nigeria!I450="","",Raw_Nigeria!I450)</f>
        <v>29</v>
      </c>
      <c r="N450" s="7" t="n">
        <f aca="false">Raw_Nigeria!M450</f>
        <v>40.3</v>
      </c>
      <c r="O450" s="7" t="n">
        <f aca="false">IF(Raw_Nigeria!N450="","",Raw_Nigeria!N450)</f>
        <v>5535</v>
      </c>
      <c r="P450" s="7" t="str">
        <f aca="false">IF(K450="CBAW","Women of child-bearing age","Children")</f>
        <v>Children</v>
      </c>
      <c r="Q450" s="7" t="n">
        <f aca="false">IF(J450="NOT USED",1,0)</f>
        <v>0</v>
      </c>
      <c r="R450" s="7" t="n">
        <f aca="false">IF(AND(P450="Children",Q450=0),1,0)</f>
        <v>1</v>
      </c>
      <c r="S450" s="7" t="n">
        <f aca="false">IF(AND(R450=1,J450="Record or Recall",K450="12-23 m"),1,0)</f>
        <v>0</v>
      </c>
      <c r="T450" s="7" t="n">
        <f aca="false">IF(OR(I450="BCG",I450="DTP1",I450="DTP3",I450="POL3",I450="MCV1",I450="FULL"),1,0)</f>
        <v>0</v>
      </c>
      <c r="U450" s="7" t="n">
        <f aca="false">IF(OR(C450="DHS",C450="MICS"),1,0)</f>
        <v>1</v>
      </c>
      <c r="V450" s="7" t="n">
        <f aca="false">IF(O450="",1,0)</f>
        <v>0</v>
      </c>
      <c r="W450" s="7" t="n">
        <f aca="false">IF(M450="",1,0)</f>
        <v>0</v>
      </c>
      <c r="X450" s="7" t="n">
        <f aca="false">COUNTIFS($B$2:$B$1141,B450,$H$2:$H$1141,H450,$I$2:$I$1141,I450,$J$2:$J$1141,J450,$K$2:$K$1141,K450,$L$2:$L$1141,L450)</f>
        <v>1</v>
      </c>
    </row>
    <row r="451" customFormat="false" ht="15" hidden="false" customHeight="false" outlineLevel="0" collapsed="false">
      <c r="A451" s="7" t="n">
        <f aca="false">ROW()-1</f>
        <v>450</v>
      </c>
      <c r="B451" s="7" t="str">
        <f aca="false">IF(Raw_Nigeria!B451="",TRIM(Raw_Nigeria!C451),TRIM(Raw_Nigeria!B451))</f>
        <v>Nigeria Multiple Indicator Cluster Survey 2016-2017</v>
      </c>
      <c r="C451" s="7" t="str">
        <f aca="false">IF(ISNUMBER(SEARCH("Demographic and Health",B451)),"DHS",IF(OR(ISNUMBER(SEARCH("Multiple Indicator Cluster",B451)),ISNUMBER(SEARCH("MICS",B451))),"MICS",IF(ISNUMBER(SEARCH("Immunization Coverage Survey",B451)),"Coverage survey",IF(ISNUMBER(SEARCH("Nutrition",B451)),"Nutrition survey","Other"))))</f>
        <v>MICS</v>
      </c>
      <c r="D451" s="7" t="n">
        <f aca="false">VALUE(LEFT(Raw_Nigeria!D451,4))</f>
        <v>2016</v>
      </c>
      <c r="E451" s="7" t="n">
        <f aca="false">IF(VALUE(RIGHT(Raw_Nigeria!D451,2))&gt;12,"",VALUE(RIGHT(Raw_Nigeria!D451,2)))</f>
        <v>9</v>
      </c>
      <c r="F451" s="7" t="n">
        <f aca="false">VALUE(LEFT(Raw_Nigeria!E451,4))</f>
        <v>2017</v>
      </c>
      <c r="G451" s="7" t="n">
        <f aca="false">IF(VALUE(RIGHT(Raw_Nigeria!E451,2))&gt;12,"",VALUE(RIGHT(Raw_Nigeria!E451,2)))</f>
        <v>1</v>
      </c>
      <c r="H451" s="7" t="n">
        <f aca="false">Raw_Nigeria!F451</f>
        <v>2015</v>
      </c>
      <c r="I451" s="7" t="str">
        <f aca="false">UPPER(TRIM(Raw_Nigeria!G451))</f>
        <v>DTP2</v>
      </c>
      <c r="J451" s="7" t="str">
        <f aca="false">Raw_Nigeria!H451</f>
        <v>Record</v>
      </c>
      <c r="K451" s="7" t="str">
        <f aca="false">Raw_Nigeria!L451</f>
        <v>12-23 m</v>
      </c>
      <c r="L451" s="7" t="str">
        <f aca="false">IF(Raw_Nigeria!K451="","n/a",Raw_Nigeria!K451)</f>
        <v>0-23 m</v>
      </c>
      <c r="M451" s="7" t="n">
        <f aca="false">IF(Raw_Nigeria!I451="","",Raw_Nigeria!I451)</f>
        <v>29</v>
      </c>
      <c r="N451" s="7" t="n">
        <f aca="false">Raw_Nigeria!M451</f>
        <v>24.7</v>
      </c>
      <c r="O451" s="7" t="n">
        <f aca="false">IF(Raw_Nigeria!N451="","",Raw_Nigeria!N451)</f>
        <v>5535</v>
      </c>
      <c r="P451" s="7" t="str">
        <f aca="false">IF(K451="CBAW","Women of child-bearing age","Children")</f>
        <v>Children</v>
      </c>
      <c r="Q451" s="7" t="n">
        <f aca="false">IF(J451="NOT USED",1,0)</f>
        <v>0</v>
      </c>
      <c r="R451" s="7" t="n">
        <f aca="false">IF(AND(P451="Children",Q451=0),1,0)</f>
        <v>1</v>
      </c>
      <c r="S451" s="7" t="n">
        <f aca="false">IF(AND(R451=1,J451="Record or Recall",K451="12-23 m"),1,0)</f>
        <v>0</v>
      </c>
      <c r="T451" s="7" t="n">
        <f aca="false">IF(OR(I451="BCG",I451="DTP1",I451="DTP3",I451="POL3",I451="MCV1",I451="FULL"),1,0)</f>
        <v>0</v>
      </c>
      <c r="U451" s="7" t="n">
        <f aca="false">IF(OR(C451="DHS",C451="MICS"),1,0)</f>
        <v>1</v>
      </c>
      <c r="V451" s="7" t="n">
        <f aca="false">IF(O451="",1,0)</f>
        <v>0</v>
      </c>
      <c r="W451" s="7" t="n">
        <f aca="false">IF(M451="",1,0)</f>
        <v>0</v>
      </c>
      <c r="X451" s="7" t="n">
        <f aca="false">COUNTIFS($B$2:$B$1141,B451,$H$2:$H$1141,H451,$I$2:$I$1141,I451,$J$2:$J$1141,J451,$K$2:$K$1141,K451,$L$2:$L$1141,L451)</f>
        <v>1</v>
      </c>
    </row>
    <row r="452" customFormat="false" ht="15" hidden="false" customHeight="false" outlineLevel="0" collapsed="false">
      <c r="A452" s="7" t="n">
        <f aca="false">ROW()-1</f>
        <v>451</v>
      </c>
      <c r="B452" s="7" t="str">
        <f aca="false">IF(Raw_Nigeria!B452="",TRIM(Raw_Nigeria!C452),TRIM(Raw_Nigeria!B452))</f>
        <v>Nigeria Multiple Indicator Cluster Survey 2016-2017</v>
      </c>
      <c r="C452" s="7" t="str">
        <f aca="false">IF(ISNUMBER(SEARCH("Demographic and Health",B452)),"DHS",IF(OR(ISNUMBER(SEARCH("Multiple Indicator Cluster",B452)),ISNUMBER(SEARCH("MICS",B452))),"MICS",IF(ISNUMBER(SEARCH("Immunization Coverage Survey",B452)),"Coverage survey",IF(ISNUMBER(SEARCH("Nutrition",B452)),"Nutrition survey","Other"))))</f>
        <v>MICS</v>
      </c>
      <c r="D452" s="7" t="n">
        <f aca="false">VALUE(LEFT(Raw_Nigeria!D452,4))</f>
        <v>2016</v>
      </c>
      <c r="E452" s="7" t="n">
        <f aca="false">IF(VALUE(RIGHT(Raw_Nigeria!D452,2))&gt;12,"",VALUE(RIGHT(Raw_Nigeria!D452,2)))</f>
        <v>9</v>
      </c>
      <c r="F452" s="7" t="n">
        <f aca="false">VALUE(LEFT(Raw_Nigeria!E452,4))</f>
        <v>2017</v>
      </c>
      <c r="G452" s="7" t="n">
        <f aca="false">IF(VALUE(RIGHT(Raw_Nigeria!E452,2))&gt;12,"",VALUE(RIGHT(Raw_Nigeria!E452,2)))</f>
        <v>1</v>
      </c>
      <c r="H452" s="7" t="n">
        <f aca="false">Raw_Nigeria!F452</f>
        <v>2015</v>
      </c>
      <c r="I452" s="7" t="str">
        <f aca="false">UPPER(TRIM(Raw_Nigeria!G452))</f>
        <v>DTP2</v>
      </c>
      <c r="J452" s="7" t="str">
        <f aca="false">Raw_Nigeria!H452</f>
        <v>Record or Recall</v>
      </c>
      <c r="K452" s="7" t="str">
        <f aca="false">Raw_Nigeria!L452</f>
        <v>12-23 m</v>
      </c>
      <c r="L452" s="7" t="str">
        <f aca="false">IF(Raw_Nigeria!K452="","n/a",Raw_Nigeria!K452)</f>
        <v>0-23 m</v>
      </c>
      <c r="M452" s="7" t="n">
        <f aca="false">IF(Raw_Nigeria!I452="","",Raw_Nigeria!I452)</f>
        <v>29</v>
      </c>
      <c r="N452" s="7" t="n">
        <f aca="false">Raw_Nigeria!M452</f>
        <v>40.8</v>
      </c>
      <c r="O452" s="7" t="n">
        <f aca="false">IF(Raw_Nigeria!N452="","",Raw_Nigeria!N452)</f>
        <v>5535</v>
      </c>
      <c r="P452" s="7" t="str">
        <f aca="false">IF(K452="CBAW","Women of child-bearing age","Children")</f>
        <v>Children</v>
      </c>
      <c r="Q452" s="7" t="n">
        <f aca="false">IF(J452="NOT USED",1,0)</f>
        <v>0</v>
      </c>
      <c r="R452" s="7" t="n">
        <f aca="false">IF(AND(P452="Children",Q452=0),1,0)</f>
        <v>1</v>
      </c>
      <c r="S452" s="7" t="n">
        <f aca="false">IF(AND(R452=1,J452="Record or Recall",K452="12-23 m"),1,0)</f>
        <v>1</v>
      </c>
      <c r="T452" s="7" t="n">
        <f aca="false">IF(OR(I452="BCG",I452="DTP1",I452="DTP3",I452="POL3",I452="MCV1",I452="FULL"),1,0)</f>
        <v>0</v>
      </c>
      <c r="U452" s="7" t="n">
        <f aca="false">IF(OR(C452="DHS",C452="MICS"),1,0)</f>
        <v>1</v>
      </c>
      <c r="V452" s="7" t="n">
        <f aca="false">IF(O452="",1,0)</f>
        <v>0</v>
      </c>
      <c r="W452" s="7" t="n">
        <f aca="false">IF(M452="",1,0)</f>
        <v>0</v>
      </c>
      <c r="X452" s="7" t="n">
        <f aca="false">COUNTIFS($B$2:$B$1141,B452,$H$2:$H$1141,H452,$I$2:$I$1141,I452,$J$2:$J$1141,J452,$K$2:$K$1141,K452,$L$2:$L$1141,L452)</f>
        <v>1</v>
      </c>
    </row>
    <row r="453" customFormat="false" ht="15" hidden="false" customHeight="false" outlineLevel="0" collapsed="false">
      <c r="A453" s="7" t="n">
        <f aca="false">ROW()-1</f>
        <v>452</v>
      </c>
      <c r="B453" s="7" t="str">
        <f aca="false">IF(Raw_Nigeria!B453="",TRIM(Raw_Nigeria!C453),TRIM(Raw_Nigeria!B453))</f>
        <v>Nigeria Multiple Indicator Cluster Survey 2016-2017</v>
      </c>
      <c r="C453" s="7" t="str">
        <f aca="false">IF(ISNUMBER(SEARCH("Demographic and Health",B453)),"DHS",IF(OR(ISNUMBER(SEARCH("Multiple Indicator Cluster",B453)),ISNUMBER(SEARCH("MICS",B453))),"MICS",IF(ISNUMBER(SEARCH("Immunization Coverage Survey",B453)),"Coverage survey",IF(ISNUMBER(SEARCH("Nutrition",B453)),"Nutrition survey","Other"))))</f>
        <v>MICS</v>
      </c>
      <c r="D453" s="7" t="n">
        <f aca="false">VALUE(LEFT(Raw_Nigeria!D453,4))</f>
        <v>2016</v>
      </c>
      <c r="E453" s="7" t="n">
        <f aca="false">IF(VALUE(RIGHT(Raw_Nigeria!D453,2))&gt;12,"",VALUE(RIGHT(Raw_Nigeria!D453,2)))</f>
        <v>9</v>
      </c>
      <c r="F453" s="7" t="n">
        <f aca="false">VALUE(LEFT(Raw_Nigeria!E453,4))</f>
        <v>2017</v>
      </c>
      <c r="G453" s="7" t="n">
        <f aca="false">IF(VALUE(RIGHT(Raw_Nigeria!E453,2))&gt;12,"",VALUE(RIGHT(Raw_Nigeria!E453,2)))</f>
        <v>1</v>
      </c>
      <c r="H453" s="7" t="n">
        <f aca="false">Raw_Nigeria!F453</f>
        <v>2015</v>
      </c>
      <c r="I453" s="7" t="str">
        <f aca="false">UPPER(TRIM(Raw_Nigeria!G453))</f>
        <v>DTP2</v>
      </c>
      <c r="J453" s="7" t="str">
        <f aca="false">Raw_Nigeria!H453</f>
        <v>Recall</v>
      </c>
      <c r="K453" s="7" t="str">
        <f aca="false">Raw_Nigeria!L453</f>
        <v>12-23 m</v>
      </c>
      <c r="L453" s="7" t="str">
        <f aca="false">IF(Raw_Nigeria!K453="","n/a",Raw_Nigeria!K453)</f>
        <v>0-23 m</v>
      </c>
      <c r="M453" s="7" t="n">
        <f aca="false">IF(Raw_Nigeria!I453="","",Raw_Nigeria!I453)</f>
        <v>29</v>
      </c>
      <c r="N453" s="7" t="n">
        <f aca="false">Raw_Nigeria!M453</f>
        <v>16</v>
      </c>
      <c r="O453" s="7" t="n">
        <f aca="false">IF(Raw_Nigeria!N453="","",Raw_Nigeria!N453)</f>
        <v>5535</v>
      </c>
      <c r="P453" s="7" t="str">
        <f aca="false">IF(K453="CBAW","Women of child-bearing age","Children")</f>
        <v>Children</v>
      </c>
      <c r="Q453" s="7" t="n">
        <f aca="false">IF(J453="NOT USED",1,0)</f>
        <v>0</v>
      </c>
      <c r="R453" s="7" t="n">
        <f aca="false">IF(AND(P453="Children",Q453=0),1,0)</f>
        <v>1</v>
      </c>
      <c r="S453" s="7" t="n">
        <f aca="false">IF(AND(R453=1,J453="Record or Recall",K453="12-23 m"),1,0)</f>
        <v>0</v>
      </c>
      <c r="T453" s="7" t="n">
        <f aca="false">IF(OR(I453="BCG",I453="DTP1",I453="DTP3",I453="POL3",I453="MCV1",I453="FULL"),1,0)</f>
        <v>0</v>
      </c>
      <c r="U453" s="7" t="n">
        <f aca="false">IF(OR(C453="DHS",C453="MICS"),1,0)</f>
        <v>1</v>
      </c>
      <c r="V453" s="7" t="n">
        <f aca="false">IF(O453="",1,0)</f>
        <v>0</v>
      </c>
      <c r="W453" s="7" t="n">
        <f aca="false">IF(M453="",1,0)</f>
        <v>0</v>
      </c>
      <c r="X453" s="7" t="n">
        <f aca="false">COUNTIFS($B$2:$B$1141,B453,$H$2:$H$1141,H453,$I$2:$I$1141,I453,$J$2:$J$1141,J453,$K$2:$K$1141,K453,$L$2:$L$1141,L453)</f>
        <v>1</v>
      </c>
    </row>
    <row r="454" customFormat="false" ht="15" hidden="false" customHeight="false" outlineLevel="0" collapsed="false">
      <c r="A454" s="7" t="n">
        <f aca="false">ROW()-1</f>
        <v>453</v>
      </c>
      <c r="B454" s="7" t="str">
        <f aca="false">IF(Raw_Nigeria!B454="",TRIM(Raw_Nigeria!C454),TRIM(Raw_Nigeria!B454))</f>
        <v>Nigeria Multiple Indicator Cluster Survey 2016-2017</v>
      </c>
      <c r="C454" s="7" t="str">
        <f aca="false">IF(ISNUMBER(SEARCH("Demographic and Health",B454)),"DHS",IF(OR(ISNUMBER(SEARCH("Multiple Indicator Cluster",B454)),ISNUMBER(SEARCH("MICS",B454))),"MICS",IF(ISNUMBER(SEARCH("Immunization Coverage Survey",B454)),"Coverage survey",IF(ISNUMBER(SEARCH("Nutrition",B454)),"Nutrition survey","Other"))))</f>
        <v>MICS</v>
      </c>
      <c r="D454" s="7" t="n">
        <f aca="false">VALUE(LEFT(Raw_Nigeria!D454,4))</f>
        <v>2016</v>
      </c>
      <c r="E454" s="7" t="n">
        <f aca="false">IF(VALUE(RIGHT(Raw_Nigeria!D454,2))&gt;12,"",VALUE(RIGHT(Raw_Nigeria!D454,2)))</f>
        <v>9</v>
      </c>
      <c r="F454" s="7" t="n">
        <f aca="false">VALUE(LEFT(Raw_Nigeria!E454,4))</f>
        <v>2017</v>
      </c>
      <c r="G454" s="7" t="n">
        <f aca="false">IF(VALUE(RIGHT(Raw_Nigeria!E454,2))&gt;12,"",VALUE(RIGHT(Raw_Nigeria!E454,2)))</f>
        <v>1</v>
      </c>
      <c r="H454" s="7" t="n">
        <f aca="false">Raw_Nigeria!F454</f>
        <v>2015</v>
      </c>
      <c r="I454" s="7" t="str">
        <f aca="false">UPPER(TRIM(Raw_Nigeria!G454))</f>
        <v>DTP3</v>
      </c>
      <c r="J454" s="7" t="str">
        <f aca="false">Raw_Nigeria!H454</f>
        <v>Record or Recall&lt;12m</v>
      </c>
      <c r="K454" s="7" t="str">
        <f aca="false">Raw_Nigeria!L454</f>
        <v>12-23 m</v>
      </c>
      <c r="L454" s="7" t="str">
        <f aca="false">IF(Raw_Nigeria!K454="","n/a",Raw_Nigeria!K454)</f>
        <v>0-12 m</v>
      </c>
      <c r="M454" s="7" t="n">
        <f aca="false">IF(Raw_Nigeria!I454="","",Raw_Nigeria!I454)</f>
        <v>29</v>
      </c>
      <c r="N454" s="7" t="n">
        <f aca="false">Raw_Nigeria!M454</f>
        <v>33.6</v>
      </c>
      <c r="O454" s="7" t="n">
        <f aca="false">IF(Raw_Nigeria!N454="","",Raw_Nigeria!N454)</f>
        <v>5535</v>
      </c>
      <c r="P454" s="7" t="str">
        <f aca="false">IF(K454="CBAW","Women of child-bearing age","Children")</f>
        <v>Children</v>
      </c>
      <c r="Q454" s="7" t="n">
        <f aca="false">IF(J454="NOT USED",1,0)</f>
        <v>0</v>
      </c>
      <c r="R454" s="7" t="n">
        <f aca="false">IF(AND(P454="Children",Q454=0),1,0)</f>
        <v>1</v>
      </c>
      <c r="S454" s="7" t="n">
        <f aca="false">IF(AND(R454=1,J454="Record or Recall",K454="12-23 m"),1,0)</f>
        <v>0</v>
      </c>
      <c r="T454" s="7" t="n">
        <f aca="false">IF(OR(I454="BCG",I454="DTP1",I454="DTP3",I454="POL3",I454="MCV1",I454="FULL"),1,0)</f>
        <v>1</v>
      </c>
      <c r="U454" s="7" t="n">
        <f aca="false">IF(OR(C454="DHS",C454="MICS"),1,0)</f>
        <v>1</v>
      </c>
      <c r="V454" s="7" t="n">
        <f aca="false">IF(O454="",1,0)</f>
        <v>0</v>
      </c>
      <c r="W454" s="7" t="n">
        <f aca="false">IF(M454="",1,0)</f>
        <v>0</v>
      </c>
      <c r="X454" s="7" t="n">
        <f aca="false">COUNTIFS($B$2:$B$1141,B454,$H$2:$H$1141,H454,$I$2:$I$1141,I454,$J$2:$J$1141,J454,$K$2:$K$1141,K454,$L$2:$L$1141,L454)</f>
        <v>1</v>
      </c>
    </row>
    <row r="455" customFormat="false" ht="15" hidden="false" customHeight="false" outlineLevel="0" collapsed="false">
      <c r="A455" s="7" t="n">
        <f aca="false">ROW()-1</f>
        <v>454</v>
      </c>
      <c r="B455" s="7" t="str">
        <f aca="false">IF(Raw_Nigeria!B455="",TRIM(Raw_Nigeria!C455),TRIM(Raw_Nigeria!B455))</f>
        <v>Nigeria Multiple Indicator Cluster Survey 2016-2017</v>
      </c>
      <c r="C455" s="7" t="str">
        <f aca="false">IF(ISNUMBER(SEARCH("Demographic and Health",B455)),"DHS",IF(OR(ISNUMBER(SEARCH("Multiple Indicator Cluster",B455)),ISNUMBER(SEARCH("MICS",B455))),"MICS",IF(ISNUMBER(SEARCH("Immunization Coverage Survey",B455)),"Coverage survey",IF(ISNUMBER(SEARCH("Nutrition",B455)),"Nutrition survey","Other"))))</f>
        <v>MICS</v>
      </c>
      <c r="D455" s="7" t="n">
        <f aca="false">VALUE(LEFT(Raw_Nigeria!D455,4))</f>
        <v>2016</v>
      </c>
      <c r="E455" s="7" t="n">
        <f aca="false">IF(VALUE(RIGHT(Raw_Nigeria!D455,2))&gt;12,"",VALUE(RIGHT(Raw_Nigeria!D455,2)))</f>
        <v>9</v>
      </c>
      <c r="F455" s="7" t="n">
        <f aca="false">VALUE(LEFT(Raw_Nigeria!E455,4))</f>
        <v>2017</v>
      </c>
      <c r="G455" s="7" t="n">
        <f aca="false">IF(VALUE(RIGHT(Raw_Nigeria!E455,2))&gt;12,"",VALUE(RIGHT(Raw_Nigeria!E455,2)))</f>
        <v>1</v>
      </c>
      <c r="H455" s="7" t="n">
        <f aca="false">Raw_Nigeria!F455</f>
        <v>2015</v>
      </c>
      <c r="I455" s="7" t="str">
        <f aca="false">UPPER(TRIM(Raw_Nigeria!G455))</f>
        <v>DTP3</v>
      </c>
      <c r="J455" s="7" t="str">
        <f aca="false">Raw_Nigeria!H455</f>
        <v>Record</v>
      </c>
      <c r="K455" s="7" t="str">
        <f aca="false">Raw_Nigeria!L455</f>
        <v>12-23 m</v>
      </c>
      <c r="L455" s="7" t="str">
        <f aca="false">IF(Raw_Nigeria!K455="","n/a",Raw_Nigeria!K455)</f>
        <v>0-23 m</v>
      </c>
      <c r="M455" s="7" t="n">
        <f aca="false">IF(Raw_Nigeria!I455="","",Raw_Nigeria!I455)</f>
        <v>29</v>
      </c>
      <c r="N455" s="7" t="n">
        <f aca="false">Raw_Nigeria!M455</f>
        <v>23</v>
      </c>
      <c r="O455" s="7" t="n">
        <f aca="false">IF(Raw_Nigeria!N455="","",Raw_Nigeria!N455)</f>
        <v>5535</v>
      </c>
      <c r="P455" s="7" t="str">
        <f aca="false">IF(K455="CBAW","Women of child-bearing age","Children")</f>
        <v>Children</v>
      </c>
      <c r="Q455" s="7" t="n">
        <f aca="false">IF(J455="NOT USED",1,0)</f>
        <v>0</v>
      </c>
      <c r="R455" s="7" t="n">
        <f aca="false">IF(AND(P455="Children",Q455=0),1,0)</f>
        <v>1</v>
      </c>
      <c r="S455" s="7" t="n">
        <f aca="false">IF(AND(R455=1,J455="Record or Recall",K455="12-23 m"),1,0)</f>
        <v>0</v>
      </c>
      <c r="T455" s="7" t="n">
        <f aca="false">IF(OR(I455="BCG",I455="DTP1",I455="DTP3",I455="POL3",I455="MCV1",I455="FULL"),1,0)</f>
        <v>1</v>
      </c>
      <c r="U455" s="7" t="n">
        <f aca="false">IF(OR(C455="DHS",C455="MICS"),1,0)</f>
        <v>1</v>
      </c>
      <c r="V455" s="7" t="n">
        <f aca="false">IF(O455="",1,0)</f>
        <v>0</v>
      </c>
      <c r="W455" s="7" t="n">
        <f aca="false">IF(M455="",1,0)</f>
        <v>0</v>
      </c>
      <c r="X455" s="7" t="n">
        <f aca="false">COUNTIFS($B$2:$B$1141,B455,$H$2:$H$1141,H455,$I$2:$I$1141,I455,$J$2:$J$1141,J455,$K$2:$K$1141,K455,$L$2:$L$1141,L455)</f>
        <v>1</v>
      </c>
    </row>
    <row r="456" customFormat="false" ht="15" hidden="false" customHeight="false" outlineLevel="0" collapsed="false">
      <c r="A456" s="7" t="n">
        <f aca="false">ROW()-1</f>
        <v>455</v>
      </c>
      <c r="B456" s="7" t="str">
        <f aca="false">IF(Raw_Nigeria!B456="",TRIM(Raw_Nigeria!C456),TRIM(Raw_Nigeria!B456))</f>
        <v>Nigeria Multiple Indicator Cluster Survey 2016-2017</v>
      </c>
      <c r="C456" s="7" t="str">
        <f aca="false">IF(ISNUMBER(SEARCH("Demographic and Health",B456)),"DHS",IF(OR(ISNUMBER(SEARCH("Multiple Indicator Cluster",B456)),ISNUMBER(SEARCH("MICS",B456))),"MICS",IF(ISNUMBER(SEARCH("Immunization Coverage Survey",B456)),"Coverage survey",IF(ISNUMBER(SEARCH("Nutrition",B456)),"Nutrition survey","Other"))))</f>
        <v>MICS</v>
      </c>
      <c r="D456" s="7" t="n">
        <f aca="false">VALUE(LEFT(Raw_Nigeria!D456,4))</f>
        <v>2016</v>
      </c>
      <c r="E456" s="7" t="n">
        <f aca="false">IF(VALUE(RIGHT(Raw_Nigeria!D456,2))&gt;12,"",VALUE(RIGHT(Raw_Nigeria!D456,2)))</f>
        <v>9</v>
      </c>
      <c r="F456" s="7" t="n">
        <f aca="false">VALUE(LEFT(Raw_Nigeria!E456,4))</f>
        <v>2017</v>
      </c>
      <c r="G456" s="7" t="n">
        <f aca="false">IF(VALUE(RIGHT(Raw_Nigeria!E456,2))&gt;12,"",VALUE(RIGHT(Raw_Nigeria!E456,2)))</f>
        <v>1</v>
      </c>
      <c r="H456" s="7" t="n">
        <f aca="false">Raw_Nigeria!F456</f>
        <v>2015</v>
      </c>
      <c r="I456" s="7" t="str">
        <f aca="false">UPPER(TRIM(Raw_Nigeria!G456))</f>
        <v>DTP3</v>
      </c>
      <c r="J456" s="7" t="str">
        <f aca="false">Raw_Nigeria!H456</f>
        <v>Record or Recall</v>
      </c>
      <c r="K456" s="7" t="str">
        <f aca="false">Raw_Nigeria!L456</f>
        <v>12-23 m</v>
      </c>
      <c r="L456" s="7" t="str">
        <f aca="false">IF(Raw_Nigeria!K456="","n/a",Raw_Nigeria!K456)</f>
        <v>0-23 m</v>
      </c>
      <c r="M456" s="7" t="n">
        <f aca="false">IF(Raw_Nigeria!I456="","",Raw_Nigeria!I456)</f>
        <v>29</v>
      </c>
      <c r="N456" s="7" t="n">
        <f aca="false">Raw_Nigeria!M456</f>
        <v>34.4</v>
      </c>
      <c r="O456" s="7" t="n">
        <f aca="false">IF(Raw_Nigeria!N456="","",Raw_Nigeria!N456)</f>
        <v>5535</v>
      </c>
      <c r="P456" s="7" t="str">
        <f aca="false">IF(K456="CBAW","Women of child-bearing age","Children")</f>
        <v>Children</v>
      </c>
      <c r="Q456" s="7" t="n">
        <f aca="false">IF(J456="NOT USED",1,0)</f>
        <v>0</v>
      </c>
      <c r="R456" s="7" t="n">
        <f aca="false">IF(AND(P456="Children",Q456=0),1,0)</f>
        <v>1</v>
      </c>
      <c r="S456" s="7" t="n">
        <f aca="false">IF(AND(R456=1,J456="Record or Recall",K456="12-23 m"),1,0)</f>
        <v>1</v>
      </c>
      <c r="T456" s="7" t="n">
        <f aca="false">IF(OR(I456="BCG",I456="DTP1",I456="DTP3",I456="POL3",I456="MCV1",I456="FULL"),1,0)</f>
        <v>1</v>
      </c>
      <c r="U456" s="7" t="n">
        <f aca="false">IF(OR(C456="DHS",C456="MICS"),1,0)</f>
        <v>1</v>
      </c>
      <c r="V456" s="7" t="n">
        <f aca="false">IF(O456="",1,0)</f>
        <v>0</v>
      </c>
      <c r="W456" s="7" t="n">
        <f aca="false">IF(M456="",1,0)</f>
        <v>0</v>
      </c>
      <c r="X456" s="7" t="n">
        <f aca="false">COUNTIFS($B$2:$B$1141,B456,$H$2:$H$1141,H456,$I$2:$I$1141,I456,$J$2:$J$1141,J456,$K$2:$K$1141,K456,$L$2:$L$1141,L456)</f>
        <v>1</v>
      </c>
    </row>
    <row r="457" customFormat="false" ht="15" hidden="false" customHeight="false" outlineLevel="0" collapsed="false">
      <c r="A457" s="7" t="n">
        <f aca="false">ROW()-1</f>
        <v>456</v>
      </c>
      <c r="B457" s="7" t="str">
        <f aca="false">IF(Raw_Nigeria!B457="",TRIM(Raw_Nigeria!C457),TRIM(Raw_Nigeria!B457))</f>
        <v>Nigeria Multiple Indicator Cluster Survey 2016-2017</v>
      </c>
      <c r="C457" s="7" t="str">
        <f aca="false">IF(ISNUMBER(SEARCH("Demographic and Health",B457)),"DHS",IF(OR(ISNUMBER(SEARCH("Multiple Indicator Cluster",B457)),ISNUMBER(SEARCH("MICS",B457))),"MICS",IF(ISNUMBER(SEARCH("Immunization Coverage Survey",B457)),"Coverage survey",IF(ISNUMBER(SEARCH("Nutrition",B457)),"Nutrition survey","Other"))))</f>
        <v>MICS</v>
      </c>
      <c r="D457" s="7" t="n">
        <f aca="false">VALUE(LEFT(Raw_Nigeria!D457,4))</f>
        <v>2016</v>
      </c>
      <c r="E457" s="7" t="n">
        <f aca="false">IF(VALUE(RIGHT(Raw_Nigeria!D457,2))&gt;12,"",VALUE(RIGHT(Raw_Nigeria!D457,2)))</f>
        <v>9</v>
      </c>
      <c r="F457" s="7" t="n">
        <f aca="false">VALUE(LEFT(Raw_Nigeria!E457,4))</f>
        <v>2017</v>
      </c>
      <c r="G457" s="7" t="n">
        <f aca="false">IF(VALUE(RIGHT(Raw_Nigeria!E457,2))&gt;12,"",VALUE(RIGHT(Raw_Nigeria!E457,2)))</f>
        <v>1</v>
      </c>
      <c r="H457" s="7" t="n">
        <f aca="false">Raw_Nigeria!F457</f>
        <v>2015</v>
      </c>
      <c r="I457" s="7" t="str">
        <f aca="false">UPPER(TRIM(Raw_Nigeria!G457))</f>
        <v>DTP3</v>
      </c>
      <c r="J457" s="7" t="str">
        <f aca="false">Raw_Nigeria!H457</f>
        <v>Recall</v>
      </c>
      <c r="K457" s="7" t="str">
        <f aca="false">Raw_Nigeria!L457</f>
        <v>12-23 m</v>
      </c>
      <c r="L457" s="7" t="str">
        <f aca="false">IF(Raw_Nigeria!K457="","n/a",Raw_Nigeria!K457)</f>
        <v>0-23 m</v>
      </c>
      <c r="M457" s="7" t="n">
        <f aca="false">IF(Raw_Nigeria!I457="","",Raw_Nigeria!I457)</f>
        <v>29</v>
      </c>
      <c r="N457" s="7" t="n">
        <f aca="false">Raw_Nigeria!M457</f>
        <v>11.4</v>
      </c>
      <c r="O457" s="7" t="n">
        <f aca="false">IF(Raw_Nigeria!N457="","",Raw_Nigeria!N457)</f>
        <v>5535</v>
      </c>
      <c r="P457" s="7" t="str">
        <f aca="false">IF(K457="CBAW","Women of child-bearing age","Children")</f>
        <v>Children</v>
      </c>
      <c r="Q457" s="7" t="n">
        <f aca="false">IF(J457="NOT USED",1,0)</f>
        <v>0</v>
      </c>
      <c r="R457" s="7" t="n">
        <f aca="false">IF(AND(P457="Children",Q457=0),1,0)</f>
        <v>1</v>
      </c>
      <c r="S457" s="7" t="n">
        <f aca="false">IF(AND(R457=1,J457="Record or Recall",K457="12-23 m"),1,0)</f>
        <v>0</v>
      </c>
      <c r="T457" s="7" t="n">
        <f aca="false">IF(OR(I457="BCG",I457="DTP1",I457="DTP3",I457="POL3",I457="MCV1",I457="FULL"),1,0)</f>
        <v>1</v>
      </c>
      <c r="U457" s="7" t="n">
        <f aca="false">IF(OR(C457="DHS",C457="MICS"),1,0)</f>
        <v>1</v>
      </c>
      <c r="V457" s="7" t="n">
        <f aca="false">IF(O457="",1,0)</f>
        <v>0</v>
      </c>
      <c r="W457" s="7" t="n">
        <f aca="false">IF(M457="",1,0)</f>
        <v>0</v>
      </c>
      <c r="X457" s="7" t="n">
        <f aca="false">COUNTIFS($B$2:$B$1141,B457,$H$2:$H$1141,H457,$I$2:$I$1141,I457,$J$2:$J$1141,J457,$K$2:$K$1141,K457,$L$2:$L$1141,L457)</f>
        <v>1</v>
      </c>
    </row>
    <row r="458" customFormat="false" ht="15" hidden="false" customHeight="false" outlineLevel="0" collapsed="false">
      <c r="A458" s="7" t="n">
        <f aca="false">ROW()-1</f>
        <v>457</v>
      </c>
      <c r="B458" s="7" t="str">
        <f aca="false">IF(Raw_Nigeria!B458="",TRIM(Raw_Nigeria!C458),TRIM(Raw_Nigeria!B458))</f>
        <v>Nigeria Multiple Indicator Cluster Survey 2016-2017</v>
      </c>
      <c r="C458" s="7" t="str">
        <f aca="false">IF(ISNUMBER(SEARCH("Demographic and Health",B458)),"DHS",IF(OR(ISNUMBER(SEARCH("Multiple Indicator Cluster",B458)),ISNUMBER(SEARCH("MICS",B458))),"MICS",IF(ISNUMBER(SEARCH("Immunization Coverage Survey",B458)),"Coverage survey",IF(ISNUMBER(SEARCH("Nutrition",B458)),"Nutrition survey","Other"))))</f>
        <v>MICS</v>
      </c>
      <c r="D458" s="7" t="n">
        <f aca="false">VALUE(LEFT(Raw_Nigeria!D458,4))</f>
        <v>2016</v>
      </c>
      <c r="E458" s="7" t="n">
        <f aca="false">IF(VALUE(RIGHT(Raw_Nigeria!D458,2))&gt;12,"",VALUE(RIGHT(Raw_Nigeria!D458,2)))</f>
        <v>9</v>
      </c>
      <c r="F458" s="7" t="n">
        <f aca="false">VALUE(LEFT(Raw_Nigeria!E458,4))</f>
        <v>2017</v>
      </c>
      <c r="G458" s="7" t="n">
        <f aca="false">IF(VALUE(RIGHT(Raw_Nigeria!E458,2))&gt;12,"",VALUE(RIGHT(Raw_Nigeria!E458,2)))</f>
        <v>1</v>
      </c>
      <c r="H458" s="7" t="n">
        <f aca="false">Raw_Nigeria!F458</f>
        <v>2015</v>
      </c>
      <c r="I458" s="7" t="str">
        <f aca="false">UPPER(TRIM(Raw_Nigeria!G458))</f>
        <v>FULL</v>
      </c>
      <c r="J458" s="7" t="str">
        <f aca="false">Raw_Nigeria!H458</f>
        <v>Record or Recall&lt;12m</v>
      </c>
      <c r="K458" s="7" t="str">
        <f aca="false">Raw_Nigeria!L458</f>
        <v>12-23 m</v>
      </c>
      <c r="L458" s="7" t="str">
        <f aca="false">IF(Raw_Nigeria!K458="","n/a",Raw_Nigeria!K458)</f>
        <v>0-12 m</v>
      </c>
      <c r="M458" s="7" t="n">
        <f aca="false">IF(Raw_Nigeria!I458="","",Raw_Nigeria!I458)</f>
        <v>29</v>
      </c>
      <c r="N458" s="7" t="n">
        <f aca="false">Raw_Nigeria!M458</f>
        <v>17.5</v>
      </c>
      <c r="O458" s="7" t="n">
        <f aca="false">IF(Raw_Nigeria!N458="","",Raw_Nigeria!N458)</f>
        <v>5535</v>
      </c>
      <c r="P458" s="7" t="str">
        <f aca="false">IF(K458="CBAW","Women of child-bearing age","Children")</f>
        <v>Children</v>
      </c>
      <c r="Q458" s="7" t="n">
        <f aca="false">IF(J458="NOT USED",1,0)</f>
        <v>0</v>
      </c>
      <c r="R458" s="7" t="n">
        <f aca="false">IF(AND(P458="Children",Q458=0),1,0)</f>
        <v>1</v>
      </c>
      <c r="S458" s="7" t="n">
        <f aca="false">IF(AND(R458=1,J458="Record or Recall",K458="12-23 m"),1,0)</f>
        <v>0</v>
      </c>
      <c r="T458" s="7" t="n">
        <f aca="false">IF(OR(I458="BCG",I458="DTP1",I458="DTP3",I458="POL3",I458="MCV1",I458="FULL"),1,0)</f>
        <v>1</v>
      </c>
      <c r="U458" s="7" t="n">
        <f aca="false">IF(OR(C458="DHS",C458="MICS"),1,0)</f>
        <v>1</v>
      </c>
      <c r="V458" s="7" t="n">
        <f aca="false">IF(O458="",1,0)</f>
        <v>0</v>
      </c>
      <c r="W458" s="7" t="n">
        <f aca="false">IF(M458="",1,0)</f>
        <v>0</v>
      </c>
      <c r="X458" s="7" t="n">
        <f aca="false">COUNTIFS($B$2:$B$1141,B458,$H$2:$H$1141,H458,$I$2:$I$1141,I458,$J$2:$J$1141,J458,$K$2:$K$1141,K458,$L$2:$L$1141,L458)</f>
        <v>1</v>
      </c>
    </row>
    <row r="459" customFormat="false" ht="15" hidden="false" customHeight="false" outlineLevel="0" collapsed="false">
      <c r="A459" s="7" t="n">
        <f aca="false">ROW()-1</f>
        <v>458</v>
      </c>
      <c r="B459" s="7" t="str">
        <f aca="false">IF(Raw_Nigeria!B459="",TRIM(Raw_Nigeria!C459),TRIM(Raw_Nigeria!B459))</f>
        <v>Nigeria Multiple Indicator Cluster Survey 2016-2017</v>
      </c>
      <c r="C459" s="7" t="str">
        <f aca="false">IF(ISNUMBER(SEARCH("Demographic and Health",B459)),"DHS",IF(OR(ISNUMBER(SEARCH("Multiple Indicator Cluster",B459)),ISNUMBER(SEARCH("MICS",B459))),"MICS",IF(ISNUMBER(SEARCH("Immunization Coverage Survey",B459)),"Coverage survey",IF(ISNUMBER(SEARCH("Nutrition",B459)),"Nutrition survey","Other"))))</f>
        <v>MICS</v>
      </c>
      <c r="D459" s="7" t="n">
        <f aca="false">VALUE(LEFT(Raw_Nigeria!D459,4))</f>
        <v>2016</v>
      </c>
      <c r="E459" s="7" t="n">
        <f aca="false">IF(VALUE(RIGHT(Raw_Nigeria!D459,2))&gt;12,"",VALUE(RIGHT(Raw_Nigeria!D459,2)))</f>
        <v>9</v>
      </c>
      <c r="F459" s="7" t="n">
        <f aca="false">VALUE(LEFT(Raw_Nigeria!E459,4))</f>
        <v>2017</v>
      </c>
      <c r="G459" s="7" t="n">
        <f aca="false">IF(VALUE(RIGHT(Raw_Nigeria!E459,2))&gt;12,"",VALUE(RIGHT(Raw_Nigeria!E459,2)))</f>
        <v>1</v>
      </c>
      <c r="H459" s="7" t="n">
        <f aca="false">Raw_Nigeria!F459</f>
        <v>2015</v>
      </c>
      <c r="I459" s="7" t="str">
        <f aca="false">UPPER(TRIM(Raw_Nigeria!G459))</f>
        <v>FULL</v>
      </c>
      <c r="J459" s="7" t="str">
        <f aca="false">Raw_Nigeria!H459</f>
        <v>Record</v>
      </c>
      <c r="K459" s="7" t="str">
        <f aca="false">Raw_Nigeria!L459</f>
        <v>12-23 m</v>
      </c>
      <c r="L459" s="7" t="str">
        <f aca="false">IF(Raw_Nigeria!K459="","n/a",Raw_Nigeria!K459)</f>
        <v>0-23 m</v>
      </c>
      <c r="M459" s="7" t="n">
        <f aca="false">IF(Raw_Nigeria!I459="","",Raw_Nigeria!I459)</f>
        <v>29</v>
      </c>
      <c r="N459" s="7" t="n">
        <f aca="false">Raw_Nigeria!M459</f>
        <v>16.3</v>
      </c>
      <c r="O459" s="7" t="n">
        <f aca="false">IF(Raw_Nigeria!N459="","",Raw_Nigeria!N459)</f>
        <v>5535</v>
      </c>
      <c r="P459" s="7" t="str">
        <f aca="false">IF(K459="CBAW","Women of child-bearing age","Children")</f>
        <v>Children</v>
      </c>
      <c r="Q459" s="7" t="n">
        <f aca="false">IF(J459="NOT USED",1,0)</f>
        <v>0</v>
      </c>
      <c r="R459" s="7" t="n">
        <f aca="false">IF(AND(P459="Children",Q459=0),1,0)</f>
        <v>1</v>
      </c>
      <c r="S459" s="7" t="n">
        <f aca="false">IF(AND(R459=1,J459="Record or Recall",K459="12-23 m"),1,0)</f>
        <v>0</v>
      </c>
      <c r="T459" s="7" t="n">
        <f aca="false">IF(OR(I459="BCG",I459="DTP1",I459="DTP3",I459="POL3",I459="MCV1",I459="FULL"),1,0)</f>
        <v>1</v>
      </c>
      <c r="U459" s="7" t="n">
        <f aca="false">IF(OR(C459="DHS",C459="MICS"),1,0)</f>
        <v>1</v>
      </c>
      <c r="V459" s="7" t="n">
        <f aca="false">IF(O459="",1,0)</f>
        <v>0</v>
      </c>
      <c r="W459" s="7" t="n">
        <f aca="false">IF(M459="",1,0)</f>
        <v>0</v>
      </c>
      <c r="X459" s="7" t="n">
        <f aca="false">COUNTIFS($B$2:$B$1141,B459,$H$2:$H$1141,H459,$I$2:$I$1141,I459,$J$2:$J$1141,J459,$K$2:$K$1141,K459,$L$2:$L$1141,L459)</f>
        <v>1</v>
      </c>
    </row>
    <row r="460" customFormat="false" ht="15" hidden="false" customHeight="false" outlineLevel="0" collapsed="false">
      <c r="A460" s="7" t="n">
        <f aca="false">ROW()-1</f>
        <v>459</v>
      </c>
      <c r="B460" s="7" t="str">
        <f aca="false">IF(Raw_Nigeria!B460="",TRIM(Raw_Nigeria!C460),TRIM(Raw_Nigeria!B460))</f>
        <v>Nigeria Multiple Indicator Cluster Survey 2016-2017</v>
      </c>
      <c r="C460" s="7" t="str">
        <f aca="false">IF(ISNUMBER(SEARCH("Demographic and Health",B460)),"DHS",IF(OR(ISNUMBER(SEARCH("Multiple Indicator Cluster",B460)),ISNUMBER(SEARCH("MICS",B460))),"MICS",IF(ISNUMBER(SEARCH("Immunization Coverage Survey",B460)),"Coverage survey",IF(ISNUMBER(SEARCH("Nutrition",B460)),"Nutrition survey","Other"))))</f>
        <v>MICS</v>
      </c>
      <c r="D460" s="7" t="n">
        <f aca="false">VALUE(LEFT(Raw_Nigeria!D460,4))</f>
        <v>2016</v>
      </c>
      <c r="E460" s="7" t="n">
        <f aca="false">IF(VALUE(RIGHT(Raw_Nigeria!D460,2))&gt;12,"",VALUE(RIGHT(Raw_Nigeria!D460,2)))</f>
        <v>9</v>
      </c>
      <c r="F460" s="7" t="n">
        <f aca="false">VALUE(LEFT(Raw_Nigeria!E460,4))</f>
        <v>2017</v>
      </c>
      <c r="G460" s="7" t="n">
        <f aca="false">IF(VALUE(RIGHT(Raw_Nigeria!E460,2))&gt;12,"",VALUE(RIGHT(Raw_Nigeria!E460,2)))</f>
        <v>1</v>
      </c>
      <c r="H460" s="7" t="n">
        <f aca="false">Raw_Nigeria!F460</f>
        <v>2015</v>
      </c>
      <c r="I460" s="7" t="str">
        <f aca="false">UPPER(TRIM(Raw_Nigeria!G460))</f>
        <v>FULL</v>
      </c>
      <c r="J460" s="7" t="str">
        <f aca="false">Raw_Nigeria!H460</f>
        <v>Record or Recall</v>
      </c>
      <c r="K460" s="7" t="str">
        <f aca="false">Raw_Nigeria!L460</f>
        <v>12-23 m</v>
      </c>
      <c r="L460" s="7" t="str">
        <f aca="false">IF(Raw_Nigeria!K460="","n/a",Raw_Nigeria!K460)</f>
        <v>0-23 m</v>
      </c>
      <c r="M460" s="7" t="n">
        <f aca="false">IF(Raw_Nigeria!I460="","",Raw_Nigeria!I460)</f>
        <v>29</v>
      </c>
      <c r="N460" s="7" t="n">
        <f aca="false">Raw_Nigeria!M460</f>
        <v>21</v>
      </c>
      <c r="O460" s="7" t="n">
        <f aca="false">IF(Raw_Nigeria!N460="","",Raw_Nigeria!N460)</f>
        <v>5535</v>
      </c>
      <c r="P460" s="7" t="str">
        <f aca="false">IF(K460="CBAW","Women of child-bearing age","Children")</f>
        <v>Children</v>
      </c>
      <c r="Q460" s="7" t="n">
        <f aca="false">IF(J460="NOT USED",1,0)</f>
        <v>0</v>
      </c>
      <c r="R460" s="7" t="n">
        <f aca="false">IF(AND(P460="Children",Q460=0),1,0)</f>
        <v>1</v>
      </c>
      <c r="S460" s="7" t="n">
        <f aca="false">IF(AND(R460=1,J460="Record or Recall",K460="12-23 m"),1,0)</f>
        <v>1</v>
      </c>
      <c r="T460" s="7" t="n">
        <f aca="false">IF(OR(I460="BCG",I460="DTP1",I460="DTP3",I460="POL3",I460="MCV1",I460="FULL"),1,0)</f>
        <v>1</v>
      </c>
      <c r="U460" s="7" t="n">
        <f aca="false">IF(OR(C460="DHS",C460="MICS"),1,0)</f>
        <v>1</v>
      </c>
      <c r="V460" s="7" t="n">
        <f aca="false">IF(O460="",1,0)</f>
        <v>0</v>
      </c>
      <c r="W460" s="7" t="n">
        <f aca="false">IF(M460="",1,0)</f>
        <v>0</v>
      </c>
      <c r="X460" s="7" t="n">
        <f aca="false">COUNTIFS($B$2:$B$1141,B460,$H$2:$H$1141,H460,$I$2:$I$1141,I460,$J$2:$J$1141,J460,$K$2:$K$1141,K460,$L$2:$L$1141,L460)</f>
        <v>1</v>
      </c>
    </row>
    <row r="461" customFormat="false" ht="15" hidden="false" customHeight="false" outlineLevel="0" collapsed="false">
      <c r="A461" s="7" t="n">
        <f aca="false">ROW()-1</f>
        <v>460</v>
      </c>
      <c r="B461" s="7" t="str">
        <f aca="false">IF(Raw_Nigeria!B461="",TRIM(Raw_Nigeria!C461),TRIM(Raw_Nigeria!B461))</f>
        <v>Nigeria Multiple Indicator Cluster Survey 2016-2017</v>
      </c>
      <c r="C461" s="7" t="str">
        <f aca="false">IF(ISNUMBER(SEARCH("Demographic and Health",B461)),"DHS",IF(OR(ISNUMBER(SEARCH("Multiple Indicator Cluster",B461)),ISNUMBER(SEARCH("MICS",B461))),"MICS",IF(ISNUMBER(SEARCH("Immunization Coverage Survey",B461)),"Coverage survey",IF(ISNUMBER(SEARCH("Nutrition",B461)),"Nutrition survey","Other"))))</f>
        <v>MICS</v>
      </c>
      <c r="D461" s="7" t="n">
        <f aca="false">VALUE(LEFT(Raw_Nigeria!D461,4))</f>
        <v>2016</v>
      </c>
      <c r="E461" s="7" t="n">
        <f aca="false">IF(VALUE(RIGHT(Raw_Nigeria!D461,2))&gt;12,"",VALUE(RIGHT(Raw_Nigeria!D461,2)))</f>
        <v>9</v>
      </c>
      <c r="F461" s="7" t="n">
        <f aca="false">VALUE(LEFT(Raw_Nigeria!E461,4))</f>
        <v>2017</v>
      </c>
      <c r="G461" s="7" t="n">
        <f aca="false">IF(VALUE(RIGHT(Raw_Nigeria!E461,2))&gt;12,"",VALUE(RIGHT(Raw_Nigeria!E461,2)))</f>
        <v>1</v>
      </c>
      <c r="H461" s="7" t="n">
        <f aca="false">Raw_Nigeria!F461</f>
        <v>2015</v>
      </c>
      <c r="I461" s="7" t="str">
        <f aca="false">UPPER(TRIM(Raw_Nigeria!G461))</f>
        <v>FULL</v>
      </c>
      <c r="J461" s="7" t="str">
        <f aca="false">Raw_Nigeria!H461</f>
        <v>Recall</v>
      </c>
      <c r="K461" s="7" t="str">
        <f aca="false">Raw_Nigeria!L461</f>
        <v>12-23 m</v>
      </c>
      <c r="L461" s="7" t="str">
        <f aca="false">IF(Raw_Nigeria!K461="","n/a",Raw_Nigeria!K461)</f>
        <v>0-23 m</v>
      </c>
      <c r="M461" s="7" t="n">
        <f aca="false">IF(Raw_Nigeria!I461="","",Raw_Nigeria!I461)</f>
        <v>29</v>
      </c>
      <c r="N461" s="7" t="n">
        <f aca="false">Raw_Nigeria!M461</f>
        <v>4.7</v>
      </c>
      <c r="O461" s="7" t="n">
        <f aca="false">IF(Raw_Nigeria!N461="","",Raw_Nigeria!N461)</f>
        <v>5535</v>
      </c>
      <c r="P461" s="7" t="str">
        <f aca="false">IF(K461="CBAW","Women of child-bearing age","Children")</f>
        <v>Children</v>
      </c>
      <c r="Q461" s="7" t="n">
        <f aca="false">IF(J461="NOT USED",1,0)</f>
        <v>0</v>
      </c>
      <c r="R461" s="7" t="n">
        <f aca="false">IF(AND(P461="Children",Q461=0),1,0)</f>
        <v>1</v>
      </c>
      <c r="S461" s="7" t="n">
        <f aca="false">IF(AND(R461=1,J461="Record or Recall",K461="12-23 m"),1,0)</f>
        <v>0</v>
      </c>
      <c r="T461" s="7" t="n">
        <f aca="false">IF(OR(I461="BCG",I461="DTP1",I461="DTP3",I461="POL3",I461="MCV1",I461="FULL"),1,0)</f>
        <v>1</v>
      </c>
      <c r="U461" s="7" t="n">
        <f aca="false">IF(OR(C461="DHS",C461="MICS"),1,0)</f>
        <v>1</v>
      </c>
      <c r="V461" s="7" t="n">
        <f aca="false">IF(O461="",1,0)</f>
        <v>0</v>
      </c>
      <c r="W461" s="7" t="n">
        <f aca="false">IF(M461="",1,0)</f>
        <v>0</v>
      </c>
      <c r="X461" s="7" t="n">
        <f aca="false">COUNTIFS($B$2:$B$1141,B461,$H$2:$H$1141,H461,$I$2:$I$1141,I461,$J$2:$J$1141,J461,$K$2:$K$1141,K461,$L$2:$L$1141,L461)</f>
        <v>1</v>
      </c>
    </row>
    <row r="462" customFormat="false" ht="15" hidden="false" customHeight="false" outlineLevel="0" collapsed="false">
      <c r="A462" s="7" t="n">
        <f aca="false">ROW()-1</f>
        <v>461</v>
      </c>
      <c r="B462" s="7" t="str">
        <f aca="false">IF(Raw_Nigeria!B462="",TRIM(Raw_Nigeria!C462),TRIM(Raw_Nigeria!B462))</f>
        <v>Nigeria Multiple Indicator Cluster Survey 2016-2017</v>
      </c>
      <c r="C462" s="7" t="str">
        <f aca="false">IF(ISNUMBER(SEARCH("Demographic and Health",B462)),"DHS",IF(OR(ISNUMBER(SEARCH("Multiple Indicator Cluster",B462)),ISNUMBER(SEARCH("MICS",B462))),"MICS",IF(ISNUMBER(SEARCH("Immunization Coverage Survey",B462)),"Coverage survey",IF(ISNUMBER(SEARCH("Nutrition",B462)),"Nutrition survey","Other"))))</f>
        <v>MICS</v>
      </c>
      <c r="D462" s="7" t="n">
        <f aca="false">VALUE(LEFT(Raw_Nigeria!D462,4))</f>
        <v>2016</v>
      </c>
      <c r="E462" s="7" t="n">
        <f aca="false">IF(VALUE(RIGHT(Raw_Nigeria!D462,2))&gt;12,"",VALUE(RIGHT(Raw_Nigeria!D462,2)))</f>
        <v>9</v>
      </c>
      <c r="F462" s="7" t="n">
        <f aca="false">VALUE(LEFT(Raw_Nigeria!E462,4))</f>
        <v>2017</v>
      </c>
      <c r="G462" s="7" t="n">
        <f aca="false">IF(VALUE(RIGHT(Raw_Nigeria!E462,2))&gt;12,"",VALUE(RIGHT(Raw_Nigeria!E462,2)))</f>
        <v>1</v>
      </c>
      <c r="H462" s="7" t="n">
        <f aca="false">Raw_Nigeria!F462</f>
        <v>2015</v>
      </c>
      <c r="I462" s="7" t="str">
        <f aca="false">UPPER(TRIM(Raw_Nigeria!G462))</f>
        <v>HEPB1</v>
      </c>
      <c r="J462" s="7" t="str">
        <f aca="false">Raw_Nigeria!H462</f>
        <v>Record or Recall&lt;12m</v>
      </c>
      <c r="K462" s="7" t="str">
        <f aca="false">Raw_Nigeria!L462</f>
        <v>12-23 m</v>
      </c>
      <c r="L462" s="7" t="str">
        <f aca="false">IF(Raw_Nigeria!K462="","n/a",Raw_Nigeria!K462)</f>
        <v>0-12 m</v>
      </c>
      <c r="M462" s="7" t="n">
        <f aca="false">IF(Raw_Nigeria!I462="","",Raw_Nigeria!I462)</f>
        <v>29</v>
      </c>
      <c r="N462" s="7" t="n">
        <f aca="false">Raw_Nigeria!M462</f>
        <v>48.8</v>
      </c>
      <c r="O462" s="7" t="n">
        <f aca="false">IF(Raw_Nigeria!N462="","",Raw_Nigeria!N462)</f>
        <v>5535</v>
      </c>
      <c r="P462" s="7" t="str">
        <f aca="false">IF(K462="CBAW","Women of child-bearing age","Children")</f>
        <v>Children</v>
      </c>
      <c r="Q462" s="7" t="n">
        <f aca="false">IF(J462="NOT USED",1,0)</f>
        <v>0</v>
      </c>
      <c r="R462" s="7" t="n">
        <f aca="false">IF(AND(P462="Children",Q462=0),1,0)</f>
        <v>1</v>
      </c>
      <c r="S462" s="7" t="n">
        <f aca="false">IF(AND(R462=1,J462="Record or Recall",K462="12-23 m"),1,0)</f>
        <v>0</v>
      </c>
      <c r="T462" s="7" t="n">
        <f aca="false">IF(OR(I462="BCG",I462="DTP1",I462="DTP3",I462="POL3",I462="MCV1",I462="FULL"),1,0)</f>
        <v>0</v>
      </c>
      <c r="U462" s="7" t="n">
        <f aca="false">IF(OR(C462="DHS",C462="MICS"),1,0)</f>
        <v>1</v>
      </c>
      <c r="V462" s="7" t="n">
        <f aca="false">IF(O462="",1,0)</f>
        <v>0</v>
      </c>
      <c r="W462" s="7" t="n">
        <f aca="false">IF(M462="",1,0)</f>
        <v>0</v>
      </c>
      <c r="X462" s="7" t="n">
        <f aca="false">COUNTIFS($B$2:$B$1141,B462,$H$2:$H$1141,H462,$I$2:$I$1141,I462,$J$2:$J$1141,J462,$K$2:$K$1141,K462,$L$2:$L$1141,L462)</f>
        <v>1</v>
      </c>
    </row>
    <row r="463" customFormat="false" ht="15" hidden="false" customHeight="false" outlineLevel="0" collapsed="false">
      <c r="A463" s="7" t="n">
        <f aca="false">ROW()-1</f>
        <v>462</v>
      </c>
      <c r="B463" s="7" t="str">
        <f aca="false">IF(Raw_Nigeria!B463="",TRIM(Raw_Nigeria!C463),TRIM(Raw_Nigeria!B463))</f>
        <v>Nigeria Multiple Indicator Cluster Survey 2016-2017</v>
      </c>
      <c r="C463" s="7" t="str">
        <f aca="false">IF(ISNUMBER(SEARCH("Demographic and Health",B463)),"DHS",IF(OR(ISNUMBER(SEARCH("Multiple Indicator Cluster",B463)),ISNUMBER(SEARCH("MICS",B463))),"MICS",IF(ISNUMBER(SEARCH("Immunization Coverage Survey",B463)),"Coverage survey",IF(ISNUMBER(SEARCH("Nutrition",B463)),"Nutrition survey","Other"))))</f>
        <v>MICS</v>
      </c>
      <c r="D463" s="7" t="n">
        <f aca="false">VALUE(LEFT(Raw_Nigeria!D463,4))</f>
        <v>2016</v>
      </c>
      <c r="E463" s="7" t="n">
        <f aca="false">IF(VALUE(RIGHT(Raw_Nigeria!D463,2))&gt;12,"",VALUE(RIGHT(Raw_Nigeria!D463,2)))</f>
        <v>9</v>
      </c>
      <c r="F463" s="7" t="n">
        <f aca="false">VALUE(LEFT(Raw_Nigeria!E463,4))</f>
        <v>2017</v>
      </c>
      <c r="G463" s="7" t="n">
        <f aca="false">IF(VALUE(RIGHT(Raw_Nigeria!E463,2))&gt;12,"",VALUE(RIGHT(Raw_Nigeria!E463,2)))</f>
        <v>1</v>
      </c>
      <c r="H463" s="7" t="n">
        <f aca="false">Raw_Nigeria!F463</f>
        <v>2015</v>
      </c>
      <c r="I463" s="7" t="str">
        <f aca="false">UPPER(TRIM(Raw_Nigeria!G463))</f>
        <v>HEPB1</v>
      </c>
      <c r="J463" s="7" t="str">
        <f aca="false">Raw_Nigeria!H463</f>
        <v>Record</v>
      </c>
      <c r="K463" s="7" t="str">
        <f aca="false">Raw_Nigeria!L463</f>
        <v>12-23 m</v>
      </c>
      <c r="L463" s="7" t="str">
        <f aca="false">IF(Raw_Nigeria!K463="","n/a",Raw_Nigeria!K463)</f>
        <v>0-23 m</v>
      </c>
      <c r="M463" s="7" t="n">
        <f aca="false">IF(Raw_Nigeria!I463="","",Raw_Nigeria!I463)</f>
        <v>29</v>
      </c>
      <c r="N463" s="7" t="n">
        <f aca="false">Raw_Nigeria!M463</f>
        <v>26.9</v>
      </c>
      <c r="O463" s="7" t="n">
        <f aca="false">IF(Raw_Nigeria!N463="","",Raw_Nigeria!N463)</f>
        <v>5535</v>
      </c>
      <c r="P463" s="7" t="str">
        <f aca="false">IF(K463="CBAW","Women of child-bearing age","Children")</f>
        <v>Children</v>
      </c>
      <c r="Q463" s="7" t="n">
        <f aca="false">IF(J463="NOT USED",1,0)</f>
        <v>0</v>
      </c>
      <c r="R463" s="7" t="n">
        <f aca="false">IF(AND(P463="Children",Q463=0),1,0)</f>
        <v>1</v>
      </c>
      <c r="S463" s="7" t="n">
        <f aca="false">IF(AND(R463=1,J463="Record or Recall",K463="12-23 m"),1,0)</f>
        <v>0</v>
      </c>
      <c r="T463" s="7" t="n">
        <f aca="false">IF(OR(I463="BCG",I463="DTP1",I463="DTP3",I463="POL3",I463="MCV1",I463="FULL"),1,0)</f>
        <v>0</v>
      </c>
      <c r="U463" s="7" t="n">
        <f aca="false">IF(OR(C463="DHS",C463="MICS"),1,0)</f>
        <v>1</v>
      </c>
      <c r="V463" s="7" t="n">
        <f aca="false">IF(O463="",1,0)</f>
        <v>0</v>
      </c>
      <c r="W463" s="7" t="n">
        <f aca="false">IF(M463="",1,0)</f>
        <v>0</v>
      </c>
      <c r="X463" s="7" t="n">
        <f aca="false">COUNTIFS($B$2:$B$1141,B463,$H$2:$H$1141,H463,$I$2:$I$1141,I463,$J$2:$J$1141,J463,$K$2:$K$1141,K463,$L$2:$L$1141,L463)</f>
        <v>1</v>
      </c>
    </row>
    <row r="464" customFormat="false" ht="15" hidden="false" customHeight="false" outlineLevel="0" collapsed="false">
      <c r="A464" s="7" t="n">
        <f aca="false">ROW()-1</f>
        <v>463</v>
      </c>
      <c r="B464" s="7" t="str">
        <f aca="false">IF(Raw_Nigeria!B464="",TRIM(Raw_Nigeria!C464),TRIM(Raw_Nigeria!B464))</f>
        <v>Nigeria Multiple Indicator Cluster Survey 2016-2017</v>
      </c>
      <c r="C464" s="7" t="str">
        <f aca="false">IF(ISNUMBER(SEARCH("Demographic and Health",B464)),"DHS",IF(OR(ISNUMBER(SEARCH("Multiple Indicator Cluster",B464)),ISNUMBER(SEARCH("MICS",B464))),"MICS",IF(ISNUMBER(SEARCH("Immunization Coverage Survey",B464)),"Coverage survey",IF(ISNUMBER(SEARCH("Nutrition",B464)),"Nutrition survey","Other"))))</f>
        <v>MICS</v>
      </c>
      <c r="D464" s="7" t="n">
        <f aca="false">VALUE(LEFT(Raw_Nigeria!D464,4))</f>
        <v>2016</v>
      </c>
      <c r="E464" s="7" t="n">
        <f aca="false">IF(VALUE(RIGHT(Raw_Nigeria!D464,2))&gt;12,"",VALUE(RIGHT(Raw_Nigeria!D464,2)))</f>
        <v>9</v>
      </c>
      <c r="F464" s="7" t="n">
        <f aca="false">VALUE(LEFT(Raw_Nigeria!E464,4))</f>
        <v>2017</v>
      </c>
      <c r="G464" s="7" t="n">
        <f aca="false">IF(VALUE(RIGHT(Raw_Nigeria!E464,2))&gt;12,"",VALUE(RIGHT(Raw_Nigeria!E464,2)))</f>
        <v>1</v>
      </c>
      <c r="H464" s="7" t="n">
        <f aca="false">Raw_Nigeria!F464</f>
        <v>2015</v>
      </c>
      <c r="I464" s="7" t="str">
        <f aca="false">UPPER(TRIM(Raw_Nigeria!G464))</f>
        <v>HEPB1</v>
      </c>
      <c r="J464" s="7" t="str">
        <f aca="false">Raw_Nigeria!H464</f>
        <v>Record or Recall</v>
      </c>
      <c r="K464" s="7" t="str">
        <f aca="false">Raw_Nigeria!L464</f>
        <v>12-23 m</v>
      </c>
      <c r="L464" s="7" t="str">
        <f aca="false">IF(Raw_Nigeria!K464="","n/a",Raw_Nigeria!K464)</f>
        <v>0-23 m</v>
      </c>
      <c r="M464" s="7" t="n">
        <f aca="false">IF(Raw_Nigeria!I464="","",Raw_Nigeria!I464)</f>
        <v>29</v>
      </c>
      <c r="N464" s="7" t="n">
        <f aca="false">Raw_Nigeria!M464</f>
        <v>49.3</v>
      </c>
      <c r="O464" s="7" t="n">
        <f aca="false">IF(Raw_Nigeria!N464="","",Raw_Nigeria!N464)</f>
        <v>5535</v>
      </c>
      <c r="P464" s="7" t="str">
        <f aca="false">IF(K464="CBAW","Women of child-bearing age","Children")</f>
        <v>Children</v>
      </c>
      <c r="Q464" s="7" t="n">
        <f aca="false">IF(J464="NOT USED",1,0)</f>
        <v>0</v>
      </c>
      <c r="R464" s="7" t="n">
        <f aca="false">IF(AND(P464="Children",Q464=0),1,0)</f>
        <v>1</v>
      </c>
      <c r="S464" s="7" t="n">
        <f aca="false">IF(AND(R464=1,J464="Record or Recall",K464="12-23 m"),1,0)</f>
        <v>1</v>
      </c>
      <c r="T464" s="7" t="n">
        <f aca="false">IF(OR(I464="BCG",I464="DTP1",I464="DTP3",I464="POL3",I464="MCV1",I464="FULL"),1,0)</f>
        <v>0</v>
      </c>
      <c r="U464" s="7" t="n">
        <f aca="false">IF(OR(C464="DHS",C464="MICS"),1,0)</f>
        <v>1</v>
      </c>
      <c r="V464" s="7" t="n">
        <f aca="false">IF(O464="",1,0)</f>
        <v>0</v>
      </c>
      <c r="W464" s="7" t="n">
        <f aca="false">IF(M464="",1,0)</f>
        <v>0</v>
      </c>
      <c r="X464" s="7" t="n">
        <f aca="false">COUNTIFS($B$2:$B$1141,B464,$H$2:$H$1141,H464,$I$2:$I$1141,I464,$J$2:$J$1141,J464,$K$2:$K$1141,K464,$L$2:$L$1141,L464)</f>
        <v>1</v>
      </c>
    </row>
    <row r="465" customFormat="false" ht="15" hidden="false" customHeight="false" outlineLevel="0" collapsed="false">
      <c r="A465" s="7" t="n">
        <f aca="false">ROW()-1</f>
        <v>464</v>
      </c>
      <c r="B465" s="7" t="str">
        <f aca="false">IF(Raw_Nigeria!B465="",TRIM(Raw_Nigeria!C465),TRIM(Raw_Nigeria!B465))</f>
        <v>Nigeria Multiple Indicator Cluster Survey 2016-2017</v>
      </c>
      <c r="C465" s="7" t="str">
        <f aca="false">IF(ISNUMBER(SEARCH("Demographic and Health",B465)),"DHS",IF(OR(ISNUMBER(SEARCH("Multiple Indicator Cluster",B465)),ISNUMBER(SEARCH("MICS",B465))),"MICS",IF(ISNUMBER(SEARCH("Immunization Coverage Survey",B465)),"Coverage survey",IF(ISNUMBER(SEARCH("Nutrition",B465)),"Nutrition survey","Other"))))</f>
        <v>MICS</v>
      </c>
      <c r="D465" s="7" t="n">
        <f aca="false">VALUE(LEFT(Raw_Nigeria!D465,4))</f>
        <v>2016</v>
      </c>
      <c r="E465" s="7" t="n">
        <f aca="false">IF(VALUE(RIGHT(Raw_Nigeria!D465,2))&gt;12,"",VALUE(RIGHT(Raw_Nigeria!D465,2)))</f>
        <v>9</v>
      </c>
      <c r="F465" s="7" t="n">
        <f aca="false">VALUE(LEFT(Raw_Nigeria!E465,4))</f>
        <v>2017</v>
      </c>
      <c r="G465" s="7" t="n">
        <f aca="false">IF(VALUE(RIGHT(Raw_Nigeria!E465,2))&gt;12,"",VALUE(RIGHT(Raw_Nigeria!E465,2)))</f>
        <v>1</v>
      </c>
      <c r="H465" s="7" t="n">
        <f aca="false">Raw_Nigeria!F465</f>
        <v>2015</v>
      </c>
      <c r="I465" s="7" t="str">
        <f aca="false">UPPER(TRIM(Raw_Nigeria!G465))</f>
        <v>HEPB1</v>
      </c>
      <c r="J465" s="7" t="str">
        <f aca="false">Raw_Nigeria!H465</f>
        <v>Recall</v>
      </c>
      <c r="K465" s="7" t="str">
        <f aca="false">Raw_Nigeria!L465</f>
        <v>12-23 m</v>
      </c>
      <c r="L465" s="7" t="str">
        <f aca="false">IF(Raw_Nigeria!K465="","n/a",Raw_Nigeria!K465)</f>
        <v>0-23 m</v>
      </c>
      <c r="M465" s="7" t="n">
        <f aca="false">IF(Raw_Nigeria!I465="","",Raw_Nigeria!I465)</f>
        <v>29</v>
      </c>
      <c r="N465" s="7" t="n">
        <f aca="false">Raw_Nigeria!M465</f>
        <v>22.3</v>
      </c>
      <c r="O465" s="7" t="n">
        <f aca="false">IF(Raw_Nigeria!N465="","",Raw_Nigeria!N465)</f>
        <v>5535</v>
      </c>
      <c r="P465" s="7" t="str">
        <f aca="false">IF(K465="CBAW","Women of child-bearing age","Children")</f>
        <v>Children</v>
      </c>
      <c r="Q465" s="7" t="n">
        <f aca="false">IF(J465="NOT USED",1,0)</f>
        <v>0</v>
      </c>
      <c r="R465" s="7" t="n">
        <f aca="false">IF(AND(P465="Children",Q465=0),1,0)</f>
        <v>1</v>
      </c>
      <c r="S465" s="7" t="n">
        <f aca="false">IF(AND(R465=1,J465="Record or Recall",K465="12-23 m"),1,0)</f>
        <v>0</v>
      </c>
      <c r="T465" s="7" t="n">
        <f aca="false">IF(OR(I465="BCG",I465="DTP1",I465="DTP3",I465="POL3",I465="MCV1",I465="FULL"),1,0)</f>
        <v>0</v>
      </c>
      <c r="U465" s="7" t="n">
        <f aca="false">IF(OR(C465="DHS",C465="MICS"),1,0)</f>
        <v>1</v>
      </c>
      <c r="V465" s="7" t="n">
        <f aca="false">IF(O465="",1,0)</f>
        <v>0</v>
      </c>
      <c r="W465" s="7" t="n">
        <f aca="false">IF(M465="",1,0)</f>
        <v>0</v>
      </c>
      <c r="X465" s="7" t="n">
        <f aca="false">COUNTIFS($B$2:$B$1141,B465,$H$2:$H$1141,H465,$I$2:$I$1141,I465,$J$2:$J$1141,J465,$K$2:$K$1141,K465,$L$2:$L$1141,L465)</f>
        <v>1</v>
      </c>
    </row>
    <row r="466" customFormat="false" ht="15" hidden="false" customHeight="false" outlineLevel="0" collapsed="false">
      <c r="A466" s="7" t="n">
        <f aca="false">ROW()-1</f>
        <v>465</v>
      </c>
      <c r="B466" s="7" t="str">
        <f aca="false">IF(Raw_Nigeria!B466="",TRIM(Raw_Nigeria!C466),TRIM(Raw_Nigeria!B466))</f>
        <v>Nigeria Multiple Indicator Cluster Survey 2016-2017</v>
      </c>
      <c r="C466" s="7" t="str">
        <f aca="false">IF(ISNUMBER(SEARCH("Demographic and Health",B466)),"DHS",IF(OR(ISNUMBER(SEARCH("Multiple Indicator Cluster",B466)),ISNUMBER(SEARCH("MICS",B466))),"MICS",IF(ISNUMBER(SEARCH("Immunization Coverage Survey",B466)),"Coverage survey",IF(ISNUMBER(SEARCH("Nutrition",B466)),"Nutrition survey","Other"))))</f>
        <v>MICS</v>
      </c>
      <c r="D466" s="7" t="n">
        <f aca="false">VALUE(LEFT(Raw_Nigeria!D466,4))</f>
        <v>2016</v>
      </c>
      <c r="E466" s="7" t="n">
        <f aca="false">IF(VALUE(RIGHT(Raw_Nigeria!D466,2))&gt;12,"",VALUE(RIGHT(Raw_Nigeria!D466,2)))</f>
        <v>9</v>
      </c>
      <c r="F466" s="7" t="n">
        <f aca="false">VALUE(LEFT(Raw_Nigeria!E466,4))</f>
        <v>2017</v>
      </c>
      <c r="G466" s="7" t="n">
        <f aca="false">IF(VALUE(RIGHT(Raw_Nigeria!E466,2))&gt;12,"",VALUE(RIGHT(Raw_Nigeria!E466,2)))</f>
        <v>1</v>
      </c>
      <c r="H466" s="7" t="n">
        <f aca="false">Raw_Nigeria!F466</f>
        <v>2015</v>
      </c>
      <c r="I466" s="7" t="str">
        <f aca="false">UPPER(TRIM(Raw_Nigeria!G466))</f>
        <v>HEPB3</v>
      </c>
      <c r="J466" s="7" t="str">
        <f aca="false">Raw_Nigeria!H466</f>
        <v>Record</v>
      </c>
      <c r="K466" s="7" t="str">
        <f aca="false">Raw_Nigeria!L466</f>
        <v>12-23 m</v>
      </c>
      <c r="L466" s="7" t="str">
        <f aca="false">IF(Raw_Nigeria!K466="","n/a",Raw_Nigeria!K466)</f>
        <v>0-23 m</v>
      </c>
      <c r="M466" s="7" t="n">
        <f aca="false">IF(Raw_Nigeria!I466="","",Raw_Nigeria!I466)</f>
        <v>29</v>
      </c>
      <c r="N466" s="7" t="n">
        <f aca="false">Raw_Nigeria!M466</f>
        <v>23</v>
      </c>
      <c r="O466" s="7" t="n">
        <f aca="false">IF(Raw_Nigeria!N466="","",Raw_Nigeria!N466)</f>
        <v>5535</v>
      </c>
      <c r="P466" s="7" t="str">
        <f aca="false">IF(K466="CBAW","Women of child-bearing age","Children")</f>
        <v>Children</v>
      </c>
      <c r="Q466" s="7" t="n">
        <f aca="false">IF(J466="NOT USED",1,0)</f>
        <v>0</v>
      </c>
      <c r="R466" s="7" t="n">
        <f aca="false">IF(AND(P466="Children",Q466=0),1,0)</f>
        <v>1</v>
      </c>
      <c r="S466" s="7" t="n">
        <f aca="false">IF(AND(R466=1,J466="Record or Recall",K466="12-23 m"),1,0)</f>
        <v>0</v>
      </c>
      <c r="T466" s="7" t="n">
        <f aca="false">IF(OR(I466="BCG",I466="DTP1",I466="DTP3",I466="POL3",I466="MCV1",I466="FULL"),1,0)</f>
        <v>0</v>
      </c>
      <c r="U466" s="7" t="n">
        <f aca="false">IF(OR(C466="DHS",C466="MICS"),1,0)</f>
        <v>1</v>
      </c>
      <c r="V466" s="7" t="n">
        <f aca="false">IF(O466="",1,0)</f>
        <v>0</v>
      </c>
      <c r="W466" s="7" t="n">
        <f aca="false">IF(M466="",1,0)</f>
        <v>0</v>
      </c>
      <c r="X466" s="7" t="n">
        <f aca="false">COUNTIFS($B$2:$B$1141,B466,$H$2:$H$1141,H466,$I$2:$I$1141,I466,$J$2:$J$1141,J466,$K$2:$K$1141,K466,$L$2:$L$1141,L466)</f>
        <v>1</v>
      </c>
    </row>
    <row r="467" customFormat="false" ht="15" hidden="false" customHeight="false" outlineLevel="0" collapsed="false">
      <c r="A467" s="7" t="n">
        <f aca="false">ROW()-1</f>
        <v>466</v>
      </c>
      <c r="B467" s="7" t="str">
        <f aca="false">IF(Raw_Nigeria!B467="",TRIM(Raw_Nigeria!C467),TRIM(Raw_Nigeria!B467))</f>
        <v>Nigeria Multiple Indicator Cluster Survey 2016-2017</v>
      </c>
      <c r="C467" s="7" t="str">
        <f aca="false">IF(ISNUMBER(SEARCH("Demographic and Health",B467)),"DHS",IF(OR(ISNUMBER(SEARCH("Multiple Indicator Cluster",B467)),ISNUMBER(SEARCH("MICS",B467))),"MICS",IF(ISNUMBER(SEARCH("Immunization Coverage Survey",B467)),"Coverage survey",IF(ISNUMBER(SEARCH("Nutrition",B467)),"Nutrition survey","Other"))))</f>
        <v>MICS</v>
      </c>
      <c r="D467" s="7" t="n">
        <f aca="false">VALUE(LEFT(Raw_Nigeria!D467,4))</f>
        <v>2016</v>
      </c>
      <c r="E467" s="7" t="n">
        <f aca="false">IF(VALUE(RIGHT(Raw_Nigeria!D467,2))&gt;12,"",VALUE(RIGHT(Raw_Nigeria!D467,2)))</f>
        <v>9</v>
      </c>
      <c r="F467" s="7" t="n">
        <f aca="false">VALUE(LEFT(Raw_Nigeria!E467,4))</f>
        <v>2017</v>
      </c>
      <c r="G467" s="7" t="n">
        <f aca="false">IF(VALUE(RIGHT(Raw_Nigeria!E467,2))&gt;12,"",VALUE(RIGHT(Raw_Nigeria!E467,2)))</f>
        <v>1</v>
      </c>
      <c r="H467" s="7" t="n">
        <f aca="false">Raw_Nigeria!F467</f>
        <v>2015</v>
      </c>
      <c r="I467" s="7" t="str">
        <f aca="false">UPPER(TRIM(Raw_Nigeria!G467))</f>
        <v>HEPB3</v>
      </c>
      <c r="J467" s="7" t="str">
        <f aca="false">Raw_Nigeria!H467</f>
        <v>Record or Recall</v>
      </c>
      <c r="K467" s="7" t="str">
        <f aca="false">Raw_Nigeria!L467</f>
        <v>12-23 m</v>
      </c>
      <c r="L467" s="7" t="str">
        <f aca="false">IF(Raw_Nigeria!K467="","n/a",Raw_Nigeria!K467)</f>
        <v>0-23 m</v>
      </c>
      <c r="M467" s="7" t="n">
        <f aca="false">IF(Raw_Nigeria!I467="","",Raw_Nigeria!I467)</f>
        <v>29</v>
      </c>
      <c r="N467" s="7" t="n">
        <f aca="false">Raw_Nigeria!M467</f>
        <v>34.4</v>
      </c>
      <c r="O467" s="7" t="n">
        <f aca="false">IF(Raw_Nigeria!N467="","",Raw_Nigeria!N467)</f>
        <v>5535</v>
      </c>
      <c r="P467" s="7" t="str">
        <f aca="false">IF(K467="CBAW","Women of child-bearing age","Children")</f>
        <v>Children</v>
      </c>
      <c r="Q467" s="7" t="n">
        <f aca="false">IF(J467="NOT USED",1,0)</f>
        <v>0</v>
      </c>
      <c r="R467" s="7" t="n">
        <f aca="false">IF(AND(P467="Children",Q467=0),1,0)</f>
        <v>1</v>
      </c>
      <c r="S467" s="7" t="n">
        <f aca="false">IF(AND(R467=1,J467="Record or Recall",K467="12-23 m"),1,0)</f>
        <v>1</v>
      </c>
      <c r="T467" s="7" t="n">
        <f aca="false">IF(OR(I467="BCG",I467="DTP1",I467="DTP3",I467="POL3",I467="MCV1",I467="FULL"),1,0)</f>
        <v>0</v>
      </c>
      <c r="U467" s="7" t="n">
        <f aca="false">IF(OR(C467="DHS",C467="MICS"),1,0)</f>
        <v>1</v>
      </c>
      <c r="V467" s="7" t="n">
        <f aca="false">IF(O467="",1,0)</f>
        <v>0</v>
      </c>
      <c r="W467" s="7" t="n">
        <f aca="false">IF(M467="",1,0)</f>
        <v>0</v>
      </c>
      <c r="X467" s="7" t="n">
        <f aca="false">COUNTIFS($B$2:$B$1141,B467,$H$2:$H$1141,H467,$I$2:$I$1141,I467,$J$2:$J$1141,J467,$K$2:$K$1141,K467,$L$2:$L$1141,L467)</f>
        <v>1</v>
      </c>
    </row>
    <row r="468" customFormat="false" ht="15" hidden="false" customHeight="false" outlineLevel="0" collapsed="false">
      <c r="A468" s="7" t="n">
        <f aca="false">ROW()-1</f>
        <v>467</v>
      </c>
      <c r="B468" s="7" t="str">
        <f aca="false">IF(Raw_Nigeria!B468="",TRIM(Raw_Nigeria!C468),TRIM(Raw_Nigeria!B468))</f>
        <v>Nigeria Multiple Indicator Cluster Survey 2016-2017</v>
      </c>
      <c r="C468" s="7" t="str">
        <f aca="false">IF(ISNUMBER(SEARCH("Demographic and Health",B468)),"DHS",IF(OR(ISNUMBER(SEARCH("Multiple Indicator Cluster",B468)),ISNUMBER(SEARCH("MICS",B468))),"MICS",IF(ISNUMBER(SEARCH("Immunization Coverage Survey",B468)),"Coverage survey",IF(ISNUMBER(SEARCH("Nutrition",B468)),"Nutrition survey","Other"))))</f>
        <v>MICS</v>
      </c>
      <c r="D468" s="7" t="n">
        <f aca="false">VALUE(LEFT(Raw_Nigeria!D468,4))</f>
        <v>2016</v>
      </c>
      <c r="E468" s="7" t="n">
        <f aca="false">IF(VALUE(RIGHT(Raw_Nigeria!D468,2))&gt;12,"",VALUE(RIGHT(Raw_Nigeria!D468,2)))</f>
        <v>9</v>
      </c>
      <c r="F468" s="7" t="n">
        <f aca="false">VALUE(LEFT(Raw_Nigeria!E468,4))</f>
        <v>2017</v>
      </c>
      <c r="G468" s="7" t="n">
        <f aca="false">IF(VALUE(RIGHT(Raw_Nigeria!E468,2))&gt;12,"",VALUE(RIGHT(Raw_Nigeria!E468,2)))</f>
        <v>1</v>
      </c>
      <c r="H468" s="7" t="n">
        <f aca="false">Raw_Nigeria!F468</f>
        <v>2015</v>
      </c>
      <c r="I468" s="7" t="str">
        <f aca="false">UPPER(TRIM(Raw_Nigeria!G468))</f>
        <v>HEPB3</v>
      </c>
      <c r="J468" s="7" t="str">
        <f aca="false">Raw_Nigeria!H468</f>
        <v>Recall</v>
      </c>
      <c r="K468" s="7" t="str">
        <f aca="false">Raw_Nigeria!L468</f>
        <v>12-23 m</v>
      </c>
      <c r="L468" s="7" t="str">
        <f aca="false">IF(Raw_Nigeria!K468="","n/a",Raw_Nigeria!K468)</f>
        <v>0-23 m</v>
      </c>
      <c r="M468" s="7" t="n">
        <f aca="false">IF(Raw_Nigeria!I468="","",Raw_Nigeria!I468)</f>
        <v>29</v>
      </c>
      <c r="N468" s="7" t="n">
        <f aca="false">Raw_Nigeria!M468</f>
        <v>11.4</v>
      </c>
      <c r="O468" s="7" t="n">
        <f aca="false">IF(Raw_Nigeria!N468="","",Raw_Nigeria!N468)</f>
        <v>5535</v>
      </c>
      <c r="P468" s="7" t="str">
        <f aca="false">IF(K468="CBAW","Women of child-bearing age","Children")</f>
        <v>Children</v>
      </c>
      <c r="Q468" s="7" t="n">
        <f aca="false">IF(J468="NOT USED",1,0)</f>
        <v>0</v>
      </c>
      <c r="R468" s="7" t="n">
        <f aca="false">IF(AND(P468="Children",Q468=0),1,0)</f>
        <v>1</v>
      </c>
      <c r="S468" s="7" t="n">
        <f aca="false">IF(AND(R468=1,J468="Record or Recall",K468="12-23 m"),1,0)</f>
        <v>0</v>
      </c>
      <c r="T468" s="7" t="n">
        <f aca="false">IF(OR(I468="BCG",I468="DTP1",I468="DTP3",I468="POL3",I468="MCV1",I468="FULL"),1,0)</f>
        <v>0</v>
      </c>
      <c r="U468" s="7" t="n">
        <f aca="false">IF(OR(C468="DHS",C468="MICS"),1,0)</f>
        <v>1</v>
      </c>
      <c r="V468" s="7" t="n">
        <f aca="false">IF(O468="",1,0)</f>
        <v>0</v>
      </c>
      <c r="W468" s="7" t="n">
        <f aca="false">IF(M468="",1,0)</f>
        <v>0</v>
      </c>
      <c r="X468" s="7" t="n">
        <f aca="false">COUNTIFS($B$2:$B$1141,B468,$H$2:$H$1141,H468,$I$2:$I$1141,I468,$J$2:$J$1141,J468,$K$2:$K$1141,K468,$L$2:$L$1141,L468)</f>
        <v>1</v>
      </c>
    </row>
    <row r="469" customFormat="false" ht="15" hidden="false" customHeight="false" outlineLevel="0" collapsed="false">
      <c r="A469" s="7" t="n">
        <f aca="false">ROW()-1</f>
        <v>468</v>
      </c>
      <c r="B469" s="7" t="str">
        <f aca="false">IF(Raw_Nigeria!B469="",TRIM(Raw_Nigeria!C469),TRIM(Raw_Nigeria!B469))</f>
        <v>Nigeria Multiple Indicator Cluster Survey 2016-2017</v>
      </c>
      <c r="C469" s="7" t="str">
        <f aca="false">IF(ISNUMBER(SEARCH("Demographic and Health",B469)),"DHS",IF(OR(ISNUMBER(SEARCH("Multiple Indicator Cluster",B469)),ISNUMBER(SEARCH("MICS",B469))),"MICS",IF(ISNUMBER(SEARCH("Immunization Coverage Survey",B469)),"Coverage survey",IF(ISNUMBER(SEARCH("Nutrition",B469)),"Nutrition survey","Other"))))</f>
        <v>MICS</v>
      </c>
      <c r="D469" s="7" t="n">
        <f aca="false">VALUE(LEFT(Raw_Nigeria!D469,4))</f>
        <v>2016</v>
      </c>
      <c r="E469" s="7" t="n">
        <f aca="false">IF(VALUE(RIGHT(Raw_Nigeria!D469,2))&gt;12,"",VALUE(RIGHT(Raw_Nigeria!D469,2)))</f>
        <v>9</v>
      </c>
      <c r="F469" s="7" t="n">
        <f aca="false">VALUE(LEFT(Raw_Nigeria!E469,4))</f>
        <v>2017</v>
      </c>
      <c r="G469" s="7" t="n">
        <f aca="false">IF(VALUE(RIGHT(Raw_Nigeria!E469,2))&gt;12,"",VALUE(RIGHT(Raw_Nigeria!E469,2)))</f>
        <v>1</v>
      </c>
      <c r="H469" s="7" t="n">
        <f aca="false">Raw_Nigeria!F469</f>
        <v>2015</v>
      </c>
      <c r="I469" s="7" t="str">
        <f aca="false">UPPER(TRIM(Raw_Nigeria!G469))</f>
        <v>HEPB3</v>
      </c>
      <c r="J469" s="7" t="str">
        <f aca="false">Raw_Nigeria!H469</f>
        <v>Record or Recall&lt;12m</v>
      </c>
      <c r="K469" s="7" t="str">
        <f aca="false">Raw_Nigeria!L469</f>
        <v>12-23 m</v>
      </c>
      <c r="L469" s="7" t="str">
        <f aca="false">IF(Raw_Nigeria!K469="","n/a",Raw_Nigeria!K469)</f>
        <v>0-12 m</v>
      </c>
      <c r="M469" s="7" t="n">
        <f aca="false">IF(Raw_Nigeria!I469="","",Raw_Nigeria!I469)</f>
        <v>29</v>
      </c>
      <c r="N469" s="7" t="n">
        <f aca="false">Raw_Nigeria!M469</f>
        <v>33.6</v>
      </c>
      <c r="O469" s="7" t="n">
        <f aca="false">IF(Raw_Nigeria!N469="","",Raw_Nigeria!N469)</f>
        <v>5535</v>
      </c>
      <c r="P469" s="7" t="str">
        <f aca="false">IF(K469="CBAW","Women of child-bearing age","Children")</f>
        <v>Children</v>
      </c>
      <c r="Q469" s="7" t="n">
        <f aca="false">IF(J469="NOT USED",1,0)</f>
        <v>0</v>
      </c>
      <c r="R469" s="7" t="n">
        <f aca="false">IF(AND(P469="Children",Q469=0),1,0)</f>
        <v>1</v>
      </c>
      <c r="S469" s="7" t="n">
        <f aca="false">IF(AND(R469=1,J469="Record or Recall",K469="12-23 m"),1,0)</f>
        <v>0</v>
      </c>
      <c r="T469" s="7" t="n">
        <f aca="false">IF(OR(I469="BCG",I469="DTP1",I469="DTP3",I469="POL3",I469="MCV1",I469="FULL"),1,0)</f>
        <v>0</v>
      </c>
      <c r="U469" s="7" t="n">
        <f aca="false">IF(OR(C469="DHS",C469="MICS"),1,0)</f>
        <v>1</v>
      </c>
      <c r="V469" s="7" t="n">
        <f aca="false">IF(O469="",1,0)</f>
        <v>0</v>
      </c>
      <c r="W469" s="7" t="n">
        <f aca="false">IF(M469="",1,0)</f>
        <v>0</v>
      </c>
      <c r="X469" s="7" t="n">
        <f aca="false">COUNTIFS($B$2:$B$1141,B469,$H$2:$H$1141,H469,$I$2:$I$1141,I469,$J$2:$J$1141,J469,$K$2:$K$1141,K469,$L$2:$L$1141,L469)</f>
        <v>1</v>
      </c>
    </row>
    <row r="470" customFormat="false" ht="15" hidden="false" customHeight="false" outlineLevel="0" collapsed="false">
      <c r="A470" s="7" t="n">
        <f aca="false">ROW()-1</f>
        <v>469</v>
      </c>
      <c r="B470" s="7" t="str">
        <f aca="false">IF(Raw_Nigeria!B470="",TRIM(Raw_Nigeria!C470),TRIM(Raw_Nigeria!B470))</f>
        <v>Nigeria Multiple Indicator Cluster Survey 2016-2017</v>
      </c>
      <c r="C470" s="7" t="str">
        <f aca="false">IF(ISNUMBER(SEARCH("Demographic and Health",B470)),"DHS",IF(OR(ISNUMBER(SEARCH("Multiple Indicator Cluster",B470)),ISNUMBER(SEARCH("MICS",B470))),"MICS",IF(ISNUMBER(SEARCH("Immunization Coverage Survey",B470)),"Coverage survey",IF(ISNUMBER(SEARCH("Nutrition",B470)),"Nutrition survey","Other"))))</f>
        <v>MICS</v>
      </c>
      <c r="D470" s="7" t="n">
        <f aca="false">VALUE(LEFT(Raw_Nigeria!D470,4))</f>
        <v>2016</v>
      </c>
      <c r="E470" s="7" t="n">
        <f aca="false">IF(VALUE(RIGHT(Raw_Nigeria!D470,2))&gt;12,"",VALUE(RIGHT(Raw_Nigeria!D470,2)))</f>
        <v>9</v>
      </c>
      <c r="F470" s="7" t="n">
        <f aca="false">VALUE(LEFT(Raw_Nigeria!E470,4))</f>
        <v>2017</v>
      </c>
      <c r="G470" s="7" t="n">
        <f aca="false">IF(VALUE(RIGHT(Raw_Nigeria!E470,2))&gt;12,"",VALUE(RIGHT(Raw_Nigeria!E470,2)))</f>
        <v>1</v>
      </c>
      <c r="H470" s="7" t="n">
        <f aca="false">Raw_Nigeria!F470</f>
        <v>2015</v>
      </c>
      <c r="I470" s="7" t="str">
        <f aca="false">UPPER(TRIM(Raw_Nigeria!G470))</f>
        <v>HEPBB</v>
      </c>
      <c r="J470" s="7" t="str">
        <f aca="false">Raw_Nigeria!H470</f>
        <v>Record or Recall&lt;12m</v>
      </c>
      <c r="K470" s="7" t="str">
        <f aca="false">Raw_Nigeria!L470</f>
        <v>12-23 m</v>
      </c>
      <c r="L470" s="7" t="str">
        <f aca="false">IF(Raw_Nigeria!K470="","n/a",Raw_Nigeria!K470)</f>
        <v>0-12 m</v>
      </c>
      <c r="M470" s="7" t="n">
        <f aca="false">IF(Raw_Nigeria!I470="","",Raw_Nigeria!I470)</f>
        <v>29</v>
      </c>
      <c r="N470" s="7" t="n">
        <f aca="false">Raw_Nigeria!M470</f>
        <v>30</v>
      </c>
      <c r="O470" s="7" t="n">
        <f aca="false">IF(Raw_Nigeria!N470="","",Raw_Nigeria!N470)</f>
        <v>5535</v>
      </c>
      <c r="P470" s="7" t="str">
        <f aca="false">IF(K470="CBAW","Women of child-bearing age","Children")</f>
        <v>Children</v>
      </c>
      <c r="Q470" s="7" t="n">
        <f aca="false">IF(J470="NOT USED",1,0)</f>
        <v>0</v>
      </c>
      <c r="R470" s="7" t="n">
        <f aca="false">IF(AND(P470="Children",Q470=0),1,0)</f>
        <v>1</v>
      </c>
      <c r="S470" s="7" t="n">
        <f aca="false">IF(AND(R470=1,J470="Record or Recall",K470="12-23 m"),1,0)</f>
        <v>0</v>
      </c>
      <c r="T470" s="7" t="n">
        <f aca="false">IF(OR(I470="BCG",I470="DTP1",I470="DTP3",I470="POL3",I470="MCV1",I470="FULL"),1,0)</f>
        <v>0</v>
      </c>
      <c r="U470" s="7" t="n">
        <f aca="false">IF(OR(C470="DHS",C470="MICS"),1,0)</f>
        <v>1</v>
      </c>
      <c r="V470" s="7" t="n">
        <f aca="false">IF(O470="",1,0)</f>
        <v>0</v>
      </c>
      <c r="W470" s="7" t="n">
        <f aca="false">IF(M470="",1,0)</f>
        <v>0</v>
      </c>
      <c r="X470" s="7" t="n">
        <f aca="false">COUNTIFS($B$2:$B$1141,B470,$H$2:$H$1141,H470,$I$2:$I$1141,I470,$J$2:$J$1141,J470,$K$2:$K$1141,K470,$L$2:$L$1141,L470)</f>
        <v>1</v>
      </c>
    </row>
    <row r="471" customFormat="false" ht="15" hidden="false" customHeight="false" outlineLevel="0" collapsed="false">
      <c r="A471" s="7" t="n">
        <f aca="false">ROW()-1</f>
        <v>470</v>
      </c>
      <c r="B471" s="7" t="str">
        <f aca="false">IF(Raw_Nigeria!B471="",TRIM(Raw_Nigeria!C471),TRIM(Raw_Nigeria!B471))</f>
        <v>Nigeria Multiple Indicator Cluster Survey 2016-2017</v>
      </c>
      <c r="C471" s="7" t="str">
        <f aca="false">IF(ISNUMBER(SEARCH("Demographic and Health",B471)),"DHS",IF(OR(ISNUMBER(SEARCH("Multiple Indicator Cluster",B471)),ISNUMBER(SEARCH("MICS",B471))),"MICS",IF(ISNUMBER(SEARCH("Immunization Coverage Survey",B471)),"Coverage survey",IF(ISNUMBER(SEARCH("Nutrition",B471)),"Nutrition survey","Other"))))</f>
        <v>MICS</v>
      </c>
      <c r="D471" s="7" t="n">
        <f aca="false">VALUE(LEFT(Raw_Nigeria!D471,4))</f>
        <v>2016</v>
      </c>
      <c r="E471" s="7" t="n">
        <f aca="false">IF(VALUE(RIGHT(Raw_Nigeria!D471,2))&gt;12,"",VALUE(RIGHT(Raw_Nigeria!D471,2)))</f>
        <v>9</v>
      </c>
      <c r="F471" s="7" t="n">
        <f aca="false">VALUE(LEFT(Raw_Nigeria!E471,4))</f>
        <v>2017</v>
      </c>
      <c r="G471" s="7" t="n">
        <f aca="false">IF(VALUE(RIGHT(Raw_Nigeria!E471,2))&gt;12,"",VALUE(RIGHT(Raw_Nigeria!E471,2)))</f>
        <v>1</v>
      </c>
      <c r="H471" s="7" t="n">
        <f aca="false">Raw_Nigeria!F471</f>
        <v>2015</v>
      </c>
      <c r="I471" s="7" t="str">
        <f aca="false">UPPER(TRIM(Raw_Nigeria!G471))</f>
        <v>HEPBB</v>
      </c>
      <c r="J471" s="7" t="str">
        <f aca="false">Raw_Nigeria!H471</f>
        <v>Record</v>
      </c>
      <c r="K471" s="7" t="str">
        <f aca="false">Raw_Nigeria!L471</f>
        <v>12-23 m</v>
      </c>
      <c r="L471" s="7" t="str">
        <f aca="false">IF(Raw_Nigeria!K471="","n/a",Raw_Nigeria!K471)</f>
        <v>0-23 m</v>
      </c>
      <c r="M471" s="7" t="n">
        <f aca="false">IF(Raw_Nigeria!I471="","",Raw_Nigeria!I471)</f>
        <v>29</v>
      </c>
      <c r="N471" s="7" t="n">
        <f aca="false">Raw_Nigeria!M471</f>
        <v>20.3</v>
      </c>
      <c r="O471" s="7" t="n">
        <f aca="false">IF(Raw_Nigeria!N471="","",Raw_Nigeria!N471)</f>
        <v>5535</v>
      </c>
      <c r="P471" s="7" t="str">
        <f aca="false">IF(K471="CBAW","Women of child-bearing age","Children")</f>
        <v>Children</v>
      </c>
      <c r="Q471" s="7" t="n">
        <f aca="false">IF(J471="NOT USED",1,0)</f>
        <v>0</v>
      </c>
      <c r="R471" s="7" t="n">
        <f aca="false">IF(AND(P471="Children",Q471=0),1,0)</f>
        <v>1</v>
      </c>
      <c r="S471" s="7" t="n">
        <f aca="false">IF(AND(R471=1,J471="Record or Recall",K471="12-23 m"),1,0)</f>
        <v>0</v>
      </c>
      <c r="T471" s="7" t="n">
        <f aca="false">IF(OR(I471="BCG",I471="DTP1",I471="DTP3",I471="POL3",I471="MCV1",I471="FULL"),1,0)</f>
        <v>0</v>
      </c>
      <c r="U471" s="7" t="n">
        <f aca="false">IF(OR(C471="DHS",C471="MICS"),1,0)</f>
        <v>1</v>
      </c>
      <c r="V471" s="7" t="n">
        <f aca="false">IF(O471="",1,0)</f>
        <v>0</v>
      </c>
      <c r="W471" s="7" t="n">
        <f aca="false">IF(M471="",1,0)</f>
        <v>0</v>
      </c>
      <c r="X471" s="7" t="n">
        <f aca="false">COUNTIFS($B$2:$B$1141,B471,$H$2:$H$1141,H471,$I$2:$I$1141,I471,$J$2:$J$1141,J471,$K$2:$K$1141,K471,$L$2:$L$1141,L471)</f>
        <v>1</v>
      </c>
    </row>
    <row r="472" customFormat="false" ht="15" hidden="false" customHeight="false" outlineLevel="0" collapsed="false">
      <c r="A472" s="7" t="n">
        <f aca="false">ROW()-1</f>
        <v>471</v>
      </c>
      <c r="B472" s="7" t="str">
        <f aca="false">IF(Raw_Nigeria!B472="",TRIM(Raw_Nigeria!C472),TRIM(Raw_Nigeria!B472))</f>
        <v>Nigeria Multiple Indicator Cluster Survey 2016-2017</v>
      </c>
      <c r="C472" s="7" t="str">
        <f aca="false">IF(ISNUMBER(SEARCH("Demographic and Health",B472)),"DHS",IF(OR(ISNUMBER(SEARCH("Multiple Indicator Cluster",B472)),ISNUMBER(SEARCH("MICS",B472))),"MICS",IF(ISNUMBER(SEARCH("Immunization Coverage Survey",B472)),"Coverage survey",IF(ISNUMBER(SEARCH("Nutrition",B472)),"Nutrition survey","Other"))))</f>
        <v>MICS</v>
      </c>
      <c r="D472" s="7" t="n">
        <f aca="false">VALUE(LEFT(Raw_Nigeria!D472,4))</f>
        <v>2016</v>
      </c>
      <c r="E472" s="7" t="n">
        <f aca="false">IF(VALUE(RIGHT(Raw_Nigeria!D472,2))&gt;12,"",VALUE(RIGHT(Raw_Nigeria!D472,2)))</f>
        <v>9</v>
      </c>
      <c r="F472" s="7" t="n">
        <f aca="false">VALUE(LEFT(Raw_Nigeria!E472,4))</f>
        <v>2017</v>
      </c>
      <c r="G472" s="7" t="n">
        <f aca="false">IF(VALUE(RIGHT(Raw_Nigeria!E472,2))&gt;12,"",VALUE(RIGHT(Raw_Nigeria!E472,2)))</f>
        <v>1</v>
      </c>
      <c r="H472" s="7" t="n">
        <f aca="false">Raw_Nigeria!F472</f>
        <v>2015</v>
      </c>
      <c r="I472" s="7" t="str">
        <f aca="false">UPPER(TRIM(Raw_Nigeria!G472))</f>
        <v>HEPBB</v>
      </c>
      <c r="J472" s="7" t="str">
        <f aca="false">Raw_Nigeria!H472</f>
        <v>Record or Recall</v>
      </c>
      <c r="K472" s="7" t="str">
        <f aca="false">Raw_Nigeria!L472</f>
        <v>12-23 m</v>
      </c>
      <c r="L472" s="7" t="str">
        <f aca="false">IF(Raw_Nigeria!K472="","n/a",Raw_Nigeria!K472)</f>
        <v>0-23 m</v>
      </c>
      <c r="M472" s="7" t="n">
        <f aca="false">IF(Raw_Nigeria!I472="","",Raw_Nigeria!I472)</f>
        <v>29</v>
      </c>
      <c r="N472" s="7" t="n">
        <f aca="false">Raw_Nigeria!M472</f>
        <v>30.1</v>
      </c>
      <c r="O472" s="7" t="n">
        <f aca="false">IF(Raw_Nigeria!N472="","",Raw_Nigeria!N472)</f>
        <v>5535</v>
      </c>
      <c r="P472" s="7" t="str">
        <f aca="false">IF(K472="CBAW","Women of child-bearing age","Children")</f>
        <v>Children</v>
      </c>
      <c r="Q472" s="7" t="n">
        <f aca="false">IF(J472="NOT USED",1,0)</f>
        <v>0</v>
      </c>
      <c r="R472" s="7" t="n">
        <f aca="false">IF(AND(P472="Children",Q472=0),1,0)</f>
        <v>1</v>
      </c>
      <c r="S472" s="7" t="n">
        <f aca="false">IF(AND(R472=1,J472="Record or Recall",K472="12-23 m"),1,0)</f>
        <v>1</v>
      </c>
      <c r="T472" s="7" t="n">
        <f aca="false">IF(OR(I472="BCG",I472="DTP1",I472="DTP3",I472="POL3",I472="MCV1",I472="FULL"),1,0)</f>
        <v>0</v>
      </c>
      <c r="U472" s="7" t="n">
        <f aca="false">IF(OR(C472="DHS",C472="MICS"),1,0)</f>
        <v>1</v>
      </c>
      <c r="V472" s="7" t="n">
        <f aca="false">IF(O472="",1,0)</f>
        <v>0</v>
      </c>
      <c r="W472" s="7" t="n">
        <f aca="false">IF(M472="",1,0)</f>
        <v>0</v>
      </c>
      <c r="X472" s="7" t="n">
        <f aca="false">COUNTIFS($B$2:$B$1141,B472,$H$2:$H$1141,H472,$I$2:$I$1141,I472,$J$2:$J$1141,J472,$K$2:$K$1141,K472,$L$2:$L$1141,L472)</f>
        <v>1</v>
      </c>
    </row>
    <row r="473" customFormat="false" ht="15" hidden="false" customHeight="false" outlineLevel="0" collapsed="false">
      <c r="A473" s="7" t="n">
        <f aca="false">ROW()-1</f>
        <v>472</v>
      </c>
      <c r="B473" s="7" t="str">
        <f aca="false">IF(Raw_Nigeria!B473="",TRIM(Raw_Nigeria!C473),TRIM(Raw_Nigeria!B473))</f>
        <v>Nigeria Multiple Indicator Cluster Survey 2016-2017</v>
      </c>
      <c r="C473" s="7" t="str">
        <f aca="false">IF(ISNUMBER(SEARCH("Demographic and Health",B473)),"DHS",IF(OR(ISNUMBER(SEARCH("Multiple Indicator Cluster",B473)),ISNUMBER(SEARCH("MICS",B473))),"MICS",IF(ISNUMBER(SEARCH("Immunization Coverage Survey",B473)),"Coverage survey",IF(ISNUMBER(SEARCH("Nutrition",B473)),"Nutrition survey","Other"))))</f>
        <v>MICS</v>
      </c>
      <c r="D473" s="7" t="n">
        <f aca="false">VALUE(LEFT(Raw_Nigeria!D473,4))</f>
        <v>2016</v>
      </c>
      <c r="E473" s="7" t="n">
        <f aca="false">IF(VALUE(RIGHT(Raw_Nigeria!D473,2))&gt;12,"",VALUE(RIGHT(Raw_Nigeria!D473,2)))</f>
        <v>9</v>
      </c>
      <c r="F473" s="7" t="n">
        <f aca="false">VALUE(LEFT(Raw_Nigeria!E473,4))</f>
        <v>2017</v>
      </c>
      <c r="G473" s="7" t="n">
        <f aca="false">IF(VALUE(RIGHT(Raw_Nigeria!E473,2))&gt;12,"",VALUE(RIGHT(Raw_Nigeria!E473,2)))</f>
        <v>1</v>
      </c>
      <c r="H473" s="7" t="n">
        <f aca="false">Raw_Nigeria!F473</f>
        <v>2015</v>
      </c>
      <c r="I473" s="7" t="str">
        <f aca="false">UPPER(TRIM(Raw_Nigeria!G473))</f>
        <v>HEPBB</v>
      </c>
      <c r="J473" s="7" t="str">
        <f aca="false">Raw_Nigeria!H473</f>
        <v>Recall</v>
      </c>
      <c r="K473" s="7" t="str">
        <f aca="false">Raw_Nigeria!L473</f>
        <v>12-23 m</v>
      </c>
      <c r="L473" s="7" t="str">
        <f aca="false">IF(Raw_Nigeria!K473="","n/a",Raw_Nigeria!K473)</f>
        <v>0-23 m</v>
      </c>
      <c r="M473" s="7" t="n">
        <f aca="false">IF(Raw_Nigeria!I473="","",Raw_Nigeria!I473)</f>
        <v>29</v>
      </c>
      <c r="N473" s="7" t="n">
        <f aca="false">Raw_Nigeria!M473</f>
        <v>9.7</v>
      </c>
      <c r="O473" s="7" t="n">
        <f aca="false">IF(Raw_Nigeria!N473="","",Raw_Nigeria!N473)</f>
        <v>5535</v>
      </c>
      <c r="P473" s="7" t="str">
        <f aca="false">IF(K473="CBAW","Women of child-bearing age","Children")</f>
        <v>Children</v>
      </c>
      <c r="Q473" s="7" t="n">
        <f aca="false">IF(J473="NOT USED",1,0)</f>
        <v>0</v>
      </c>
      <c r="R473" s="7" t="n">
        <f aca="false">IF(AND(P473="Children",Q473=0),1,0)</f>
        <v>1</v>
      </c>
      <c r="S473" s="7" t="n">
        <f aca="false">IF(AND(R473=1,J473="Record or Recall",K473="12-23 m"),1,0)</f>
        <v>0</v>
      </c>
      <c r="T473" s="7" t="n">
        <f aca="false">IF(OR(I473="BCG",I473="DTP1",I473="DTP3",I473="POL3",I473="MCV1",I473="FULL"),1,0)</f>
        <v>0</v>
      </c>
      <c r="U473" s="7" t="n">
        <f aca="false">IF(OR(C473="DHS",C473="MICS"),1,0)</f>
        <v>1</v>
      </c>
      <c r="V473" s="7" t="n">
        <f aca="false">IF(O473="",1,0)</f>
        <v>0</v>
      </c>
      <c r="W473" s="7" t="n">
        <f aca="false">IF(M473="",1,0)</f>
        <v>0</v>
      </c>
      <c r="X473" s="7" t="n">
        <f aca="false">COUNTIFS($B$2:$B$1141,B473,$H$2:$H$1141,H473,$I$2:$I$1141,I473,$J$2:$J$1141,J473,$K$2:$K$1141,K473,$L$2:$L$1141,L473)</f>
        <v>1</v>
      </c>
    </row>
    <row r="474" customFormat="false" ht="15" hidden="false" customHeight="false" outlineLevel="0" collapsed="false">
      <c r="A474" s="7" t="n">
        <f aca="false">ROW()-1</f>
        <v>473</v>
      </c>
      <c r="B474" s="7" t="str">
        <f aca="false">IF(Raw_Nigeria!B474="",TRIM(Raw_Nigeria!C474),TRIM(Raw_Nigeria!B474))</f>
        <v>Nigeria Multiple Indicator Cluster Survey 2016-2017</v>
      </c>
      <c r="C474" s="7" t="str">
        <f aca="false">IF(ISNUMBER(SEARCH("Demographic and Health",B474)),"DHS",IF(OR(ISNUMBER(SEARCH("Multiple Indicator Cluster",B474)),ISNUMBER(SEARCH("MICS",B474))),"MICS",IF(ISNUMBER(SEARCH("Immunization Coverage Survey",B474)),"Coverage survey",IF(ISNUMBER(SEARCH("Nutrition",B474)),"Nutrition survey","Other"))))</f>
        <v>MICS</v>
      </c>
      <c r="D474" s="7" t="n">
        <f aca="false">VALUE(LEFT(Raw_Nigeria!D474,4))</f>
        <v>2016</v>
      </c>
      <c r="E474" s="7" t="n">
        <f aca="false">IF(VALUE(RIGHT(Raw_Nigeria!D474,2))&gt;12,"",VALUE(RIGHT(Raw_Nigeria!D474,2)))</f>
        <v>9</v>
      </c>
      <c r="F474" s="7" t="n">
        <f aca="false">VALUE(LEFT(Raw_Nigeria!E474,4))</f>
        <v>2017</v>
      </c>
      <c r="G474" s="7" t="n">
        <f aca="false">IF(VALUE(RIGHT(Raw_Nigeria!E474,2))&gt;12,"",VALUE(RIGHT(Raw_Nigeria!E474,2)))</f>
        <v>1</v>
      </c>
      <c r="H474" s="7" t="n">
        <f aca="false">Raw_Nigeria!F474</f>
        <v>2015</v>
      </c>
      <c r="I474" s="7" t="str">
        <f aca="false">UPPER(TRIM(Raw_Nigeria!G474))</f>
        <v>HIB1</v>
      </c>
      <c r="J474" s="7" t="str">
        <f aca="false">Raw_Nigeria!H474</f>
        <v>Record or Recall&lt;12m</v>
      </c>
      <c r="K474" s="7" t="str">
        <f aca="false">Raw_Nigeria!L474</f>
        <v>12-23 m</v>
      </c>
      <c r="L474" s="7" t="str">
        <f aca="false">IF(Raw_Nigeria!K474="","n/a",Raw_Nigeria!K474)</f>
        <v>0-12 m</v>
      </c>
      <c r="M474" s="7" t="n">
        <f aca="false">IF(Raw_Nigeria!I474="","",Raw_Nigeria!I474)</f>
        <v>29</v>
      </c>
      <c r="N474" s="7" t="n">
        <f aca="false">Raw_Nigeria!M474</f>
        <v>48.8</v>
      </c>
      <c r="O474" s="7" t="n">
        <f aca="false">IF(Raw_Nigeria!N474="","",Raw_Nigeria!N474)</f>
        <v>5535</v>
      </c>
      <c r="P474" s="7" t="str">
        <f aca="false">IF(K474="CBAW","Women of child-bearing age","Children")</f>
        <v>Children</v>
      </c>
      <c r="Q474" s="7" t="n">
        <f aca="false">IF(J474="NOT USED",1,0)</f>
        <v>0</v>
      </c>
      <c r="R474" s="7" t="n">
        <f aca="false">IF(AND(P474="Children",Q474=0),1,0)</f>
        <v>1</v>
      </c>
      <c r="S474" s="7" t="n">
        <f aca="false">IF(AND(R474=1,J474="Record or Recall",K474="12-23 m"),1,0)</f>
        <v>0</v>
      </c>
      <c r="T474" s="7" t="n">
        <f aca="false">IF(OR(I474="BCG",I474="DTP1",I474="DTP3",I474="POL3",I474="MCV1",I474="FULL"),1,0)</f>
        <v>0</v>
      </c>
      <c r="U474" s="7" t="n">
        <f aca="false">IF(OR(C474="DHS",C474="MICS"),1,0)</f>
        <v>1</v>
      </c>
      <c r="V474" s="7" t="n">
        <f aca="false">IF(O474="",1,0)</f>
        <v>0</v>
      </c>
      <c r="W474" s="7" t="n">
        <f aca="false">IF(M474="",1,0)</f>
        <v>0</v>
      </c>
      <c r="X474" s="7" t="n">
        <f aca="false">COUNTIFS($B$2:$B$1141,B474,$H$2:$H$1141,H474,$I$2:$I$1141,I474,$J$2:$J$1141,J474,$K$2:$K$1141,K474,$L$2:$L$1141,L474)</f>
        <v>1</v>
      </c>
    </row>
    <row r="475" customFormat="false" ht="15" hidden="false" customHeight="false" outlineLevel="0" collapsed="false">
      <c r="A475" s="7" t="n">
        <f aca="false">ROW()-1</f>
        <v>474</v>
      </c>
      <c r="B475" s="7" t="str">
        <f aca="false">IF(Raw_Nigeria!B475="",TRIM(Raw_Nigeria!C475),TRIM(Raw_Nigeria!B475))</f>
        <v>Nigeria Multiple Indicator Cluster Survey 2016-2017</v>
      </c>
      <c r="C475" s="7" t="str">
        <f aca="false">IF(ISNUMBER(SEARCH("Demographic and Health",B475)),"DHS",IF(OR(ISNUMBER(SEARCH("Multiple Indicator Cluster",B475)),ISNUMBER(SEARCH("MICS",B475))),"MICS",IF(ISNUMBER(SEARCH("Immunization Coverage Survey",B475)),"Coverage survey",IF(ISNUMBER(SEARCH("Nutrition",B475)),"Nutrition survey","Other"))))</f>
        <v>MICS</v>
      </c>
      <c r="D475" s="7" t="n">
        <f aca="false">VALUE(LEFT(Raw_Nigeria!D475,4))</f>
        <v>2016</v>
      </c>
      <c r="E475" s="7" t="n">
        <f aca="false">IF(VALUE(RIGHT(Raw_Nigeria!D475,2))&gt;12,"",VALUE(RIGHT(Raw_Nigeria!D475,2)))</f>
        <v>9</v>
      </c>
      <c r="F475" s="7" t="n">
        <f aca="false">VALUE(LEFT(Raw_Nigeria!E475,4))</f>
        <v>2017</v>
      </c>
      <c r="G475" s="7" t="n">
        <f aca="false">IF(VALUE(RIGHT(Raw_Nigeria!E475,2))&gt;12,"",VALUE(RIGHT(Raw_Nigeria!E475,2)))</f>
        <v>1</v>
      </c>
      <c r="H475" s="7" t="n">
        <f aca="false">Raw_Nigeria!F475</f>
        <v>2015</v>
      </c>
      <c r="I475" s="7" t="str">
        <f aca="false">UPPER(TRIM(Raw_Nigeria!G475))</f>
        <v>HIB1</v>
      </c>
      <c r="J475" s="7" t="str">
        <f aca="false">Raw_Nigeria!H475</f>
        <v>Record</v>
      </c>
      <c r="K475" s="7" t="str">
        <f aca="false">Raw_Nigeria!L475</f>
        <v>12-23 m</v>
      </c>
      <c r="L475" s="7" t="str">
        <f aca="false">IF(Raw_Nigeria!K475="","n/a",Raw_Nigeria!K475)</f>
        <v>0-23 m</v>
      </c>
      <c r="M475" s="7" t="n">
        <f aca="false">IF(Raw_Nigeria!I475="","",Raw_Nigeria!I475)</f>
        <v>29</v>
      </c>
      <c r="N475" s="7" t="n">
        <f aca="false">Raw_Nigeria!M475</f>
        <v>26.9</v>
      </c>
      <c r="O475" s="7" t="n">
        <f aca="false">IF(Raw_Nigeria!N475="","",Raw_Nigeria!N475)</f>
        <v>5535</v>
      </c>
      <c r="P475" s="7" t="str">
        <f aca="false">IF(K475="CBAW","Women of child-bearing age","Children")</f>
        <v>Children</v>
      </c>
      <c r="Q475" s="7" t="n">
        <f aca="false">IF(J475="NOT USED",1,0)</f>
        <v>0</v>
      </c>
      <c r="R475" s="7" t="n">
        <f aca="false">IF(AND(P475="Children",Q475=0),1,0)</f>
        <v>1</v>
      </c>
      <c r="S475" s="7" t="n">
        <f aca="false">IF(AND(R475=1,J475="Record or Recall",K475="12-23 m"),1,0)</f>
        <v>0</v>
      </c>
      <c r="T475" s="7" t="n">
        <f aca="false">IF(OR(I475="BCG",I475="DTP1",I475="DTP3",I475="POL3",I475="MCV1",I475="FULL"),1,0)</f>
        <v>0</v>
      </c>
      <c r="U475" s="7" t="n">
        <f aca="false">IF(OR(C475="DHS",C475="MICS"),1,0)</f>
        <v>1</v>
      </c>
      <c r="V475" s="7" t="n">
        <f aca="false">IF(O475="",1,0)</f>
        <v>0</v>
      </c>
      <c r="W475" s="7" t="n">
        <f aca="false">IF(M475="",1,0)</f>
        <v>0</v>
      </c>
      <c r="X475" s="7" t="n">
        <f aca="false">COUNTIFS($B$2:$B$1141,B475,$H$2:$H$1141,H475,$I$2:$I$1141,I475,$J$2:$J$1141,J475,$K$2:$K$1141,K475,$L$2:$L$1141,L475)</f>
        <v>1</v>
      </c>
    </row>
    <row r="476" customFormat="false" ht="15" hidden="false" customHeight="false" outlineLevel="0" collapsed="false">
      <c r="A476" s="7" t="n">
        <f aca="false">ROW()-1</f>
        <v>475</v>
      </c>
      <c r="B476" s="7" t="str">
        <f aca="false">IF(Raw_Nigeria!B476="",TRIM(Raw_Nigeria!C476),TRIM(Raw_Nigeria!B476))</f>
        <v>Nigeria Multiple Indicator Cluster Survey 2016-2017</v>
      </c>
      <c r="C476" s="7" t="str">
        <f aca="false">IF(ISNUMBER(SEARCH("Demographic and Health",B476)),"DHS",IF(OR(ISNUMBER(SEARCH("Multiple Indicator Cluster",B476)),ISNUMBER(SEARCH("MICS",B476))),"MICS",IF(ISNUMBER(SEARCH("Immunization Coverage Survey",B476)),"Coverage survey",IF(ISNUMBER(SEARCH("Nutrition",B476)),"Nutrition survey","Other"))))</f>
        <v>MICS</v>
      </c>
      <c r="D476" s="7" t="n">
        <f aca="false">VALUE(LEFT(Raw_Nigeria!D476,4))</f>
        <v>2016</v>
      </c>
      <c r="E476" s="7" t="n">
        <f aca="false">IF(VALUE(RIGHT(Raw_Nigeria!D476,2))&gt;12,"",VALUE(RIGHT(Raw_Nigeria!D476,2)))</f>
        <v>9</v>
      </c>
      <c r="F476" s="7" t="n">
        <f aca="false">VALUE(LEFT(Raw_Nigeria!E476,4))</f>
        <v>2017</v>
      </c>
      <c r="G476" s="7" t="n">
        <f aca="false">IF(VALUE(RIGHT(Raw_Nigeria!E476,2))&gt;12,"",VALUE(RIGHT(Raw_Nigeria!E476,2)))</f>
        <v>1</v>
      </c>
      <c r="H476" s="7" t="n">
        <f aca="false">Raw_Nigeria!F476</f>
        <v>2015</v>
      </c>
      <c r="I476" s="7" t="str">
        <f aca="false">UPPER(TRIM(Raw_Nigeria!G476))</f>
        <v>HIB1</v>
      </c>
      <c r="J476" s="7" t="str">
        <f aca="false">Raw_Nigeria!H476</f>
        <v>Record or Recall</v>
      </c>
      <c r="K476" s="7" t="str">
        <f aca="false">Raw_Nigeria!L476</f>
        <v>12-23 m</v>
      </c>
      <c r="L476" s="7" t="str">
        <f aca="false">IF(Raw_Nigeria!K476="","n/a",Raw_Nigeria!K476)</f>
        <v>0-23 m</v>
      </c>
      <c r="M476" s="7" t="n">
        <f aca="false">IF(Raw_Nigeria!I476="","",Raw_Nigeria!I476)</f>
        <v>29</v>
      </c>
      <c r="N476" s="7" t="n">
        <f aca="false">Raw_Nigeria!M476</f>
        <v>49.3</v>
      </c>
      <c r="O476" s="7" t="n">
        <f aca="false">IF(Raw_Nigeria!N476="","",Raw_Nigeria!N476)</f>
        <v>5535</v>
      </c>
      <c r="P476" s="7" t="str">
        <f aca="false">IF(K476="CBAW","Women of child-bearing age","Children")</f>
        <v>Children</v>
      </c>
      <c r="Q476" s="7" t="n">
        <f aca="false">IF(J476="NOT USED",1,0)</f>
        <v>0</v>
      </c>
      <c r="R476" s="7" t="n">
        <f aca="false">IF(AND(P476="Children",Q476=0),1,0)</f>
        <v>1</v>
      </c>
      <c r="S476" s="7" t="n">
        <f aca="false">IF(AND(R476=1,J476="Record or Recall",K476="12-23 m"),1,0)</f>
        <v>1</v>
      </c>
      <c r="T476" s="7" t="n">
        <f aca="false">IF(OR(I476="BCG",I476="DTP1",I476="DTP3",I476="POL3",I476="MCV1",I476="FULL"),1,0)</f>
        <v>0</v>
      </c>
      <c r="U476" s="7" t="n">
        <f aca="false">IF(OR(C476="DHS",C476="MICS"),1,0)</f>
        <v>1</v>
      </c>
      <c r="V476" s="7" t="n">
        <f aca="false">IF(O476="",1,0)</f>
        <v>0</v>
      </c>
      <c r="W476" s="7" t="n">
        <f aca="false">IF(M476="",1,0)</f>
        <v>0</v>
      </c>
      <c r="X476" s="7" t="n">
        <f aca="false">COUNTIFS($B$2:$B$1141,B476,$H$2:$H$1141,H476,$I$2:$I$1141,I476,$J$2:$J$1141,J476,$K$2:$K$1141,K476,$L$2:$L$1141,L476)</f>
        <v>1</v>
      </c>
    </row>
    <row r="477" customFormat="false" ht="15" hidden="false" customHeight="false" outlineLevel="0" collapsed="false">
      <c r="A477" s="7" t="n">
        <f aca="false">ROW()-1</f>
        <v>476</v>
      </c>
      <c r="B477" s="7" t="str">
        <f aca="false">IF(Raw_Nigeria!B477="",TRIM(Raw_Nigeria!C477),TRIM(Raw_Nigeria!B477))</f>
        <v>Nigeria Multiple Indicator Cluster Survey 2016-2017</v>
      </c>
      <c r="C477" s="7" t="str">
        <f aca="false">IF(ISNUMBER(SEARCH("Demographic and Health",B477)),"DHS",IF(OR(ISNUMBER(SEARCH("Multiple Indicator Cluster",B477)),ISNUMBER(SEARCH("MICS",B477))),"MICS",IF(ISNUMBER(SEARCH("Immunization Coverage Survey",B477)),"Coverage survey",IF(ISNUMBER(SEARCH("Nutrition",B477)),"Nutrition survey","Other"))))</f>
        <v>MICS</v>
      </c>
      <c r="D477" s="7" t="n">
        <f aca="false">VALUE(LEFT(Raw_Nigeria!D477,4))</f>
        <v>2016</v>
      </c>
      <c r="E477" s="7" t="n">
        <f aca="false">IF(VALUE(RIGHT(Raw_Nigeria!D477,2))&gt;12,"",VALUE(RIGHT(Raw_Nigeria!D477,2)))</f>
        <v>9</v>
      </c>
      <c r="F477" s="7" t="n">
        <f aca="false">VALUE(LEFT(Raw_Nigeria!E477,4))</f>
        <v>2017</v>
      </c>
      <c r="G477" s="7" t="n">
        <f aca="false">IF(VALUE(RIGHT(Raw_Nigeria!E477,2))&gt;12,"",VALUE(RIGHT(Raw_Nigeria!E477,2)))</f>
        <v>1</v>
      </c>
      <c r="H477" s="7" t="n">
        <f aca="false">Raw_Nigeria!F477</f>
        <v>2015</v>
      </c>
      <c r="I477" s="7" t="str">
        <f aca="false">UPPER(TRIM(Raw_Nigeria!G477))</f>
        <v>HIB1</v>
      </c>
      <c r="J477" s="7" t="str">
        <f aca="false">Raw_Nigeria!H477</f>
        <v>Recall</v>
      </c>
      <c r="K477" s="7" t="str">
        <f aca="false">Raw_Nigeria!L477</f>
        <v>12-23 m</v>
      </c>
      <c r="L477" s="7" t="str">
        <f aca="false">IF(Raw_Nigeria!K477="","n/a",Raw_Nigeria!K477)</f>
        <v>0-23 m</v>
      </c>
      <c r="M477" s="7" t="n">
        <f aca="false">IF(Raw_Nigeria!I477="","",Raw_Nigeria!I477)</f>
        <v>29</v>
      </c>
      <c r="N477" s="7" t="n">
        <f aca="false">Raw_Nigeria!M477</f>
        <v>22.3</v>
      </c>
      <c r="O477" s="7" t="n">
        <f aca="false">IF(Raw_Nigeria!N477="","",Raw_Nigeria!N477)</f>
        <v>5535</v>
      </c>
      <c r="P477" s="7" t="str">
        <f aca="false">IF(K477="CBAW","Women of child-bearing age","Children")</f>
        <v>Children</v>
      </c>
      <c r="Q477" s="7" t="n">
        <f aca="false">IF(J477="NOT USED",1,0)</f>
        <v>0</v>
      </c>
      <c r="R477" s="7" t="n">
        <f aca="false">IF(AND(P477="Children",Q477=0),1,0)</f>
        <v>1</v>
      </c>
      <c r="S477" s="7" t="n">
        <f aca="false">IF(AND(R477=1,J477="Record or Recall",K477="12-23 m"),1,0)</f>
        <v>0</v>
      </c>
      <c r="T477" s="7" t="n">
        <f aca="false">IF(OR(I477="BCG",I477="DTP1",I477="DTP3",I477="POL3",I477="MCV1",I477="FULL"),1,0)</f>
        <v>0</v>
      </c>
      <c r="U477" s="7" t="n">
        <f aca="false">IF(OR(C477="DHS",C477="MICS"),1,0)</f>
        <v>1</v>
      </c>
      <c r="V477" s="7" t="n">
        <f aca="false">IF(O477="",1,0)</f>
        <v>0</v>
      </c>
      <c r="W477" s="7" t="n">
        <f aca="false">IF(M477="",1,0)</f>
        <v>0</v>
      </c>
      <c r="X477" s="7" t="n">
        <f aca="false">COUNTIFS($B$2:$B$1141,B477,$H$2:$H$1141,H477,$I$2:$I$1141,I477,$J$2:$J$1141,J477,$K$2:$K$1141,K477,$L$2:$L$1141,L477)</f>
        <v>1</v>
      </c>
    </row>
    <row r="478" customFormat="false" ht="15" hidden="false" customHeight="false" outlineLevel="0" collapsed="false">
      <c r="A478" s="7" t="n">
        <f aca="false">ROW()-1</f>
        <v>477</v>
      </c>
      <c r="B478" s="7" t="str">
        <f aca="false">IF(Raw_Nigeria!B478="",TRIM(Raw_Nigeria!C478),TRIM(Raw_Nigeria!B478))</f>
        <v>Nigeria Multiple Indicator Cluster Survey 2016-2017</v>
      </c>
      <c r="C478" s="7" t="str">
        <f aca="false">IF(ISNUMBER(SEARCH("Demographic and Health",B478)),"DHS",IF(OR(ISNUMBER(SEARCH("Multiple Indicator Cluster",B478)),ISNUMBER(SEARCH("MICS",B478))),"MICS",IF(ISNUMBER(SEARCH("Immunization Coverage Survey",B478)),"Coverage survey",IF(ISNUMBER(SEARCH("Nutrition",B478)),"Nutrition survey","Other"))))</f>
        <v>MICS</v>
      </c>
      <c r="D478" s="7" t="n">
        <f aca="false">VALUE(LEFT(Raw_Nigeria!D478,4))</f>
        <v>2016</v>
      </c>
      <c r="E478" s="7" t="n">
        <f aca="false">IF(VALUE(RIGHT(Raw_Nigeria!D478,2))&gt;12,"",VALUE(RIGHT(Raw_Nigeria!D478,2)))</f>
        <v>9</v>
      </c>
      <c r="F478" s="7" t="n">
        <f aca="false">VALUE(LEFT(Raw_Nigeria!E478,4))</f>
        <v>2017</v>
      </c>
      <c r="G478" s="7" t="n">
        <f aca="false">IF(VALUE(RIGHT(Raw_Nigeria!E478,2))&gt;12,"",VALUE(RIGHT(Raw_Nigeria!E478,2)))</f>
        <v>1</v>
      </c>
      <c r="H478" s="7" t="n">
        <f aca="false">Raw_Nigeria!F478</f>
        <v>2015</v>
      </c>
      <c r="I478" s="7" t="str">
        <f aca="false">UPPER(TRIM(Raw_Nigeria!G478))</f>
        <v>HIB3</v>
      </c>
      <c r="J478" s="7" t="str">
        <f aca="false">Raw_Nigeria!H478</f>
        <v>Record or Recall&lt;12m</v>
      </c>
      <c r="K478" s="7" t="str">
        <f aca="false">Raw_Nigeria!L478</f>
        <v>12-23 m</v>
      </c>
      <c r="L478" s="7" t="str">
        <f aca="false">IF(Raw_Nigeria!K478="","n/a",Raw_Nigeria!K478)</f>
        <v>0-12 m</v>
      </c>
      <c r="M478" s="7" t="n">
        <f aca="false">IF(Raw_Nigeria!I478="","",Raw_Nigeria!I478)</f>
        <v>29</v>
      </c>
      <c r="N478" s="7" t="n">
        <f aca="false">Raw_Nigeria!M478</f>
        <v>33.6</v>
      </c>
      <c r="O478" s="7" t="n">
        <f aca="false">IF(Raw_Nigeria!N478="","",Raw_Nigeria!N478)</f>
        <v>5535</v>
      </c>
      <c r="P478" s="7" t="str">
        <f aca="false">IF(K478="CBAW","Women of child-bearing age","Children")</f>
        <v>Children</v>
      </c>
      <c r="Q478" s="7" t="n">
        <f aca="false">IF(J478="NOT USED",1,0)</f>
        <v>0</v>
      </c>
      <c r="R478" s="7" t="n">
        <f aca="false">IF(AND(P478="Children",Q478=0),1,0)</f>
        <v>1</v>
      </c>
      <c r="S478" s="7" t="n">
        <f aca="false">IF(AND(R478=1,J478="Record or Recall",K478="12-23 m"),1,0)</f>
        <v>0</v>
      </c>
      <c r="T478" s="7" t="n">
        <f aca="false">IF(OR(I478="BCG",I478="DTP1",I478="DTP3",I478="POL3",I478="MCV1",I478="FULL"),1,0)</f>
        <v>0</v>
      </c>
      <c r="U478" s="7" t="n">
        <f aca="false">IF(OR(C478="DHS",C478="MICS"),1,0)</f>
        <v>1</v>
      </c>
      <c r="V478" s="7" t="n">
        <f aca="false">IF(O478="",1,0)</f>
        <v>0</v>
      </c>
      <c r="W478" s="7" t="n">
        <f aca="false">IF(M478="",1,0)</f>
        <v>0</v>
      </c>
      <c r="X478" s="7" t="n">
        <f aca="false">COUNTIFS($B$2:$B$1141,B478,$H$2:$H$1141,H478,$I$2:$I$1141,I478,$J$2:$J$1141,J478,$K$2:$K$1141,K478,$L$2:$L$1141,L478)</f>
        <v>1</v>
      </c>
    </row>
    <row r="479" customFormat="false" ht="15" hidden="false" customHeight="false" outlineLevel="0" collapsed="false">
      <c r="A479" s="7" t="n">
        <f aca="false">ROW()-1</f>
        <v>478</v>
      </c>
      <c r="B479" s="7" t="str">
        <f aca="false">IF(Raw_Nigeria!B479="",TRIM(Raw_Nigeria!C479),TRIM(Raw_Nigeria!B479))</f>
        <v>Nigeria Multiple Indicator Cluster Survey 2016-2017</v>
      </c>
      <c r="C479" s="7" t="str">
        <f aca="false">IF(ISNUMBER(SEARCH("Demographic and Health",B479)),"DHS",IF(OR(ISNUMBER(SEARCH("Multiple Indicator Cluster",B479)),ISNUMBER(SEARCH("MICS",B479))),"MICS",IF(ISNUMBER(SEARCH("Immunization Coverage Survey",B479)),"Coverage survey",IF(ISNUMBER(SEARCH("Nutrition",B479)),"Nutrition survey","Other"))))</f>
        <v>MICS</v>
      </c>
      <c r="D479" s="7" t="n">
        <f aca="false">VALUE(LEFT(Raw_Nigeria!D479,4))</f>
        <v>2016</v>
      </c>
      <c r="E479" s="7" t="n">
        <f aca="false">IF(VALUE(RIGHT(Raw_Nigeria!D479,2))&gt;12,"",VALUE(RIGHT(Raw_Nigeria!D479,2)))</f>
        <v>9</v>
      </c>
      <c r="F479" s="7" t="n">
        <f aca="false">VALUE(LEFT(Raw_Nigeria!E479,4))</f>
        <v>2017</v>
      </c>
      <c r="G479" s="7" t="n">
        <f aca="false">IF(VALUE(RIGHT(Raw_Nigeria!E479,2))&gt;12,"",VALUE(RIGHT(Raw_Nigeria!E479,2)))</f>
        <v>1</v>
      </c>
      <c r="H479" s="7" t="n">
        <f aca="false">Raw_Nigeria!F479</f>
        <v>2015</v>
      </c>
      <c r="I479" s="7" t="str">
        <f aca="false">UPPER(TRIM(Raw_Nigeria!G479))</f>
        <v>HIB3</v>
      </c>
      <c r="J479" s="7" t="str">
        <f aca="false">Raw_Nigeria!H479</f>
        <v>Record</v>
      </c>
      <c r="K479" s="7" t="str">
        <f aca="false">Raw_Nigeria!L479</f>
        <v>12-23 m</v>
      </c>
      <c r="L479" s="7" t="str">
        <f aca="false">IF(Raw_Nigeria!K479="","n/a",Raw_Nigeria!K479)</f>
        <v>0-23 m</v>
      </c>
      <c r="M479" s="7" t="n">
        <f aca="false">IF(Raw_Nigeria!I479="","",Raw_Nigeria!I479)</f>
        <v>29</v>
      </c>
      <c r="N479" s="7" t="n">
        <f aca="false">Raw_Nigeria!M479</f>
        <v>23</v>
      </c>
      <c r="O479" s="7" t="n">
        <f aca="false">IF(Raw_Nigeria!N479="","",Raw_Nigeria!N479)</f>
        <v>5535</v>
      </c>
      <c r="P479" s="7" t="str">
        <f aca="false">IF(K479="CBAW","Women of child-bearing age","Children")</f>
        <v>Children</v>
      </c>
      <c r="Q479" s="7" t="n">
        <f aca="false">IF(J479="NOT USED",1,0)</f>
        <v>0</v>
      </c>
      <c r="R479" s="7" t="n">
        <f aca="false">IF(AND(P479="Children",Q479=0),1,0)</f>
        <v>1</v>
      </c>
      <c r="S479" s="7" t="n">
        <f aca="false">IF(AND(R479=1,J479="Record or Recall",K479="12-23 m"),1,0)</f>
        <v>0</v>
      </c>
      <c r="T479" s="7" t="n">
        <f aca="false">IF(OR(I479="BCG",I479="DTP1",I479="DTP3",I479="POL3",I479="MCV1",I479="FULL"),1,0)</f>
        <v>0</v>
      </c>
      <c r="U479" s="7" t="n">
        <f aca="false">IF(OR(C479="DHS",C479="MICS"),1,0)</f>
        <v>1</v>
      </c>
      <c r="V479" s="7" t="n">
        <f aca="false">IF(O479="",1,0)</f>
        <v>0</v>
      </c>
      <c r="W479" s="7" t="n">
        <f aca="false">IF(M479="",1,0)</f>
        <v>0</v>
      </c>
      <c r="X479" s="7" t="n">
        <f aca="false">COUNTIFS($B$2:$B$1141,B479,$H$2:$H$1141,H479,$I$2:$I$1141,I479,$J$2:$J$1141,J479,$K$2:$K$1141,K479,$L$2:$L$1141,L479)</f>
        <v>1</v>
      </c>
    </row>
    <row r="480" customFormat="false" ht="15" hidden="false" customHeight="false" outlineLevel="0" collapsed="false">
      <c r="A480" s="7" t="n">
        <f aca="false">ROW()-1</f>
        <v>479</v>
      </c>
      <c r="B480" s="7" t="str">
        <f aca="false">IF(Raw_Nigeria!B480="",TRIM(Raw_Nigeria!C480),TRIM(Raw_Nigeria!B480))</f>
        <v>Nigeria Multiple Indicator Cluster Survey 2016-2017</v>
      </c>
      <c r="C480" s="7" t="str">
        <f aca="false">IF(ISNUMBER(SEARCH("Demographic and Health",B480)),"DHS",IF(OR(ISNUMBER(SEARCH("Multiple Indicator Cluster",B480)),ISNUMBER(SEARCH("MICS",B480))),"MICS",IF(ISNUMBER(SEARCH("Immunization Coverage Survey",B480)),"Coverage survey",IF(ISNUMBER(SEARCH("Nutrition",B480)),"Nutrition survey","Other"))))</f>
        <v>MICS</v>
      </c>
      <c r="D480" s="7" t="n">
        <f aca="false">VALUE(LEFT(Raw_Nigeria!D480,4))</f>
        <v>2016</v>
      </c>
      <c r="E480" s="7" t="n">
        <f aca="false">IF(VALUE(RIGHT(Raw_Nigeria!D480,2))&gt;12,"",VALUE(RIGHT(Raw_Nigeria!D480,2)))</f>
        <v>9</v>
      </c>
      <c r="F480" s="7" t="n">
        <f aca="false">VALUE(LEFT(Raw_Nigeria!E480,4))</f>
        <v>2017</v>
      </c>
      <c r="G480" s="7" t="n">
        <f aca="false">IF(VALUE(RIGHT(Raw_Nigeria!E480,2))&gt;12,"",VALUE(RIGHT(Raw_Nigeria!E480,2)))</f>
        <v>1</v>
      </c>
      <c r="H480" s="7" t="n">
        <f aca="false">Raw_Nigeria!F480</f>
        <v>2015</v>
      </c>
      <c r="I480" s="7" t="str">
        <f aca="false">UPPER(TRIM(Raw_Nigeria!G480))</f>
        <v>HIB3</v>
      </c>
      <c r="J480" s="7" t="str">
        <f aca="false">Raw_Nigeria!H480</f>
        <v>Record or Recall</v>
      </c>
      <c r="K480" s="7" t="str">
        <f aca="false">Raw_Nigeria!L480</f>
        <v>12-23 m</v>
      </c>
      <c r="L480" s="7" t="str">
        <f aca="false">IF(Raw_Nigeria!K480="","n/a",Raw_Nigeria!K480)</f>
        <v>0-23 m</v>
      </c>
      <c r="M480" s="7" t="n">
        <f aca="false">IF(Raw_Nigeria!I480="","",Raw_Nigeria!I480)</f>
        <v>29</v>
      </c>
      <c r="N480" s="7" t="n">
        <f aca="false">Raw_Nigeria!M480</f>
        <v>34.4</v>
      </c>
      <c r="O480" s="7" t="n">
        <f aca="false">IF(Raw_Nigeria!N480="","",Raw_Nigeria!N480)</f>
        <v>5535</v>
      </c>
      <c r="P480" s="7" t="str">
        <f aca="false">IF(K480="CBAW","Women of child-bearing age","Children")</f>
        <v>Children</v>
      </c>
      <c r="Q480" s="7" t="n">
        <f aca="false">IF(J480="NOT USED",1,0)</f>
        <v>0</v>
      </c>
      <c r="R480" s="7" t="n">
        <f aca="false">IF(AND(P480="Children",Q480=0),1,0)</f>
        <v>1</v>
      </c>
      <c r="S480" s="7" t="n">
        <f aca="false">IF(AND(R480=1,J480="Record or Recall",K480="12-23 m"),1,0)</f>
        <v>1</v>
      </c>
      <c r="T480" s="7" t="n">
        <f aca="false">IF(OR(I480="BCG",I480="DTP1",I480="DTP3",I480="POL3",I480="MCV1",I480="FULL"),1,0)</f>
        <v>0</v>
      </c>
      <c r="U480" s="7" t="n">
        <f aca="false">IF(OR(C480="DHS",C480="MICS"),1,0)</f>
        <v>1</v>
      </c>
      <c r="V480" s="7" t="n">
        <f aca="false">IF(O480="",1,0)</f>
        <v>0</v>
      </c>
      <c r="W480" s="7" t="n">
        <f aca="false">IF(M480="",1,0)</f>
        <v>0</v>
      </c>
      <c r="X480" s="7" t="n">
        <f aca="false">COUNTIFS($B$2:$B$1141,B480,$H$2:$H$1141,H480,$I$2:$I$1141,I480,$J$2:$J$1141,J480,$K$2:$K$1141,K480,$L$2:$L$1141,L480)</f>
        <v>1</v>
      </c>
    </row>
    <row r="481" customFormat="false" ht="15" hidden="false" customHeight="false" outlineLevel="0" collapsed="false">
      <c r="A481" s="7" t="n">
        <f aca="false">ROW()-1</f>
        <v>480</v>
      </c>
      <c r="B481" s="7" t="str">
        <f aca="false">IF(Raw_Nigeria!B481="",TRIM(Raw_Nigeria!C481),TRIM(Raw_Nigeria!B481))</f>
        <v>Nigeria Multiple Indicator Cluster Survey 2016-2017</v>
      </c>
      <c r="C481" s="7" t="str">
        <f aca="false">IF(ISNUMBER(SEARCH("Demographic and Health",B481)),"DHS",IF(OR(ISNUMBER(SEARCH("Multiple Indicator Cluster",B481)),ISNUMBER(SEARCH("MICS",B481))),"MICS",IF(ISNUMBER(SEARCH("Immunization Coverage Survey",B481)),"Coverage survey",IF(ISNUMBER(SEARCH("Nutrition",B481)),"Nutrition survey","Other"))))</f>
        <v>MICS</v>
      </c>
      <c r="D481" s="7" t="n">
        <f aca="false">VALUE(LEFT(Raw_Nigeria!D481,4))</f>
        <v>2016</v>
      </c>
      <c r="E481" s="7" t="n">
        <f aca="false">IF(VALUE(RIGHT(Raw_Nigeria!D481,2))&gt;12,"",VALUE(RIGHT(Raw_Nigeria!D481,2)))</f>
        <v>9</v>
      </c>
      <c r="F481" s="7" t="n">
        <f aca="false">VALUE(LEFT(Raw_Nigeria!E481,4))</f>
        <v>2017</v>
      </c>
      <c r="G481" s="7" t="n">
        <f aca="false">IF(VALUE(RIGHT(Raw_Nigeria!E481,2))&gt;12,"",VALUE(RIGHT(Raw_Nigeria!E481,2)))</f>
        <v>1</v>
      </c>
      <c r="H481" s="7" t="n">
        <f aca="false">Raw_Nigeria!F481</f>
        <v>2015</v>
      </c>
      <c r="I481" s="7" t="str">
        <f aca="false">UPPER(TRIM(Raw_Nigeria!G481))</f>
        <v>HIB3</v>
      </c>
      <c r="J481" s="7" t="str">
        <f aca="false">Raw_Nigeria!H481</f>
        <v>Recall</v>
      </c>
      <c r="K481" s="7" t="str">
        <f aca="false">Raw_Nigeria!L481</f>
        <v>12-23 m</v>
      </c>
      <c r="L481" s="7" t="str">
        <f aca="false">IF(Raw_Nigeria!K481="","n/a",Raw_Nigeria!K481)</f>
        <v>0-23 m</v>
      </c>
      <c r="M481" s="7" t="n">
        <f aca="false">IF(Raw_Nigeria!I481="","",Raw_Nigeria!I481)</f>
        <v>29</v>
      </c>
      <c r="N481" s="7" t="n">
        <f aca="false">Raw_Nigeria!M481</f>
        <v>11.4</v>
      </c>
      <c r="O481" s="7" t="n">
        <f aca="false">IF(Raw_Nigeria!N481="","",Raw_Nigeria!N481)</f>
        <v>5535</v>
      </c>
      <c r="P481" s="7" t="str">
        <f aca="false">IF(K481="CBAW","Women of child-bearing age","Children")</f>
        <v>Children</v>
      </c>
      <c r="Q481" s="7" t="n">
        <f aca="false">IF(J481="NOT USED",1,0)</f>
        <v>0</v>
      </c>
      <c r="R481" s="7" t="n">
        <f aca="false">IF(AND(P481="Children",Q481=0),1,0)</f>
        <v>1</v>
      </c>
      <c r="S481" s="7" t="n">
        <f aca="false">IF(AND(R481=1,J481="Record or Recall",K481="12-23 m"),1,0)</f>
        <v>0</v>
      </c>
      <c r="T481" s="7" t="n">
        <f aca="false">IF(OR(I481="BCG",I481="DTP1",I481="DTP3",I481="POL3",I481="MCV1",I481="FULL"),1,0)</f>
        <v>0</v>
      </c>
      <c r="U481" s="7" t="n">
        <f aca="false">IF(OR(C481="DHS",C481="MICS"),1,0)</f>
        <v>1</v>
      </c>
      <c r="V481" s="7" t="n">
        <f aca="false">IF(O481="",1,0)</f>
        <v>0</v>
      </c>
      <c r="W481" s="7" t="n">
        <f aca="false">IF(M481="",1,0)</f>
        <v>0</v>
      </c>
      <c r="X481" s="7" t="n">
        <f aca="false">COUNTIFS($B$2:$B$1141,B481,$H$2:$H$1141,H481,$I$2:$I$1141,I481,$J$2:$J$1141,J481,$K$2:$K$1141,K481,$L$2:$L$1141,L481)</f>
        <v>1</v>
      </c>
    </row>
    <row r="482" customFormat="false" ht="15" hidden="false" customHeight="false" outlineLevel="0" collapsed="false">
      <c r="A482" s="7" t="n">
        <f aca="false">ROW()-1</f>
        <v>481</v>
      </c>
      <c r="B482" s="7" t="str">
        <f aca="false">IF(Raw_Nigeria!B482="",TRIM(Raw_Nigeria!C482),TRIM(Raw_Nigeria!B482))</f>
        <v>Nigeria Multiple Indicator Cluster Survey 2016-2017</v>
      </c>
      <c r="C482" s="7" t="str">
        <f aca="false">IF(ISNUMBER(SEARCH("Demographic and Health",B482)),"DHS",IF(OR(ISNUMBER(SEARCH("Multiple Indicator Cluster",B482)),ISNUMBER(SEARCH("MICS",B482))),"MICS",IF(ISNUMBER(SEARCH("Immunization Coverage Survey",B482)),"Coverage survey",IF(ISNUMBER(SEARCH("Nutrition",B482)),"Nutrition survey","Other"))))</f>
        <v>MICS</v>
      </c>
      <c r="D482" s="7" t="n">
        <f aca="false">VALUE(LEFT(Raw_Nigeria!D482,4))</f>
        <v>2016</v>
      </c>
      <c r="E482" s="7" t="n">
        <f aca="false">IF(VALUE(RIGHT(Raw_Nigeria!D482,2))&gt;12,"",VALUE(RIGHT(Raw_Nigeria!D482,2)))</f>
        <v>9</v>
      </c>
      <c r="F482" s="7" t="n">
        <f aca="false">VALUE(LEFT(Raw_Nigeria!E482,4))</f>
        <v>2017</v>
      </c>
      <c r="G482" s="7" t="n">
        <f aca="false">IF(VALUE(RIGHT(Raw_Nigeria!E482,2))&gt;12,"",VALUE(RIGHT(Raw_Nigeria!E482,2)))</f>
        <v>1</v>
      </c>
      <c r="H482" s="7" t="n">
        <f aca="false">Raw_Nigeria!F482</f>
        <v>2015</v>
      </c>
      <c r="I482" s="7" t="str">
        <f aca="false">UPPER(TRIM(Raw_Nigeria!G482))</f>
        <v>IPV1</v>
      </c>
      <c r="J482" s="7" t="str">
        <f aca="false">Raw_Nigeria!H482</f>
        <v>Record or Recall&lt;12m</v>
      </c>
      <c r="K482" s="7" t="str">
        <f aca="false">Raw_Nigeria!L482</f>
        <v>12-23 m</v>
      </c>
      <c r="L482" s="7" t="str">
        <f aca="false">IF(Raw_Nigeria!K482="","n/a",Raw_Nigeria!K482)</f>
        <v>0-12 m</v>
      </c>
      <c r="M482" s="7" t="n">
        <f aca="false">IF(Raw_Nigeria!I482="","",Raw_Nigeria!I482)</f>
        <v>29</v>
      </c>
      <c r="N482" s="7" t="n">
        <f aca="false">Raw_Nigeria!M482</f>
        <v>40.2</v>
      </c>
      <c r="O482" s="7" t="n">
        <f aca="false">IF(Raw_Nigeria!N482="","",Raw_Nigeria!N482)</f>
        <v>5535</v>
      </c>
      <c r="P482" s="7" t="str">
        <f aca="false">IF(K482="CBAW","Women of child-bearing age","Children")</f>
        <v>Children</v>
      </c>
      <c r="Q482" s="7" t="n">
        <f aca="false">IF(J482="NOT USED",1,0)</f>
        <v>0</v>
      </c>
      <c r="R482" s="7" t="n">
        <f aca="false">IF(AND(P482="Children",Q482=0),1,0)</f>
        <v>1</v>
      </c>
      <c r="S482" s="7" t="n">
        <f aca="false">IF(AND(R482=1,J482="Record or Recall",K482="12-23 m"),1,0)</f>
        <v>0</v>
      </c>
      <c r="T482" s="7" t="n">
        <f aca="false">IF(OR(I482="BCG",I482="DTP1",I482="DTP3",I482="POL3",I482="MCV1",I482="FULL"),1,0)</f>
        <v>0</v>
      </c>
      <c r="U482" s="7" t="n">
        <f aca="false">IF(OR(C482="DHS",C482="MICS"),1,0)</f>
        <v>1</v>
      </c>
      <c r="V482" s="7" t="n">
        <f aca="false">IF(O482="",1,0)</f>
        <v>0</v>
      </c>
      <c r="W482" s="7" t="n">
        <f aca="false">IF(M482="",1,0)</f>
        <v>0</v>
      </c>
      <c r="X482" s="7" t="n">
        <f aca="false">COUNTIFS($B$2:$B$1141,B482,$H$2:$H$1141,H482,$I$2:$I$1141,I482,$J$2:$J$1141,J482,$K$2:$K$1141,K482,$L$2:$L$1141,L482)</f>
        <v>1</v>
      </c>
    </row>
    <row r="483" customFormat="false" ht="15" hidden="false" customHeight="false" outlineLevel="0" collapsed="false">
      <c r="A483" s="7" t="n">
        <f aca="false">ROW()-1</f>
        <v>482</v>
      </c>
      <c r="B483" s="7" t="str">
        <f aca="false">IF(Raw_Nigeria!B483="",TRIM(Raw_Nigeria!C483),TRIM(Raw_Nigeria!B483))</f>
        <v>Nigeria Multiple Indicator Cluster Survey 2016-2017</v>
      </c>
      <c r="C483" s="7" t="str">
        <f aca="false">IF(ISNUMBER(SEARCH("Demographic and Health",B483)),"DHS",IF(OR(ISNUMBER(SEARCH("Multiple Indicator Cluster",B483)),ISNUMBER(SEARCH("MICS",B483))),"MICS",IF(ISNUMBER(SEARCH("Immunization Coverage Survey",B483)),"Coverage survey",IF(ISNUMBER(SEARCH("Nutrition",B483)),"Nutrition survey","Other"))))</f>
        <v>MICS</v>
      </c>
      <c r="D483" s="7" t="n">
        <f aca="false">VALUE(LEFT(Raw_Nigeria!D483,4))</f>
        <v>2016</v>
      </c>
      <c r="E483" s="7" t="n">
        <f aca="false">IF(VALUE(RIGHT(Raw_Nigeria!D483,2))&gt;12,"",VALUE(RIGHT(Raw_Nigeria!D483,2)))</f>
        <v>9</v>
      </c>
      <c r="F483" s="7" t="n">
        <f aca="false">VALUE(LEFT(Raw_Nigeria!E483,4))</f>
        <v>2017</v>
      </c>
      <c r="G483" s="7" t="n">
        <f aca="false">IF(VALUE(RIGHT(Raw_Nigeria!E483,2))&gt;12,"",VALUE(RIGHT(Raw_Nigeria!E483,2)))</f>
        <v>1</v>
      </c>
      <c r="H483" s="7" t="n">
        <f aca="false">Raw_Nigeria!F483</f>
        <v>2015</v>
      </c>
      <c r="I483" s="7" t="str">
        <f aca="false">UPPER(TRIM(Raw_Nigeria!G483))</f>
        <v>IPV1</v>
      </c>
      <c r="J483" s="7" t="str">
        <f aca="false">Raw_Nigeria!H483</f>
        <v>Record</v>
      </c>
      <c r="K483" s="7" t="str">
        <f aca="false">Raw_Nigeria!L483</f>
        <v>12-23 m</v>
      </c>
      <c r="L483" s="7" t="str">
        <f aca="false">IF(Raw_Nigeria!K483="","n/a",Raw_Nigeria!K483)</f>
        <v>0-23 m</v>
      </c>
      <c r="M483" s="7" t="n">
        <f aca="false">IF(Raw_Nigeria!I483="","",Raw_Nigeria!I483)</f>
        <v>29</v>
      </c>
      <c r="N483" s="7" t="n">
        <f aca="false">Raw_Nigeria!M483</f>
        <v>18.8</v>
      </c>
      <c r="O483" s="7" t="n">
        <f aca="false">IF(Raw_Nigeria!N483="","",Raw_Nigeria!N483)</f>
        <v>5535</v>
      </c>
      <c r="P483" s="7" t="str">
        <f aca="false">IF(K483="CBAW","Women of child-bearing age","Children")</f>
        <v>Children</v>
      </c>
      <c r="Q483" s="7" t="n">
        <f aca="false">IF(J483="NOT USED",1,0)</f>
        <v>0</v>
      </c>
      <c r="R483" s="7" t="n">
        <f aca="false">IF(AND(P483="Children",Q483=0),1,0)</f>
        <v>1</v>
      </c>
      <c r="S483" s="7" t="n">
        <f aca="false">IF(AND(R483=1,J483="Record or Recall",K483="12-23 m"),1,0)</f>
        <v>0</v>
      </c>
      <c r="T483" s="7" t="n">
        <f aca="false">IF(OR(I483="BCG",I483="DTP1",I483="DTP3",I483="POL3",I483="MCV1",I483="FULL"),1,0)</f>
        <v>0</v>
      </c>
      <c r="U483" s="7" t="n">
        <f aca="false">IF(OR(C483="DHS",C483="MICS"),1,0)</f>
        <v>1</v>
      </c>
      <c r="V483" s="7" t="n">
        <f aca="false">IF(O483="",1,0)</f>
        <v>0</v>
      </c>
      <c r="W483" s="7" t="n">
        <f aca="false">IF(M483="",1,0)</f>
        <v>0</v>
      </c>
      <c r="X483" s="7" t="n">
        <f aca="false">COUNTIFS($B$2:$B$1141,B483,$H$2:$H$1141,H483,$I$2:$I$1141,I483,$J$2:$J$1141,J483,$K$2:$K$1141,K483,$L$2:$L$1141,L483)</f>
        <v>1</v>
      </c>
    </row>
    <row r="484" customFormat="false" ht="15" hidden="false" customHeight="false" outlineLevel="0" collapsed="false">
      <c r="A484" s="7" t="n">
        <f aca="false">ROW()-1</f>
        <v>483</v>
      </c>
      <c r="B484" s="7" t="str">
        <f aca="false">IF(Raw_Nigeria!B484="",TRIM(Raw_Nigeria!C484),TRIM(Raw_Nigeria!B484))</f>
        <v>Nigeria Multiple Indicator Cluster Survey 2016-2017</v>
      </c>
      <c r="C484" s="7" t="str">
        <f aca="false">IF(ISNUMBER(SEARCH("Demographic and Health",B484)),"DHS",IF(OR(ISNUMBER(SEARCH("Multiple Indicator Cluster",B484)),ISNUMBER(SEARCH("MICS",B484))),"MICS",IF(ISNUMBER(SEARCH("Immunization Coverage Survey",B484)),"Coverage survey",IF(ISNUMBER(SEARCH("Nutrition",B484)),"Nutrition survey","Other"))))</f>
        <v>MICS</v>
      </c>
      <c r="D484" s="7" t="n">
        <f aca="false">VALUE(LEFT(Raw_Nigeria!D484,4))</f>
        <v>2016</v>
      </c>
      <c r="E484" s="7" t="n">
        <f aca="false">IF(VALUE(RIGHT(Raw_Nigeria!D484,2))&gt;12,"",VALUE(RIGHT(Raw_Nigeria!D484,2)))</f>
        <v>9</v>
      </c>
      <c r="F484" s="7" t="n">
        <f aca="false">VALUE(LEFT(Raw_Nigeria!E484,4))</f>
        <v>2017</v>
      </c>
      <c r="G484" s="7" t="n">
        <f aca="false">IF(VALUE(RIGHT(Raw_Nigeria!E484,2))&gt;12,"",VALUE(RIGHT(Raw_Nigeria!E484,2)))</f>
        <v>1</v>
      </c>
      <c r="H484" s="7" t="n">
        <f aca="false">Raw_Nigeria!F484</f>
        <v>2015</v>
      </c>
      <c r="I484" s="7" t="str">
        <f aca="false">UPPER(TRIM(Raw_Nigeria!G484))</f>
        <v>IPV1</v>
      </c>
      <c r="J484" s="7" t="str">
        <f aca="false">Raw_Nigeria!H484</f>
        <v>Record or Recall</v>
      </c>
      <c r="K484" s="7" t="str">
        <f aca="false">Raw_Nigeria!L484</f>
        <v>12-23 m</v>
      </c>
      <c r="L484" s="7" t="str">
        <f aca="false">IF(Raw_Nigeria!K484="","n/a",Raw_Nigeria!K484)</f>
        <v>0-23 m</v>
      </c>
      <c r="M484" s="7" t="n">
        <f aca="false">IF(Raw_Nigeria!I484="","",Raw_Nigeria!I484)</f>
        <v>29</v>
      </c>
      <c r="N484" s="7" t="n">
        <f aca="false">Raw_Nigeria!M484</f>
        <v>42.4</v>
      </c>
      <c r="O484" s="7" t="n">
        <f aca="false">IF(Raw_Nigeria!N484="","",Raw_Nigeria!N484)</f>
        <v>5535</v>
      </c>
      <c r="P484" s="7" t="str">
        <f aca="false">IF(K484="CBAW","Women of child-bearing age","Children")</f>
        <v>Children</v>
      </c>
      <c r="Q484" s="7" t="n">
        <f aca="false">IF(J484="NOT USED",1,0)</f>
        <v>0</v>
      </c>
      <c r="R484" s="7" t="n">
        <f aca="false">IF(AND(P484="Children",Q484=0),1,0)</f>
        <v>1</v>
      </c>
      <c r="S484" s="7" t="n">
        <f aca="false">IF(AND(R484=1,J484="Record or Recall",K484="12-23 m"),1,0)</f>
        <v>1</v>
      </c>
      <c r="T484" s="7" t="n">
        <f aca="false">IF(OR(I484="BCG",I484="DTP1",I484="DTP3",I484="POL3",I484="MCV1",I484="FULL"),1,0)</f>
        <v>0</v>
      </c>
      <c r="U484" s="7" t="n">
        <f aca="false">IF(OR(C484="DHS",C484="MICS"),1,0)</f>
        <v>1</v>
      </c>
      <c r="V484" s="7" t="n">
        <f aca="false">IF(O484="",1,0)</f>
        <v>0</v>
      </c>
      <c r="W484" s="7" t="n">
        <f aca="false">IF(M484="",1,0)</f>
        <v>0</v>
      </c>
      <c r="X484" s="7" t="n">
        <f aca="false">COUNTIFS($B$2:$B$1141,B484,$H$2:$H$1141,H484,$I$2:$I$1141,I484,$J$2:$J$1141,J484,$K$2:$K$1141,K484,$L$2:$L$1141,L484)</f>
        <v>1</v>
      </c>
    </row>
    <row r="485" customFormat="false" ht="15" hidden="false" customHeight="false" outlineLevel="0" collapsed="false">
      <c r="A485" s="7" t="n">
        <f aca="false">ROW()-1</f>
        <v>484</v>
      </c>
      <c r="B485" s="7" t="str">
        <f aca="false">IF(Raw_Nigeria!B485="",TRIM(Raw_Nigeria!C485),TRIM(Raw_Nigeria!B485))</f>
        <v>Nigeria Multiple Indicator Cluster Survey 2016-2017</v>
      </c>
      <c r="C485" s="7" t="str">
        <f aca="false">IF(ISNUMBER(SEARCH("Demographic and Health",B485)),"DHS",IF(OR(ISNUMBER(SEARCH("Multiple Indicator Cluster",B485)),ISNUMBER(SEARCH("MICS",B485))),"MICS",IF(ISNUMBER(SEARCH("Immunization Coverage Survey",B485)),"Coverage survey",IF(ISNUMBER(SEARCH("Nutrition",B485)),"Nutrition survey","Other"))))</f>
        <v>MICS</v>
      </c>
      <c r="D485" s="7" t="n">
        <f aca="false">VALUE(LEFT(Raw_Nigeria!D485,4))</f>
        <v>2016</v>
      </c>
      <c r="E485" s="7" t="n">
        <f aca="false">IF(VALUE(RIGHT(Raw_Nigeria!D485,2))&gt;12,"",VALUE(RIGHT(Raw_Nigeria!D485,2)))</f>
        <v>9</v>
      </c>
      <c r="F485" s="7" t="n">
        <f aca="false">VALUE(LEFT(Raw_Nigeria!E485,4))</f>
        <v>2017</v>
      </c>
      <c r="G485" s="7" t="n">
        <f aca="false">IF(VALUE(RIGHT(Raw_Nigeria!E485,2))&gt;12,"",VALUE(RIGHT(Raw_Nigeria!E485,2)))</f>
        <v>1</v>
      </c>
      <c r="H485" s="7" t="n">
        <f aca="false">Raw_Nigeria!F485</f>
        <v>2015</v>
      </c>
      <c r="I485" s="7" t="str">
        <f aca="false">UPPER(TRIM(Raw_Nigeria!G485))</f>
        <v>IPV1</v>
      </c>
      <c r="J485" s="7" t="str">
        <f aca="false">Raw_Nigeria!H485</f>
        <v>Recall</v>
      </c>
      <c r="K485" s="7" t="str">
        <f aca="false">Raw_Nigeria!L485</f>
        <v>12-23 m</v>
      </c>
      <c r="L485" s="7" t="str">
        <f aca="false">IF(Raw_Nigeria!K485="","n/a",Raw_Nigeria!K485)</f>
        <v>0-23 m</v>
      </c>
      <c r="M485" s="7" t="n">
        <f aca="false">IF(Raw_Nigeria!I485="","",Raw_Nigeria!I485)</f>
        <v>29</v>
      </c>
      <c r="N485" s="7" t="n">
        <f aca="false">Raw_Nigeria!M485</f>
        <v>23.6</v>
      </c>
      <c r="O485" s="7" t="n">
        <f aca="false">IF(Raw_Nigeria!N485="","",Raw_Nigeria!N485)</f>
        <v>5535</v>
      </c>
      <c r="P485" s="7" t="str">
        <f aca="false">IF(K485="CBAW","Women of child-bearing age","Children")</f>
        <v>Children</v>
      </c>
      <c r="Q485" s="7" t="n">
        <f aca="false">IF(J485="NOT USED",1,0)</f>
        <v>0</v>
      </c>
      <c r="R485" s="7" t="n">
        <f aca="false">IF(AND(P485="Children",Q485=0),1,0)</f>
        <v>1</v>
      </c>
      <c r="S485" s="7" t="n">
        <f aca="false">IF(AND(R485=1,J485="Record or Recall",K485="12-23 m"),1,0)</f>
        <v>0</v>
      </c>
      <c r="T485" s="7" t="n">
        <f aca="false">IF(OR(I485="BCG",I485="DTP1",I485="DTP3",I485="POL3",I485="MCV1",I485="FULL"),1,0)</f>
        <v>0</v>
      </c>
      <c r="U485" s="7" t="n">
        <f aca="false">IF(OR(C485="DHS",C485="MICS"),1,0)</f>
        <v>1</v>
      </c>
      <c r="V485" s="7" t="n">
        <f aca="false">IF(O485="",1,0)</f>
        <v>0</v>
      </c>
      <c r="W485" s="7" t="n">
        <f aca="false">IF(M485="",1,0)</f>
        <v>0</v>
      </c>
      <c r="X485" s="7" t="n">
        <f aca="false">COUNTIFS($B$2:$B$1141,B485,$H$2:$H$1141,H485,$I$2:$I$1141,I485,$J$2:$J$1141,J485,$K$2:$K$1141,K485,$L$2:$L$1141,L485)</f>
        <v>1</v>
      </c>
    </row>
    <row r="486" customFormat="false" ht="15" hidden="false" customHeight="false" outlineLevel="0" collapsed="false">
      <c r="A486" s="7" t="n">
        <f aca="false">ROW()-1</f>
        <v>485</v>
      </c>
      <c r="B486" s="7" t="str">
        <f aca="false">IF(Raw_Nigeria!B486="",TRIM(Raw_Nigeria!C486),TRIM(Raw_Nigeria!B486))</f>
        <v>Nigeria Multiple Indicator Cluster Survey 2016-2017</v>
      </c>
      <c r="C486" s="7" t="str">
        <f aca="false">IF(ISNUMBER(SEARCH("Demographic and Health",B486)),"DHS",IF(OR(ISNUMBER(SEARCH("Multiple Indicator Cluster",B486)),ISNUMBER(SEARCH("MICS",B486))),"MICS",IF(ISNUMBER(SEARCH("Immunization Coverage Survey",B486)),"Coverage survey",IF(ISNUMBER(SEARCH("Nutrition",B486)),"Nutrition survey","Other"))))</f>
        <v>MICS</v>
      </c>
      <c r="D486" s="7" t="n">
        <f aca="false">VALUE(LEFT(Raw_Nigeria!D486,4))</f>
        <v>2016</v>
      </c>
      <c r="E486" s="7" t="n">
        <f aca="false">IF(VALUE(RIGHT(Raw_Nigeria!D486,2))&gt;12,"",VALUE(RIGHT(Raw_Nigeria!D486,2)))</f>
        <v>9</v>
      </c>
      <c r="F486" s="7" t="n">
        <f aca="false">VALUE(LEFT(Raw_Nigeria!E486,4))</f>
        <v>2017</v>
      </c>
      <c r="G486" s="7" t="n">
        <f aca="false">IF(VALUE(RIGHT(Raw_Nigeria!E486,2))&gt;12,"",VALUE(RIGHT(Raw_Nigeria!E486,2)))</f>
        <v>1</v>
      </c>
      <c r="H486" s="7" t="n">
        <f aca="false">Raw_Nigeria!F486</f>
        <v>2015</v>
      </c>
      <c r="I486" s="7" t="str">
        <f aca="false">UPPER(TRIM(Raw_Nigeria!G486))</f>
        <v>MCV1</v>
      </c>
      <c r="J486" s="7" t="str">
        <f aca="false">Raw_Nigeria!H486</f>
        <v>Record or Recall&lt;12m</v>
      </c>
      <c r="K486" s="7" t="str">
        <f aca="false">Raw_Nigeria!L486</f>
        <v>12-23 m</v>
      </c>
      <c r="L486" s="7" t="str">
        <f aca="false">IF(Raw_Nigeria!K486="","n/a",Raw_Nigeria!K486)</f>
        <v>0-12 m</v>
      </c>
      <c r="M486" s="7" t="n">
        <f aca="false">IF(Raw_Nigeria!I486="","",Raw_Nigeria!I486)</f>
        <v>29</v>
      </c>
      <c r="N486" s="7" t="n">
        <f aca="false">Raw_Nigeria!M486</f>
        <v>38.5</v>
      </c>
      <c r="O486" s="7" t="n">
        <f aca="false">IF(Raw_Nigeria!N486="","",Raw_Nigeria!N486)</f>
        <v>5535</v>
      </c>
      <c r="P486" s="7" t="str">
        <f aca="false">IF(K486="CBAW","Women of child-bearing age","Children")</f>
        <v>Children</v>
      </c>
      <c r="Q486" s="7" t="n">
        <f aca="false">IF(J486="NOT USED",1,0)</f>
        <v>0</v>
      </c>
      <c r="R486" s="7" t="n">
        <f aca="false">IF(AND(P486="Children",Q486=0),1,0)</f>
        <v>1</v>
      </c>
      <c r="S486" s="7" t="n">
        <f aca="false">IF(AND(R486=1,J486="Record or Recall",K486="12-23 m"),1,0)</f>
        <v>0</v>
      </c>
      <c r="T486" s="7" t="n">
        <f aca="false">IF(OR(I486="BCG",I486="DTP1",I486="DTP3",I486="POL3",I486="MCV1",I486="FULL"),1,0)</f>
        <v>1</v>
      </c>
      <c r="U486" s="7" t="n">
        <f aca="false">IF(OR(C486="DHS",C486="MICS"),1,0)</f>
        <v>1</v>
      </c>
      <c r="V486" s="7" t="n">
        <f aca="false">IF(O486="",1,0)</f>
        <v>0</v>
      </c>
      <c r="W486" s="7" t="n">
        <f aca="false">IF(M486="",1,0)</f>
        <v>0</v>
      </c>
      <c r="X486" s="7" t="n">
        <f aca="false">COUNTIFS($B$2:$B$1141,B486,$H$2:$H$1141,H486,$I$2:$I$1141,I486,$J$2:$J$1141,J486,$K$2:$K$1141,K486,$L$2:$L$1141,L486)</f>
        <v>1</v>
      </c>
    </row>
    <row r="487" customFormat="false" ht="15" hidden="false" customHeight="false" outlineLevel="0" collapsed="false">
      <c r="A487" s="7" t="n">
        <f aca="false">ROW()-1</f>
        <v>486</v>
      </c>
      <c r="B487" s="7" t="str">
        <f aca="false">IF(Raw_Nigeria!B487="",TRIM(Raw_Nigeria!C487),TRIM(Raw_Nigeria!B487))</f>
        <v>Nigeria Multiple Indicator Cluster Survey 2016-2017</v>
      </c>
      <c r="C487" s="7" t="str">
        <f aca="false">IF(ISNUMBER(SEARCH("Demographic and Health",B487)),"DHS",IF(OR(ISNUMBER(SEARCH("Multiple Indicator Cluster",B487)),ISNUMBER(SEARCH("MICS",B487))),"MICS",IF(ISNUMBER(SEARCH("Immunization Coverage Survey",B487)),"Coverage survey",IF(ISNUMBER(SEARCH("Nutrition",B487)),"Nutrition survey","Other"))))</f>
        <v>MICS</v>
      </c>
      <c r="D487" s="7" t="n">
        <f aca="false">VALUE(LEFT(Raw_Nigeria!D487,4))</f>
        <v>2016</v>
      </c>
      <c r="E487" s="7" t="n">
        <f aca="false">IF(VALUE(RIGHT(Raw_Nigeria!D487,2))&gt;12,"",VALUE(RIGHT(Raw_Nigeria!D487,2)))</f>
        <v>9</v>
      </c>
      <c r="F487" s="7" t="n">
        <f aca="false">VALUE(LEFT(Raw_Nigeria!E487,4))</f>
        <v>2017</v>
      </c>
      <c r="G487" s="7" t="n">
        <f aca="false">IF(VALUE(RIGHT(Raw_Nigeria!E487,2))&gt;12,"",VALUE(RIGHT(Raw_Nigeria!E487,2)))</f>
        <v>1</v>
      </c>
      <c r="H487" s="7" t="n">
        <f aca="false">Raw_Nigeria!F487</f>
        <v>2015</v>
      </c>
      <c r="I487" s="7" t="str">
        <f aca="false">UPPER(TRIM(Raw_Nigeria!G487))</f>
        <v>MCV1</v>
      </c>
      <c r="J487" s="7" t="str">
        <f aca="false">Raw_Nigeria!H487</f>
        <v>Record</v>
      </c>
      <c r="K487" s="7" t="str">
        <f aca="false">Raw_Nigeria!L487</f>
        <v>12-23 m</v>
      </c>
      <c r="L487" s="7" t="str">
        <f aca="false">IF(Raw_Nigeria!K487="","n/a",Raw_Nigeria!K487)</f>
        <v>0-23 m</v>
      </c>
      <c r="M487" s="7" t="n">
        <f aca="false">IF(Raw_Nigeria!I487="","",Raw_Nigeria!I487)</f>
        <v>29</v>
      </c>
      <c r="N487" s="7" t="n">
        <f aca="false">Raw_Nigeria!M487</f>
        <v>20.4</v>
      </c>
      <c r="O487" s="7" t="n">
        <f aca="false">IF(Raw_Nigeria!N487="","",Raw_Nigeria!N487)</f>
        <v>5535</v>
      </c>
      <c r="P487" s="7" t="str">
        <f aca="false">IF(K487="CBAW","Women of child-bearing age","Children")</f>
        <v>Children</v>
      </c>
      <c r="Q487" s="7" t="n">
        <f aca="false">IF(J487="NOT USED",1,0)</f>
        <v>0</v>
      </c>
      <c r="R487" s="7" t="n">
        <f aca="false">IF(AND(P487="Children",Q487=0),1,0)</f>
        <v>1</v>
      </c>
      <c r="S487" s="7" t="n">
        <f aca="false">IF(AND(R487=1,J487="Record or Recall",K487="12-23 m"),1,0)</f>
        <v>0</v>
      </c>
      <c r="T487" s="7" t="n">
        <f aca="false">IF(OR(I487="BCG",I487="DTP1",I487="DTP3",I487="POL3",I487="MCV1",I487="FULL"),1,0)</f>
        <v>1</v>
      </c>
      <c r="U487" s="7" t="n">
        <f aca="false">IF(OR(C487="DHS",C487="MICS"),1,0)</f>
        <v>1</v>
      </c>
      <c r="V487" s="7" t="n">
        <f aca="false">IF(O487="",1,0)</f>
        <v>0</v>
      </c>
      <c r="W487" s="7" t="n">
        <f aca="false">IF(M487="",1,0)</f>
        <v>0</v>
      </c>
      <c r="X487" s="7" t="n">
        <f aca="false">COUNTIFS($B$2:$B$1141,B487,$H$2:$H$1141,H487,$I$2:$I$1141,I487,$J$2:$J$1141,J487,$K$2:$K$1141,K487,$L$2:$L$1141,L487)</f>
        <v>1</v>
      </c>
    </row>
    <row r="488" customFormat="false" ht="15" hidden="false" customHeight="false" outlineLevel="0" collapsed="false">
      <c r="A488" s="7" t="n">
        <f aca="false">ROW()-1</f>
        <v>487</v>
      </c>
      <c r="B488" s="7" t="str">
        <f aca="false">IF(Raw_Nigeria!B488="",TRIM(Raw_Nigeria!C488),TRIM(Raw_Nigeria!B488))</f>
        <v>Nigeria Multiple Indicator Cluster Survey 2016-2017</v>
      </c>
      <c r="C488" s="7" t="str">
        <f aca="false">IF(ISNUMBER(SEARCH("Demographic and Health",B488)),"DHS",IF(OR(ISNUMBER(SEARCH("Multiple Indicator Cluster",B488)),ISNUMBER(SEARCH("MICS",B488))),"MICS",IF(ISNUMBER(SEARCH("Immunization Coverage Survey",B488)),"Coverage survey",IF(ISNUMBER(SEARCH("Nutrition",B488)),"Nutrition survey","Other"))))</f>
        <v>MICS</v>
      </c>
      <c r="D488" s="7" t="n">
        <f aca="false">VALUE(LEFT(Raw_Nigeria!D488,4))</f>
        <v>2016</v>
      </c>
      <c r="E488" s="7" t="n">
        <f aca="false">IF(VALUE(RIGHT(Raw_Nigeria!D488,2))&gt;12,"",VALUE(RIGHT(Raw_Nigeria!D488,2)))</f>
        <v>9</v>
      </c>
      <c r="F488" s="7" t="n">
        <f aca="false">VALUE(LEFT(Raw_Nigeria!E488,4))</f>
        <v>2017</v>
      </c>
      <c r="G488" s="7" t="n">
        <f aca="false">IF(VALUE(RIGHT(Raw_Nigeria!E488,2))&gt;12,"",VALUE(RIGHT(Raw_Nigeria!E488,2)))</f>
        <v>1</v>
      </c>
      <c r="H488" s="7" t="n">
        <f aca="false">Raw_Nigeria!F488</f>
        <v>2015</v>
      </c>
      <c r="I488" s="7" t="str">
        <f aca="false">UPPER(TRIM(Raw_Nigeria!G488))</f>
        <v>MCV1</v>
      </c>
      <c r="J488" s="7" t="str">
        <f aca="false">Raw_Nigeria!H488</f>
        <v>Record or Recall</v>
      </c>
      <c r="K488" s="7" t="str">
        <f aca="false">Raw_Nigeria!L488</f>
        <v>12-23 m</v>
      </c>
      <c r="L488" s="7" t="str">
        <f aca="false">IF(Raw_Nigeria!K488="","n/a",Raw_Nigeria!K488)</f>
        <v>0-23 m</v>
      </c>
      <c r="M488" s="7" t="n">
        <f aca="false">IF(Raw_Nigeria!I488="","",Raw_Nigeria!I488)</f>
        <v>29</v>
      </c>
      <c r="N488" s="7" t="n">
        <f aca="false">Raw_Nigeria!M488</f>
        <v>41.8</v>
      </c>
      <c r="O488" s="7" t="n">
        <f aca="false">IF(Raw_Nigeria!N488="","",Raw_Nigeria!N488)</f>
        <v>5535</v>
      </c>
      <c r="P488" s="7" t="str">
        <f aca="false">IF(K488="CBAW","Women of child-bearing age","Children")</f>
        <v>Children</v>
      </c>
      <c r="Q488" s="7" t="n">
        <f aca="false">IF(J488="NOT USED",1,0)</f>
        <v>0</v>
      </c>
      <c r="R488" s="7" t="n">
        <f aca="false">IF(AND(P488="Children",Q488=0),1,0)</f>
        <v>1</v>
      </c>
      <c r="S488" s="7" t="n">
        <f aca="false">IF(AND(R488=1,J488="Record or Recall",K488="12-23 m"),1,0)</f>
        <v>1</v>
      </c>
      <c r="T488" s="7" t="n">
        <f aca="false">IF(OR(I488="BCG",I488="DTP1",I488="DTP3",I488="POL3",I488="MCV1",I488="FULL"),1,0)</f>
        <v>1</v>
      </c>
      <c r="U488" s="7" t="n">
        <f aca="false">IF(OR(C488="DHS",C488="MICS"),1,0)</f>
        <v>1</v>
      </c>
      <c r="V488" s="7" t="n">
        <f aca="false">IF(O488="",1,0)</f>
        <v>0</v>
      </c>
      <c r="W488" s="7" t="n">
        <f aca="false">IF(M488="",1,0)</f>
        <v>0</v>
      </c>
      <c r="X488" s="7" t="n">
        <f aca="false">COUNTIFS($B$2:$B$1141,B488,$H$2:$H$1141,H488,$I$2:$I$1141,I488,$J$2:$J$1141,J488,$K$2:$K$1141,K488,$L$2:$L$1141,L488)</f>
        <v>1</v>
      </c>
    </row>
    <row r="489" customFormat="false" ht="15" hidden="false" customHeight="false" outlineLevel="0" collapsed="false">
      <c r="A489" s="7" t="n">
        <f aca="false">ROW()-1</f>
        <v>488</v>
      </c>
      <c r="B489" s="7" t="str">
        <f aca="false">IF(Raw_Nigeria!B489="",TRIM(Raw_Nigeria!C489),TRIM(Raw_Nigeria!B489))</f>
        <v>Nigeria Multiple Indicator Cluster Survey 2016-2017</v>
      </c>
      <c r="C489" s="7" t="str">
        <f aca="false">IF(ISNUMBER(SEARCH("Demographic and Health",B489)),"DHS",IF(OR(ISNUMBER(SEARCH("Multiple Indicator Cluster",B489)),ISNUMBER(SEARCH("MICS",B489))),"MICS",IF(ISNUMBER(SEARCH("Immunization Coverage Survey",B489)),"Coverage survey",IF(ISNUMBER(SEARCH("Nutrition",B489)),"Nutrition survey","Other"))))</f>
        <v>MICS</v>
      </c>
      <c r="D489" s="7" t="n">
        <f aca="false">VALUE(LEFT(Raw_Nigeria!D489,4))</f>
        <v>2016</v>
      </c>
      <c r="E489" s="7" t="n">
        <f aca="false">IF(VALUE(RIGHT(Raw_Nigeria!D489,2))&gt;12,"",VALUE(RIGHT(Raw_Nigeria!D489,2)))</f>
        <v>9</v>
      </c>
      <c r="F489" s="7" t="n">
        <f aca="false">VALUE(LEFT(Raw_Nigeria!E489,4))</f>
        <v>2017</v>
      </c>
      <c r="G489" s="7" t="n">
        <f aca="false">IF(VALUE(RIGHT(Raw_Nigeria!E489,2))&gt;12,"",VALUE(RIGHT(Raw_Nigeria!E489,2)))</f>
        <v>1</v>
      </c>
      <c r="H489" s="7" t="n">
        <f aca="false">Raw_Nigeria!F489</f>
        <v>2015</v>
      </c>
      <c r="I489" s="7" t="str">
        <f aca="false">UPPER(TRIM(Raw_Nigeria!G489))</f>
        <v>MCV1</v>
      </c>
      <c r="J489" s="7" t="str">
        <f aca="false">Raw_Nigeria!H489</f>
        <v>Recall</v>
      </c>
      <c r="K489" s="7" t="str">
        <f aca="false">Raw_Nigeria!L489</f>
        <v>12-23 m</v>
      </c>
      <c r="L489" s="7" t="str">
        <f aca="false">IF(Raw_Nigeria!K489="","n/a",Raw_Nigeria!K489)</f>
        <v>0-23 m</v>
      </c>
      <c r="M489" s="7" t="n">
        <f aca="false">IF(Raw_Nigeria!I489="","",Raw_Nigeria!I489)</f>
        <v>29</v>
      </c>
      <c r="N489" s="7" t="n">
        <f aca="false">Raw_Nigeria!M489</f>
        <v>21.4</v>
      </c>
      <c r="O489" s="7" t="n">
        <f aca="false">IF(Raw_Nigeria!N489="","",Raw_Nigeria!N489)</f>
        <v>5535</v>
      </c>
      <c r="P489" s="7" t="str">
        <f aca="false">IF(K489="CBAW","Women of child-bearing age","Children")</f>
        <v>Children</v>
      </c>
      <c r="Q489" s="7" t="n">
        <f aca="false">IF(J489="NOT USED",1,0)</f>
        <v>0</v>
      </c>
      <c r="R489" s="7" t="n">
        <f aca="false">IF(AND(P489="Children",Q489=0),1,0)</f>
        <v>1</v>
      </c>
      <c r="S489" s="7" t="n">
        <f aca="false">IF(AND(R489=1,J489="Record or Recall",K489="12-23 m"),1,0)</f>
        <v>0</v>
      </c>
      <c r="T489" s="7" t="n">
        <f aca="false">IF(OR(I489="BCG",I489="DTP1",I489="DTP3",I489="POL3",I489="MCV1",I489="FULL"),1,0)</f>
        <v>1</v>
      </c>
      <c r="U489" s="7" t="n">
        <f aca="false">IF(OR(C489="DHS",C489="MICS"),1,0)</f>
        <v>1</v>
      </c>
      <c r="V489" s="7" t="n">
        <f aca="false">IF(O489="",1,0)</f>
        <v>0</v>
      </c>
      <c r="W489" s="7" t="n">
        <f aca="false">IF(M489="",1,0)</f>
        <v>0</v>
      </c>
      <c r="X489" s="7" t="n">
        <f aca="false">COUNTIFS($B$2:$B$1141,B489,$H$2:$H$1141,H489,$I$2:$I$1141,I489,$J$2:$J$1141,J489,$K$2:$K$1141,K489,$L$2:$L$1141,L489)</f>
        <v>1</v>
      </c>
    </row>
    <row r="490" customFormat="false" ht="15" hidden="false" customHeight="false" outlineLevel="0" collapsed="false">
      <c r="A490" s="7" t="n">
        <f aca="false">ROW()-1</f>
        <v>489</v>
      </c>
      <c r="B490" s="7" t="str">
        <f aca="false">IF(Raw_Nigeria!B490="",TRIM(Raw_Nigeria!C490),TRIM(Raw_Nigeria!B490))</f>
        <v>Nigeria Multiple Indicator Cluster Survey 2016-2017</v>
      </c>
      <c r="C490" s="7" t="str">
        <f aca="false">IF(ISNUMBER(SEARCH("Demographic and Health",B490)),"DHS",IF(OR(ISNUMBER(SEARCH("Multiple Indicator Cluster",B490)),ISNUMBER(SEARCH("MICS",B490))),"MICS",IF(ISNUMBER(SEARCH("Immunization Coverage Survey",B490)),"Coverage survey",IF(ISNUMBER(SEARCH("Nutrition",B490)),"Nutrition survey","Other"))))</f>
        <v>MICS</v>
      </c>
      <c r="D490" s="7" t="n">
        <f aca="false">VALUE(LEFT(Raw_Nigeria!D490,4))</f>
        <v>2016</v>
      </c>
      <c r="E490" s="7" t="n">
        <f aca="false">IF(VALUE(RIGHT(Raw_Nigeria!D490,2))&gt;12,"",VALUE(RIGHT(Raw_Nigeria!D490,2)))</f>
        <v>9</v>
      </c>
      <c r="F490" s="7" t="n">
        <f aca="false">VALUE(LEFT(Raw_Nigeria!E490,4))</f>
        <v>2017</v>
      </c>
      <c r="G490" s="7" t="n">
        <f aca="false">IF(VALUE(RIGHT(Raw_Nigeria!E490,2))&gt;12,"",VALUE(RIGHT(Raw_Nigeria!E490,2)))</f>
        <v>1</v>
      </c>
      <c r="H490" s="7" t="n">
        <f aca="false">Raw_Nigeria!F490</f>
        <v>2015</v>
      </c>
      <c r="I490" s="7" t="str">
        <f aca="false">UPPER(TRIM(Raw_Nigeria!G490))</f>
        <v>PAB</v>
      </c>
      <c r="J490" s="7" t="str">
        <f aca="false">Raw_Nigeria!H490</f>
        <v>Record or Recall</v>
      </c>
      <c r="K490" s="7" t="str">
        <f aca="false">Raw_Nigeria!L490</f>
        <v>CBAW</v>
      </c>
      <c r="L490" s="7" t="str">
        <f aca="false">IF(Raw_Nigeria!K490="","n/a",Raw_Nigeria!K490)</f>
        <v>n/a</v>
      </c>
      <c r="M490" s="7" t="str">
        <f aca="false">IF(Raw_Nigeria!I490="","",Raw_Nigeria!I490)</f>
        <v/>
      </c>
      <c r="N490" s="7" t="n">
        <f aca="false">Raw_Nigeria!M490</f>
        <v>55.3</v>
      </c>
      <c r="O490" s="7" t="n">
        <f aca="false">IF(Raw_Nigeria!N490="","",Raw_Nigeria!N490)</f>
        <v>11547</v>
      </c>
      <c r="P490" s="7" t="str">
        <f aca="false">IF(K490="CBAW","Women of child-bearing age","Children")</f>
        <v>Women of child-bearing age</v>
      </c>
      <c r="Q490" s="7" t="n">
        <f aca="false">IF(J490="NOT USED",1,0)</f>
        <v>0</v>
      </c>
      <c r="R490" s="7" t="n">
        <f aca="false">IF(AND(P490="Children",Q490=0),1,0)</f>
        <v>0</v>
      </c>
      <c r="S490" s="7" t="n">
        <f aca="false">IF(AND(R490=1,J490="Record or Recall",K490="12-23 m"),1,0)</f>
        <v>0</v>
      </c>
      <c r="T490" s="7" t="n">
        <f aca="false">IF(OR(I490="BCG",I490="DTP1",I490="DTP3",I490="POL3",I490="MCV1",I490="FULL"),1,0)</f>
        <v>0</v>
      </c>
      <c r="U490" s="7" t="n">
        <f aca="false">IF(OR(C490="DHS",C490="MICS"),1,0)</f>
        <v>1</v>
      </c>
      <c r="V490" s="7" t="n">
        <f aca="false">IF(O490="",1,0)</f>
        <v>0</v>
      </c>
      <c r="W490" s="7" t="n">
        <f aca="false">IF(M490="",1,0)</f>
        <v>1</v>
      </c>
      <c r="X490" s="7" t="n">
        <f aca="false">COUNTIFS($B$2:$B$1141,B490,$H$2:$H$1141,H490,$I$2:$I$1141,I490,$J$2:$J$1141,J490,$K$2:$K$1141,K490,$L$2:$L$1141,L490)</f>
        <v>1</v>
      </c>
    </row>
    <row r="491" customFormat="false" ht="15" hidden="false" customHeight="false" outlineLevel="0" collapsed="false">
      <c r="A491" s="7" t="n">
        <f aca="false">ROW()-1</f>
        <v>490</v>
      </c>
      <c r="B491" s="7" t="str">
        <f aca="false">IF(Raw_Nigeria!B491="",TRIM(Raw_Nigeria!C491),TRIM(Raw_Nigeria!B491))</f>
        <v>Nigeria Multiple Indicator Cluster Survey 2016-2017</v>
      </c>
      <c r="C491" s="7" t="str">
        <f aca="false">IF(ISNUMBER(SEARCH("Demographic and Health",B491)),"DHS",IF(OR(ISNUMBER(SEARCH("Multiple Indicator Cluster",B491)),ISNUMBER(SEARCH("MICS",B491))),"MICS",IF(ISNUMBER(SEARCH("Immunization Coverage Survey",B491)),"Coverage survey",IF(ISNUMBER(SEARCH("Nutrition",B491)),"Nutrition survey","Other"))))</f>
        <v>MICS</v>
      </c>
      <c r="D491" s="7" t="n">
        <f aca="false">VALUE(LEFT(Raw_Nigeria!D491,4))</f>
        <v>2016</v>
      </c>
      <c r="E491" s="7" t="n">
        <f aca="false">IF(VALUE(RIGHT(Raw_Nigeria!D491,2))&gt;12,"",VALUE(RIGHT(Raw_Nigeria!D491,2)))</f>
        <v>9</v>
      </c>
      <c r="F491" s="7" t="n">
        <f aca="false">VALUE(LEFT(Raw_Nigeria!E491,4))</f>
        <v>2017</v>
      </c>
      <c r="G491" s="7" t="n">
        <f aca="false">IF(VALUE(RIGHT(Raw_Nigeria!E491,2))&gt;12,"",VALUE(RIGHT(Raw_Nigeria!E491,2)))</f>
        <v>1</v>
      </c>
      <c r="H491" s="7" t="n">
        <f aca="false">Raw_Nigeria!F491</f>
        <v>2015</v>
      </c>
      <c r="I491" s="7" t="str">
        <f aca="false">UPPER(TRIM(Raw_Nigeria!G491))</f>
        <v>PCV1</v>
      </c>
      <c r="J491" s="7" t="str">
        <f aca="false">Raw_Nigeria!H491</f>
        <v>Record or Recall&lt;12m</v>
      </c>
      <c r="K491" s="7" t="str">
        <f aca="false">Raw_Nigeria!L491</f>
        <v>12-23 m</v>
      </c>
      <c r="L491" s="7" t="str">
        <f aca="false">IF(Raw_Nigeria!K491="","n/a",Raw_Nigeria!K491)</f>
        <v>0-12 m</v>
      </c>
      <c r="M491" s="7" t="n">
        <f aca="false">IF(Raw_Nigeria!I491="","",Raw_Nigeria!I491)</f>
        <v>29</v>
      </c>
      <c r="N491" s="7" t="n">
        <f aca="false">Raw_Nigeria!M491</f>
        <v>38.8</v>
      </c>
      <c r="O491" s="7" t="n">
        <f aca="false">IF(Raw_Nigeria!N491="","",Raw_Nigeria!N491)</f>
        <v>5535</v>
      </c>
      <c r="P491" s="7" t="str">
        <f aca="false">IF(K491="CBAW","Women of child-bearing age","Children")</f>
        <v>Children</v>
      </c>
      <c r="Q491" s="7" t="n">
        <f aca="false">IF(J491="NOT USED",1,0)</f>
        <v>0</v>
      </c>
      <c r="R491" s="7" t="n">
        <f aca="false">IF(AND(P491="Children",Q491=0),1,0)</f>
        <v>1</v>
      </c>
      <c r="S491" s="7" t="n">
        <f aca="false">IF(AND(R491=1,J491="Record or Recall",K491="12-23 m"),1,0)</f>
        <v>0</v>
      </c>
      <c r="T491" s="7" t="n">
        <f aca="false">IF(OR(I491="BCG",I491="DTP1",I491="DTP3",I491="POL3",I491="MCV1",I491="FULL"),1,0)</f>
        <v>0</v>
      </c>
      <c r="U491" s="7" t="n">
        <f aca="false">IF(OR(C491="DHS",C491="MICS"),1,0)</f>
        <v>1</v>
      </c>
      <c r="V491" s="7" t="n">
        <f aca="false">IF(O491="",1,0)</f>
        <v>0</v>
      </c>
      <c r="W491" s="7" t="n">
        <f aca="false">IF(M491="",1,0)</f>
        <v>0</v>
      </c>
      <c r="X491" s="7" t="n">
        <f aca="false">COUNTIFS($B$2:$B$1141,B491,$H$2:$H$1141,H491,$I$2:$I$1141,I491,$J$2:$J$1141,J491,$K$2:$K$1141,K491,$L$2:$L$1141,L491)</f>
        <v>1</v>
      </c>
    </row>
    <row r="492" customFormat="false" ht="15" hidden="false" customHeight="false" outlineLevel="0" collapsed="false">
      <c r="A492" s="7" t="n">
        <f aca="false">ROW()-1</f>
        <v>491</v>
      </c>
      <c r="B492" s="7" t="str">
        <f aca="false">IF(Raw_Nigeria!B492="",TRIM(Raw_Nigeria!C492),TRIM(Raw_Nigeria!B492))</f>
        <v>Nigeria Multiple Indicator Cluster Survey 2016-2017</v>
      </c>
      <c r="C492" s="7" t="str">
        <f aca="false">IF(ISNUMBER(SEARCH("Demographic and Health",B492)),"DHS",IF(OR(ISNUMBER(SEARCH("Multiple Indicator Cluster",B492)),ISNUMBER(SEARCH("MICS",B492))),"MICS",IF(ISNUMBER(SEARCH("Immunization Coverage Survey",B492)),"Coverage survey",IF(ISNUMBER(SEARCH("Nutrition",B492)),"Nutrition survey","Other"))))</f>
        <v>MICS</v>
      </c>
      <c r="D492" s="7" t="n">
        <f aca="false">VALUE(LEFT(Raw_Nigeria!D492,4))</f>
        <v>2016</v>
      </c>
      <c r="E492" s="7" t="n">
        <f aca="false">IF(VALUE(RIGHT(Raw_Nigeria!D492,2))&gt;12,"",VALUE(RIGHT(Raw_Nigeria!D492,2)))</f>
        <v>9</v>
      </c>
      <c r="F492" s="7" t="n">
        <f aca="false">VALUE(LEFT(Raw_Nigeria!E492,4))</f>
        <v>2017</v>
      </c>
      <c r="G492" s="7" t="n">
        <f aca="false">IF(VALUE(RIGHT(Raw_Nigeria!E492,2))&gt;12,"",VALUE(RIGHT(Raw_Nigeria!E492,2)))</f>
        <v>1</v>
      </c>
      <c r="H492" s="7" t="n">
        <f aca="false">Raw_Nigeria!F492</f>
        <v>2015</v>
      </c>
      <c r="I492" s="7" t="str">
        <f aca="false">UPPER(TRIM(Raw_Nigeria!G492))</f>
        <v>PCV1</v>
      </c>
      <c r="J492" s="7" t="str">
        <f aca="false">Raw_Nigeria!H492</f>
        <v>Record</v>
      </c>
      <c r="K492" s="7" t="str">
        <f aca="false">Raw_Nigeria!L492</f>
        <v>12-23 m</v>
      </c>
      <c r="L492" s="7" t="str">
        <f aca="false">IF(Raw_Nigeria!K492="","n/a",Raw_Nigeria!K492)</f>
        <v>0-23 m</v>
      </c>
      <c r="M492" s="7" t="n">
        <f aca="false">IF(Raw_Nigeria!I492="","",Raw_Nigeria!I492)</f>
        <v>29</v>
      </c>
      <c r="N492" s="7" t="n">
        <f aca="false">Raw_Nigeria!M492</f>
        <v>19.3</v>
      </c>
      <c r="O492" s="7" t="n">
        <f aca="false">IF(Raw_Nigeria!N492="","",Raw_Nigeria!N492)</f>
        <v>5535</v>
      </c>
      <c r="P492" s="7" t="str">
        <f aca="false">IF(K492="CBAW","Women of child-bearing age","Children")</f>
        <v>Children</v>
      </c>
      <c r="Q492" s="7" t="n">
        <f aca="false">IF(J492="NOT USED",1,0)</f>
        <v>0</v>
      </c>
      <c r="R492" s="7" t="n">
        <f aca="false">IF(AND(P492="Children",Q492=0),1,0)</f>
        <v>1</v>
      </c>
      <c r="S492" s="7" t="n">
        <f aca="false">IF(AND(R492=1,J492="Record or Recall",K492="12-23 m"),1,0)</f>
        <v>0</v>
      </c>
      <c r="T492" s="7" t="n">
        <f aca="false">IF(OR(I492="BCG",I492="DTP1",I492="DTP3",I492="POL3",I492="MCV1",I492="FULL"),1,0)</f>
        <v>0</v>
      </c>
      <c r="U492" s="7" t="n">
        <f aca="false">IF(OR(C492="DHS",C492="MICS"),1,0)</f>
        <v>1</v>
      </c>
      <c r="V492" s="7" t="n">
        <f aca="false">IF(O492="",1,0)</f>
        <v>0</v>
      </c>
      <c r="W492" s="7" t="n">
        <f aca="false">IF(M492="",1,0)</f>
        <v>0</v>
      </c>
      <c r="X492" s="7" t="n">
        <f aca="false">COUNTIFS($B$2:$B$1141,B492,$H$2:$H$1141,H492,$I$2:$I$1141,I492,$J$2:$J$1141,J492,$K$2:$K$1141,K492,$L$2:$L$1141,L492)</f>
        <v>1</v>
      </c>
    </row>
    <row r="493" customFormat="false" ht="15" hidden="false" customHeight="false" outlineLevel="0" collapsed="false">
      <c r="A493" s="7" t="n">
        <f aca="false">ROW()-1</f>
        <v>492</v>
      </c>
      <c r="B493" s="7" t="str">
        <f aca="false">IF(Raw_Nigeria!B493="",TRIM(Raw_Nigeria!C493),TRIM(Raw_Nigeria!B493))</f>
        <v>Nigeria Multiple Indicator Cluster Survey 2016-2017</v>
      </c>
      <c r="C493" s="7" t="str">
        <f aca="false">IF(ISNUMBER(SEARCH("Demographic and Health",B493)),"DHS",IF(OR(ISNUMBER(SEARCH("Multiple Indicator Cluster",B493)),ISNUMBER(SEARCH("MICS",B493))),"MICS",IF(ISNUMBER(SEARCH("Immunization Coverage Survey",B493)),"Coverage survey",IF(ISNUMBER(SEARCH("Nutrition",B493)),"Nutrition survey","Other"))))</f>
        <v>MICS</v>
      </c>
      <c r="D493" s="7" t="n">
        <f aca="false">VALUE(LEFT(Raw_Nigeria!D493,4))</f>
        <v>2016</v>
      </c>
      <c r="E493" s="7" t="n">
        <f aca="false">IF(VALUE(RIGHT(Raw_Nigeria!D493,2))&gt;12,"",VALUE(RIGHT(Raw_Nigeria!D493,2)))</f>
        <v>9</v>
      </c>
      <c r="F493" s="7" t="n">
        <f aca="false">VALUE(LEFT(Raw_Nigeria!E493,4))</f>
        <v>2017</v>
      </c>
      <c r="G493" s="7" t="n">
        <f aca="false">IF(VALUE(RIGHT(Raw_Nigeria!E493,2))&gt;12,"",VALUE(RIGHT(Raw_Nigeria!E493,2)))</f>
        <v>1</v>
      </c>
      <c r="H493" s="7" t="n">
        <f aca="false">Raw_Nigeria!F493</f>
        <v>2015</v>
      </c>
      <c r="I493" s="7" t="str">
        <f aca="false">UPPER(TRIM(Raw_Nigeria!G493))</f>
        <v>PCV1</v>
      </c>
      <c r="J493" s="7" t="str">
        <f aca="false">Raw_Nigeria!H493</f>
        <v>Record or Recall</v>
      </c>
      <c r="K493" s="7" t="str">
        <f aca="false">Raw_Nigeria!L493</f>
        <v>12-23 m</v>
      </c>
      <c r="L493" s="7" t="str">
        <f aca="false">IF(Raw_Nigeria!K493="","n/a",Raw_Nigeria!K493)</f>
        <v>0-23 m</v>
      </c>
      <c r="M493" s="7" t="n">
        <f aca="false">IF(Raw_Nigeria!I493="","",Raw_Nigeria!I493)</f>
        <v>29</v>
      </c>
      <c r="N493" s="7" t="n">
        <f aca="false">Raw_Nigeria!M493</f>
        <v>39.6</v>
      </c>
      <c r="O493" s="7" t="n">
        <f aca="false">IF(Raw_Nigeria!N493="","",Raw_Nigeria!N493)</f>
        <v>5535</v>
      </c>
      <c r="P493" s="7" t="str">
        <f aca="false">IF(K493="CBAW","Women of child-bearing age","Children")</f>
        <v>Children</v>
      </c>
      <c r="Q493" s="7" t="n">
        <f aca="false">IF(J493="NOT USED",1,0)</f>
        <v>0</v>
      </c>
      <c r="R493" s="7" t="n">
        <f aca="false">IF(AND(P493="Children",Q493=0),1,0)</f>
        <v>1</v>
      </c>
      <c r="S493" s="7" t="n">
        <f aca="false">IF(AND(R493=1,J493="Record or Recall",K493="12-23 m"),1,0)</f>
        <v>1</v>
      </c>
      <c r="T493" s="7" t="n">
        <f aca="false">IF(OR(I493="BCG",I493="DTP1",I493="DTP3",I493="POL3",I493="MCV1",I493="FULL"),1,0)</f>
        <v>0</v>
      </c>
      <c r="U493" s="7" t="n">
        <f aca="false">IF(OR(C493="DHS",C493="MICS"),1,0)</f>
        <v>1</v>
      </c>
      <c r="V493" s="7" t="n">
        <f aca="false">IF(O493="",1,0)</f>
        <v>0</v>
      </c>
      <c r="W493" s="7" t="n">
        <f aca="false">IF(M493="",1,0)</f>
        <v>0</v>
      </c>
      <c r="X493" s="7" t="n">
        <f aca="false">COUNTIFS($B$2:$B$1141,B493,$H$2:$H$1141,H493,$I$2:$I$1141,I493,$J$2:$J$1141,J493,$K$2:$K$1141,K493,$L$2:$L$1141,L493)</f>
        <v>1</v>
      </c>
    </row>
    <row r="494" customFormat="false" ht="15" hidden="false" customHeight="false" outlineLevel="0" collapsed="false">
      <c r="A494" s="7" t="n">
        <f aca="false">ROW()-1</f>
        <v>493</v>
      </c>
      <c r="B494" s="7" t="str">
        <f aca="false">IF(Raw_Nigeria!B494="",TRIM(Raw_Nigeria!C494),TRIM(Raw_Nigeria!B494))</f>
        <v>Nigeria Multiple Indicator Cluster Survey 2016-2017</v>
      </c>
      <c r="C494" s="7" t="str">
        <f aca="false">IF(ISNUMBER(SEARCH("Demographic and Health",B494)),"DHS",IF(OR(ISNUMBER(SEARCH("Multiple Indicator Cluster",B494)),ISNUMBER(SEARCH("MICS",B494))),"MICS",IF(ISNUMBER(SEARCH("Immunization Coverage Survey",B494)),"Coverage survey",IF(ISNUMBER(SEARCH("Nutrition",B494)),"Nutrition survey","Other"))))</f>
        <v>MICS</v>
      </c>
      <c r="D494" s="7" t="n">
        <f aca="false">VALUE(LEFT(Raw_Nigeria!D494,4))</f>
        <v>2016</v>
      </c>
      <c r="E494" s="7" t="n">
        <f aca="false">IF(VALUE(RIGHT(Raw_Nigeria!D494,2))&gt;12,"",VALUE(RIGHT(Raw_Nigeria!D494,2)))</f>
        <v>9</v>
      </c>
      <c r="F494" s="7" t="n">
        <f aca="false">VALUE(LEFT(Raw_Nigeria!E494,4))</f>
        <v>2017</v>
      </c>
      <c r="G494" s="7" t="n">
        <f aca="false">IF(VALUE(RIGHT(Raw_Nigeria!E494,2))&gt;12,"",VALUE(RIGHT(Raw_Nigeria!E494,2)))</f>
        <v>1</v>
      </c>
      <c r="H494" s="7" t="n">
        <f aca="false">Raw_Nigeria!F494</f>
        <v>2015</v>
      </c>
      <c r="I494" s="7" t="str">
        <f aca="false">UPPER(TRIM(Raw_Nigeria!G494))</f>
        <v>PCV1</v>
      </c>
      <c r="J494" s="7" t="str">
        <f aca="false">Raw_Nigeria!H494</f>
        <v>Recall</v>
      </c>
      <c r="K494" s="7" t="str">
        <f aca="false">Raw_Nigeria!L494</f>
        <v>12-23 m</v>
      </c>
      <c r="L494" s="7" t="str">
        <f aca="false">IF(Raw_Nigeria!K494="","n/a",Raw_Nigeria!K494)</f>
        <v>0-23 m</v>
      </c>
      <c r="M494" s="7" t="n">
        <f aca="false">IF(Raw_Nigeria!I494="","",Raw_Nigeria!I494)</f>
        <v>29</v>
      </c>
      <c r="N494" s="7" t="n">
        <f aca="false">Raw_Nigeria!M494</f>
        <v>20.4</v>
      </c>
      <c r="O494" s="7" t="n">
        <f aca="false">IF(Raw_Nigeria!N494="","",Raw_Nigeria!N494)</f>
        <v>5535</v>
      </c>
      <c r="P494" s="7" t="str">
        <f aca="false">IF(K494="CBAW","Women of child-bearing age","Children")</f>
        <v>Children</v>
      </c>
      <c r="Q494" s="7" t="n">
        <f aca="false">IF(J494="NOT USED",1,0)</f>
        <v>0</v>
      </c>
      <c r="R494" s="7" t="n">
        <f aca="false">IF(AND(P494="Children",Q494=0),1,0)</f>
        <v>1</v>
      </c>
      <c r="S494" s="7" t="n">
        <f aca="false">IF(AND(R494=1,J494="Record or Recall",K494="12-23 m"),1,0)</f>
        <v>0</v>
      </c>
      <c r="T494" s="7" t="n">
        <f aca="false">IF(OR(I494="BCG",I494="DTP1",I494="DTP3",I494="POL3",I494="MCV1",I494="FULL"),1,0)</f>
        <v>0</v>
      </c>
      <c r="U494" s="7" t="n">
        <f aca="false">IF(OR(C494="DHS",C494="MICS"),1,0)</f>
        <v>1</v>
      </c>
      <c r="V494" s="7" t="n">
        <f aca="false">IF(O494="",1,0)</f>
        <v>0</v>
      </c>
      <c r="W494" s="7" t="n">
        <f aca="false">IF(M494="",1,0)</f>
        <v>0</v>
      </c>
      <c r="X494" s="7" t="n">
        <f aca="false">COUNTIFS($B$2:$B$1141,B494,$H$2:$H$1141,H494,$I$2:$I$1141,I494,$J$2:$J$1141,J494,$K$2:$K$1141,K494,$L$2:$L$1141,L494)</f>
        <v>1</v>
      </c>
    </row>
    <row r="495" customFormat="false" ht="15" hidden="false" customHeight="false" outlineLevel="0" collapsed="false">
      <c r="A495" s="7" t="n">
        <f aca="false">ROW()-1</f>
        <v>494</v>
      </c>
      <c r="B495" s="7" t="str">
        <f aca="false">IF(Raw_Nigeria!B495="",TRIM(Raw_Nigeria!C495),TRIM(Raw_Nigeria!B495))</f>
        <v>Nigeria Multiple Indicator Cluster Survey 2016-2017</v>
      </c>
      <c r="C495" s="7" t="str">
        <f aca="false">IF(ISNUMBER(SEARCH("Demographic and Health",B495)),"DHS",IF(OR(ISNUMBER(SEARCH("Multiple Indicator Cluster",B495)),ISNUMBER(SEARCH("MICS",B495))),"MICS",IF(ISNUMBER(SEARCH("Immunization Coverage Survey",B495)),"Coverage survey",IF(ISNUMBER(SEARCH("Nutrition",B495)),"Nutrition survey","Other"))))</f>
        <v>MICS</v>
      </c>
      <c r="D495" s="7" t="n">
        <f aca="false">VALUE(LEFT(Raw_Nigeria!D495,4))</f>
        <v>2016</v>
      </c>
      <c r="E495" s="7" t="n">
        <f aca="false">IF(VALUE(RIGHT(Raw_Nigeria!D495,2))&gt;12,"",VALUE(RIGHT(Raw_Nigeria!D495,2)))</f>
        <v>9</v>
      </c>
      <c r="F495" s="7" t="n">
        <f aca="false">VALUE(LEFT(Raw_Nigeria!E495,4))</f>
        <v>2017</v>
      </c>
      <c r="G495" s="7" t="n">
        <f aca="false">IF(VALUE(RIGHT(Raw_Nigeria!E495,2))&gt;12,"",VALUE(RIGHT(Raw_Nigeria!E495,2)))</f>
        <v>1</v>
      </c>
      <c r="H495" s="7" t="n">
        <f aca="false">Raw_Nigeria!F495</f>
        <v>2015</v>
      </c>
      <c r="I495" s="7" t="str">
        <f aca="false">UPPER(TRIM(Raw_Nigeria!G495))</f>
        <v>PCV2</v>
      </c>
      <c r="J495" s="7" t="str">
        <f aca="false">Raw_Nigeria!H495</f>
        <v>Record or Recall&lt;12m</v>
      </c>
      <c r="K495" s="7" t="str">
        <f aca="false">Raw_Nigeria!L495</f>
        <v>12-23 m</v>
      </c>
      <c r="L495" s="7" t="str">
        <f aca="false">IF(Raw_Nigeria!K495="","n/a",Raw_Nigeria!K495)</f>
        <v>0-12 m</v>
      </c>
      <c r="M495" s="7" t="n">
        <f aca="false">IF(Raw_Nigeria!I495="","",Raw_Nigeria!I495)</f>
        <v>29</v>
      </c>
      <c r="N495" s="7" t="n">
        <f aca="false">Raw_Nigeria!M495</f>
        <v>32.4</v>
      </c>
      <c r="O495" s="7" t="n">
        <f aca="false">IF(Raw_Nigeria!N495="","",Raw_Nigeria!N495)</f>
        <v>5535</v>
      </c>
      <c r="P495" s="7" t="str">
        <f aca="false">IF(K495="CBAW","Women of child-bearing age","Children")</f>
        <v>Children</v>
      </c>
      <c r="Q495" s="7" t="n">
        <f aca="false">IF(J495="NOT USED",1,0)</f>
        <v>0</v>
      </c>
      <c r="R495" s="7" t="n">
        <f aca="false">IF(AND(P495="Children",Q495=0),1,0)</f>
        <v>1</v>
      </c>
      <c r="S495" s="7" t="n">
        <f aca="false">IF(AND(R495=1,J495="Record or Recall",K495="12-23 m"),1,0)</f>
        <v>0</v>
      </c>
      <c r="T495" s="7" t="n">
        <f aca="false">IF(OR(I495="BCG",I495="DTP1",I495="DTP3",I495="POL3",I495="MCV1",I495="FULL"),1,0)</f>
        <v>0</v>
      </c>
      <c r="U495" s="7" t="n">
        <f aca="false">IF(OR(C495="DHS",C495="MICS"),1,0)</f>
        <v>1</v>
      </c>
      <c r="V495" s="7" t="n">
        <f aca="false">IF(O495="",1,0)</f>
        <v>0</v>
      </c>
      <c r="W495" s="7" t="n">
        <f aca="false">IF(M495="",1,0)</f>
        <v>0</v>
      </c>
      <c r="X495" s="7" t="n">
        <f aca="false">COUNTIFS($B$2:$B$1141,B495,$H$2:$H$1141,H495,$I$2:$I$1141,I495,$J$2:$J$1141,J495,$K$2:$K$1141,K495,$L$2:$L$1141,L495)</f>
        <v>1</v>
      </c>
    </row>
    <row r="496" customFormat="false" ht="15" hidden="false" customHeight="false" outlineLevel="0" collapsed="false">
      <c r="A496" s="7" t="n">
        <f aca="false">ROW()-1</f>
        <v>495</v>
      </c>
      <c r="B496" s="7" t="str">
        <f aca="false">IF(Raw_Nigeria!B496="",TRIM(Raw_Nigeria!C496),TRIM(Raw_Nigeria!B496))</f>
        <v>Nigeria Multiple Indicator Cluster Survey 2016-2017</v>
      </c>
      <c r="C496" s="7" t="str">
        <f aca="false">IF(ISNUMBER(SEARCH("Demographic and Health",B496)),"DHS",IF(OR(ISNUMBER(SEARCH("Multiple Indicator Cluster",B496)),ISNUMBER(SEARCH("MICS",B496))),"MICS",IF(ISNUMBER(SEARCH("Immunization Coverage Survey",B496)),"Coverage survey",IF(ISNUMBER(SEARCH("Nutrition",B496)),"Nutrition survey","Other"))))</f>
        <v>MICS</v>
      </c>
      <c r="D496" s="7" t="n">
        <f aca="false">VALUE(LEFT(Raw_Nigeria!D496,4))</f>
        <v>2016</v>
      </c>
      <c r="E496" s="7" t="n">
        <f aca="false">IF(VALUE(RIGHT(Raw_Nigeria!D496,2))&gt;12,"",VALUE(RIGHT(Raw_Nigeria!D496,2)))</f>
        <v>9</v>
      </c>
      <c r="F496" s="7" t="n">
        <f aca="false">VALUE(LEFT(Raw_Nigeria!E496,4))</f>
        <v>2017</v>
      </c>
      <c r="G496" s="7" t="n">
        <f aca="false">IF(VALUE(RIGHT(Raw_Nigeria!E496,2))&gt;12,"",VALUE(RIGHT(Raw_Nigeria!E496,2)))</f>
        <v>1</v>
      </c>
      <c r="H496" s="7" t="n">
        <f aca="false">Raw_Nigeria!F496</f>
        <v>2015</v>
      </c>
      <c r="I496" s="7" t="str">
        <f aca="false">UPPER(TRIM(Raw_Nigeria!G496))</f>
        <v>PCV2</v>
      </c>
      <c r="J496" s="7" t="str">
        <f aca="false">Raw_Nigeria!H496</f>
        <v>Record</v>
      </c>
      <c r="K496" s="7" t="str">
        <f aca="false">Raw_Nigeria!L496</f>
        <v>12-23 m</v>
      </c>
      <c r="L496" s="7" t="str">
        <f aca="false">IF(Raw_Nigeria!K496="","n/a",Raw_Nigeria!K496)</f>
        <v>0-23 m</v>
      </c>
      <c r="M496" s="7" t="n">
        <f aca="false">IF(Raw_Nigeria!I496="","",Raw_Nigeria!I496)</f>
        <v>29</v>
      </c>
      <c r="N496" s="7" t="n">
        <f aca="false">Raw_Nigeria!M496</f>
        <v>17.9</v>
      </c>
      <c r="O496" s="7" t="n">
        <f aca="false">IF(Raw_Nigeria!N496="","",Raw_Nigeria!N496)</f>
        <v>5535</v>
      </c>
      <c r="P496" s="7" t="str">
        <f aca="false">IF(K496="CBAW","Women of child-bearing age","Children")</f>
        <v>Children</v>
      </c>
      <c r="Q496" s="7" t="n">
        <f aca="false">IF(J496="NOT USED",1,0)</f>
        <v>0</v>
      </c>
      <c r="R496" s="7" t="n">
        <f aca="false">IF(AND(P496="Children",Q496=0),1,0)</f>
        <v>1</v>
      </c>
      <c r="S496" s="7" t="n">
        <f aca="false">IF(AND(R496=1,J496="Record or Recall",K496="12-23 m"),1,0)</f>
        <v>0</v>
      </c>
      <c r="T496" s="7" t="n">
        <f aca="false">IF(OR(I496="BCG",I496="DTP1",I496="DTP3",I496="POL3",I496="MCV1",I496="FULL"),1,0)</f>
        <v>0</v>
      </c>
      <c r="U496" s="7" t="n">
        <f aca="false">IF(OR(C496="DHS",C496="MICS"),1,0)</f>
        <v>1</v>
      </c>
      <c r="V496" s="7" t="n">
        <f aca="false">IF(O496="",1,0)</f>
        <v>0</v>
      </c>
      <c r="W496" s="7" t="n">
        <f aca="false">IF(M496="",1,0)</f>
        <v>0</v>
      </c>
      <c r="X496" s="7" t="n">
        <f aca="false">COUNTIFS($B$2:$B$1141,B496,$H$2:$H$1141,H496,$I$2:$I$1141,I496,$J$2:$J$1141,J496,$K$2:$K$1141,K496,$L$2:$L$1141,L496)</f>
        <v>1</v>
      </c>
    </row>
    <row r="497" customFormat="false" ht="15" hidden="false" customHeight="false" outlineLevel="0" collapsed="false">
      <c r="A497" s="7" t="n">
        <f aca="false">ROW()-1</f>
        <v>496</v>
      </c>
      <c r="B497" s="7" t="str">
        <f aca="false">IF(Raw_Nigeria!B497="",TRIM(Raw_Nigeria!C497),TRIM(Raw_Nigeria!B497))</f>
        <v>Nigeria Multiple Indicator Cluster Survey 2016-2017</v>
      </c>
      <c r="C497" s="7" t="str">
        <f aca="false">IF(ISNUMBER(SEARCH("Demographic and Health",B497)),"DHS",IF(OR(ISNUMBER(SEARCH("Multiple Indicator Cluster",B497)),ISNUMBER(SEARCH("MICS",B497))),"MICS",IF(ISNUMBER(SEARCH("Immunization Coverage Survey",B497)),"Coverage survey",IF(ISNUMBER(SEARCH("Nutrition",B497)),"Nutrition survey","Other"))))</f>
        <v>MICS</v>
      </c>
      <c r="D497" s="7" t="n">
        <f aca="false">VALUE(LEFT(Raw_Nigeria!D497,4))</f>
        <v>2016</v>
      </c>
      <c r="E497" s="7" t="n">
        <f aca="false">IF(VALUE(RIGHT(Raw_Nigeria!D497,2))&gt;12,"",VALUE(RIGHT(Raw_Nigeria!D497,2)))</f>
        <v>9</v>
      </c>
      <c r="F497" s="7" t="n">
        <f aca="false">VALUE(LEFT(Raw_Nigeria!E497,4))</f>
        <v>2017</v>
      </c>
      <c r="G497" s="7" t="n">
        <f aca="false">IF(VALUE(RIGHT(Raw_Nigeria!E497,2))&gt;12,"",VALUE(RIGHT(Raw_Nigeria!E497,2)))</f>
        <v>1</v>
      </c>
      <c r="H497" s="7" t="n">
        <f aca="false">Raw_Nigeria!F497</f>
        <v>2015</v>
      </c>
      <c r="I497" s="7" t="str">
        <f aca="false">UPPER(TRIM(Raw_Nigeria!G497))</f>
        <v>PCV2</v>
      </c>
      <c r="J497" s="7" t="str">
        <f aca="false">Raw_Nigeria!H497</f>
        <v>Record or Recall</v>
      </c>
      <c r="K497" s="7" t="str">
        <f aca="false">Raw_Nigeria!L497</f>
        <v>12-23 m</v>
      </c>
      <c r="L497" s="7" t="str">
        <f aca="false">IF(Raw_Nigeria!K497="","n/a",Raw_Nigeria!K497)</f>
        <v>0-23 m</v>
      </c>
      <c r="M497" s="7" t="n">
        <f aca="false">IF(Raw_Nigeria!I497="","",Raw_Nigeria!I497)</f>
        <v>29</v>
      </c>
      <c r="N497" s="7" t="n">
        <f aca="false">Raw_Nigeria!M497</f>
        <v>33.1</v>
      </c>
      <c r="O497" s="7" t="n">
        <f aca="false">IF(Raw_Nigeria!N497="","",Raw_Nigeria!N497)</f>
        <v>5535</v>
      </c>
      <c r="P497" s="7" t="str">
        <f aca="false">IF(K497="CBAW","Women of child-bearing age","Children")</f>
        <v>Children</v>
      </c>
      <c r="Q497" s="7" t="n">
        <f aca="false">IF(J497="NOT USED",1,0)</f>
        <v>0</v>
      </c>
      <c r="R497" s="7" t="n">
        <f aca="false">IF(AND(P497="Children",Q497=0),1,0)</f>
        <v>1</v>
      </c>
      <c r="S497" s="7" t="n">
        <f aca="false">IF(AND(R497=1,J497="Record or Recall",K497="12-23 m"),1,0)</f>
        <v>1</v>
      </c>
      <c r="T497" s="7" t="n">
        <f aca="false">IF(OR(I497="BCG",I497="DTP1",I497="DTP3",I497="POL3",I497="MCV1",I497="FULL"),1,0)</f>
        <v>0</v>
      </c>
      <c r="U497" s="7" t="n">
        <f aca="false">IF(OR(C497="DHS",C497="MICS"),1,0)</f>
        <v>1</v>
      </c>
      <c r="V497" s="7" t="n">
        <f aca="false">IF(O497="",1,0)</f>
        <v>0</v>
      </c>
      <c r="W497" s="7" t="n">
        <f aca="false">IF(M497="",1,0)</f>
        <v>0</v>
      </c>
      <c r="X497" s="7" t="n">
        <f aca="false">COUNTIFS($B$2:$B$1141,B497,$H$2:$H$1141,H497,$I$2:$I$1141,I497,$J$2:$J$1141,J497,$K$2:$K$1141,K497,$L$2:$L$1141,L497)</f>
        <v>1</v>
      </c>
    </row>
    <row r="498" customFormat="false" ht="15" hidden="false" customHeight="false" outlineLevel="0" collapsed="false">
      <c r="A498" s="7" t="n">
        <f aca="false">ROW()-1</f>
        <v>497</v>
      </c>
      <c r="B498" s="7" t="str">
        <f aca="false">IF(Raw_Nigeria!B498="",TRIM(Raw_Nigeria!C498),TRIM(Raw_Nigeria!B498))</f>
        <v>Nigeria Multiple Indicator Cluster Survey 2016-2017</v>
      </c>
      <c r="C498" s="7" t="str">
        <f aca="false">IF(ISNUMBER(SEARCH("Demographic and Health",B498)),"DHS",IF(OR(ISNUMBER(SEARCH("Multiple Indicator Cluster",B498)),ISNUMBER(SEARCH("MICS",B498))),"MICS",IF(ISNUMBER(SEARCH("Immunization Coverage Survey",B498)),"Coverage survey",IF(ISNUMBER(SEARCH("Nutrition",B498)),"Nutrition survey","Other"))))</f>
        <v>MICS</v>
      </c>
      <c r="D498" s="7" t="n">
        <f aca="false">VALUE(LEFT(Raw_Nigeria!D498,4))</f>
        <v>2016</v>
      </c>
      <c r="E498" s="7" t="n">
        <f aca="false">IF(VALUE(RIGHT(Raw_Nigeria!D498,2))&gt;12,"",VALUE(RIGHT(Raw_Nigeria!D498,2)))</f>
        <v>9</v>
      </c>
      <c r="F498" s="7" t="n">
        <f aca="false">VALUE(LEFT(Raw_Nigeria!E498,4))</f>
        <v>2017</v>
      </c>
      <c r="G498" s="7" t="n">
        <f aca="false">IF(VALUE(RIGHT(Raw_Nigeria!E498,2))&gt;12,"",VALUE(RIGHT(Raw_Nigeria!E498,2)))</f>
        <v>1</v>
      </c>
      <c r="H498" s="7" t="n">
        <f aca="false">Raw_Nigeria!F498</f>
        <v>2015</v>
      </c>
      <c r="I498" s="7" t="str">
        <f aca="false">UPPER(TRIM(Raw_Nigeria!G498))</f>
        <v>PCV2</v>
      </c>
      <c r="J498" s="7" t="str">
        <f aca="false">Raw_Nigeria!H498</f>
        <v>Recall</v>
      </c>
      <c r="K498" s="7" t="str">
        <f aca="false">Raw_Nigeria!L498</f>
        <v>12-23 m</v>
      </c>
      <c r="L498" s="7" t="str">
        <f aca="false">IF(Raw_Nigeria!K498="","n/a",Raw_Nigeria!K498)</f>
        <v>0-23 m</v>
      </c>
      <c r="M498" s="7" t="n">
        <f aca="false">IF(Raw_Nigeria!I498="","",Raw_Nigeria!I498)</f>
        <v>29</v>
      </c>
      <c r="N498" s="7" t="n">
        <f aca="false">Raw_Nigeria!M498</f>
        <v>15.2</v>
      </c>
      <c r="O498" s="7" t="n">
        <f aca="false">IF(Raw_Nigeria!N498="","",Raw_Nigeria!N498)</f>
        <v>5535</v>
      </c>
      <c r="P498" s="7" t="str">
        <f aca="false">IF(K498="CBAW","Women of child-bearing age","Children")</f>
        <v>Children</v>
      </c>
      <c r="Q498" s="7" t="n">
        <f aca="false">IF(J498="NOT USED",1,0)</f>
        <v>0</v>
      </c>
      <c r="R498" s="7" t="n">
        <f aca="false">IF(AND(P498="Children",Q498=0),1,0)</f>
        <v>1</v>
      </c>
      <c r="S498" s="7" t="n">
        <f aca="false">IF(AND(R498=1,J498="Record or Recall",K498="12-23 m"),1,0)</f>
        <v>0</v>
      </c>
      <c r="T498" s="7" t="n">
        <f aca="false">IF(OR(I498="BCG",I498="DTP1",I498="DTP3",I498="POL3",I498="MCV1",I498="FULL"),1,0)</f>
        <v>0</v>
      </c>
      <c r="U498" s="7" t="n">
        <f aca="false">IF(OR(C498="DHS",C498="MICS"),1,0)</f>
        <v>1</v>
      </c>
      <c r="V498" s="7" t="n">
        <f aca="false">IF(O498="",1,0)</f>
        <v>0</v>
      </c>
      <c r="W498" s="7" t="n">
        <f aca="false">IF(M498="",1,0)</f>
        <v>0</v>
      </c>
      <c r="X498" s="7" t="n">
        <f aca="false">COUNTIFS($B$2:$B$1141,B498,$H$2:$H$1141,H498,$I$2:$I$1141,I498,$J$2:$J$1141,J498,$K$2:$K$1141,K498,$L$2:$L$1141,L498)</f>
        <v>1</v>
      </c>
    </row>
    <row r="499" customFormat="false" ht="15" hidden="false" customHeight="false" outlineLevel="0" collapsed="false">
      <c r="A499" s="7" t="n">
        <f aca="false">ROW()-1</f>
        <v>498</v>
      </c>
      <c r="B499" s="7" t="str">
        <f aca="false">IF(Raw_Nigeria!B499="",TRIM(Raw_Nigeria!C499),TRIM(Raw_Nigeria!B499))</f>
        <v>Nigeria Multiple Indicator Cluster Survey 2016-2017</v>
      </c>
      <c r="C499" s="7" t="str">
        <f aca="false">IF(ISNUMBER(SEARCH("Demographic and Health",B499)),"DHS",IF(OR(ISNUMBER(SEARCH("Multiple Indicator Cluster",B499)),ISNUMBER(SEARCH("MICS",B499))),"MICS",IF(ISNUMBER(SEARCH("Immunization Coverage Survey",B499)),"Coverage survey",IF(ISNUMBER(SEARCH("Nutrition",B499)),"Nutrition survey","Other"))))</f>
        <v>MICS</v>
      </c>
      <c r="D499" s="7" t="n">
        <f aca="false">VALUE(LEFT(Raw_Nigeria!D499,4))</f>
        <v>2016</v>
      </c>
      <c r="E499" s="7" t="n">
        <f aca="false">IF(VALUE(RIGHT(Raw_Nigeria!D499,2))&gt;12,"",VALUE(RIGHT(Raw_Nigeria!D499,2)))</f>
        <v>9</v>
      </c>
      <c r="F499" s="7" t="n">
        <f aca="false">VALUE(LEFT(Raw_Nigeria!E499,4))</f>
        <v>2017</v>
      </c>
      <c r="G499" s="7" t="n">
        <f aca="false">IF(VALUE(RIGHT(Raw_Nigeria!E499,2))&gt;12,"",VALUE(RIGHT(Raw_Nigeria!E499,2)))</f>
        <v>1</v>
      </c>
      <c r="H499" s="7" t="n">
        <f aca="false">Raw_Nigeria!F499</f>
        <v>2015</v>
      </c>
      <c r="I499" s="7" t="str">
        <f aca="false">UPPER(TRIM(Raw_Nigeria!G499))</f>
        <v>PCVC</v>
      </c>
      <c r="J499" s="7" t="str">
        <f aca="false">Raw_Nigeria!H499</f>
        <v>Record or Recall&lt;12m</v>
      </c>
      <c r="K499" s="7" t="str">
        <f aca="false">Raw_Nigeria!L499</f>
        <v>12-23 m</v>
      </c>
      <c r="L499" s="7" t="str">
        <f aca="false">IF(Raw_Nigeria!K499="","n/a",Raw_Nigeria!K499)</f>
        <v>0-12 m</v>
      </c>
      <c r="M499" s="7" t="n">
        <f aca="false">IF(Raw_Nigeria!I499="","",Raw_Nigeria!I499)</f>
        <v>29</v>
      </c>
      <c r="N499" s="7" t="n">
        <f aca="false">Raw_Nigeria!M499</f>
        <v>26.2</v>
      </c>
      <c r="O499" s="7" t="n">
        <f aca="false">IF(Raw_Nigeria!N499="","",Raw_Nigeria!N499)</f>
        <v>5535</v>
      </c>
      <c r="P499" s="7" t="str">
        <f aca="false">IF(K499="CBAW","Women of child-bearing age","Children")</f>
        <v>Children</v>
      </c>
      <c r="Q499" s="7" t="n">
        <f aca="false">IF(J499="NOT USED",1,0)</f>
        <v>0</v>
      </c>
      <c r="R499" s="7" t="n">
        <f aca="false">IF(AND(P499="Children",Q499=0),1,0)</f>
        <v>1</v>
      </c>
      <c r="S499" s="7" t="n">
        <f aca="false">IF(AND(R499=1,J499="Record or Recall",K499="12-23 m"),1,0)</f>
        <v>0</v>
      </c>
      <c r="T499" s="7" t="n">
        <f aca="false">IF(OR(I499="BCG",I499="DTP1",I499="DTP3",I499="POL3",I499="MCV1",I499="FULL"),1,0)</f>
        <v>0</v>
      </c>
      <c r="U499" s="7" t="n">
        <f aca="false">IF(OR(C499="DHS",C499="MICS"),1,0)</f>
        <v>1</v>
      </c>
      <c r="V499" s="7" t="n">
        <f aca="false">IF(O499="",1,0)</f>
        <v>0</v>
      </c>
      <c r="W499" s="7" t="n">
        <f aca="false">IF(M499="",1,0)</f>
        <v>0</v>
      </c>
      <c r="X499" s="7" t="n">
        <f aca="false">COUNTIFS($B$2:$B$1141,B499,$H$2:$H$1141,H499,$I$2:$I$1141,I499,$J$2:$J$1141,J499,$K$2:$K$1141,K499,$L$2:$L$1141,L499)</f>
        <v>1</v>
      </c>
    </row>
    <row r="500" customFormat="false" ht="15" hidden="false" customHeight="false" outlineLevel="0" collapsed="false">
      <c r="A500" s="7" t="n">
        <f aca="false">ROW()-1</f>
        <v>499</v>
      </c>
      <c r="B500" s="7" t="str">
        <f aca="false">IF(Raw_Nigeria!B500="",TRIM(Raw_Nigeria!C500),TRIM(Raw_Nigeria!B500))</f>
        <v>Nigeria Multiple Indicator Cluster Survey 2016-2017</v>
      </c>
      <c r="C500" s="7" t="str">
        <f aca="false">IF(ISNUMBER(SEARCH("Demographic and Health",B500)),"DHS",IF(OR(ISNUMBER(SEARCH("Multiple Indicator Cluster",B500)),ISNUMBER(SEARCH("MICS",B500))),"MICS",IF(ISNUMBER(SEARCH("Immunization Coverage Survey",B500)),"Coverage survey",IF(ISNUMBER(SEARCH("Nutrition",B500)),"Nutrition survey","Other"))))</f>
        <v>MICS</v>
      </c>
      <c r="D500" s="7" t="n">
        <f aca="false">VALUE(LEFT(Raw_Nigeria!D500,4))</f>
        <v>2016</v>
      </c>
      <c r="E500" s="7" t="n">
        <f aca="false">IF(VALUE(RIGHT(Raw_Nigeria!D500,2))&gt;12,"",VALUE(RIGHT(Raw_Nigeria!D500,2)))</f>
        <v>9</v>
      </c>
      <c r="F500" s="7" t="n">
        <f aca="false">VALUE(LEFT(Raw_Nigeria!E500,4))</f>
        <v>2017</v>
      </c>
      <c r="G500" s="7" t="n">
        <f aca="false">IF(VALUE(RIGHT(Raw_Nigeria!E500,2))&gt;12,"",VALUE(RIGHT(Raw_Nigeria!E500,2)))</f>
        <v>1</v>
      </c>
      <c r="H500" s="7" t="n">
        <f aca="false">Raw_Nigeria!F500</f>
        <v>2015</v>
      </c>
      <c r="I500" s="7" t="str">
        <f aca="false">UPPER(TRIM(Raw_Nigeria!G500))</f>
        <v>PCVC</v>
      </c>
      <c r="J500" s="7" t="str">
        <f aca="false">Raw_Nigeria!H500</f>
        <v>Record</v>
      </c>
      <c r="K500" s="7" t="str">
        <f aca="false">Raw_Nigeria!L500</f>
        <v>12-23 m</v>
      </c>
      <c r="L500" s="7" t="str">
        <f aca="false">IF(Raw_Nigeria!K500="","n/a",Raw_Nigeria!K500)</f>
        <v>0-23 m</v>
      </c>
      <c r="M500" s="7" t="n">
        <f aca="false">IF(Raw_Nigeria!I500="","",Raw_Nigeria!I500)</f>
        <v>29</v>
      </c>
      <c r="N500" s="7" t="n">
        <f aca="false">Raw_Nigeria!M500</f>
        <v>16.6</v>
      </c>
      <c r="O500" s="7" t="n">
        <f aca="false">IF(Raw_Nigeria!N500="","",Raw_Nigeria!N500)</f>
        <v>5535</v>
      </c>
      <c r="P500" s="7" t="str">
        <f aca="false">IF(K500="CBAW","Women of child-bearing age","Children")</f>
        <v>Children</v>
      </c>
      <c r="Q500" s="7" t="n">
        <f aca="false">IF(J500="NOT USED",1,0)</f>
        <v>0</v>
      </c>
      <c r="R500" s="7" t="n">
        <f aca="false">IF(AND(P500="Children",Q500=0),1,0)</f>
        <v>1</v>
      </c>
      <c r="S500" s="7" t="n">
        <f aca="false">IF(AND(R500=1,J500="Record or Recall",K500="12-23 m"),1,0)</f>
        <v>0</v>
      </c>
      <c r="T500" s="7" t="n">
        <f aca="false">IF(OR(I500="BCG",I500="DTP1",I500="DTP3",I500="POL3",I500="MCV1",I500="FULL"),1,0)</f>
        <v>0</v>
      </c>
      <c r="U500" s="7" t="n">
        <f aca="false">IF(OR(C500="DHS",C500="MICS"),1,0)</f>
        <v>1</v>
      </c>
      <c r="V500" s="7" t="n">
        <f aca="false">IF(O500="",1,0)</f>
        <v>0</v>
      </c>
      <c r="W500" s="7" t="n">
        <f aca="false">IF(M500="",1,0)</f>
        <v>0</v>
      </c>
      <c r="X500" s="7" t="n">
        <f aca="false">COUNTIFS($B$2:$B$1141,B500,$H$2:$H$1141,H500,$I$2:$I$1141,I500,$J$2:$J$1141,J500,$K$2:$K$1141,K500,$L$2:$L$1141,L500)</f>
        <v>1</v>
      </c>
    </row>
    <row r="501" customFormat="false" ht="15" hidden="false" customHeight="false" outlineLevel="0" collapsed="false">
      <c r="A501" s="7" t="n">
        <f aca="false">ROW()-1</f>
        <v>500</v>
      </c>
      <c r="B501" s="7" t="str">
        <f aca="false">IF(Raw_Nigeria!B501="",TRIM(Raw_Nigeria!C501),TRIM(Raw_Nigeria!B501))</f>
        <v>Nigeria Multiple Indicator Cluster Survey 2016-2017</v>
      </c>
      <c r="C501" s="7" t="str">
        <f aca="false">IF(ISNUMBER(SEARCH("Demographic and Health",B501)),"DHS",IF(OR(ISNUMBER(SEARCH("Multiple Indicator Cluster",B501)),ISNUMBER(SEARCH("MICS",B501))),"MICS",IF(ISNUMBER(SEARCH("Immunization Coverage Survey",B501)),"Coverage survey",IF(ISNUMBER(SEARCH("Nutrition",B501)),"Nutrition survey","Other"))))</f>
        <v>MICS</v>
      </c>
      <c r="D501" s="7" t="n">
        <f aca="false">VALUE(LEFT(Raw_Nigeria!D501,4))</f>
        <v>2016</v>
      </c>
      <c r="E501" s="7" t="n">
        <f aca="false">IF(VALUE(RIGHT(Raw_Nigeria!D501,2))&gt;12,"",VALUE(RIGHT(Raw_Nigeria!D501,2)))</f>
        <v>9</v>
      </c>
      <c r="F501" s="7" t="n">
        <f aca="false">VALUE(LEFT(Raw_Nigeria!E501,4))</f>
        <v>2017</v>
      </c>
      <c r="G501" s="7" t="n">
        <f aca="false">IF(VALUE(RIGHT(Raw_Nigeria!E501,2))&gt;12,"",VALUE(RIGHT(Raw_Nigeria!E501,2)))</f>
        <v>1</v>
      </c>
      <c r="H501" s="7" t="n">
        <f aca="false">Raw_Nigeria!F501</f>
        <v>2015</v>
      </c>
      <c r="I501" s="7" t="str">
        <f aca="false">UPPER(TRIM(Raw_Nigeria!G501))</f>
        <v>PCVC</v>
      </c>
      <c r="J501" s="7" t="str">
        <f aca="false">Raw_Nigeria!H501</f>
        <v>Record or Recall</v>
      </c>
      <c r="K501" s="7" t="str">
        <f aca="false">Raw_Nigeria!L501</f>
        <v>12-23 m</v>
      </c>
      <c r="L501" s="7" t="str">
        <f aca="false">IF(Raw_Nigeria!K501="","n/a",Raw_Nigeria!K501)</f>
        <v>0-23 m</v>
      </c>
      <c r="M501" s="7" t="n">
        <f aca="false">IF(Raw_Nigeria!I501="","",Raw_Nigeria!I501)</f>
        <v>29</v>
      </c>
      <c r="N501" s="7" t="n">
        <f aca="false">Raw_Nigeria!M501</f>
        <v>27.2</v>
      </c>
      <c r="O501" s="7" t="n">
        <f aca="false">IF(Raw_Nigeria!N501="","",Raw_Nigeria!N501)</f>
        <v>5535</v>
      </c>
      <c r="P501" s="7" t="str">
        <f aca="false">IF(K501="CBAW","Women of child-bearing age","Children")</f>
        <v>Children</v>
      </c>
      <c r="Q501" s="7" t="n">
        <f aca="false">IF(J501="NOT USED",1,0)</f>
        <v>0</v>
      </c>
      <c r="R501" s="7" t="n">
        <f aca="false">IF(AND(P501="Children",Q501=0),1,0)</f>
        <v>1</v>
      </c>
      <c r="S501" s="7" t="n">
        <f aca="false">IF(AND(R501=1,J501="Record or Recall",K501="12-23 m"),1,0)</f>
        <v>1</v>
      </c>
      <c r="T501" s="7" t="n">
        <f aca="false">IF(OR(I501="BCG",I501="DTP1",I501="DTP3",I501="POL3",I501="MCV1",I501="FULL"),1,0)</f>
        <v>0</v>
      </c>
      <c r="U501" s="7" t="n">
        <f aca="false">IF(OR(C501="DHS",C501="MICS"),1,0)</f>
        <v>1</v>
      </c>
      <c r="V501" s="7" t="n">
        <f aca="false">IF(O501="",1,0)</f>
        <v>0</v>
      </c>
      <c r="W501" s="7" t="n">
        <f aca="false">IF(M501="",1,0)</f>
        <v>0</v>
      </c>
      <c r="X501" s="7" t="n">
        <f aca="false">COUNTIFS($B$2:$B$1141,B501,$H$2:$H$1141,H501,$I$2:$I$1141,I501,$J$2:$J$1141,J501,$K$2:$K$1141,K501,$L$2:$L$1141,L501)</f>
        <v>1</v>
      </c>
    </row>
    <row r="502" customFormat="false" ht="15" hidden="false" customHeight="false" outlineLevel="0" collapsed="false">
      <c r="A502" s="7" t="n">
        <f aca="false">ROW()-1</f>
        <v>501</v>
      </c>
      <c r="B502" s="7" t="str">
        <f aca="false">IF(Raw_Nigeria!B502="",TRIM(Raw_Nigeria!C502),TRIM(Raw_Nigeria!B502))</f>
        <v>Nigeria Multiple Indicator Cluster Survey 2016-2017</v>
      </c>
      <c r="C502" s="7" t="str">
        <f aca="false">IF(ISNUMBER(SEARCH("Demographic and Health",B502)),"DHS",IF(OR(ISNUMBER(SEARCH("Multiple Indicator Cluster",B502)),ISNUMBER(SEARCH("MICS",B502))),"MICS",IF(ISNUMBER(SEARCH("Immunization Coverage Survey",B502)),"Coverage survey",IF(ISNUMBER(SEARCH("Nutrition",B502)),"Nutrition survey","Other"))))</f>
        <v>MICS</v>
      </c>
      <c r="D502" s="7" t="n">
        <f aca="false">VALUE(LEFT(Raw_Nigeria!D502,4))</f>
        <v>2016</v>
      </c>
      <c r="E502" s="7" t="n">
        <f aca="false">IF(VALUE(RIGHT(Raw_Nigeria!D502,2))&gt;12,"",VALUE(RIGHT(Raw_Nigeria!D502,2)))</f>
        <v>9</v>
      </c>
      <c r="F502" s="7" t="n">
        <f aca="false">VALUE(LEFT(Raw_Nigeria!E502,4))</f>
        <v>2017</v>
      </c>
      <c r="G502" s="7" t="n">
        <f aca="false">IF(VALUE(RIGHT(Raw_Nigeria!E502,2))&gt;12,"",VALUE(RIGHT(Raw_Nigeria!E502,2)))</f>
        <v>1</v>
      </c>
      <c r="H502" s="7" t="n">
        <f aca="false">Raw_Nigeria!F502</f>
        <v>2015</v>
      </c>
      <c r="I502" s="7" t="str">
        <f aca="false">UPPER(TRIM(Raw_Nigeria!G502))</f>
        <v>PCVC</v>
      </c>
      <c r="J502" s="7" t="str">
        <f aca="false">Raw_Nigeria!H502</f>
        <v>Recall</v>
      </c>
      <c r="K502" s="7" t="str">
        <f aca="false">Raw_Nigeria!L502</f>
        <v>12-23 m</v>
      </c>
      <c r="L502" s="7" t="str">
        <f aca="false">IF(Raw_Nigeria!K502="","n/a",Raw_Nigeria!K502)</f>
        <v>0-23 m</v>
      </c>
      <c r="M502" s="7" t="n">
        <f aca="false">IF(Raw_Nigeria!I502="","",Raw_Nigeria!I502)</f>
        <v>29</v>
      </c>
      <c r="N502" s="7" t="n">
        <f aca="false">Raw_Nigeria!M502</f>
        <v>10.7</v>
      </c>
      <c r="O502" s="7" t="n">
        <f aca="false">IF(Raw_Nigeria!N502="","",Raw_Nigeria!N502)</f>
        <v>5535</v>
      </c>
      <c r="P502" s="7" t="str">
        <f aca="false">IF(K502="CBAW","Women of child-bearing age","Children")</f>
        <v>Children</v>
      </c>
      <c r="Q502" s="7" t="n">
        <f aca="false">IF(J502="NOT USED",1,0)</f>
        <v>0</v>
      </c>
      <c r="R502" s="7" t="n">
        <f aca="false">IF(AND(P502="Children",Q502=0),1,0)</f>
        <v>1</v>
      </c>
      <c r="S502" s="7" t="n">
        <f aca="false">IF(AND(R502=1,J502="Record or Recall",K502="12-23 m"),1,0)</f>
        <v>0</v>
      </c>
      <c r="T502" s="7" t="n">
        <f aca="false">IF(OR(I502="BCG",I502="DTP1",I502="DTP3",I502="POL3",I502="MCV1",I502="FULL"),1,0)</f>
        <v>0</v>
      </c>
      <c r="U502" s="7" t="n">
        <f aca="false">IF(OR(C502="DHS",C502="MICS"),1,0)</f>
        <v>1</v>
      </c>
      <c r="V502" s="7" t="n">
        <f aca="false">IF(O502="",1,0)</f>
        <v>0</v>
      </c>
      <c r="W502" s="7" t="n">
        <f aca="false">IF(M502="",1,0)</f>
        <v>0</v>
      </c>
      <c r="X502" s="7" t="n">
        <f aca="false">COUNTIFS($B$2:$B$1141,B502,$H$2:$H$1141,H502,$I$2:$I$1141,I502,$J$2:$J$1141,J502,$K$2:$K$1141,K502,$L$2:$L$1141,L502)</f>
        <v>1</v>
      </c>
    </row>
    <row r="503" customFormat="false" ht="15" hidden="false" customHeight="false" outlineLevel="0" collapsed="false">
      <c r="A503" s="7" t="n">
        <f aca="false">ROW()-1</f>
        <v>502</v>
      </c>
      <c r="B503" s="7" t="str">
        <f aca="false">IF(Raw_Nigeria!B503="",TRIM(Raw_Nigeria!C503),TRIM(Raw_Nigeria!B503))</f>
        <v>Nigeria Multiple Indicator Cluster Survey 2016-2017</v>
      </c>
      <c r="C503" s="7" t="str">
        <f aca="false">IF(ISNUMBER(SEARCH("Demographic and Health",B503)),"DHS",IF(OR(ISNUMBER(SEARCH("Multiple Indicator Cluster",B503)),ISNUMBER(SEARCH("MICS",B503))),"MICS",IF(ISNUMBER(SEARCH("Immunization Coverage Survey",B503)),"Coverage survey",IF(ISNUMBER(SEARCH("Nutrition",B503)),"Nutrition survey","Other"))))</f>
        <v>MICS</v>
      </c>
      <c r="D503" s="7" t="n">
        <f aca="false">VALUE(LEFT(Raw_Nigeria!D503,4))</f>
        <v>2016</v>
      </c>
      <c r="E503" s="7" t="n">
        <f aca="false">IF(VALUE(RIGHT(Raw_Nigeria!D503,2))&gt;12,"",VALUE(RIGHT(Raw_Nigeria!D503,2)))</f>
        <v>9</v>
      </c>
      <c r="F503" s="7" t="n">
        <f aca="false">VALUE(LEFT(Raw_Nigeria!E503,4))</f>
        <v>2017</v>
      </c>
      <c r="G503" s="7" t="n">
        <f aca="false">IF(VALUE(RIGHT(Raw_Nigeria!E503,2))&gt;12,"",VALUE(RIGHT(Raw_Nigeria!E503,2)))</f>
        <v>1</v>
      </c>
      <c r="H503" s="7" t="n">
        <f aca="false">Raw_Nigeria!F503</f>
        <v>2015</v>
      </c>
      <c r="I503" s="7" t="str">
        <f aca="false">UPPER(TRIM(Raw_Nigeria!G503))</f>
        <v>POL1</v>
      </c>
      <c r="J503" s="7" t="str">
        <f aca="false">Raw_Nigeria!H503</f>
        <v>Record or Recall&lt;12m</v>
      </c>
      <c r="K503" s="7" t="str">
        <f aca="false">Raw_Nigeria!L503</f>
        <v>12-23 m</v>
      </c>
      <c r="L503" s="7" t="str">
        <f aca="false">IF(Raw_Nigeria!K503="","n/a",Raw_Nigeria!K503)</f>
        <v>0-12 m</v>
      </c>
      <c r="M503" s="7" t="n">
        <f aca="false">IF(Raw_Nigeria!I503="","",Raw_Nigeria!I503)</f>
        <v>29</v>
      </c>
      <c r="N503" s="7" t="n">
        <f aca="false">Raw_Nigeria!M503</f>
        <v>49.8</v>
      </c>
      <c r="O503" s="7" t="n">
        <f aca="false">IF(Raw_Nigeria!N503="","",Raw_Nigeria!N503)</f>
        <v>5535</v>
      </c>
      <c r="P503" s="7" t="str">
        <f aca="false">IF(K503="CBAW","Women of child-bearing age","Children")</f>
        <v>Children</v>
      </c>
      <c r="Q503" s="7" t="n">
        <f aca="false">IF(J503="NOT USED",1,0)</f>
        <v>0</v>
      </c>
      <c r="R503" s="7" t="n">
        <f aca="false">IF(AND(P503="Children",Q503=0),1,0)</f>
        <v>1</v>
      </c>
      <c r="S503" s="7" t="n">
        <f aca="false">IF(AND(R503=1,J503="Record or Recall",K503="12-23 m"),1,0)</f>
        <v>0</v>
      </c>
      <c r="T503" s="7" t="n">
        <f aca="false">IF(OR(I503="BCG",I503="DTP1",I503="DTP3",I503="POL3",I503="MCV1",I503="FULL"),1,0)</f>
        <v>0</v>
      </c>
      <c r="U503" s="7" t="n">
        <f aca="false">IF(OR(C503="DHS",C503="MICS"),1,0)</f>
        <v>1</v>
      </c>
      <c r="V503" s="7" t="n">
        <f aca="false">IF(O503="",1,0)</f>
        <v>0</v>
      </c>
      <c r="W503" s="7" t="n">
        <f aca="false">IF(M503="",1,0)</f>
        <v>0</v>
      </c>
      <c r="X503" s="7" t="n">
        <f aca="false">COUNTIFS($B$2:$B$1141,B503,$H$2:$H$1141,H503,$I$2:$I$1141,I503,$J$2:$J$1141,J503,$K$2:$K$1141,K503,$L$2:$L$1141,L503)</f>
        <v>1</v>
      </c>
    </row>
    <row r="504" customFormat="false" ht="15" hidden="false" customHeight="false" outlineLevel="0" collapsed="false">
      <c r="A504" s="7" t="n">
        <f aca="false">ROW()-1</f>
        <v>503</v>
      </c>
      <c r="B504" s="7" t="str">
        <f aca="false">IF(Raw_Nigeria!B504="",TRIM(Raw_Nigeria!C504),TRIM(Raw_Nigeria!B504))</f>
        <v>Nigeria Multiple Indicator Cluster Survey 2016-2017</v>
      </c>
      <c r="C504" s="7" t="str">
        <f aca="false">IF(ISNUMBER(SEARCH("Demographic and Health",B504)),"DHS",IF(OR(ISNUMBER(SEARCH("Multiple Indicator Cluster",B504)),ISNUMBER(SEARCH("MICS",B504))),"MICS",IF(ISNUMBER(SEARCH("Immunization Coverage Survey",B504)),"Coverage survey",IF(ISNUMBER(SEARCH("Nutrition",B504)),"Nutrition survey","Other"))))</f>
        <v>MICS</v>
      </c>
      <c r="D504" s="7" t="n">
        <f aca="false">VALUE(LEFT(Raw_Nigeria!D504,4))</f>
        <v>2016</v>
      </c>
      <c r="E504" s="7" t="n">
        <f aca="false">IF(VALUE(RIGHT(Raw_Nigeria!D504,2))&gt;12,"",VALUE(RIGHT(Raw_Nigeria!D504,2)))</f>
        <v>9</v>
      </c>
      <c r="F504" s="7" t="n">
        <f aca="false">VALUE(LEFT(Raw_Nigeria!E504,4))</f>
        <v>2017</v>
      </c>
      <c r="G504" s="7" t="n">
        <f aca="false">IF(VALUE(RIGHT(Raw_Nigeria!E504,2))&gt;12,"",VALUE(RIGHT(Raw_Nigeria!E504,2)))</f>
        <v>1</v>
      </c>
      <c r="H504" s="7" t="n">
        <f aca="false">Raw_Nigeria!F504</f>
        <v>2015</v>
      </c>
      <c r="I504" s="7" t="str">
        <f aca="false">UPPER(TRIM(Raw_Nigeria!G504))</f>
        <v>POL1</v>
      </c>
      <c r="J504" s="7" t="str">
        <f aca="false">Raw_Nigeria!H504</f>
        <v>Record</v>
      </c>
      <c r="K504" s="7" t="str">
        <f aca="false">Raw_Nigeria!L504</f>
        <v>12-23 m</v>
      </c>
      <c r="L504" s="7" t="str">
        <f aca="false">IF(Raw_Nigeria!K504="","n/a",Raw_Nigeria!K504)</f>
        <v>0-23 m</v>
      </c>
      <c r="M504" s="7" t="n">
        <f aca="false">IF(Raw_Nigeria!I504="","",Raw_Nigeria!I504)</f>
        <v>29</v>
      </c>
      <c r="N504" s="7" t="n">
        <f aca="false">Raw_Nigeria!M504</f>
        <v>25.5</v>
      </c>
      <c r="O504" s="7" t="n">
        <f aca="false">IF(Raw_Nigeria!N504="","",Raw_Nigeria!N504)</f>
        <v>5535</v>
      </c>
      <c r="P504" s="7" t="str">
        <f aca="false">IF(K504="CBAW","Women of child-bearing age","Children")</f>
        <v>Children</v>
      </c>
      <c r="Q504" s="7" t="n">
        <f aca="false">IF(J504="NOT USED",1,0)</f>
        <v>0</v>
      </c>
      <c r="R504" s="7" t="n">
        <f aca="false">IF(AND(P504="Children",Q504=0),1,0)</f>
        <v>1</v>
      </c>
      <c r="S504" s="7" t="n">
        <f aca="false">IF(AND(R504=1,J504="Record or Recall",K504="12-23 m"),1,0)</f>
        <v>0</v>
      </c>
      <c r="T504" s="7" t="n">
        <f aca="false">IF(OR(I504="BCG",I504="DTP1",I504="DTP3",I504="POL3",I504="MCV1",I504="FULL"),1,0)</f>
        <v>0</v>
      </c>
      <c r="U504" s="7" t="n">
        <f aca="false">IF(OR(C504="DHS",C504="MICS"),1,0)</f>
        <v>1</v>
      </c>
      <c r="V504" s="7" t="n">
        <f aca="false">IF(O504="",1,0)</f>
        <v>0</v>
      </c>
      <c r="W504" s="7" t="n">
        <f aca="false">IF(M504="",1,0)</f>
        <v>0</v>
      </c>
      <c r="X504" s="7" t="n">
        <f aca="false">COUNTIFS($B$2:$B$1141,B504,$H$2:$H$1141,H504,$I$2:$I$1141,I504,$J$2:$J$1141,J504,$K$2:$K$1141,K504,$L$2:$L$1141,L504)</f>
        <v>1</v>
      </c>
    </row>
    <row r="505" customFormat="false" ht="15" hidden="false" customHeight="false" outlineLevel="0" collapsed="false">
      <c r="A505" s="7" t="n">
        <f aca="false">ROW()-1</f>
        <v>504</v>
      </c>
      <c r="B505" s="7" t="str">
        <f aca="false">IF(Raw_Nigeria!B505="",TRIM(Raw_Nigeria!C505),TRIM(Raw_Nigeria!B505))</f>
        <v>Nigeria Multiple Indicator Cluster Survey 2016-2017</v>
      </c>
      <c r="C505" s="7" t="str">
        <f aca="false">IF(ISNUMBER(SEARCH("Demographic and Health",B505)),"DHS",IF(OR(ISNUMBER(SEARCH("Multiple Indicator Cluster",B505)),ISNUMBER(SEARCH("MICS",B505))),"MICS",IF(ISNUMBER(SEARCH("Immunization Coverage Survey",B505)),"Coverage survey",IF(ISNUMBER(SEARCH("Nutrition",B505)),"Nutrition survey","Other"))))</f>
        <v>MICS</v>
      </c>
      <c r="D505" s="7" t="n">
        <f aca="false">VALUE(LEFT(Raw_Nigeria!D505,4))</f>
        <v>2016</v>
      </c>
      <c r="E505" s="7" t="n">
        <f aca="false">IF(VALUE(RIGHT(Raw_Nigeria!D505,2))&gt;12,"",VALUE(RIGHT(Raw_Nigeria!D505,2)))</f>
        <v>9</v>
      </c>
      <c r="F505" s="7" t="n">
        <f aca="false">VALUE(LEFT(Raw_Nigeria!E505,4))</f>
        <v>2017</v>
      </c>
      <c r="G505" s="7" t="n">
        <f aca="false">IF(VALUE(RIGHT(Raw_Nigeria!E505,2))&gt;12,"",VALUE(RIGHT(Raw_Nigeria!E505,2)))</f>
        <v>1</v>
      </c>
      <c r="H505" s="7" t="n">
        <f aca="false">Raw_Nigeria!F505</f>
        <v>2015</v>
      </c>
      <c r="I505" s="7" t="str">
        <f aca="false">UPPER(TRIM(Raw_Nigeria!G505))</f>
        <v>POL1</v>
      </c>
      <c r="J505" s="7" t="str">
        <f aca="false">Raw_Nigeria!H505</f>
        <v>Record or Recall</v>
      </c>
      <c r="K505" s="7" t="str">
        <f aca="false">Raw_Nigeria!L505</f>
        <v>12-23 m</v>
      </c>
      <c r="L505" s="7" t="str">
        <f aca="false">IF(Raw_Nigeria!K505="","n/a",Raw_Nigeria!K505)</f>
        <v>0-23 m</v>
      </c>
      <c r="M505" s="7" t="n">
        <f aca="false">IF(Raw_Nigeria!I505="","",Raw_Nigeria!I505)</f>
        <v>29</v>
      </c>
      <c r="N505" s="7" t="n">
        <f aca="false">Raw_Nigeria!M505</f>
        <v>50.4</v>
      </c>
      <c r="O505" s="7" t="n">
        <f aca="false">IF(Raw_Nigeria!N505="","",Raw_Nigeria!N505)</f>
        <v>5535</v>
      </c>
      <c r="P505" s="7" t="str">
        <f aca="false">IF(K505="CBAW","Women of child-bearing age","Children")</f>
        <v>Children</v>
      </c>
      <c r="Q505" s="7" t="n">
        <f aca="false">IF(J505="NOT USED",1,0)</f>
        <v>0</v>
      </c>
      <c r="R505" s="7" t="n">
        <f aca="false">IF(AND(P505="Children",Q505=0),1,0)</f>
        <v>1</v>
      </c>
      <c r="S505" s="7" t="n">
        <f aca="false">IF(AND(R505=1,J505="Record or Recall",K505="12-23 m"),1,0)</f>
        <v>1</v>
      </c>
      <c r="T505" s="7" t="n">
        <f aca="false">IF(OR(I505="BCG",I505="DTP1",I505="DTP3",I505="POL3",I505="MCV1",I505="FULL"),1,0)</f>
        <v>0</v>
      </c>
      <c r="U505" s="7" t="n">
        <f aca="false">IF(OR(C505="DHS",C505="MICS"),1,0)</f>
        <v>1</v>
      </c>
      <c r="V505" s="7" t="n">
        <f aca="false">IF(O505="",1,0)</f>
        <v>0</v>
      </c>
      <c r="W505" s="7" t="n">
        <f aca="false">IF(M505="",1,0)</f>
        <v>0</v>
      </c>
      <c r="X505" s="7" t="n">
        <f aca="false">COUNTIFS($B$2:$B$1141,B505,$H$2:$H$1141,H505,$I$2:$I$1141,I505,$J$2:$J$1141,J505,$K$2:$K$1141,K505,$L$2:$L$1141,L505)</f>
        <v>1</v>
      </c>
    </row>
    <row r="506" customFormat="false" ht="15" hidden="false" customHeight="false" outlineLevel="0" collapsed="false">
      <c r="A506" s="7" t="n">
        <f aca="false">ROW()-1</f>
        <v>505</v>
      </c>
      <c r="B506" s="7" t="str">
        <f aca="false">IF(Raw_Nigeria!B506="",TRIM(Raw_Nigeria!C506),TRIM(Raw_Nigeria!B506))</f>
        <v>Nigeria Multiple Indicator Cluster Survey 2016-2017</v>
      </c>
      <c r="C506" s="7" t="str">
        <f aca="false">IF(ISNUMBER(SEARCH("Demographic and Health",B506)),"DHS",IF(OR(ISNUMBER(SEARCH("Multiple Indicator Cluster",B506)),ISNUMBER(SEARCH("MICS",B506))),"MICS",IF(ISNUMBER(SEARCH("Immunization Coverage Survey",B506)),"Coverage survey",IF(ISNUMBER(SEARCH("Nutrition",B506)),"Nutrition survey","Other"))))</f>
        <v>MICS</v>
      </c>
      <c r="D506" s="7" t="n">
        <f aca="false">VALUE(LEFT(Raw_Nigeria!D506,4))</f>
        <v>2016</v>
      </c>
      <c r="E506" s="7" t="n">
        <f aca="false">IF(VALUE(RIGHT(Raw_Nigeria!D506,2))&gt;12,"",VALUE(RIGHT(Raw_Nigeria!D506,2)))</f>
        <v>9</v>
      </c>
      <c r="F506" s="7" t="n">
        <f aca="false">VALUE(LEFT(Raw_Nigeria!E506,4))</f>
        <v>2017</v>
      </c>
      <c r="G506" s="7" t="n">
        <f aca="false">IF(VALUE(RIGHT(Raw_Nigeria!E506,2))&gt;12,"",VALUE(RIGHT(Raw_Nigeria!E506,2)))</f>
        <v>1</v>
      </c>
      <c r="H506" s="7" t="n">
        <f aca="false">Raw_Nigeria!F506</f>
        <v>2015</v>
      </c>
      <c r="I506" s="7" t="str">
        <f aca="false">UPPER(TRIM(Raw_Nigeria!G506))</f>
        <v>POL1</v>
      </c>
      <c r="J506" s="7" t="str">
        <f aca="false">Raw_Nigeria!H506</f>
        <v>Recall</v>
      </c>
      <c r="K506" s="7" t="str">
        <f aca="false">Raw_Nigeria!L506</f>
        <v>12-23 m</v>
      </c>
      <c r="L506" s="7" t="str">
        <f aca="false">IF(Raw_Nigeria!K506="","n/a",Raw_Nigeria!K506)</f>
        <v>0-23 m</v>
      </c>
      <c r="M506" s="7" t="n">
        <f aca="false">IF(Raw_Nigeria!I506="","",Raw_Nigeria!I506)</f>
        <v>29</v>
      </c>
      <c r="N506" s="7" t="n">
        <f aca="false">Raw_Nigeria!M506</f>
        <v>25</v>
      </c>
      <c r="O506" s="7" t="n">
        <f aca="false">IF(Raw_Nigeria!N506="","",Raw_Nigeria!N506)</f>
        <v>5535</v>
      </c>
      <c r="P506" s="7" t="str">
        <f aca="false">IF(K506="CBAW","Women of child-bearing age","Children")</f>
        <v>Children</v>
      </c>
      <c r="Q506" s="7" t="n">
        <f aca="false">IF(J506="NOT USED",1,0)</f>
        <v>0</v>
      </c>
      <c r="R506" s="7" t="n">
        <f aca="false">IF(AND(P506="Children",Q506=0),1,0)</f>
        <v>1</v>
      </c>
      <c r="S506" s="7" t="n">
        <f aca="false">IF(AND(R506=1,J506="Record or Recall",K506="12-23 m"),1,0)</f>
        <v>0</v>
      </c>
      <c r="T506" s="7" t="n">
        <f aca="false">IF(OR(I506="BCG",I506="DTP1",I506="DTP3",I506="POL3",I506="MCV1",I506="FULL"),1,0)</f>
        <v>0</v>
      </c>
      <c r="U506" s="7" t="n">
        <f aca="false">IF(OR(C506="DHS",C506="MICS"),1,0)</f>
        <v>1</v>
      </c>
      <c r="V506" s="7" t="n">
        <f aca="false">IF(O506="",1,0)</f>
        <v>0</v>
      </c>
      <c r="W506" s="7" t="n">
        <f aca="false">IF(M506="",1,0)</f>
        <v>0</v>
      </c>
      <c r="X506" s="7" t="n">
        <f aca="false">COUNTIFS($B$2:$B$1141,B506,$H$2:$H$1141,H506,$I$2:$I$1141,I506,$J$2:$J$1141,J506,$K$2:$K$1141,K506,$L$2:$L$1141,L506)</f>
        <v>1</v>
      </c>
    </row>
    <row r="507" customFormat="false" ht="15" hidden="false" customHeight="false" outlineLevel="0" collapsed="false">
      <c r="A507" s="7" t="n">
        <f aca="false">ROW()-1</f>
        <v>506</v>
      </c>
      <c r="B507" s="7" t="str">
        <f aca="false">IF(Raw_Nigeria!B507="",TRIM(Raw_Nigeria!C507),TRIM(Raw_Nigeria!B507))</f>
        <v>Nigeria Multiple Indicator Cluster Survey 2016-2017</v>
      </c>
      <c r="C507" s="7" t="str">
        <f aca="false">IF(ISNUMBER(SEARCH("Demographic and Health",B507)),"DHS",IF(OR(ISNUMBER(SEARCH("Multiple Indicator Cluster",B507)),ISNUMBER(SEARCH("MICS",B507))),"MICS",IF(ISNUMBER(SEARCH("Immunization Coverage Survey",B507)),"Coverage survey",IF(ISNUMBER(SEARCH("Nutrition",B507)),"Nutrition survey","Other"))))</f>
        <v>MICS</v>
      </c>
      <c r="D507" s="7" t="n">
        <f aca="false">VALUE(LEFT(Raw_Nigeria!D507,4))</f>
        <v>2016</v>
      </c>
      <c r="E507" s="7" t="n">
        <f aca="false">IF(VALUE(RIGHT(Raw_Nigeria!D507,2))&gt;12,"",VALUE(RIGHT(Raw_Nigeria!D507,2)))</f>
        <v>9</v>
      </c>
      <c r="F507" s="7" t="n">
        <f aca="false">VALUE(LEFT(Raw_Nigeria!E507,4))</f>
        <v>2017</v>
      </c>
      <c r="G507" s="7" t="n">
        <f aca="false">IF(VALUE(RIGHT(Raw_Nigeria!E507,2))&gt;12,"",VALUE(RIGHT(Raw_Nigeria!E507,2)))</f>
        <v>1</v>
      </c>
      <c r="H507" s="7" t="n">
        <f aca="false">Raw_Nigeria!F507</f>
        <v>2015</v>
      </c>
      <c r="I507" s="7" t="str">
        <f aca="false">UPPER(TRIM(Raw_Nigeria!G507))</f>
        <v>POL2</v>
      </c>
      <c r="J507" s="7" t="str">
        <f aca="false">Raw_Nigeria!H507</f>
        <v>Record or Recall&lt;12m</v>
      </c>
      <c r="K507" s="7" t="str">
        <f aca="false">Raw_Nigeria!L507</f>
        <v>12-23 m</v>
      </c>
      <c r="L507" s="7" t="str">
        <f aca="false">IF(Raw_Nigeria!K507="","n/a",Raw_Nigeria!K507)</f>
        <v>0-12 m</v>
      </c>
      <c r="M507" s="7" t="n">
        <f aca="false">IF(Raw_Nigeria!I507="","",Raw_Nigeria!I507)</f>
        <v>29</v>
      </c>
      <c r="N507" s="7" t="n">
        <f aca="false">Raw_Nigeria!M507</f>
        <v>43</v>
      </c>
      <c r="O507" s="7" t="n">
        <f aca="false">IF(Raw_Nigeria!N507="","",Raw_Nigeria!N507)</f>
        <v>5535</v>
      </c>
      <c r="P507" s="7" t="str">
        <f aca="false">IF(K507="CBAW","Women of child-bearing age","Children")</f>
        <v>Children</v>
      </c>
      <c r="Q507" s="7" t="n">
        <f aca="false">IF(J507="NOT USED",1,0)</f>
        <v>0</v>
      </c>
      <c r="R507" s="7" t="n">
        <f aca="false">IF(AND(P507="Children",Q507=0),1,0)</f>
        <v>1</v>
      </c>
      <c r="S507" s="7" t="n">
        <f aca="false">IF(AND(R507=1,J507="Record or Recall",K507="12-23 m"),1,0)</f>
        <v>0</v>
      </c>
      <c r="T507" s="7" t="n">
        <f aca="false">IF(OR(I507="BCG",I507="DTP1",I507="DTP3",I507="POL3",I507="MCV1",I507="FULL"),1,0)</f>
        <v>0</v>
      </c>
      <c r="U507" s="7" t="n">
        <f aca="false">IF(OR(C507="DHS",C507="MICS"),1,0)</f>
        <v>1</v>
      </c>
      <c r="V507" s="7" t="n">
        <f aca="false">IF(O507="",1,0)</f>
        <v>0</v>
      </c>
      <c r="W507" s="7" t="n">
        <f aca="false">IF(M507="",1,0)</f>
        <v>0</v>
      </c>
      <c r="X507" s="7" t="n">
        <f aca="false">COUNTIFS($B$2:$B$1141,B507,$H$2:$H$1141,H507,$I$2:$I$1141,I507,$J$2:$J$1141,J507,$K$2:$K$1141,K507,$L$2:$L$1141,L507)</f>
        <v>1</v>
      </c>
    </row>
    <row r="508" customFormat="false" ht="15" hidden="false" customHeight="false" outlineLevel="0" collapsed="false">
      <c r="A508" s="7" t="n">
        <f aca="false">ROW()-1</f>
        <v>507</v>
      </c>
      <c r="B508" s="7" t="str">
        <f aca="false">IF(Raw_Nigeria!B508="",TRIM(Raw_Nigeria!C508),TRIM(Raw_Nigeria!B508))</f>
        <v>Nigeria Multiple Indicator Cluster Survey 2016-2017</v>
      </c>
      <c r="C508" s="7" t="str">
        <f aca="false">IF(ISNUMBER(SEARCH("Demographic and Health",B508)),"DHS",IF(OR(ISNUMBER(SEARCH("Multiple Indicator Cluster",B508)),ISNUMBER(SEARCH("MICS",B508))),"MICS",IF(ISNUMBER(SEARCH("Immunization Coverage Survey",B508)),"Coverage survey",IF(ISNUMBER(SEARCH("Nutrition",B508)),"Nutrition survey","Other"))))</f>
        <v>MICS</v>
      </c>
      <c r="D508" s="7" t="n">
        <f aca="false">VALUE(LEFT(Raw_Nigeria!D508,4))</f>
        <v>2016</v>
      </c>
      <c r="E508" s="7" t="n">
        <f aca="false">IF(VALUE(RIGHT(Raw_Nigeria!D508,2))&gt;12,"",VALUE(RIGHT(Raw_Nigeria!D508,2)))</f>
        <v>9</v>
      </c>
      <c r="F508" s="7" t="n">
        <f aca="false">VALUE(LEFT(Raw_Nigeria!E508,4))</f>
        <v>2017</v>
      </c>
      <c r="G508" s="7" t="n">
        <f aca="false">IF(VALUE(RIGHT(Raw_Nigeria!E508,2))&gt;12,"",VALUE(RIGHT(Raw_Nigeria!E508,2)))</f>
        <v>1</v>
      </c>
      <c r="H508" s="7" t="n">
        <f aca="false">Raw_Nigeria!F508</f>
        <v>2015</v>
      </c>
      <c r="I508" s="7" t="str">
        <f aca="false">UPPER(TRIM(Raw_Nigeria!G508))</f>
        <v>POL2</v>
      </c>
      <c r="J508" s="7" t="str">
        <f aca="false">Raw_Nigeria!H508</f>
        <v>Record</v>
      </c>
      <c r="K508" s="7" t="str">
        <f aca="false">Raw_Nigeria!L508</f>
        <v>12-23 m</v>
      </c>
      <c r="L508" s="7" t="str">
        <f aca="false">IF(Raw_Nigeria!K508="","n/a",Raw_Nigeria!K508)</f>
        <v>0-23 m</v>
      </c>
      <c r="M508" s="7" t="n">
        <f aca="false">IF(Raw_Nigeria!I508="","",Raw_Nigeria!I508)</f>
        <v>29</v>
      </c>
      <c r="N508" s="7" t="n">
        <f aca="false">Raw_Nigeria!M508</f>
        <v>23.3</v>
      </c>
      <c r="O508" s="7" t="n">
        <f aca="false">IF(Raw_Nigeria!N508="","",Raw_Nigeria!N508)</f>
        <v>5535</v>
      </c>
      <c r="P508" s="7" t="str">
        <f aca="false">IF(K508="CBAW","Women of child-bearing age","Children")</f>
        <v>Children</v>
      </c>
      <c r="Q508" s="7" t="n">
        <f aca="false">IF(J508="NOT USED",1,0)</f>
        <v>0</v>
      </c>
      <c r="R508" s="7" t="n">
        <f aca="false">IF(AND(P508="Children",Q508=0),1,0)</f>
        <v>1</v>
      </c>
      <c r="S508" s="7" t="n">
        <f aca="false">IF(AND(R508=1,J508="Record or Recall",K508="12-23 m"),1,0)</f>
        <v>0</v>
      </c>
      <c r="T508" s="7" t="n">
        <f aca="false">IF(OR(I508="BCG",I508="DTP1",I508="DTP3",I508="POL3",I508="MCV1",I508="FULL"),1,0)</f>
        <v>0</v>
      </c>
      <c r="U508" s="7" t="n">
        <f aca="false">IF(OR(C508="DHS",C508="MICS"),1,0)</f>
        <v>1</v>
      </c>
      <c r="V508" s="7" t="n">
        <f aca="false">IF(O508="",1,0)</f>
        <v>0</v>
      </c>
      <c r="W508" s="7" t="n">
        <f aca="false">IF(M508="",1,0)</f>
        <v>0</v>
      </c>
      <c r="X508" s="7" t="n">
        <f aca="false">COUNTIFS($B$2:$B$1141,B508,$H$2:$H$1141,H508,$I$2:$I$1141,I508,$J$2:$J$1141,J508,$K$2:$K$1141,K508,$L$2:$L$1141,L508)</f>
        <v>1</v>
      </c>
    </row>
    <row r="509" customFormat="false" ht="15" hidden="false" customHeight="false" outlineLevel="0" collapsed="false">
      <c r="A509" s="7" t="n">
        <f aca="false">ROW()-1</f>
        <v>508</v>
      </c>
      <c r="B509" s="7" t="str">
        <f aca="false">IF(Raw_Nigeria!B509="",TRIM(Raw_Nigeria!C509),TRIM(Raw_Nigeria!B509))</f>
        <v>Nigeria Multiple Indicator Cluster Survey 2016-2017</v>
      </c>
      <c r="C509" s="7" t="str">
        <f aca="false">IF(ISNUMBER(SEARCH("Demographic and Health",B509)),"DHS",IF(OR(ISNUMBER(SEARCH("Multiple Indicator Cluster",B509)),ISNUMBER(SEARCH("MICS",B509))),"MICS",IF(ISNUMBER(SEARCH("Immunization Coverage Survey",B509)),"Coverage survey",IF(ISNUMBER(SEARCH("Nutrition",B509)),"Nutrition survey","Other"))))</f>
        <v>MICS</v>
      </c>
      <c r="D509" s="7" t="n">
        <f aca="false">VALUE(LEFT(Raw_Nigeria!D509,4))</f>
        <v>2016</v>
      </c>
      <c r="E509" s="7" t="n">
        <f aca="false">IF(VALUE(RIGHT(Raw_Nigeria!D509,2))&gt;12,"",VALUE(RIGHT(Raw_Nigeria!D509,2)))</f>
        <v>9</v>
      </c>
      <c r="F509" s="7" t="n">
        <f aca="false">VALUE(LEFT(Raw_Nigeria!E509,4))</f>
        <v>2017</v>
      </c>
      <c r="G509" s="7" t="n">
        <f aca="false">IF(VALUE(RIGHT(Raw_Nigeria!E509,2))&gt;12,"",VALUE(RIGHT(Raw_Nigeria!E509,2)))</f>
        <v>1</v>
      </c>
      <c r="H509" s="7" t="n">
        <f aca="false">Raw_Nigeria!F509</f>
        <v>2015</v>
      </c>
      <c r="I509" s="7" t="str">
        <f aca="false">UPPER(TRIM(Raw_Nigeria!G509))</f>
        <v>POL2</v>
      </c>
      <c r="J509" s="7" t="str">
        <f aca="false">Raw_Nigeria!H509</f>
        <v>Record or Recall</v>
      </c>
      <c r="K509" s="7" t="str">
        <f aca="false">Raw_Nigeria!L509</f>
        <v>12-23 m</v>
      </c>
      <c r="L509" s="7" t="str">
        <f aca="false">IF(Raw_Nigeria!K509="","n/a",Raw_Nigeria!K509)</f>
        <v>0-23 m</v>
      </c>
      <c r="M509" s="7" t="n">
        <f aca="false">IF(Raw_Nigeria!I509="","",Raw_Nigeria!I509)</f>
        <v>29</v>
      </c>
      <c r="N509" s="7" t="n">
        <f aca="false">Raw_Nigeria!M509</f>
        <v>43.5</v>
      </c>
      <c r="O509" s="7" t="n">
        <f aca="false">IF(Raw_Nigeria!N509="","",Raw_Nigeria!N509)</f>
        <v>5535</v>
      </c>
      <c r="P509" s="7" t="str">
        <f aca="false">IF(K509="CBAW","Women of child-bearing age","Children")</f>
        <v>Children</v>
      </c>
      <c r="Q509" s="7" t="n">
        <f aca="false">IF(J509="NOT USED",1,0)</f>
        <v>0</v>
      </c>
      <c r="R509" s="7" t="n">
        <f aca="false">IF(AND(P509="Children",Q509=0),1,0)</f>
        <v>1</v>
      </c>
      <c r="S509" s="7" t="n">
        <f aca="false">IF(AND(R509=1,J509="Record or Recall",K509="12-23 m"),1,0)</f>
        <v>1</v>
      </c>
      <c r="T509" s="7" t="n">
        <f aca="false">IF(OR(I509="BCG",I509="DTP1",I509="DTP3",I509="POL3",I509="MCV1",I509="FULL"),1,0)</f>
        <v>0</v>
      </c>
      <c r="U509" s="7" t="n">
        <f aca="false">IF(OR(C509="DHS",C509="MICS"),1,0)</f>
        <v>1</v>
      </c>
      <c r="V509" s="7" t="n">
        <f aca="false">IF(O509="",1,0)</f>
        <v>0</v>
      </c>
      <c r="W509" s="7" t="n">
        <f aca="false">IF(M509="",1,0)</f>
        <v>0</v>
      </c>
      <c r="X509" s="7" t="n">
        <f aca="false">COUNTIFS($B$2:$B$1141,B509,$H$2:$H$1141,H509,$I$2:$I$1141,I509,$J$2:$J$1141,J509,$K$2:$K$1141,K509,$L$2:$L$1141,L509)</f>
        <v>1</v>
      </c>
    </row>
    <row r="510" customFormat="false" ht="15" hidden="false" customHeight="false" outlineLevel="0" collapsed="false">
      <c r="A510" s="7" t="n">
        <f aca="false">ROW()-1</f>
        <v>509</v>
      </c>
      <c r="B510" s="7" t="str">
        <f aca="false">IF(Raw_Nigeria!B510="",TRIM(Raw_Nigeria!C510),TRIM(Raw_Nigeria!B510))</f>
        <v>Nigeria Multiple Indicator Cluster Survey 2016-2017</v>
      </c>
      <c r="C510" s="7" t="str">
        <f aca="false">IF(ISNUMBER(SEARCH("Demographic and Health",B510)),"DHS",IF(OR(ISNUMBER(SEARCH("Multiple Indicator Cluster",B510)),ISNUMBER(SEARCH("MICS",B510))),"MICS",IF(ISNUMBER(SEARCH("Immunization Coverage Survey",B510)),"Coverage survey",IF(ISNUMBER(SEARCH("Nutrition",B510)),"Nutrition survey","Other"))))</f>
        <v>MICS</v>
      </c>
      <c r="D510" s="7" t="n">
        <f aca="false">VALUE(LEFT(Raw_Nigeria!D510,4))</f>
        <v>2016</v>
      </c>
      <c r="E510" s="7" t="n">
        <f aca="false">IF(VALUE(RIGHT(Raw_Nigeria!D510,2))&gt;12,"",VALUE(RIGHT(Raw_Nigeria!D510,2)))</f>
        <v>9</v>
      </c>
      <c r="F510" s="7" t="n">
        <f aca="false">VALUE(LEFT(Raw_Nigeria!E510,4))</f>
        <v>2017</v>
      </c>
      <c r="G510" s="7" t="n">
        <f aca="false">IF(VALUE(RIGHT(Raw_Nigeria!E510,2))&gt;12,"",VALUE(RIGHT(Raw_Nigeria!E510,2)))</f>
        <v>1</v>
      </c>
      <c r="H510" s="7" t="n">
        <f aca="false">Raw_Nigeria!F510</f>
        <v>2015</v>
      </c>
      <c r="I510" s="7" t="str">
        <f aca="false">UPPER(TRIM(Raw_Nigeria!G510))</f>
        <v>POL2</v>
      </c>
      <c r="J510" s="7" t="str">
        <f aca="false">Raw_Nigeria!H510</f>
        <v>Recall</v>
      </c>
      <c r="K510" s="7" t="str">
        <f aca="false">Raw_Nigeria!L510</f>
        <v>12-23 m</v>
      </c>
      <c r="L510" s="7" t="str">
        <f aca="false">IF(Raw_Nigeria!K510="","n/a",Raw_Nigeria!K510)</f>
        <v>0-23 m</v>
      </c>
      <c r="M510" s="7" t="n">
        <f aca="false">IF(Raw_Nigeria!I510="","",Raw_Nigeria!I510)</f>
        <v>29</v>
      </c>
      <c r="N510" s="7" t="n">
        <f aca="false">Raw_Nigeria!M510</f>
        <v>20.2</v>
      </c>
      <c r="O510" s="7" t="n">
        <f aca="false">IF(Raw_Nigeria!N510="","",Raw_Nigeria!N510)</f>
        <v>5535</v>
      </c>
      <c r="P510" s="7" t="str">
        <f aca="false">IF(K510="CBAW","Women of child-bearing age","Children")</f>
        <v>Children</v>
      </c>
      <c r="Q510" s="7" t="n">
        <f aca="false">IF(J510="NOT USED",1,0)</f>
        <v>0</v>
      </c>
      <c r="R510" s="7" t="n">
        <f aca="false">IF(AND(P510="Children",Q510=0),1,0)</f>
        <v>1</v>
      </c>
      <c r="S510" s="7" t="n">
        <f aca="false">IF(AND(R510=1,J510="Record or Recall",K510="12-23 m"),1,0)</f>
        <v>0</v>
      </c>
      <c r="T510" s="7" t="n">
        <f aca="false">IF(OR(I510="BCG",I510="DTP1",I510="DTP3",I510="POL3",I510="MCV1",I510="FULL"),1,0)</f>
        <v>0</v>
      </c>
      <c r="U510" s="7" t="n">
        <f aca="false">IF(OR(C510="DHS",C510="MICS"),1,0)</f>
        <v>1</v>
      </c>
      <c r="V510" s="7" t="n">
        <f aca="false">IF(O510="",1,0)</f>
        <v>0</v>
      </c>
      <c r="W510" s="7" t="n">
        <f aca="false">IF(M510="",1,0)</f>
        <v>0</v>
      </c>
      <c r="X510" s="7" t="n">
        <f aca="false">COUNTIFS($B$2:$B$1141,B510,$H$2:$H$1141,H510,$I$2:$I$1141,I510,$J$2:$J$1141,J510,$K$2:$K$1141,K510,$L$2:$L$1141,L510)</f>
        <v>1</v>
      </c>
    </row>
    <row r="511" customFormat="false" ht="15" hidden="false" customHeight="false" outlineLevel="0" collapsed="false">
      <c r="A511" s="7" t="n">
        <f aca="false">ROW()-1</f>
        <v>510</v>
      </c>
      <c r="B511" s="7" t="str">
        <f aca="false">IF(Raw_Nigeria!B511="",TRIM(Raw_Nigeria!C511),TRIM(Raw_Nigeria!B511))</f>
        <v>Nigeria Multiple Indicator Cluster Survey 2016-2017</v>
      </c>
      <c r="C511" s="7" t="str">
        <f aca="false">IF(ISNUMBER(SEARCH("Demographic and Health",B511)),"DHS",IF(OR(ISNUMBER(SEARCH("Multiple Indicator Cluster",B511)),ISNUMBER(SEARCH("MICS",B511))),"MICS",IF(ISNUMBER(SEARCH("Immunization Coverage Survey",B511)),"Coverage survey",IF(ISNUMBER(SEARCH("Nutrition",B511)),"Nutrition survey","Other"))))</f>
        <v>MICS</v>
      </c>
      <c r="D511" s="7" t="n">
        <f aca="false">VALUE(LEFT(Raw_Nigeria!D511,4))</f>
        <v>2016</v>
      </c>
      <c r="E511" s="7" t="n">
        <f aca="false">IF(VALUE(RIGHT(Raw_Nigeria!D511,2))&gt;12,"",VALUE(RIGHT(Raw_Nigeria!D511,2)))</f>
        <v>9</v>
      </c>
      <c r="F511" s="7" t="n">
        <f aca="false">VALUE(LEFT(Raw_Nigeria!E511,4))</f>
        <v>2017</v>
      </c>
      <c r="G511" s="7" t="n">
        <f aca="false">IF(VALUE(RIGHT(Raw_Nigeria!E511,2))&gt;12,"",VALUE(RIGHT(Raw_Nigeria!E511,2)))</f>
        <v>1</v>
      </c>
      <c r="H511" s="7" t="n">
        <f aca="false">Raw_Nigeria!F511</f>
        <v>2015</v>
      </c>
      <c r="I511" s="7" t="str">
        <f aca="false">UPPER(TRIM(Raw_Nigeria!G511))</f>
        <v>POL3</v>
      </c>
      <c r="J511" s="7" t="str">
        <f aca="false">Raw_Nigeria!H511</f>
        <v>Record or Recall&lt;12m</v>
      </c>
      <c r="K511" s="7" t="str">
        <f aca="false">Raw_Nigeria!L511</f>
        <v>12-23 m</v>
      </c>
      <c r="L511" s="7" t="str">
        <f aca="false">IF(Raw_Nigeria!K511="","n/a",Raw_Nigeria!K511)</f>
        <v>0-12 m</v>
      </c>
      <c r="M511" s="7" t="n">
        <f aca="false">IF(Raw_Nigeria!I511="","",Raw_Nigeria!I511)</f>
        <v>29</v>
      </c>
      <c r="N511" s="7" t="n">
        <f aca="false">Raw_Nigeria!M511</f>
        <v>34</v>
      </c>
      <c r="O511" s="7" t="n">
        <f aca="false">IF(Raw_Nigeria!N511="","",Raw_Nigeria!N511)</f>
        <v>5535</v>
      </c>
      <c r="P511" s="7" t="str">
        <f aca="false">IF(K511="CBAW","Women of child-bearing age","Children")</f>
        <v>Children</v>
      </c>
      <c r="Q511" s="7" t="n">
        <f aca="false">IF(J511="NOT USED",1,0)</f>
        <v>0</v>
      </c>
      <c r="R511" s="7" t="n">
        <f aca="false">IF(AND(P511="Children",Q511=0),1,0)</f>
        <v>1</v>
      </c>
      <c r="S511" s="7" t="n">
        <f aca="false">IF(AND(R511=1,J511="Record or Recall",K511="12-23 m"),1,0)</f>
        <v>0</v>
      </c>
      <c r="T511" s="7" t="n">
        <f aca="false">IF(OR(I511="BCG",I511="DTP1",I511="DTP3",I511="POL3",I511="MCV1",I511="FULL"),1,0)</f>
        <v>1</v>
      </c>
      <c r="U511" s="7" t="n">
        <f aca="false">IF(OR(C511="DHS",C511="MICS"),1,0)</f>
        <v>1</v>
      </c>
      <c r="V511" s="7" t="n">
        <f aca="false">IF(O511="",1,0)</f>
        <v>0</v>
      </c>
      <c r="W511" s="7" t="n">
        <f aca="false">IF(M511="",1,0)</f>
        <v>0</v>
      </c>
      <c r="X511" s="7" t="n">
        <f aca="false">COUNTIFS($B$2:$B$1141,B511,$H$2:$H$1141,H511,$I$2:$I$1141,I511,$J$2:$J$1141,J511,$K$2:$K$1141,K511,$L$2:$L$1141,L511)</f>
        <v>1</v>
      </c>
    </row>
    <row r="512" customFormat="false" ht="15" hidden="false" customHeight="false" outlineLevel="0" collapsed="false">
      <c r="A512" s="7" t="n">
        <f aca="false">ROW()-1</f>
        <v>511</v>
      </c>
      <c r="B512" s="7" t="str">
        <f aca="false">IF(Raw_Nigeria!B512="",TRIM(Raw_Nigeria!C512),TRIM(Raw_Nigeria!B512))</f>
        <v>Nigeria Multiple Indicator Cluster Survey 2016-2017</v>
      </c>
      <c r="C512" s="7" t="str">
        <f aca="false">IF(ISNUMBER(SEARCH("Demographic and Health",B512)),"DHS",IF(OR(ISNUMBER(SEARCH("Multiple Indicator Cluster",B512)),ISNUMBER(SEARCH("MICS",B512))),"MICS",IF(ISNUMBER(SEARCH("Immunization Coverage Survey",B512)),"Coverage survey",IF(ISNUMBER(SEARCH("Nutrition",B512)),"Nutrition survey","Other"))))</f>
        <v>MICS</v>
      </c>
      <c r="D512" s="7" t="n">
        <f aca="false">VALUE(LEFT(Raw_Nigeria!D512,4))</f>
        <v>2016</v>
      </c>
      <c r="E512" s="7" t="n">
        <f aca="false">IF(VALUE(RIGHT(Raw_Nigeria!D512,2))&gt;12,"",VALUE(RIGHT(Raw_Nigeria!D512,2)))</f>
        <v>9</v>
      </c>
      <c r="F512" s="7" t="n">
        <f aca="false">VALUE(LEFT(Raw_Nigeria!E512,4))</f>
        <v>2017</v>
      </c>
      <c r="G512" s="7" t="n">
        <f aca="false">IF(VALUE(RIGHT(Raw_Nigeria!E512,2))&gt;12,"",VALUE(RIGHT(Raw_Nigeria!E512,2)))</f>
        <v>1</v>
      </c>
      <c r="H512" s="7" t="n">
        <f aca="false">Raw_Nigeria!F512</f>
        <v>2015</v>
      </c>
      <c r="I512" s="7" t="str">
        <f aca="false">UPPER(TRIM(Raw_Nigeria!G512))</f>
        <v>POL3</v>
      </c>
      <c r="J512" s="7" t="str">
        <f aca="false">Raw_Nigeria!H512</f>
        <v>Record</v>
      </c>
      <c r="K512" s="7" t="str">
        <f aca="false">Raw_Nigeria!L512</f>
        <v>12-23 m</v>
      </c>
      <c r="L512" s="7" t="str">
        <f aca="false">IF(Raw_Nigeria!K512="","n/a",Raw_Nigeria!K512)</f>
        <v>0-23 m</v>
      </c>
      <c r="M512" s="7" t="n">
        <f aca="false">IF(Raw_Nigeria!I512="","",Raw_Nigeria!I512)</f>
        <v>29</v>
      </c>
      <c r="N512" s="7" t="n">
        <f aca="false">Raw_Nigeria!M512</f>
        <v>21.4</v>
      </c>
      <c r="O512" s="7" t="n">
        <f aca="false">IF(Raw_Nigeria!N512="","",Raw_Nigeria!N512)</f>
        <v>5535</v>
      </c>
      <c r="P512" s="7" t="str">
        <f aca="false">IF(K512="CBAW","Women of child-bearing age","Children")</f>
        <v>Children</v>
      </c>
      <c r="Q512" s="7" t="n">
        <f aca="false">IF(J512="NOT USED",1,0)</f>
        <v>0</v>
      </c>
      <c r="R512" s="7" t="n">
        <f aca="false">IF(AND(P512="Children",Q512=0),1,0)</f>
        <v>1</v>
      </c>
      <c r="S512" s="7" t="n">
        <f aca="false">IF(AND(R512=1,J512="Record or Recall",K512="12-23 m"),1,0)</f>
        <v>0</v>
      </c>
      <c r="T512" s="7" t="n">
        <f aca="false">IF(OR(I512="BCG",I512="DTP1",I512="DTP3",I512="POL3",I512="MCV1",I512="FULL"),1,0)</f>
        <v>1</v>
      </c>
      <c r="U512" s="7" t="n">
        <f aca="false">IF(OR(C512="DHS",C512="MICS"),1,0)</f>
        <v>1</v>
      </c>
      <c r="V512" s="7" t="n">
        <f aca="false">IF(O512="",1,0)</f>
        <v>0</v>
      </c>
      <c r="W512" s="7" t="n">
        <f aca="false">IF(M512="",1,0)</f>
        <v>0</v>
      </c>
      <c r="X512" s="7" t="n">
        <f aca="false">COUNTIFS($B$2:$B$1141,B512,$H$2:$H$1141,H512,$I$2:$I$1141,I512,$J$2:$J$1141,J512,$K$2:$K$1141,K512,$L$2:$L$1141,L512)</f>
        <v>1</v>
      </c>
    </row>
    <row r="513" customFormat="false" ht="15" hidden="false" customHeight="false" outlineLevel="0" collapsed="false">
      <c r="A513" s="7" t="n">
        <f aca="false">ROW()-1</f>
        <v>512</v>
      </c>
      <c r="B513" s="7" t="str">
        <f aca="false">IF(Raw_Nigeria!B513="",TRIM(Raw_Nigeria!C513),TRIM(Raw_Nigeria!B513))</f>
        <v>Nigeria Multiple Indicator Cluster Survey 2016-2017</v>
      </c>
      <c r="C513" s="7" t="str">
        <f aca="false">IF(ISNUMBER(SEARCH("Demographic and Health",B513)),"DHS",IF(OR(ISNUMBER(SEARCH("Multiple Indicator Cluster",B513)),ISNUMBER(SEARCH("MICS",B513))),"MICS",IF(ISNUMBER(SEARCH("Immunization Coverage Survey",B513)),"Coverage survey",IF(ISNUMBER(SEARCH("Nutrition",B513)),"Nutrition survey","Other"))))</f>
        <v>MICS</v>
      </c>
      <c r="D513" s="7" t="n">
        <f aca="false">VALUE(LEFT(Raw_Nigeria!D513,4))</f>
        <v>2016</v>
      </c>
      <c r="E513" s="7" t="n">
        <f aca="false">IF(VALUE(RIGHT(Raw_Nigeria!D513,2))&gt;12,"",VALUE(RIGHT(Raw_Nigeria!D513,2)))</f>
        <v>9</v>
      </c>
      <c r="F513" s="7" t="n">
        <f aca="false">VALUE(LEFT(Raw_Nigeria!E513,4))</f>
        <v>2017</v>
      </c>
      <c r="G513" s="7" t="n">
        <f aca="false">IF(VALUE(RIGHT(Raw_Nigeria!E513,2))&gt;12,"",VALUE(RIGHT(Raw_Nigeria!E513,2)))</f>
        <v>1</v>
      </c>
      <c r="H513" s="7" t="n">
        <f aca="false">Raw_Nigeria!F513</f>
        <v>2015</v>
      </c>
      <c r="I513" s="7" t="str">
        <f aca="false">UPPER(TRIM(Raw_Nigeria!G513))</f>
        <v>POL3</v>
      </c>
      <c r="J513" s="7" t="str">
        <f aca="false">Raw_Nigeria!H513</f>
        <v>Record or Recall</v>
      </c>
      <c r="K513" s="7" t="str">
        <f aca="false">Raw_Nigeria!L513</f>
        <v>12-23 m</v>
      </c>
      <c r="L513" s="7" t="str">
        <f aca="false">IF(Raw_Nigeria!K513="","n/a",Raw_Nigeria!K513)</f>
        <v>0-23 m</v>
      </c>
      <c r="M513" s="7" t="n">
        <f aca="false">IF(Raw_Nigeria!I513="","",Raw_Nigeria!I513)</f>
        <v>29</v>
      </c>
      <c r="N513" s="7" t="n">
        <f aca="false">Raw_Nigeria!M513</f>
        <v>34.7</v>
      </c>
      <c r="O513" s="7" t="n">
        <f aca="false">IF(Raw_Nigeria!N513="","",Raw_Nigeria!N513)</f>
        <v>5535</v>
      </c>
      <c r="P513" s="7" t="str">
        <f aca="false">IF(K513="CBAW","Women of child-bearing age","Children")</f>
        <v>Children</v>
      </c>
      <c r="Q513" s="7" t="n">
        <f aca="false">IF(J513="NOT USED",1,0)</f>
        <v>0</v>
      </c>
      <c r="R513" s="7" t="n">
        <f aca="false">IF(AND(P513="Children",Q513=0),1,0)</f>
        <v>1</v>
      </c>
      <c r="S513" s="7" t="n">
        <f aca="false">IF(AND(R513=1,J513="Record or Recall",K513="12-23 m"),1,0)</f>
        <v>1</v>
      </c>
      <c r="T513" s="7" t="n">
        <f aca="false">IF(OR(I513="BCG",I513="DTP1",I513="DTP3",I513="POL3",I513="MCV1",I513="FULL"),1,0)</f>
        <v>1</v>
      </c>
      <c r="U513" s="7" t="n">
        <f aca="false">IF(OR(C513="DHS",C513="MICS"),1,0)</f>
        <v>1</v>
      </c>
      <c r="V513" s="7" t="n">
        <f aca="false">IF(O513="",1,0)</f>
        <v>0</v>
      </c>
      <c r="W513" s="7" t="n">
        <f aca="false">IF(M513="",1,0)</f>
        <v>0</v>
      </c>
      <c r="X513" s="7" t="n">
        <f aca="false">COUNTIFS($B$2:$B$1141,B513,$H$2:$H$1141,H513,$I$2:$I$1141,I513,$J$2:$J$1141,J513,$K$2:$K$1141,K513,$L$2:$L$1141,L513)</f>
        <v>1</v>
      </c>
    </row>
    <row r="514" customFormat="false" ht="15" hidden="false" customHeight="false" outlineLevel="0" collapsed="false">
      <c r="A514" s="7" t="n">
        <f aca="false">ROW()-1</f>
        <v>513</v>
      </c>
      <c r="B514" s="7" t="str">
        <f aca="false">IF(Raw_Nigeria!B514="",TRIM(Raw_Nigeria!C514),TRIM(Raw_Nigeria!B514))</f>
        <v>Nigeria Multiple Indicator Cluster Survey 2016-2017</v>
      </c>
      <c r="C514" s="7" t="str">
        <f aca="false">IF(ISNUMBER(SEARCH("Demographic and Health",B514)),"DHS",IF(OR(ISNUMBER(SEARCH("Multiple Indicator Cluster",B514)),ISNUMBER(SEARCH("MICS",B514))),"MICS",IF(ISNUMBER(SEARCH("Immunization Coverage Survey",B514)),"Coverage survey",IF(ISNUMBER(SEARCH("Nutrition",B514)),"Nutrition survey","Other"))))</f>
        <v>MICS</v>
      </c>
      <c r="D514" s="7" t="n">
        <f aca="false">VALUE(LEFT(Raw_Nigeria!D514,4))</f>
        <v>2016</v>
      </c>
      <c r="E514" s="7" t="n">
        <f aca="false">IF(VALUE(RIGHT(Raw_Nigeria!D514,2))&gt;12,"",VALUE(RIGHT(Raw_Nigeria!D514,2)))</f>
        <v>9</v>
      </c>
      <c r="F514" s="7" t="n">
        <f aca="false">VALUE(LEFT(Raw_Nigeria!E514,4))</f>
        <v>2017</v>
      </c>
      <c r="G514" s="7" t="n">
        <f aca="false">IF(VALUE(RIGHT(Raw_Nigeria!E514,2))&gt;12,"",VALUE(RIGHT(Raw_Nigeria!E514,2)))</f>
        <v>1</v>
      </c>
      <c r="H514" s="7" t="n">
        <f aca="false">Raw_Nigeria!F514</f>
        <v>2015</v>
      </c>
      <c r="I514" s="7" t="str">
        <f aca="false">UPPER(TRIM(Raw_Nigeria!G514))</f>
        <v>POL3</v>
      </c>
      <c r="J514" s="7" t="str">
        <f aca="false">Raw_Nigeria!H514</f>
        <v>Recall</v>
      </c>
      <c r="K514" s="7" t="str">
        <f aca="false">Raw_Nigeria!L514</f>
        <v>12-23 m</v>
      </c>
      <c r="L514" s="7" t="str">
        <f aca="false">IF(Raw_Nigeria!K514="","n/a",Raw_Nigeria!K514)</f>
        <v>0-23 m</v>
      </c>
      <c r="M514" s="7" t="n">
        <f aca="false">IF(Raw_Nigeria!I514="","",Raw_Nigeria!I514)</f>
        <v>29</v>
      </c>
      <c r="N514" s="7" t="n">
        <f aca="false">Raw_Nigeria!M514</f>
        <v>13.3</v>
      </c>
      <c r="O514" s="7" t="n">
        <f aca="false">IF(Raw_Nigeria!N514="","",Raw_Nigeria!N514)</f>
        <v>5535</v>
      </c>
      <c r="P514" s="7" t="str">
        <f aca="false">IF(K514="CBAW","Women of child-bearing age","Children")</f>
        <v>Children</v>
      </c>
      <c r="Q514" s="7" t="n">
        <f aca="false">IF(J514="NOT USED",1,0)</f>
        <v>0</v>
      </c>
      <c r="R514" s="7" t="n">
        <f aca="false">IF(AND(P514="Children",Q514=0),1,0)</f>
        <v>1</v>
      </c>
      <c r="S514" s="7" t="n">
        <f aca="false">IF(AND(R514=1,J514="Record or Recall",K514="12-23 m"),1,0)</f>
        <v>0</v>
      </c>
      <c r="T514" s="7" t="n">
        <f aca="false">IF(OR(I514="BCG",I514="DTP1",I514="DTP3",I514="POL3",I514="MCV1",I514="FULL"),1,0)</f>
        <v>1</v>
      </c>
      <c r="U514" s="7" t="n">
        <f aca="false">IF(OR(C514="DHS",C514="MICS"),1,0)</f>
        <v>1</v>
      </c>
      <c r="V514" s="7" t="n">
        <f aca="false">IF(O514="",1,0)</f>
        <v>0</v>
      </c>
      <c r="W514" s="7" t="n">
        <f aca="false">IF(M514="",1,0)</f>
        <v>0</v>
      </c>
      <c r="X514" s="7" t="n">
        <f aca="false">COUNTIFS($B$2:$B$1141,B514,$H$2:$H$1141,H514,$I$2:$I$1141,I514,$J$2:$J$1141,J514,$K$2:$K$1141,K514,$L$2:$L$1141,L514)</f>
        <v>1</v>
      </c>
    </row>
    <row r="515" customFormat="false" ht="15" hidden="false" customHeight="false" outlineLevel="0" collapsed="false">
      <c r="A515" s="7" t="n">
        <f aca="false">ROW()-1</f>
        <v>514</v>
      </c>
      <c r="B515" s="7" t="str">
        <f aca="false">IF(Raw_Nigeria!B515="",TRIM(Raw_Nigeria!C515),TRIM(Raw_Nigeria!B515))</f>
        <v>Nigeria Multiple Indicator Cluster Survey 2016-2017</v>
      </c>
      <c r="C515" s="7" t="str">
        <f aca="false">IF(ISNUMBER(SEARCH("Demographic and Health",B515)),"DHS",IF(OR(ISNUMBER(SEARCH("Multiple Indicator Cluster",B515)),ISNUMBER(SEARCH("MICS",B515))),"MICS",IF(ISNUMBER(SEARCH("Immunization Coverage Survey",B515)),"Coverage survey",IF(ISNUMBER(SEARCH("Nutrition",B515)),"Nutrition survey","Other"))))</f>
        <v>MICS</v>
      </c>
      <c r="D515" s="7" t="n">
        <f aca="false">VALUE(LEFT(Raw_Nigeria!D515,4))</f>
        <v>2016</v>
      </c>
      <c r="E515" s="7" t="n">
        <f aca="false">IF(VALUE(RIGHT(Raw_Nigeria!D515,2))&gt;12,"",VALUE(RIGHT(Raw_Nigeria!D515,2)))</f>
        <v>9</v>
      </c>
      <c r="F515" s="7" t="n">
        <f aca="false">VALUE(LEFT(Raw_Nigeria!E515,4))</f>
        <v>2017</v>
      </c>
      <c r="G515" s="7" t="n">
        <f aca="false">IF(VALUE(RIGHT(Raw_Nigeria!E515,2))&gt;12,"",VALUE(RIGHT(Raw_Nigeria!E515,2)))</f>
        <v>1</v>
      </c>
      <c r="H515" s="7" t="n">
        <f aca="false">Raw_Nigeria!F515</f>
        <v>2015</v>
      </c>
      <c r="I515" s="7" t="str">
        <f aca="false">UPPER(TRIM(Raw_Nigeria!G515))</f>
        <v>TT2+</v>
      </c>
      <c r="J515" s="7" t="str">
        <f aca="false">Raw_Nigeria!H515</f>
        <v>Record or Recall</v>
      </c>
      <c r="K515" s="7" t="str">
        <f aca="false">Raw_Nigeria!L515</f>
        <v>CBAW</v>
      </c>
      <c r="L515" s="7" t="str">
        <f aca="false">IF(Raw_Nigeria!K515="","n/a",Raw_Nigeria!K515)</f>
        <v>n/a</v>
      </c>
      <c r="M515" s="7" t="str">
        <f aca="false">IF(Raw_Nigeria!I515="","",Raw_Nigeria!I515)</f>
        <v/>
      </c>
      <c r="N515" s="7" t="n">
        <f aca="false">Raw_Nigeria!M515</f>
        <v>47.7</v>
      </c>
      <c r="O515" s="7" t="n">
        <f aca="false">IF(Raw_Nigeria!N515="","",Raw_Nigeria!N515)</f>
        <v>11547</v>
      </c>
      <c r="P515" s="7" t="str">
        <f aca="false">IF(K515="CBAW","Women of child-bearing age","Children")</f>
        <v>Women of child-bearing age</v>
      </c>
      <c r="Q515" s="7" t="n">
        <f aca="false">IF(J515="NOT USED",1,0)</f>
        <v>0</v>
      </c>
      <c r="R515" s="7" t="n">
        <f aca="false">IF(AND(P515="Children",Q515=0),1,0)</f>
        <v>0</v>
      </c>
      <c r="S515" s="7" t="n">
        <f aca="false">IF(AND(R515=1,J515="Record or Recall",K515="12-23 m"),1,0)</f>
        <v>0</v>
      </c>
      <c r="T515" s="7" t="n">
        <f aca="false">IF(OR(I515="BCG",I515="DTP1",I515="DTP3",I515="POL3",I515="MCV1",I515="FULL"),1,0)</f>
        <v>0</v>
      </c>
      <c r="U515" s="7" t="n">
        <f aca="false">IF(OR(C515="DHS",C515="MICS"),1,0)</f>
        <v>1</v>
      </c>
      <c r="V515" s="7" t="n">
        <f aca="false">IF(O515="",1,0)</f>
        <v>0</v>
      </c>
      <c r="W515" s="7" t="n">
        <f aca="false">IF(M515="",1,0)</f>
        <v>1</v>
      </c>
      <c r="X515" s="7" t="n">
        <f aca="false">COUNTIFS($B$2:$B$1141,B515,$H$2:$H$1141,H515,$I$2:$I$1141,I515,$J$2:$J$1141,J515,$K$2:$K$1141,K515,$L$2:$L$1141,L515)</f>
        <v>1</v>
      </c>
    </row>
    <row r="516" customFormat="false" ht="15" hidden="false" customHeight="false" outlineLevel="0" collapsed="false">
      <c r="A516" s="7" t="n">
        <f aca="false">ROW()-1</f>
        <v>515</v>
      </c>
      <c r="B516" s="7" t="str">
        <f aca="false">IF(Raw_Nigeria!B516="",TRIM(Raw_Nigeria!C516),TRIM(Raw_Nigeria!B516))</f>
        <v>Nigeria Multiple Indicator Cluster Survey 2016-2017</v>
      </c>
      <c r="C516" s="7" t="str">
        <f aca="false">IF(ISNUMBER(SEARCH("Demographic and Health",B516)),"DHS",IF(OR(ISNUMBER(SEARCH("Multiple Indicator Cluster",B516)),ISNUMBER(SEARCH("MICS",B516))),"MICS",IF(ISNUMBER(SEARCH("Immunization Coverage Survey",B516)),"Coverage survey",IF(ISNUMBER(SEARCH("Nutrition",B516)),"Nutrition survey","Other"))))</f>
        <v>MICS</v>
      </c>
      <c r="D516" s="7" t="n">
        <f aca="false">VALUE(LEFT(Raw_Nigeria!D516,4))</f>
        <v>2016</v>
      </c>
      <c r="E516" s="7" t="n">
        <f aca="false">IF(VALUE(RIGHT(Raw_Nigeria!D516,2))&gt;12,"",VALUE(RIGHT(Raw_Nigeria!D516,2)))</f>
        <v>9</v>
      </c>
      <c r="F516" s="7" t="n">
        <f aca="false">VALUE(LEFT(Raw_Nigeria!E516,4))</f>
        <v>2017</v>
      </c>
      <c r="G516" s="7" t="n">
        <f aca="false">IF(VALUE(RIGHT(Raw_Nigeria!E516,2))&gt;12,"",VALUE(RIGHT(Raw_Nigeria!E516,2)))</f>
        <v>1</v>
      </c>
      <c r="H516" s="7" t="n">
        <f aca="false">Raw_Nigeria!F516</f>
        <v>2015</v>
      </c>
      <c r="I516" s="7" t="str">
        <f aca="false">UPPER(TRIM(Raw_Nigeria!G516))</f>
        <v>YFV</v>
      </c>
      <c r="J516" s="7" t="str">
        <f aca="false">Raw_Nigeria!H516</f>
        <v>Record or Recall&lt;12m</v>
      </c>
      <c r="K516" s="7" t="str">
        <f aca="false">Raw_Nigeria!L516</f>
        <v>12-23 m</v>
      </c>
      <c r="L516" s="7" t="str">
        <f aca="false">IF(Raw_Nigeria!K516="","n/a",Raw_Nigeria!K516)</f>
        <v>0-12 m</v>
      </c>
      <c r="M516" s="7" t="n">
        <f aca="false">IF(Raw_Nigeria!I516="","",Raw_Nigeria!I516)</f>
        <v>29</v>
      </c>
      <c r="N516" s="7" t="n">
        <f aca="false">Raw_Nigeria!M516</f>
        <v>36</v>
      </c>
      <c r="O516" s="7" t="n">
        <f aca="false">IF(Raw_Nigeria!N516="","",Raw_Nigeria!N516)</f>
        <v>5535</v>
      </c>
      <c r="P516" s="7" t="str">
        <f aca="false">IF(K516="CBAW","Women of child-bearing age","Children")</f>
        <v>Children</v>
      </c>
      <c r="Q516" s="7" t="n">
        <f aca="false">IF(J516="NOT USED",1,0)</f>
        <v>0</v>
      </c>
      <c r="R516" s="7" t="n">
        <f aca="false">IF(AND(P516="Children",Q516=0),1,0)</f>
        <v>1</v>
      </c>
      <c r="S516" s="7" t="n">
        <f aca="false">IF(AND(R516=1,J516="Record or Recall",K516="12-23 m"),1,0)</f>
        <v>0</v>
      </c>
      <c r="T516" s="7" t="n">
        <f aca="false">IF(OR(I516="BCG",I516="DTP1",I516="DTP3",I516="POL3",I516="MCV1",I516="FULL"),1,0)</f>
        <v>0</v>
      </c>
      <c r="U516" s="7" t="n">
        <f aca="false">IF(OR(C516="DHS",C516="MICS"),1,0)</f>
        <v>1</v>
      </c>
      <c r="V516" s="7" t="n">
        <f aca="false">IF(O516="",1,0)</f>
        <v>0</v>
      </c>
      <c r="W516" s="7" t="n">
        <f aca="false">IF(M516="",1,0)</f>
        <v>0</v>
      </c>
      <c r="X516" s="7" t="n">
        <f aca="false">COUNTIFS($B$2:$B$1141,B516,$H$2:$H$1141,H516,$I$2:$I$1141,I516,$J$2:$J$1141,J516,$K$2:$K$1141,K516,$L$2:$L$1141,L516)</f>
        <v>1</v>
      </c>
    </row>
    <row r="517" customFormat="false" ht="15" hidden="false" customHeight="false" outlineLevel="0" collapsed="false">
      <c r="A517" s="7" t="n">
        <f aca="false">ROW()-1</f>
        <v>516</v>
      </c>
      <c r="B517" s="7" t="str">
        <f aca="false">IF(Raw_Nigeria!B517="",TRIM(Raw_Nigeria!C517),TRIM(Raw_Nigeria!B517))</f>
        <v>Nigeria Multiple Indicator Cluster Survey 2016-2017</v>
      </c>
      <c r="C517" s="7" t="str">
        <f aca="false">IF(ISNUMBER(SEARCH("Demographic and Health",B517)),"DHS",IF(OR(ISNUMBER(SEARCH("Multiple Indicator Cluster",B517)),ISNUMBER(SEARCH("MICS",B517))),"MICS",IF(ISNUMBER(SEARCH("Immunization Coverage Survey",B517)),"Coverage survey",IF(ISNUMBER(SEARCH("Nutrition",B517)),"Nutrition survey","Other"))))</f>
        <v>MICS</v>
      </c>
      <c r="D517" s="7" t="n">
        <f aca="false">VALUE(LEFT(Raw_Nigeria!D517,4))</f>
        <v>2016</v>
      </c>
      <c r="E517" s="7" t="n">
        <f aca="false">IF(VALUE(RIGHT(Raw_Nigeria!D517,2))&gt;12,"",VALUE(RIGHT(Raw_Nigeria!D517,2)))</f>
        <v>9</v>
      </c>
      <c r="F517" s="7" t="n">
        <f aca="false">VALUE(LEFT(Raw_Nigeria!E517,4))</f>
        <v>2017</v>
      </c>
      <c r="G517" s="7" t="n">
        <f aca="false">IF(VALUE(RIGHT(Raw_Nigeria!E517,2))&gt;12,"",VALUE(RIGHT(Raw_Nigeria!E517,2)))</f>
        <v>1</v>
      </c>
      <c r="H517" s="7" t="n">
        <f aca="false">Raw_Nigeria!F517</f>
        <v>2015</v>
      </c>
      <c r="I517" s="7" t="str">
        <f aca="false">UPPER(TRIM(Raw_Nigeria!G517))</f>
        <v>YFV</v>
      </c>
      <c r="J517" s="7" t="str">
        <f aca="false">Raw_Nigeria!H517</f>
        <v>Record</v>
      </c>
      <c r="K517" s="7" t="str">
        <f aca="false">Raw_Nigeria!L517</f>
        <v>12-23 m</v>
      </c>
      <c r="L517" s="7" t="str">
        <f aca="false">IF(Raw_Nigeria!K517="","n/a",Raw_Nigeria!K517)</f>
        <v>0-23 m</v>
      </c>
      <c r="M517" s="7" t="n">
        <f aca="false">IF(Raw_Nigeria!I517="","",Raw_Nigeria!I517)</f>
        <v>29</v>
      </c>
      <c r="N517" s="7" t="n">
        <f aca="false">Raw_Nigeria!M517</f>
        <v>19.6</v>
      </c>
      <c r="O517" s="7" t="n">
        <f aca="false">IF(Raw_Nigeria!N517="","",Raw_Nigeria!N517)</f>
        <v>5535</v>
      </c>
      <c r="P517" s="7" t="str">
        <f aca="false">IF(K517="CBAW","Women of child-bearing age","Children")</f>
        <v>Children</v>
      </c>
      <c r="Q517" s="7" t="n">
        <f aca="false">IF(J517="NOT USED",1,0)</f>
        <v>0</v>
      </c>
      <c r="R517" s="7" t="n">
        <f aca="false">IF(AND(P517="Children",Q517=0),1,0)</f>
        <v>1</v>
      </c>
      <c r="S517" s="7" t="n">
        <f aca="false">IF(AND(R517=1,J517="Record or Recall",K517="12-23 m"),1,0)</f>
        <v>0</v>
      </c>
      <c r="T517" s="7" t="n">
        <f aca="false">IF(OR(I517="BCG",I517="DTP1",I517="DTP3",I517="POL3",I517="MCV1",I517="FULL"),1,0)</f>
        <v>0</v>
      </c>
      <c r="U517" s="7" t="n">
        <f aca="false">IF(OR(C517="DHS",C517="MICS"),1,0)</f>
        <v>1</v>
      </c>
      <c r="V517" s="7" t="n">
        <f aca="false">IF(O517="",1,0)</f>
        <v>0</v>
      </c>
      <c r="W517" s="7" t="n">
        <f aca="false">IF(M517="",1,0)</f>
        <v>0</v>
      </c>
      <c r="X517" s="7" t="n">
        <f aca="false">COUNTIFS($B$2:$B$1141,B517,$H$2:$H$1141,H517,$I$2:$I$1141,I517,$J$2:$J$1141,J517,$K$2:$K$1141,K517,$L$2:$L$1141,L517)</f>
        <v>1</v>
      </c>
    </row>
    <row r="518" customFormat="false" ht="15" hidden="false" customHeight="false" outlineLevel="0" collapsed="false">
      <c r="A518" s="7" t="n">
        <f aca="false">ROW()-1</f>
        <v>517</v>
      </c>
      <c r="B518" s="7" t="str">
        <f aca="false">IF(Raw_Nigeria!B518="",TRIM(Raw_Nigeria!C518),TRIM(Raw_Nigeria!B518))</f>
        <v>Nigeria Multiple Indicator Cluster Survey 2016-2017</v>
      </c>
      <c r="C518" s="7" t="str">
        <f aca="false">IF(ISNUMBER(SEARCH("Demographic and Health",B518)),"DHS",IF(OR(ISNUMBER(SEARCH("Multiple Indicator Cluster",B518)),ISNUMBER(SEARCH("MICS",B518))),"MICS",IF(ISNUMBER(SEARCH("Immunization Coverage Survey",B518)),"Coverage survey",IF(ISNUMBER(SEARCH("Nutrition",B518)),"Nutrition survey","Other"))))</f>
        <v>MICS</v>
      </c>
      <c r="D518" s="7" t="n">
        <f aca="false">VALUE(LEFT(Raw_Nigeria!D518,4))</f>
        <v>2016</v>
      </c>
      <c r="E518" s="7" t="n">
        <f aca="false">IF(VALUE(RIGHT(Raw_Nigeria!D518,2))&gt;12,"",VALUE(RIGHT(Raw_Nigeria!D518,2)))</f>
        <v>9</v>
      </c>
      <c r="F518" s="7" t="n">
        <f aca="false">VALUE(LEFT(Raw_Nigeria!E518,4))</f>
        <v>2017</v>
      </c>
      <c r="G518" s="7" t="n">
        <f aca="false">IF(VALUE(RIGHT(Raw_Nigeria!E518,2))&gt;12,"",VALUE(RIGHT(Raw_Nigeria!E518,2)))</f>
        <v>1</v>
      </c>
      <c r="H518" s="7" t="n">
        <f aca="false">Raw_Nigeria!F518</f>
        <v>2015</v>
      </c>
      <c r="I518" s="7" t="str">
        <f aca="false">UPPER(TRIM(Raw_Nigeria!G518))</f>
        <v>YFV</v>
      </c>
      <c r="J518" s="7" t="str">
        <f aca="false">Raw_Nigeria!H518</f>
        <v>Record or Recall</v>
      </c>
      <c r="K518" s="7" t="str">
        <f aca="false">Raw_Nigeria!L518</f>
        <v>12-23 m</v>
      </c>
      <c r="L518" s="7" t="str">
        <f aca="false">IF(Raw_Nigeria!K518="","n/a",Raw_Nigeria!K518)</f>
        <v>0-23 m</v>
      </c>
      <c r="M518" s="7" t="n">
        <f aca="false">IF(Raw_Nigeria!I518="","",Raw_Nigeria!I518)</f>
        <v>29</v>
      </c>
      <c r="N518" s="7" t="n">
        <f aca="false">Raw_Nigeria!M518</f>
        <v>39</v>
      </c>
      <c r="O518" s="7" t="n">
        <f aca="false">IF(Raw_Nigeria!N518="","",Raw_Nigeria!N518)</f>
        <v>5535</v>
      </c>
      <c r="P518" s="7" t="str">
        <f aca="false">IF(K518="CBAW","Women of child-bearing age","Children")</f>
        <v>Children</v>
      </c>
      <c r="Q518" s="7" t="n">
        <f aca="false">IF(J518="NOT USED",1,0)</f>
        <v>0</v>
      </c>
      <c r="R518" s="7" t="n">
        <f aca="false">IF(AND(P518="Children",Q518=0),1,0)</f>
        <v>1</v>
      </c>
      <c r="S518" s="7" t="n">
        <f aca="false">IF(AND(R518=1,J518="Record or Recall",K518="12-23 m"),1,0)</f>
        <v>1</v>
      </c>
      <c r="T518" s="7" t="n">
        <f aca="false">IF(OR(I518="BCG",I518="DTP1",I518="DTP3",I518="POL3",I518="MCV1",I518="FULL"),1,0)</f>
        <v>0</v>
      </c>
      <c r="U518" s="7" t="n">
        <f aca="false">IF(OR(C518="DHS",C518="MICS"),1,0)</f>
        <v>1</v>
      </c>
      <c r="V518" s="7" t="n">
        <f aca="false">IF(O518="",1,0)</f>
        <v>0</v>
      </c>
      <c r="W518" s="7" t="n">
        <f aca="false">IF(M518="",1,0)</f>
        <v>0</v>
      </c>
      <c r="X518" s="7" t="n">
        <f aca="false">COUNTIFS($B$2:$B$1141,B518,$H$2:$H$1141,H518,$I$2:$I$1141,I518,$J$2:$J$1141,J518,$K$2:$K$1141,K518,$L$2:$L$1141,L518)</f>
        <v>1</v>
      </c>
    </row>
    <row r="519" customFormat="false" ht="15" hidden="false" customHeight="false" outlineLevel="0" collapsed="false">
      <c r="A519" s="7" t="n">
        <f aca="false">ROW()-1</f>
        <v>518</v>
      </c>
      <c r="B519" s="7" t="str">
        <f aca="false">IF(Raw_Nigeria!B519="",TRIM(Raw_Nigeria!C519),TRIM(Raw_Nigeria!B519))</f>
        <v>Nigeria Multiple Indicator Cluster Survey 2016-2017</v>
      </c>
      <c r="C519" s="7" t="str">
        <f aca="false">IF(ISNUMBER(SEARCH("Demographic and Health",B519)),"DHS",IF(OR(ISNUMBER(SEARCH("Multiple Indicator Cluster",B519)),ISNUMBER(SEARCH("MICS",B519))),"MICS",IF(ISNUMBER(SEARCH("Immunization Coverage Survey",B519)),"Coverage survey",IF(ISNUMBER(SEARCH("Nutrition",B519)),"Nutrition survey","Other"))))</f>
        <v>MICS</v>
      </c>
      <c r="D519" s="7" t="n">
        <f aca="false">VALUE(LEFT(Raw_Nigeria!D519,4))</f>
        <v>2016</v>
      </c>
      <c r="E519" s="7" t="n">
        <f aca="false">IF(VALUE(RIGHT(Raw_Nigeria!D519,2))&gt;12,"",VALUE(RIGHT(Raw_Nigeria!D519,2)))</f>
        <v>9</v>
      </c>
      <c r="F519" s="7" t="n">
        <f aca="false">VALUE(LEFT(Raw_Nigeria!E519,4))</f>
        <v>2017</v>
      </c>
      <c r="G519" s="7" t="n">
        <f aca="false">IF(VALUE(RIGHT(Raw_Nigeria!E519,2))&gt;12,"",VALUE(RIGHT(Raw_Nigeria!E519,2)))</f>
        <v>1</v>
      </c>
      <c r="H519" s="7" t="n">
        <f aca="false">Raw_Nigeria!F519</f>
        <v>2015</v>
      </c>
      <c r="I519" s="7" t="str">
        <f aca="false">UPPER(TRIM(Raw_Nigeria!G519))</f>
        <v>YFV</v>
      </c>
      <c r="J519" s="7" t="str">
        <f aca="false">Raw_Nigeria!H519</f>
        <v>Recall</v>
      </c>
      <c r="K519" s="7" t="str">
        <f aca="false">Raw_Nigeria!L519</f>
        <v>12-23 m</v>
      </c>
      <c r="L519" s="7" t="str">
        <f aca="false">IF(Raw_Nigeria!K519="","n/a",Raw_Nigeria!K519)</f>
        <v>0-23 m</v>
      </c>
      <c r="M519" s="7" t="n">
        <f aca="false">IF(Raw_Nigeria!I519="","",Raw_Nigeria!I519)</f>
        <v>29</v>
      </c>
      <c r="N519" s="7" t="n">
        <f aca="false">Raw_Nigeria!M519</f>
        <v>19.3</v>
      </c>
      <c r="O519" s="7" t="n">
        <f aca="false">IF(Raw_Nigeria!N519="","",Raw_Nigeria!N519)</f>
        <v>5535</v>
      </c>
      <c r="P519" s="7" t="str">
        <f aca="false">IF(K519="CBAW","Women of child-bearing age","Children")</f>
        <v>Children</v>
      </c>
      <c r="Q519" s="7" t="n">
        <f aca="false">IF(J519="NOT USED",1,0)</f>
        <v>0</v>
      </c>
      <c r="R519" s="7" t="n">
        <f aca="false">IF(AND(P519="Children",Q519=0),1,0)</f>
        <v>1</v>
      </c>
      <c r="S519" s="7" t="n">
        <f aca="false">IF(AND(R519=1,J519="Record or Recall",K519="12-23 m"),1,0)</f>
        <v>0</v>
      </c>
      <c r="T519" s="7" t="n">
        <f aca="false">IF(OR(I519="BCG",I519="DTP1",I519="DTP3",I519="POL3",I519="MCV1",I519="FULL"),1,0)</f>
        <v>0</v>
      </c>
      <c r="U519" s="7" t="n">
        <f aca="false">IF(OR(C519="DHS",C519="MICS"),1,0)</f>
        <v>1</v>
      </c>
      <c r="V519" s="7" t="n">
        <f aca="false">IF(O519="",1,0)</f>
        <v>0</v>
      </c>
      <c r="W519" s="7" t="n">
        <f aca="false">IF(M519="",1,0)</f>
        <v>0</v>
      </c>
      <c r="X519" s="7" t="n">
        <f aca="false">COUNTIFS($B$2:$B$1141,B519,$H$2:$H$1141,H519,$I$2:$I$1141,I519,$J$2:$J$1141,J519,$K$2:$K$1141,K519,$L$2:$L$1141,L519)</f>
        <v>1</v>
      </c>
    </row>
    <row r="520" customFormat="false" ht="15" hidden="false" customHeight="false" outlineLevel="0" collapsed="false">
      <c r="A520" s="7" t="n">
        <f aca="false">ROW()-1</f>
        <v>519</v>
      </c>
      <c r="B520" s="7" t="str">
        <f aca="false">IF(Raw_Nigeria!B520="",TRIM(Raw_Nigeria!C520),TRIM(Raw_Nigeria!B520))</f>
        <v>Nigeria Demographic and Health Survey 2018</v>
      </c>
      <c r="C520" s="7" t="str">
        <f aca="false">IF(ISNUMBER(SEARCH("Demographic and Health",B520)),"DHS",IF(OR(ISNUMBER(SEARCH("Multiple Indicator Cluster",B520)),ISNUMBER(SEARCH("MICS",B520))),"MICS",IF(ISNUMBER(SEARCH("Immunization Coverage Survey",B520)),"Coverage survey",IF(ISNUMBER(SEARCH("Nutrition",B520)),"Nutrition survey","Other"))))</f>
        <v>DHS</v>
      </c>
      <c r="D520" s="7" t="n">
        <f aca="false">VALUE(LEFT(Raw_Nigeria!D520,4))</f>
        <v>2018</v>
      </c>
      <c r="E520" s="7" t="n">
        <f aca="false">IF(VALUE(RIGHT(Raw_Nigeria!D520,2))&gt;12,"",VALUE(RIGHT(Raw_Nigeria!D520,2)))</f>
        <v>8</v>
      </c>
      <c r="F520" s="7" t="n">
        <f aca="false">VALUE(LEFT(Raw_Nigeria!E520,4))</f>
        <v>2018</v>
      </c>
      <c r="G520" s="7" t="n">
        <f aca="false">IF(VALUE(RIGHT(Raw_Nigeria!E520,2))&gt;12,"",VALUE(RIGHT(Raw_Nigeria!E520,2)))</f>
        <v>12</v>
      </c>
      <c r="H520" s="7" t="n">
        <f aca="false">Raw_Nigeria!F520</f>
        <v>2016</v>
      </c>
      <c r="I520" s="7" t="str">
        <f aca="false">UPPER(TRIM(Raw_Nigeria!G520))</f>
        <v>BCG</v>
      </c>
      <c r="J520" s="7" t="str">
        <f aca="false">Raw_Nigeria!H520</f>
        <v>Record or Recall&lt;12m</v>
      </c>
      <c r="K520" s="7" t="str">
        <f aca="false">Raw_Nigeria!L520</f>
        <v>24-35 m</v>
      </c>
      <c r="L520" s="7" t="str">
        <f aca="false">IF(Raw_Nigeria!K520="","n/a",Raw_Nigeria!K520)</f>
        <v>0-12 m</v>
      </c>
      <c r="M520" s="7" t="str">
        <f aca="false">IF(Raw_Nigeria!I520="","",Raw_Nigeria!I520)</f>
        <v/>
      </c>
      <c r="N520" s="7" t="n">
        <f aca="false">Raw_Nigeria!M520</f>
        <v>63.2</v>
      </c>
      <c r="O520" s="7" t="n">
        <f aca="false">IF(Raw_Nigeria!N520="","",Raw_Nigeria!N520)</f>
        <v>5835</v>
      </c>
      <c r="P520" s="7" t="str">
        <f aca="false">IF(K520="CBAW","Women of child-bearing age","Children")</f>
        <v>Children</v>
      </c>
      <c r="Q520" s="7" t="n">
        <f aca="false">IF(J520="NOT USED",1,0)</f>
        <v>0</v>
      </c>
      <c r="R520" s="7" t="n">
        <f aca="false">IF(AND(P520="Children",Q520=0),1,0)</f>
        <v>1</v>
      </c>
      <c r="S520" s="7" t="n">
        <f aca="false">IF(AND(R520=1,J520="Record or Recall",K520="12-23 m"),1,0)</f>
        <v>0</v>
      </c>
      <c r="T520" s="7" t="n">
        <f aca="false">IF(OR(I520="BCG",I520="DTP1",I520="DTP3",I520="POL3",I520="MCV1",I520="FULL"),1,0)</f>
        <v>1</v>
      </c>
      <c r="U520" s="7" t="n">
        <f aca="false">IF(OR(C520="DHS",C520="MICS"),1,0)</f>
        <v>1</v>
      </c>
      <c r="V520" s="7" t="n">
        <f aca="false">IF(O520="",1,0)</f>
        <v>0</v>
      </c>
      <c r="W520" s="7" t="n">
        <f aca="false">IF(M520="",1,0)</f>
        <v>1</v>
      </c>
      <c r="X520" s="7" t="n">
        <f aca="false">COUNTIFS($B$2:$B$1141,B520,$H$2:$H$1141,H520,$I$2:$I$1141,I520,$J$2:$J$1141,J520,$K$2:$K$1141,K520,$L$2:$L$1141,L520)</f>
        <v>1</v>
      </c>
    </row>
    <row r="521" customFormat="false" ht="15" hidden="false" customHeight="false" outlineLevel="0" collapsed="false">
      <c r="A521" s="7" t="n">
        <f aca="false">ROW()-1</f>
        <v>520</v>
      </c>
      <c r="B521" s="7" t="str">
        <f aca="false">IF(Raw_Nigeria!B521="",TRIM(Raw_Nigeria!C521),TRIM(Raw_Nigeria!B521))</f>
        <v>Nigeria Demographic and Health Survey 2018</v>
      </c>
      <c r="C521" s="7" t="str">
        <f aca="false">IF(ISNUMBER(SEARCH("Demographic and Health",B521)),"DHS",IF(OR(ISNUMBER(SEARCH("Multiple Indicator Cluster",B521)),ISNUMBER(SEARCH("MICS",B521))),"MICS",IF(ISNUMBER(SEARCH("Immunization Coverage Survey",B521)),"Coverage survey",IF(ISNUMBER(SEARCH("Nutrition",B521)),"Nutrition survey","Other"))))</f>
        <v>DHS</v>
      </c>
      <c r="D521" s="7" t="n">
        <f aca="false">VALUE(LEFT(Raw_Nigeria!D521,4))</f>
        <v>2018</v>
      </c>
      <c r="E521" s="7" t="n">
        <f aca="false">IF(VALUE(RIGHT(Raw_Nigeria!D521,2))&gt;12,"",VALUE(RIGHT(Raw_Nigeria!D521,2)))</f>
        <v>8</v>
      </c>
      <c r="F521" s="7" t="n">
        <f aca="false">VALUE(LEFT(Raw_Nigeria!E521,4))</f>
        <v>2018</v>
      </c>
      <c r="G521" s="7" t="n">
        <f aca="false">IF(VALUE(RIGHT(Raw_Nigeria!E521,2))&gt;12,"",VALUE(RIGHT(Raw_Nigeria!E521,2)))</f>
        <v>12</v>
      </c>
      <c r="H521" s="7" t="n">
        <f aca="false">Raw_Nigeria!F521</f>
        <v>2016</v>
      </c>
      <c r="I521" s="7" t="str">
        <f aca="false">UPPER(TRIM(Raw_Nigeria!G521))</f>
        <v>BCG</v>
      </c>
      <c r="J521" s="7" t="str">
        <f aca="false">Raw_Nigeria!H521</f>
        <v>Record</v>
      </c>
      <c r="K521" s="7" t="str">
        <f aca="false">Raw_Nigeria!L521</f>
        <v>24-35 m</v>
      </c>
      <c r="L521" s="7" t="str">
        <f aca="false">IF(Raw_Nigeria!K521="","n/a",Raw_Nigeria!K521)</f>
        <v>0-35 m</v>
      </c>
      <c r="M521" s="7" t="str">
        <f aca="false">IF(Raw_Nigeria!I521="","",Raw_Nigeria!I521)</f>
        <v/>
      </c>
      <c r="N521" s="7" t="n">
        <f aca="false">Raw_Nigeria!M521</f>
        <v>27.9</v>
      </c>
      <c r="O521" s="7" t="n">
        <f aca="false">IF(Raw_Nigeria!N521="","",Raw_Nigeria!N521)</f>
        <v>1715</v>
      </c>
      <c r="P521" s="7" t="str">
        <f aca="false">IF(K521="CBAW","Women of child-bearing age","Children")</f>
        <v>Children</v>
      </c>
      <c r="Q521" s="7" t="n">
        <f aca="false">IF(J521="NOT USED",1,0)</f>
        <v>0</v>
      </c>
      <c r="R521" s="7" t="n">
        <f aca="false">IF(AND(P521="Children",Q521=0),1,0)</f>
        <v>1</v>
      </c>
      <c r="S521" s="7" t="n">
        <f aca="false">IF(AND(R521=1,J521="Record or Recall",K521="12-23 m"),1,0)</f>
        <v>0</v>
      </c>
      <c r="T521" s="7" t="n">
        <f aca="false">IF(OR(I521="BCG",I521="DTP1",I521="DTP3",I521="POL3",I521="MCV1",I521="FULL"),1,0)</f>
        <v>1</v>
      </c>
      <c r="U521" s="7" t="n">
        <f aca="false">IF(OR(C521="DHS",C521="MICS"),1,0)</f>
        <v>1</v>
      </c>
      <c r="V521" s="7" t="n">
        <f aca="false">IF(O521="",1,0)</f>
        <v>0</v>
      </c>
      <c r="W521" s="7" t="n">
        <f aca="false">IF(M521="",1,0)</f>
        <v>1</v>
      </c>
      <c r="X521" s="7" t="n">
        <f aca="false">COUNTIFS($B$2:$B$1141,B521,$H$2:$H$1141,H521,$I$2:$I$1141,I521,$J$2:$J$1141,J521,$K$2:$K$1141,K521,$L$2:$L$1141,L521)</f>
        <v>1</v>
      </c>
    </row>
    <row r="522" customFormat="false" ht="15" hidden="false" customHeight="false" outlineLevel="0" collapsed="false">
      <c r="A522" s="7" t="n">
        <f aca="false">ROW()-1</f>
        <v>521</v>
      </c>
      <c r="B522" s="7" t="str">
        <f aca="false">IF(Raw_Nigeria!B522="",TRIM(Raw_Nigeria!C522),TRIM(Raw_Nigeria!B522))</f>
        <v>Nigeria Demographic and Health Survey 2018</v>
      </c>
      <c r="C522" s="7" t="str">
        <f aca="false">IF(ISNUMBER(SEARCH("Demographic and Health",B522)),"DHS",IF(OR(ISNUMBER(SEARCH("Multiple Indicator Cluster",B522)),ISNUMBER(SEARCH("MICS",B522))),"MICS",IF(ISNUMBER(SEARCH("Immunization Coverage Survey",B522)),"Coverage survey",IF(ISNUMBER(SEARCH("Nutrition",B522)),"Nutrition survey","Other"))))</f>
        <v>DHS</v>
      </c>
      <c r="D522" s="7" t="n">
        <f aca="false">VALUE(LEFT(Raw_Nigeria!D522,4))</f>
        <v>2018</v>
      </c>
      <c r="E522" s="7" t="n">
        <f aca="false">IF(VALUE(RIGHT(Raw_Nigeria!D522,2))&gt;12,"",VALUE(RIGHT(Raw_Nigeria!D522,2)))</f>
        <v>8</v>
      </c>
      <c r="F522" s="7" t="n">
        <f aca="false">VALUE(LEFT(Raw_Nigeria!E522,4))</f>
        <v>2018</v>
      </c>
      <c r="G522" s="7" t="n">
        <f aca="false">IF(VALUE(RIGHT(Raw_Nigeria!E522,2))&gt;12,"",VALUE(RIGHT(Raw_Nigeria!E522,2)))</f>
        <v>12</v>
      </c>
      <c r="H522" s="7" t="n">
        <f aca="false">Raw_Nigeria!F522</f>
        <v>2016</v>
      </c>
      <c r="I522" s="7" t="str">
        <f aca="false">UPPER(TRIM(Raw_Nigeria!G522))</f>
        <v>BCG</v>
      </c>
      <c r="J522" s="7" t="str">
        <f aca="false">Raw_Nigeria!H522</f>
        <v>Record or Recall</v>
      </c>
      <c r="K522" s="7" t="str">
        <f aca="false">Raw_Nigeria!L522</f>
        <v>24-35 m</v>
      </c>
      <c r="L522" s="7" t="str">
        <f aca="false">IF(Raw_Nigeria!K522="","n/a",Raw_Nigeria!K522)</f>
        <v>0-35 m</v>
      </c>
      <c r="M522" s="7" t="str">
        <f aca="false">IF(Raw_Nigeria!I522="","",Raw_Nigeria!I522)</f>
        <v/>
      </c>
      <c r="N522" s="7" t="n">
        <f aca="false">Raw_Nigeria!M522</f>
        <v>64.4</v>
      </c>
      <c r="O522" s="7" t="n">
        <f aca="false">IF(Raw_Nigeria!N522="","",Raw_Nigeria!N522)</f>
        <v>5835</v>
      </c>
      <c r="P522" s="7" t="str">
        <f aca="false">IF(K522="CBAW","Women of child-bearing age","Children")</f>
        <v>Children</v>
      </c>
      <c r="Q522" s="7" t="n">
        <f aca="false">IF(J522="NOT USED",1,0)</f>
        <v>0</v>
      </c>
      <c r="R522" s="7" t="n">
        <f aca="false">IF(AND(P522="Children",Q522=0),1,0)</f>
        <v>1</v>
      </c>
      <c r="S522" s="7" t="n">
        <f aca="false">IF(AND(R522=1,J522="Record or Recall",K522="12-23 m"),1,0)</f>
        <v>0</v>
      </c>
      <c r="T522" s="7" t="n">
        <f aca="false">IF(OR(I522="BCG",I522="DTP1",I522="DTP3",I522="POL3",I522="MCV1",I522="FULL"),1,0)</f>
        <v>1</v>
      </c>
      <c r="U522" s="7" t="n">
        <f aca="false">IF(OR(C522="DHS",C522="MICS"),1,0)</f>
        <v>1</v>
      </c>
      <c r="V522" s="7" t="n">
        <f aca="false">IF(O522="",1,0)</f>
        <v>0</v>
      </c>
      <c r="W522" s="7" t="n">
        <f aca="false">IF(M522="",1,0)</f>
        <v>1</v>
      </c>
      <c r="X522" s="7" t="n">
        <f aca="false">COUNTIFS($B$2:$B$1141,B522,$H$2:$H$1141,H522,$I$2:$I$1141,I522,$J$2:$J$1141,J522,$K$2:$K$1141,K522,$L$2:$L$1141,L522)</f>
        <v>1</v>
      </c>
    </row>
    <row r="523" customFormat="false" ht="15" hidden="false" customHeight="false" outlineLevel="0" collapsed="false">
      <c r="A523" s="7" t="n">
        <f aca="false">ROW()-1</f>
        <v>522</v>
      </c>
      <c r="B523" s="7" t="str">
        <f aca="false">IF(Raw_Nigeria!B523="",TRIM(Raw_Nigeria!C523),TRIM(Raw_Nigeria!B523))</f>
        <v>Nigeria Demographic and Health Survey 2018</v>
      </c>
      <c r="C523" s="7" t="str">
        <f aca="false">IF(ISNUMBER(SEARCH("Demographic and Health",B523)),"DHS",IF(OR(ISNUMBER(SEARCH("Multiple Indicator Cluster",B523)),ISNUMBER(SEARCH("MICS",B523))),"MICS",IF(ISNUMBER(SEARCH("Immunization Coverage Survey",B523)),"Coverage survey",IF(ISNUMBER(SEARCH("Nutrition",B523)),"Nutrition survey","Other"))))</f>
        <v>DHS</v>
      </c>
      <c r="D523" s="7" t="n">
        <f aca="false">VALUE(LEFT(Raw_Nigeria!D523,4))</f>
        <v>2018</v>
      </c>
      <c r="E523" s="7" t="n">
        <f aca="false">IF(VALUE(RIGHT(Raw_Nigeria!D523,2))&gt;12,"",VALUE(RIGHT(Raw_Nigeria!D523,2)))</f>
        <v>8</v>
      </c>
      <c r="F523" s="7" t="n">
        <f aca="false">VALUE(LEFT(Raw_Nigeria!E523,4))</f>
        <v>2018</v>
      </c>
      <c r="G523" s="7" t="n">
        <f aca="false">IF(VALUE(RIGHT(Raw_Nigeria!E523,2))&gt;12,"",VALUE(RIGHT(Raw_Nigeria!E523,2)))</f>
        <v>12</v>
      </c>
      <c r="H523" s="7" t="n">
        <f aca="false">Raw_Nigeria!F523</f>
        <v>2016</v>
      </c>
      <c r="I523" s="7" t="str">
        <f aca="false">UPPER(TRIM(Raw_Nigeria!G523))</f>
        <v>BCG</v>
      </c>
      <c r="J523" s="7" t="str">
        <f aca="false">Raw_Nigeria!H523</f>
        <v>Recall</v>
      </c>
      <c r="K523" s="7" t="str">
        <f aca="false">Raw_Nigeria!L523</f>
        <v>24-35 m</v>
      </c>
      <c r="L523" s="7" t="str">
        <f aca="false">IF(Raw_Nigeria!K523="","n/a",Raw_Nigeria!K523)</f>
        <v>0-35 m</v>
      </c>
      <c r="M523" s="7" t="str">
        <f aca="false">IF(Raw_Nigeria!I523="","",Raw_Nigeria!I523)</f>
        <v/>
      </c>
      <c r="N523" s="7" t="n">
        <f aca="false">Raw_Nigeria!M523</f>
        <v>36.5</v>
      </c>
      <c r="O523" s="7" t="n">
        <f aca="false">IF(Raw_Nigeria!N523="","",Raw_Nigeria!N523)</f>
        <v>4120</v>
      </c>
      <c r="P523" s="7" t="str">
        <f aca="false">IF(K523="CBAW","Women of child-bearing age","Children")</f>
        <v>Children</v>
      </c>
      <c r="Q523" s="7" t="n">
        <f aca="false">IF(J523="NOT USED",1,0)</f>
        <v>0</v>
      </c>
      <c r="R523" s="7" t="n">
        <f aca="false">IF(AND(P523="Children",Q523=0),1,0)</f>
        <v>1</v>
      </c>
      <c r="S523" s="7" t="n">
        <f aca="false">IF(AND(R523=1,J523="Record or Recall",K523="12-23 m"),1,0)</f>
        <v>0</v>
      </c>
      <c r="T523" s="7" t="n">
        <f aca="false">IF(OR(I523="BCG",I523="DTP1",I523="DTP3",I523="POL3",I523="MCV1",I523="FULL"),1,0)</f>
        <v>1</v>
      </c>
      <c r="U523" s="7" t="n">
        <f aca="false">IF(OR(C523="DHS",C523="MICS"),1,0)</f>
        <v>1</v>
      </c>
      <c r="V523" s="7" t="n">
        <f aca="false">IF(O523="",1,0)</f>
        <v>0</v>
      </c>
      <c r="W523" s="7" t="n">
        <f aca="false">IF(M523="",1,0)</f>
        <v>1</v>
      </c>
      <c r="X523" s="7" t="n">
        <f aca="false">COUNTIFS($B$2:$B$1141,B523,$H$2:$H$1141,H523,$I$2:$I$1141,I523,$J$2:$J$1141,J523,$K$2:$K$1141,K523,$L$2:$L$1141,L523)</f>
        <v>1</v>
      </c>
    </row>
    <row r="524" customFormat="false" ht="15" hidden="false" customHeight="false" outlineLevel="0" collapsed="false">
      <c r="A524" s="7" t="n">
        <f aca="false">ROW()-1</f>
        <v>523</v>
      </c>
      <c r="B524" s="7" t="str">
        <f aca="false">IF(Raw_Nigeria!B524="",TRIM(Raw_Nigeria!C524),TRIM(Raw_Nigeria!B524))</f>
        <v>Nigeria Demographic and Health Survey 2018</v>
      </c>
      <c r="C524" s="7" t="str">
        <f aca="false">IF(ISNUMBER(SEARCH("Demographic and Health",B524)),"DHS",IF(OR(ISNUMBER(SEARCH("Multiple Indicator Cluster",B524)),ISNUMBER(SEARCH("MICS",B524))),"MICS",IF(ISNUMBER(SEARCH("Immunization Coverage Survey",B524)),"Coverage survey",IF(ISNUMBER(SEARCH("Nutrition",B524)),"Nutrition survey","Other"))))</f>
        <v>DHS</v>
      </c>
      <c r="D524" s="7" t="n">
        <f aca="false">VALUE(LEFT(Raw_Nigeria!D524,4))</f>
        <v>2018</v>
      </c>
      <c r="E524" s="7" t="n">
        <f aca="false">IF(VALUE(RIGHT(Raw_Nigeria!D524,2))&gt;12,"",VALUE(RIGHT(Raw_Nigeria!D524,2)))</f>
        <v>8</v>
      </c>
      <c r="F524" s="7" t="n">
        <f aca="false">VALUE(LEFT(Raw_Nigeria!E524,4))</f>
        <v>2018</v>
      </c>
      <c r="G524" s="7" t="n">
        <f aca="false">IF(VALUE(RIGHT(Raw_Nigeria!E524,2))&gt;12,"",VALUE(RIGHT(Raw_Nigeria!E524,2)))</f>
        <v>12</v>
      </c>
      <c r="H524" s="7" t="n">
        <f aca="false">Raw_Nigeria!F524</f>
        <v>2016</v>
      </c>
      <c r="I524" s="7" t="str">
        <f aca="false">UPPER(TRIM(Raw_Nigeria!G524))</f>
        <v>DTP1</v>
      </c>
      <c r="J524" s="7" t="str">
        <f aca="false">Raw_Nigeria!H524</f>
        <v>Record or Recall&lt;12m</v>
      </c>
      <c r="K524" s="7" t="str">
        <f aca="false">Raw_Nigeria!L524</f>
        <v>24-35 m</v>
      </c>
      <c r="L524" s="7" t="str">
        <f aca="false">IF(Raw_Nigeria!K524="","n/a",Raw_Nigeria!K524)</f>
        <v>0-12 m</v>
      </c>
      <c r="M524" s="7" t="str">
        <f aca="false">IF(Raw_Nigeria!I524="","",Raw_Nigeria!I524)</f>
        <v/>
      </c>
      <c r="N524" s="7" t="n">
        <f aca="false">Raw_Nigeria!M524</f>
        <v>60.4</v>
      </c>
      <c r="O524" s="7" t="n">
        <f aca="false">IF(Raw_Nigeria!N524="","",Raw_Nigeria!N524)</f>
        <v>5835</v>
      </c>
      <c r="P524" s="7" t="str">
        <f aca="false">IF(K524="CBAW","Women of child-bearing age","Children")</f>
        <v>Children</v>
      </c>
      <c r="Q524" s="7" t="n">
        <f aca="false">IF(J524="NOT USED",1,0)</f>
        <v>0</v>
      </c>
      <c r="R524" s="7" t="n">
        <f aca="false">IF(AND(P524="Children",Q524=0),1,0)</f>
        <v>1</v>
      </c>
      <c r="S524" s="7" t="n">
        <f aca="false">IF(AND(R524=1,J524="Record or Recall",K524="12-23 m"),1,0)</f>
        <v>0</v>
      </c>
      <c r="T524" s="7" t="n">
        <f aca="false">IF(OR(I524="BCG",I524="DTP1",I524="DTP3",I524="POL3",I524="MCV1",I524="FULL"),1,0)</f>
        <v>1</v>
      </c>
      <c r="U524" s="7" t="n">
        <f aca="false">IF(OR(C524="DHS",C524="MICS"),1,0)</f>
        <v>1</v>
      </c>
      <c r="V524" s="7" t="n">
        <f aca="false">IF(O524="",1,0)</f>
        <v>0</v>
      </c>
      <c r="W524" s="7" t="n">
        <f aca="false">IF(M524="",1,0)</f>
        <v>1</v>
      </c>
      <c r="X524" s="7" t="n">
        <f aca="false">COUNTIFS($B$2:$B$1141,B524,$H$2:$H$1141,H524,$I$2:$I$1141,I524,$J$2:$J$1141,J524,$K$2:$K$1141,K524,$L$2:$L$1141,L524)</f>
        <v>1</v>
      </c>
    </row>
    <row r="525" customFormat="false" ht="15" hidden="false" customHeight="false" outlineLevel="0" collapsed="false">
      <c r="A525" s="7" t="n">
        <f aca="false">ROW()-1</f>
        <v>524</v>
      </c>
      <c r="B525" s="7" t="str">
        <f aca="false">IF(Raw_Nigeria!B525="",TRIM(Raw_Nigeria!C525),TRIM(Raw_Nigeria!B525))</f>
        <v>Nigeria Demographic and Health Survey 2018</v>
      </c>
      <c r="C525" s="7" t="str">
        <f aca="false">IF(ISNUMBER(SEARCH("Demographic and Health",B525)),"DHS",IF(OR(ISNUMBER(SEARCH("Multiple Indicator Cluster",B525)),ISNUMBER(SEARCH("MICS",B525))),"MICS",IF(ISNUMBER(SEARCH("Immunization Coverage Survey",B525)),"Coverage survey",IF(ISNUMBER(SEARCH("Nutrition",B525)),"Nutrition survey","Other"))))</f>
        <v>DHS</v>
      </c>
      <c r="D525" s="7" t="n">
        <f aca="false">VALUE(LEFT(Raw_Nigeria!D525,4))</f>
        <v>2018</v>
      </c>
      <c r="E525" s="7" t="n">
        <f aca="false">IF(VALUE(RIGHT(Raw_Nigeria!D525,2))&gt;12,"",VALUE(RIGHT(Raw_Nigeria!D525,2)))</f>
        <v>8</v>
      </c>
      <c r="F525" s="7" t="n">
        <f aca="false">VALUE(LEFT(Raw_Nigeria!E525,4))</f>
        <v>2018</v>
      </c>
      <c r="G525" s="7" t="n">
        <f aca="false">IF(VALUE(RIGHT(Raw_Nigeria!E525,2))&gt;12,"",VALUE(RIGHT(Raw_Nigeria!E525,2)))</f>
        <v>12</v>
      </c>
      <c r="H525" s="7" t="n">
        <f aca="false">Raw_Nigeria!F525</f>
        <v>2016</v>
      </c>
      <c r="I525" s="7" t="str">
        <f aca="false">UPPER(TRIM(Raw_Nigeria!G525))</f>
        <v>DTP1</v>
      </c>
      <c r="J525" s="7" t="str">
        <f aca="false">Raw_Nigeria!H525</f>
        <v>Record</v>
      </c>
      <c r="K525" s="7" t="str">
        <f aca="false">Raw_Nigeria!L525</f>
        <v>24-35 m</v>
      </c>
      <c r="L525" s="7" t="str">
        <f aca="false">IF(Raw_Nigeria!K525="","n/a",Raw_Nigeria!K525)</f>
        <v>0-35 m</v>
      </c>
      <c r="M525" s="7" t="str">
        <f aca="false">IF(Raw_Nigeria!I525="","",Raw_Nigeria!I525)</f>
        <v/>
      </c>
      <c r="N525" s="7" t="n">
        <f aca="false">Raw_Nigeria!M525</f>
        <v>27.5</v>
      </c>
      <c r="O525" s="7" t="n">
        <f aca="false">IF(Raw_Nigeria!N525="","",Raw_Nigeria!N525)</f>
        <v>1715</v>
      </c>
      <c r="P525" s="7" t="str">
        <f aca="false">IF(K525="CBAW","Women of child-bearing age","Children")</f>
        <v>Children</v>
      </c>
      <c r="Q525" s="7" t="n">
        <f aca="false">IF(J525="NOT USED",1,0)</f>
        <v>0</v>
      </c>
      <c r="R525" s="7" t="n">
        <f aca="false">IF(AND(P525="Children",Q525=0),1,0)</f>
        <v>1</v>
      </c>
      <c r="S525" s="7" t="n">
        <f aca="false">IF(AND(R525=1,J525="Record or Recall",K525="12-23 m"),1,0)</f>
        <v>0</v>
      </c>
      <c r="T525" s="7" t="n">
        <f aca="false">IF(OR(I525="BCG",I525="DTP1",I525="DTP3",I525="POL3",I525="MCV1",I525="FULL"),1,0)</f>
        <v>1</v>
      </c>
      <c r="U525" s="7" t="n">
        <f aca="false">IF(OR(C525="DHS",C525="MICS"),1,0)</f>
        <v>1</v>
      </c>
      <c r="V525" s="7" t="n">
        <f aca="false">IF(O525="",1,0)</f>
        <v>0</v>
      </c>
      <c r="W525" s="7" t="n">
        <f aca="false">IF(M525="",1,0)</f>
        <v>1</v>
      </c>
      <c r="X525" s="7" t="n">
        <f aca="false">COUNTIFS($B$2:$B$1141,B525,$H$2:$H$1141,H525,$I$2:$I$1141,I525,$J$2:$J$1141,J525,$K$2:$K$1141,K525,$L$2:$L$1141,L525)</f>
        <v>1</v>
      </c>
    </row>
    <row r="526" customFormat="false" ht="15" hidden="false" customHeight="false" outlineLevel="0" collapsed="false">
      <c r="A526" s="7" t="n">
        <f aca="false">ROW()-1</f>
        <v>525</v>
      </c>
      <c r="B526" s="7" t="str">
        <f aca="false">IF(Raw_Nigeria!B526="",TRIM(Raw_Nigeria!C526),TRIM(Raw_Nigeria!B526))</f>
        <v>Nigeria Demographic and Health Survey 2018</v>
      </c>
      <c r="C526" s="7" t="str">
        <f aca="false">IF(ISNUMBER(SEARCH("Demographic and Health",B526)),"DHS",IF(OR(ISNUMBER(SEARCH("Multiple Indicator Cluster",B526)),ISNUMBER(SEARCH("MICS",B526))),"MICS",IF(ISNUMBER(SEARCH("Immunization Coverage Survey",B526)),"Coverage survey",IF(ISNUMBER(SEARCH("Nutrition",B526)),"Nutrition survey","Other"))))</f>
        <v>DHS</v>
      </c>
      <c r="D526" s="7" t="n">
        <f aca="false">VALUE(LEFT(Raw_Nigeria!D526,4))</f>
        <v>2018</v>
      </c>
      <c r="E526" s="7" t="n">
        <f aca="false">IF(VALUE(RIGHT(Raw_Nigeria!D526,2))&gt;12,"",VALUE(RIGHT(Raw_Nigeria!D526,2)))</f>
        <v>8</v>
      </c>
      <c r="F526" s="7" t="n">
        <f aca="false">VALUE(LEFT(Raw_Nigeria!E526,4))</f>
        <v>2018</v>
      </c>
      <c r="G526" s="7" t="n">
        <f aca="false">IF(VALUE(RIGHT(Raw_Nigeria!E526,2))&gt;12,"",VALUE(RIGHT(Raw_Nigeria!E526,2)))</f>
        <v>12</v>
      </c>
      <c r="H526" s="7" t="n">
        <f aca="false">Raw_Nigeria!F526</f>
        <v>2016</v>
      </c>
      <c r="I526" s="7" t="str">
        <f aca="false">UPPER(TRIM(Raw_Nigeria!G526))</f>
        <v>DTP1</v>
      </c>
      <c r="J526" s="7" t="str">
        <f aca="false">Raw_Nigeria!H526</f>
        <v>Record or Recall</v>
      </c>
      <c r="K526" s="7" t="str">
        <f aca="false">Raw_Nigeria!L526</f>
        <v>24-35 m</v>
      </c>
      <c r="L526" s="7" t="str">
        <f aca="false">IF(Raw_Nigeria!K526="","n/a",Raw_Nigeria!K526)</f>
        <v>0-35 m</v>
      </c>
      <c r="M526" s="7" t="str">
        <f aca="false">IF(Raw_Nigeria!I526="","",Raw_Nigeria!I526)</f>
        <v/>
      </c>
      <c r="N526" s="7" t="n">
        <f aca="false">Raw_Nigeria!M526</f>
        <v>61.8</v>
      </c>
      <c r="O526" s="7" t="n">
        <f aca="false">IF(Raw_Nigeria!N526="","",Raw_Nigeria!N526)</f>
        <v>5835</v>
      </c>
      <c r="P526" s="7" t="str">
        <f aca="false">IF(K526="CBAW","Women of child-bearing age","Children")</f>
        <v>Children</v>
      </c>
      <c r="Q526" s="7" t="n">
        <f aca="false">IF(J526="NOT USED",1,0)</f>
        <v>0</v>
      </c>
      <c r="R526" s="7" t="n">
        <f aca="false">IF(AND(P526="Children",Q526=0),1,0)</f>
        <v>1</v>
      </c>
      <c r="S526" s="7" t="n">
        <f aca="false">IF(AND(R526=1,J526="Record or Recall",K526="12-23 m"),1,0)</f>
        <v>0</v>
      </c>
      <c r="T526" s="7" t="n">
        <f aca="false">IF(OR(I526="BCG",I526="DTP1",I526="DTP3",I526="POL3",I526="MCV1",I526="FULL"),1,0)</f>
        <v>1</v>
      </c>
      <c r="U526" s="7" t="n">
        <f aca="false">IF(OR(C526="DHS",C526="MICS"),1,0)</f>
        <v>1</v>
      </c>
      <c r="V526" s="7" t="n">
        <f aca="false">IF(O526="",1,0)</f>
        <v>0</v>
      </c>
      <c r="W526" s="7" t="n">
        <f aca="false">IF(M526="",1,0)</f>
        <v>1</v>
      </c>
      <c r="X526" s="7" t="n">
        <f aca="false">COUNTIFS($B$2:$B$1141,B526,$H$2:$H$1141,H526,$I$2:$I$1141,I526,$J$2:$J$1141,J526,$K$2:$K$1141,K526,$L$2:$L$1141,L526)</f>
        <v>1</v>
      </c>
    </row>
    <row r="527" customFormat="false" ht="15" hidden="false" customHeight="false" outlineLevel="0" collapsed="false">
      <c r="A527" s="7" t="n">
        <f aca="false">ROW()-1</f>
        <v>526</v>
      </c>
      <c r="B527" s="7" t="str">
        <f aca="false">IF(Raw_Nigeria!B527="",TRIM(Raw_Nigeria!C527),TRIM(Raw_Nigeria!B527))</f>
        <v>Nigeria Demographic and Health Survey 2018</v>
      </c>
      <c r="C527" s="7" t="str">
        <f aca="false">IF(ISNUMBER(SEARCH("Demographic and Health",B527)),"DHS",IF(OR(ISNUMBER(SEARCH("Multiple Indicator Cluster",B527)),ISNUMBER(SEARCH("MICS",B527))),"MICS",IF(ISNUMBER(SEARCH("Immunization Coverage Survey",B527)),"Coverage survey",IF(ISNUMBER(SEARCH("Nutrition",B527)),"Nutrition survey","Other"))))</f>
        <v>DHS</v>
      </c>
      <c r="D527" s="7" t="n">
        <f aca="false">VALUE(LEFT(Raw_Nigeria!D527,4))</f>
        <v>2018</v>
      </c>
      <c r="E527" s="7" t="n">
        <f aca="false">IF(VALUE(RIGHT(Raw_Nigeria!D527,2))&gt;12,"",VALUE(RIGHT(Raw_Nigeria!D527,2)))</f>
        <v>8</v>
      </c>
      <c r="F527" s="7" t="n">
        <f aca="false">VALUE(LEFT(Raw_Nigeria!E527,4))</f>
        <v>2018</v>
      </c>
      <c r="G527" s="7" t="n">
        <f aca="false">IF(VALUE(RIGHT(Raw_Nigeria!E527,2))&gt;12,"",VALUE(RIGHT(Raw_Nigeria!E527,2)))</f>
        <v>12</v>
      </c>
      <c r="H527" s="7" t="n">
        <f aca="false">Raw_Nigeria!F527</f>
        <v>2016</v>
      </c>
      <c r="I527" s="7" t="str">
        <f aca="false">UPPER(TRIM(Raw_Nigeria!G527))</f>
        <v>DTP1</v>
      </c>
      <c r="J527" s="7" t="str">
        <f aca="false">Raw_Nigeria!H527</f>
        <v>Recall</v>
      </c>
      <c r="K527" s="7" t="str">
        <f aca="false">Raw_Nigeria!L527</f>
        <v>24-35 m</v>
      </c>
      <c r="L527" s="7" t="str">
        <f aca="false">IF(Raw_Nigeria!K527="","n/a",Raw_Nigeria!K527)</f>
        <v>0-35 m</v>
      </c>
      <c r="M527" s="7" t="str">
        <f aca="false">IF(Raw_Nigeria!I527="","",Raw_Nigeria!I527)</f>
        <v/>
      </c>
      <c r="N527" s="7" t="n">
        <f aca="false">Raw_Nigeria!M527</f>
        <v>34.3</v>
      </c>
      <c r="O527" s="7" t="n">
        <f aca="false">IF(Raw_Nigeria!N527="","",Raw_Nigeria!N527)</f>
        <v>4120</v>
      </c>
      <c r="P527" s="7" t="str">
        <f aca="false">IF(K527="CBAW","Women of child-bearing age","Children")</f>
        <v>Children</v>
      </c>
      <c r="Q527" s="7" t="n">
        <f aca="false">IF(J527="NOT USED",1,0)</f>
        <v>0</v>
      </c>
      <c r="R527" s="7" t="n">
        <f aca="false">IF(AND(P527="Children",Q527=0),1,0)</f>
        <v>1</v>
      </c>
      <c r="S527" s="7" t="n">
        <f aca="false">IF(AND(R527=1,J527="Record or Recall",K527="12-23 m"),1,0)</f>
        <v>0</v>
      </c>
      <c r="T527" s="7" t="n">
        <f aca="false">IF(OR(I527="BCG",I527="DTP1",I527="DTP3",I527="POL3",I527="MCV1",I527="FULL"),1,0)</f>
        <v>1</v>
      </c>
      <c r="U527" s="7" t="n">
        <f aca="false">IF(OR(C527="DHS",C527="MICS"),1,0)</f>
        <v>1</v>
      </c>
      <c r="V527" s="7" t="n">
        <f aca="false">IF(O527="",1,0)</f>
        <v>0</v>
      </c>
      <c r="W527" s="7" t="n">
        <f aca="false">IF(M527="",1,0)</f>
        <v>1</v>
      </c>
      <c r="X527" s="7" t="n">
        <f aca="false">COUNTIFS($B$2:$B$1141,B527,$H$2:$H$1141,H527,$I$2:$I$1141,I527,$J$2:$J$1141,J527,$K$2:$K$1141,K527,$L$2:$L$1141,L527)</f>
        <v>1</v>
      </c>
    </row>
    <row r="528" customFormat="false" ht="15" hidden="false" customHeight="false" outlineLevel="0" collapsed="false">
      <c r="A528" s="7" t="n">
        <f aca="false">ROW()-1</f>
        <v>527</v>
      </c>
      <c r="B528" s="7" t="str">
        <f aca="false">IF(Raw_Nigeria!B528="",TRIM(Raw_Nigeria!C528),TRIM(Raw_Nigeria!B528))</f>
        <v>Nigeria Demographic and Health Survey 2018</v>
      </c>
      <c r="C528" s="7" t="str">
        <f aca="false">IF(ISNUMBER(SEARCH("Demographic and Health",B528)),"DHS",IF(OR(ISNUMBER(SEARCH("Multiple Indicator Cluster",B528)),ISNUMBER(SEARCH("MICS",B528))),"MICS",IF(ISNUMBER(SEARCH("Immunization Coverage Survey",B528)),"Coverage survey",IF(ISNUMBER(SEARCH("Nutrition",B528)),"Nutrition survey","Other"))))</f>
        <v>DHS</v>
      </c>
      <c r="D528" s="7" t="n">
        <f aca="false">VALUE(LEFT(Raw_Nigeria!D528,4))</f>
        <v>2018</v>
      </c>
      <c r="E528" s="7" t="n">
        <f aca="false">IF(VALUE(RIGHT(Raw_Nigeria!D528,2))&gt;12,"",VALUE(RIGHT(Raw_Nigeria!D528,2)))</f>
        <v>8</v>
      </c>
      <c r="F528" s="7" t="n">
        <f aca="false">VALUE(LEFT(Raw_Nigeria!E528,4))</f>
        <v>2018</v>
      </c>
      <c r="G528" s="7" t="n">
        <f aca="false">IF(VALUE(RIGHT(Raw_Nigeria!E528,2))&gt;12,"",VALUE(RIGHT(Raw_Nigeria!E528,2)))</f>
        <v>12</v>
      </c>
      <c r="H528" s="7" t="n">
        <f aca="false">Raw_Nigeria!F528</f>
        <v>2016</v>
      </c>
      <c r="I528" s="7" t="str">
        <f aca="false">UPPER(TRIM(Raw_Nigeria!G528))</f>
        <v>DTP2</v>
      </c>
      <c r="J528" s="7" t="str">
        <f aca="false">Raw_Nigeria!H528</f>
        <v>Record or Recall&lt;12m</v>
      </c>
      <c r="K528" s="7" t="str">
        <f aca="false">Raw_Nigeria!L528</f>
        <v>24-35 m</v>
      </c>
      <c r="L528" s="7" t="str">
        <f aca="false">IF(Raw_Nigeria!K528="","n/a",Raw_Nigeria!K528)</f>
        <v>0-12 m</v>
      </c>
      <c r="M528" s="7" t="str">
        <f aca="false">IF(Raw_Nigeria!I528="","",Raw_Nigeria!I528)</f>
        <v/>
      </c>
      <c r="N528" s="7" t="n">
        <f aca="false">Raw_Nigeria!M528</f>
        <v>52.3</v>
      </c>
      <c r="O528" s="7" t="n">
        <f aca="false">IF(Raw_Nigeria!N528="","",Raw_Nigeria!N528)</f>
        <v>5835</v>
      </c>
      <c r="P528" s="7" t="str">
        <f aca="false">IF(K528="CBAW","Women of child-bearing age","Children")</f>
        <v>Children</v>
      </c>
      <c r="Q528" s="7" t="n">
        <f aca="false">IF(J528="NOT USED",1,0)</f>
        <v>0</v>
      </c>
      <c r="R528" s="7" t="n">
        <f aca="false">IF(AND(P528="Children",Q528=0),1,0)</f>
        <v>1</v>
      </c>
      <c r="S528" s="7" t="n">
        <f aca="false">IF(AND(R528=1,J528="Record or Recall",K528="12-23 m"),1,0)</f>
        <v>0</v>
      </c>
      <c r="T528" s="7" t="n">
        <f aca="false">IF(OR(I528="BCG",I528="DTP1",I528="DTP3",I528="POL3",I528="MCV1",I528="FULL"),1,0)</f>
        <v>0</v>
      </c>
      <c r="U528" s="7" t="n">
        <f aca="false">IF(OR(C528="DHS",C528="MICS"),1,0)</f>
        <v>1</v>
      </c>
      <c r="V528" s="7" t="n">
        <f aca="false">IF(O528="",1,0)</f>
        <v>0</v>
      </c>
      <c r="W528" s="7" t="n">
        <f aca="false">IF(M528="",1,0)</f>
        <v>1</v>
      </c>
      <c r="X528" s="7" t="n">
        <f aca="false">COUNTIFS($B$2:$B$1141,B528,$H$2:$H$1141,H528,$I$2:$I$1141,I528,$J$2:$J$1141,J528,$K$2:$K$1141,K528,$L$2:$L$1141,L528)</f>
        <v>1</v>
      </c>
    </row>
    <row r="529" customFormat="false" ht="15" hidden="false" customHeight="false" outlineLevel="0" collapsed="false">
      <c r="A529" s="7" t="n">
        <f aca="false">ROW()-1</f>
        <v>528</v>
      </c>
      <c r="B529" s="7" t="str">
        <f aca="false">IF(Raw_Nigeria!B529="",TRIM(Raw_Nigeria!C529),TRIM(Raw_Nigeria!B529))</f>
        <v>Nigeria Demographic and Health Survey 2018</v>
      </c>
      <c r="C529" s="7" t="str">
        <f aca="false">IF(ISNUMBER(SEARCH("Demographic and Health",B529)),"DHS",IF(OR(ISNUMBER(SEARCH("Multiple Indicator Cluster",B529)),ISNUMBER(SEARCH("MICS",B529))),"MICS",IF(ISNUMBER(SEARCH("Immunization Coverage Survey",B529)),"Coverage survey",IF(ISNUMBER(SEARCH("Nutrition",B529)),"Nutrition survey","Other"))))</f>
        <v>DHS</v>
      </c>
      <c r="D529" s="7" t="n">
        <f aca="false">VALUE(LEFT(Raw_Nigeria!D529,4))</f>
        <v>2018</v>
      </c>
      <c r="E529" s="7" t="n">
        <f aca="false">IF(VALUE(RIGHT(Raw_Nigeria!D529,2))&gt;12,"",VALUE(RIGHT(Raw_Nigeria!D529,2)))</f>
        <v>8</v>
      </c>
      <c r="F529" s="7" t="n">
        <f aca="false">VALUE(LEFT(Raw_Nigeria!E529,4))</f>
        <v>2018</v>
      </c>
      <c r="G529" s="7" t="n">
        <f aca="false">IF(VALUE(RIGHT(Raw_Nigeria!E529,2))&gt;12,"",VALUE(RIGHT(Raw_Nigeria!E529,2)))</f>
        <v>12</v>
      </c>
      <c r="H529" s="7" t="n">
        <f aca="false">Raw_Nigeria!F529</f>
        <v>2016</v>
      </c>
      <c r="I529" s="7" t="str">
        <f aca="false">UPPER(TRIM(Raw_Nigeria!G529))</f>
        <v>DTP2</v>
      </c>
      <c r="J529" s="7" t="str">
        <f aca="false">Raw_Nigeria!H529</f>
        <v>Record</v>
      </c>
      <c r="K529" s="7" t="str">
        <f aca="false">Raw_Nigeria!L529</f>
        <v>24-35 m</v>
      </c>
      <c r="L529" s="7" t="str">
        <f aca="false">IF(Raw_Nigeria!K529="","n/a",Raw_Nigeria!K529)</f>
        <v>0-35 m</v>
      </c>
      <c r="M529" s="7" t="str">
        <f aca="false">IF(Raw_Nigeria!I529="","",Raw_Nigeria!I529)</f>
        <v/>
      </c>
      <c r="N529" s="7" t="n">
        <f aca="false">Raw_Nigeria!M529</f>
        <v>26.3</v>
      </c>
      <c r="O529" s="7" t="n">
        <f aca="false">IF(Raw_Nigeria!N529="","",Raw_Nigeria!N529)</f>
        <v>1715</v>
      </c>
      <c r="P529" s="7" t="str">
        <f aca="false">IF(K529="CBAW","Women of child-bearing age","Children")</f>
        <v>Children</v>
      </c>
      <c r="Q529" s="7" t="n">
        <f aca="false">IF(J529="NOT USED",1,0)</f>
        <v>0</v>
      </c>
      <c r="R529" s="7" t="n">
        <f aca="false">IF(AND(P529="Children",Q529=0),1,0)</f>
        <v>1</v>
      </c>
      <c r="S529" s="7" t="n">
        <f aca="false">IF(AND(R529=1,J529="Record or Recall",K529="12-23 m"),1,0)</f>
        <v>0</v>
      </c>
      <c r="T529" s="7" t="n">
        <f aca="false">IF(OR(I529="BCG",I529="DTP1",I529="DTP3",I529="POL3",I529="MCV1",I529="FULL"),1,0)</f>
        <v>0</v>
      </c>
      <c r="U529" s="7" t="n">
        <f aca="false">IF(OR(C529="DHS",C529="MICS"),1,0)</f>
        <v>1</v>
      </c>
      <c r="V529" s="7" t="n">
        <f aca="false">IF(O529="",1,0)</f>
        <v>0</v>
      </c>
      <c r="W529" s="7" t="n">
        <f aca="false">IF(M529="",1,0)</f>
        <v>1</v>
      </c>
      <c r="X529" s="7" t="n">
        <f aca="false">COUNTIFS($B$2:$B$1141,B529,$H$2:$H$1141,H529,$I$2:$I$1141,I529,$J$2:$J$1141,J529,$K$2:$K$1141,K529,$L$2:$L$1141,L529)</f>
        <v>1</v>
      </c>
    </row>
    <row r="530" customFormat="false" ht="15" hidden="false" customHeight="false" outlineLevel="0" collapsed="false">
      <c r="A530" s="7" t="n">
        <f aca="false">ROW()-1</f>
        <v>529</v>
      </c>
      <c r="B530" s="7" t="str">
        <f aca="false">IF(Raw_Nigeria!B530="",TRIM(Raw_Nigeria!C530),TRIM(Raw_Nigeria!B530))</f>
        <v>Nigeria Demographic and Health Survey 2018</v>
      </c>
      <c r="C530" s="7" t="str">
        <f aca="false">IF(ISNUMBER(SEARCH("Demographic and Health",B530)),"DHS",IF(OR(ISNUMBER(SEARCH("Multiple Indicator Cluster",B530)),ISNUMBER(SEARCH("MICS",B530))),"MICS",IF(ISNUMBER(SEARCH("Immunization Coverage Survey",B530)),"Coverage survey",IF(ISNUMBER(SEARCH("Nutrition",B530)),"Nutrition survey","Other"))))</f>
        <v>DHS</v>
      </c>
      <c r="D530" s="7" t="n">
        <f aca="false">VALUE(LEFT(Raw_Nigeria!D530,4))</f>
        <v>2018</v>
      </c>
      <c r="E530" s="7" t="n">
        <f aca="false">IF(VALUE(RIGHT(Raw_Nigeria!D530,2))&gt;12,"",VALUE(RIGHT(Raw_Nigeria!D530,2)))</f>
        <v>8</v>
      </c>
      <c r="F530" s="7" t="n">
        <f aca="false">VALUE(LEFT(Raw_Nigeria!E530,4))</f>
        <v>2018</v>
      </c>
      <c r="G530" s="7" t="n">
        <f aca="false">IF(VALUE(RIGHT(Raw_Nigeria!E530,2))&gt;12,"",VALUE(RIGHT(Raw_Nigeria!E530,2)))</f>
        <v>12</v>
      </c>
      <c r="H530" s="7" t="n">
        <f aca="false">Raw_Nigeria!F530</f>
        <v>2016</v>
      </c>
      <c r="I530" s="7" t="str">
        <f aca="false">UPPER(TRIM(Raw_Nigeria!G530))</f>
        <v>DTP2</v>
      </c>
      <c r="J530" s="7" t="str">
        <f aca="false">Raw_Nigeria!H530</f>
        <v>Record or Recall</v>
      </c>
      <c r="K530" s="7" t="str">
        <f aca="false">Raw_Nigeria!L530</f>
        <v>24-35 m</v>
      </c>
      <c r="L530" s="7" t="str">
        <f aca="false">IF(Raw_Nigeria!K530="","n/a",Raw_Nigeria!K530)</f>
        <v>0-35 m</v>
      </c>
      <c r="M530" s="7" t="str">
        <f aca="false">IF(Raw_Nigeria!I530="","",Raw_Nigeria!I530)</f>
        <v/>
      </c>
      <c r="N530" s="7" t="n">
        <f aca="false">Raw_Nigeria!M530</f>
        <v>54.2</v>
      </c>
      <c r="O530" s="7" t="n">
        <f aca="false">IF(Raw_Nigeria!N530="","",Raw_Nigeria!N530)</f>
        <v>5835</v>
      </c>
      <c r="P530" s="7" t="str">
        <f aca="false">IF(K530="CBAW","Women of child-bearing age","Children")</f>
        <v>Children</v>
      </c>
      <c r="Q530" s="7" t="n">
        <f aca="false">IF(J530="NOT USED",1,0)</f>
        <v>0</v>
      </c>
      <c r="R530" s="7" t="n">
        <f aca="false">IF(AND(P530="Children",Q530=0),1,0)</f>
        <v>1</v>
      </c>
      <c r="S530" s="7" t="n">
        <f aca="false">IF(AND(R530=1,J530="Record or Recall",K530="12-23 m"),1,0)</f>
        <v>0</v>
      </c>
      <c r="T530" s="7" t="n">
        <f aca="false">IF(OR(I530="BCG",I530="DTP1",I530="DTP3",I530="POL3",I530="MCV1",I530="FULL"),1,0)</f>
        <v>0</v>
      </c>
      <c r="U530" s="7" t="n">
        <f aca="false">IF(OR(C530="DHS",C530="MICS"),1,0)</f>
        <v>1</v>
      </c>
      <c r="V530" s="7" t="n">
        <f aca="false">IF(O530="",1,0)</f>
        <v>0</v>
      </c>
      <c r="W530" s="7" t="n">
        <f aca="false">IF(M530="",1,0)</f>
        <v>1</v>
      </c>
      <c r="X530" s="7" t="n">
        <f aca="false">COUNTIFS($B$2:$B$1141,B530,$H$2:$H$1141,H530,$I$2:$I$1141,I530,$J$2:$J$1141,J530,$K$2:$K$1141,K530,$L$2:$L$1141,L530)</f>
        <v>1</v>
      </c>
    </row>
    <row r="531" customFormat="false" ht="15" hidden="false" customHeight="false" outlineLevel="0" collapsed="false">
      <c r="A531" s="7" t="n">
        <f aca="false">ROW()-1</f>
        <v>530</v>
      </c>
      <c r="B531" s="7" t="str">
        <f aca="false">IF(Raw_Nigeria!B531="",TRIM(Raw_Nigeria!C531),TRIM(Raw_Nigeria!B531))</f>
        <v>Nigeria Demographic and Health Survey 2018</v>
      </c>
      <c r="C531" s="7" t="str">
        <f aca="false">IF(ISNUMBER(SEARCH("Demographic and Health",B531)),"DHS",IF(OR(ISNUMBER(SEARCH("Multiple Indicator Cluster",B531)),ISNUMBER(SEARCH("MICS",B531))),"MICS",IF(ISNUMBER(SEARCH("Immunization Coverage Survey",B531)),"Coverage survey",IF(ISNUMBER(SEARCH("Nutrition",B531)),"Nutrition survey","Other"))))</f>
        <v>DHS</v>
      </c>
      <c r="D531" s="7" t="n">
        <f aca="false">VALUE(LEFT(Raw_Nigeria!D531,4))</f>
        <v>2018</v>
      </c>
      <c r="E531" s="7" t="n">
        <f aca="false">IF(VALUE(RIGHT(Raw_Nigeria!D531,2))&gt;12,"",VALUE(RIGHT(Raw_Nigeria!D531,2)))</f>
        <v>8</v>
      </c>
      <c r="F531" s="7" t="n">
        <f aca="false">VALUE(LEFT(Raw_Nigeria!E531,4))</f>
        <v>2018</v>
      </c>
      <c r="G531" s="7" t="n">
        <f aca="false">IF(VALUE(RIGHT(Raw_Nigeria!E531,2))&gt;12,"",VALUE(RIGHT(Raw_Nigeria!E531,2)))</f>
        <v>12</v>
      </c>
      <c r="H531" s="7" t="n">
        <f aca="false">Raw_Nigeria!F531</f>
        <v>2016</v>
      </c>
      <c r="I531" s="7" t="str">
        <f aca="false">UPPER(TRIM(Raw_Nigeria!G531))</f>
        <v>DTP2</v>
      </c>
      <c r="J531" s="7" t="str">
        <f aca="false">Raw_Nigeria!H531</f>
        <v>Recall</v>
      </c>
      <c r="K531" s="7" t="str">
        <f aca="false">Raw_Nigeria!L531</f>
        <v>24-35 m</v>
      </c>
      <c r="L531" s="7" t="str">
        <f aca="false">IF(Raw_Nigeria!K531="","n/a",Raw_Nigeria!K531)</f>
        <v>0-35 m</v>
      </c>
      <c r="M531" s="7" t="str">
        <f aca="false">IF(Raw_Nigeria!I531="","",Raw_Nigeria!I531)</f>
        <v/>
      </c>
      <c r="N531" s="7" t="n">
        <f aca="false">Raw_Nigeria!M531</f>
        <v>28</v>
      </c>
      <c r="O531" s="7" t="n">
        <f aca="false">IF(Raw_Nigeria!N531="","",Raw_Nigeria!N531)</f>
        <v>4120</v>
      </c>
      <c r="P531" s="7" t="str">
        <f aca="false">IF(K531="CBAW","Women of child-bearing age","Children")</f>
        <v>Children</v>
      </c>
      <c r="Q531" s="7" t="n">
        <f aca="false">IF(J531="NOT USED",1,0)</f>
        <v>0</v>
      </c>
      <c r="R531" s="7" t="n">
        <f aca="false">IF(AND(P531="Children",Q531=0),1,0)</f>
        <v>1</v>
      </c>
      <c r="S531" s="7" t="n">
        <f aca="false">IF(AND(R531=1,J531="Record or Recall",K531="12-23 m"),1,0)</f>
        <v>0</v>
      </c>
      <c r="T531" s="7" t="n">
        <f aca="false">IF(OR(I531="BCG",I531="DTP1",I531="DTP3",I531="POL3",I531="MCV1",I531="FULL"),1,0)</f>
        <v>0</v>
      </c>
      <c r="U531" s="7" t="n">
        <f aca="false">IF(OR(C531="DHS",C531="MICS"),1,0)</f>
        <v>1</v>
      </c>
      <c r="V531" s="7" t="n">
        <f aca="false">IF(O531="",1,0)</f>
        <v>0</v>
      </c>
      <c r="W531" s="7" t="n">
        <f aca="false">IF(M531="",1,0)</f>
        <v>1</v>
      </c>
      <c r="X531" s="7" t="n">
        <f aca="false">COUNTIFS($B$2:$B$1141,B531,$H$2:$H$1141,H531,$I$2:$I$1141,I531,$J$2:$J$1141,J531,$K$2:$K$1141,K531,$L$2:$L$1141,L531)</f>
        <v>1</v>
      </c>
    </row>
    <row r="532" customFormat="false" ht="15" hidden="false" customHeight="false" outlineLevel="0" collapsed="false">
      <c r="A532" s="7" t="n">
        <f aca="false">ROW()-1</f>
        <v>531</v>
      </c>
      <c r="B532" s="7" t="str">
        <f aca="false">IF(Raw_Nigeria!B532="",TRIM(Raw_Nigeria!C532),TRIM(Raw_Nigeria!B532))</f>
        <v>Nigeria Demographic and Health Survey 2018</v>
      </c>
      <c r="C532" s="7" t="str">
        <f aca="false">IF(ISNUMBER(SEARCH("Demographic and Health",B532)),"DHS",IF(OR(ISNUMBER(SEARCH("Multiple Indicator Cluster",B532)),ISNUMBER(SEARCH("MICS",B532))),"MICS",IF(ISNUMBER(SEARCH("Immunization Coverage Survey",B532)),"Coverage survey",IF(ISNUMBER(SEARCH("Nutrition",B532)),"Nutrition survey","Other"))))</f>
        <v>DHS</v>
      </c>
      <c r="D532" s="7" t="n">
        <f aca="false">VALUE(LEFT(Raw_Nigeria!D532,4))</f>
        <v>2018</v>
      </c>
      <c r="E532" s="7" t="n">
        <f aca="false">IF(VALUE(RIGHT(Raw_Nigeria!D532,2))&gt;12,"",VALUE(RIGHT(Raw_Nigeria!D532,2)))</f>
        <v>8</v>
      </c>
      <c r="F532" s="7" t="n">
        <f aca="false">VALUE(LEFT(Raw_Nigeria!E532,4))</f>
        <v>2018</v>
      </c>
      <c r="G532" s="7" t="n">
        <f aca="false">IF(VALUE(RIGHT(Raw_Nigeria!E532,2))&gt;12,"",VALUE(RIGHT(Raw_Nigeria!E532,2)))</f>
        <v>12</v>
      </c>
      <c r="H532" s="7" t="n">
        <f aca="false">Raw_Nigeria!F532</f>
        <v>2016</v>
      </c>
      <c r="I532" s="7" t="str">
        <f aca="false">UPPER(TRIM(Raw_Nigeria!G532))</f>
        <v>DTP3</v>
      </c>
      <c r="J532" s="7" t="str">
        <f aca="false">Raw_Nigeria!H532</f>
        <v>Record or Recall&lt;12m</v>
      </c>
      <c r="K532" s="7" t="str">
        <f aca="false">Raw_Nigeria!L532</f>
        <v>24-35 m</v>
      </c>
      <c r="L532" s="7" t="str">
        <f aca="false">IF(Raw_Nigeria!K532="","n/a",Raw_Nigeria!K532)</f>
        <v>0-12 m</v>
      </c>
      <c r="M532" s="7" t="str">
        <f aca="false">IF(Raw_Nigeria!I532="","",Raw_Nigeria!I532)</f>
        <v/>
      </c>
      <c r="N532" s="7" t="n">
        <f aca="false">Raw_Nigeria!M532</f>
        <v>45.4</v>
      </c>
      <c r="O532" s="7" t="n">
        <f aca="false">IF(Raw_Nigeria!N532="","",Raw_Nigeria!N532)</f>
        <v>5835</v>
      </c>
      <c r="P532" s="7" t="str">
        <f aca="false">IF(K532="CBAW","Women of child-bearing age","Children")</f>
        <v>Children</v>
      </c>
      <c r="Q532" s="7" t="n">
        <f aca="false">IF(J532="NOT USED",1,0)</f>
        <v>0</v>
      </c>
      <c r="R532" s="7" t="n">
        <f aca="false">IF(AND(P532="Children",Q532=0),1,0)</f>
        <v>1</v>
      </c>
      <c r="S532" s="7" t="n">
        <f aca="false">IF(AND(R532=1,J532="Record or Recall",K532="12-23 m"),1,0)</f>
        <v>0</v>
      </c>
      <c r="T532" s="7" t="n">
        <f aca="false">IF(OR(I532="BCG",I532="DTP1",I532="DTP3",I532="POL3",I532="MCV1",I532="FULL"),1,0)</f>
        <v>1</v>
      </c>
      <c r="U532" s="7" t="n">
        <f aca="false">IF(OR(C532="DHS",C532="MICS"),1,0)</f>
        <v>1</v>
      </c>
      <c r="V532" s="7" t="n">
        <f aca="false">IF(O532="",1,0)</f>
        <v>0</v>
      </c>
      <c r="W532" s="7" t="n">
        <f aca="false">IF(M532="",1,0)</f>
        <v>1</v>
      </c>
      <c r="X532" s="7" t="n">
        <f aca="false">COUNTIFS($B$2:$B$1141,B532,$H$2:$H$1141,H532,$I$2:$I$1141,I532,$J$2:$J$1141,J532,$K$2:$K$1141,K532,$L$2:$L$1141,L532)</f>
        <v>1</v>
      </c>
    </row>
    <row r="533" customFormat="false" ht="15" hidden="false" customHeight="false" outlineLevel="0" collapsed="false">
      <c r="A533" s="7" t="n">
        <f aca="false">ROW()-1</f>
        <v>532</v>
      </c>
      <c r="B533" s="7" t="str">
        <f aca="false">IF(Raw_Nigeria!B533="",TRIM(Raw_Nigeria!C533),TRIM(Raw_Nigeria!B533))</f>
        <v>Nigeria Demographic and Health Survey 2018</v>
      </c>
      <c r="C533" s="7" t="str">
        <f aca="false">IF(ISNUMBER(SEARCH("Demographic and Health",B533)),"DHS",IF(OR(ISNUMBER(SEARCH("Multiple Indicator Cluster",B533)),ISNUMBER(SEARCH("MICS",B533))),"MICS",IF(ISNUMBER(SEARCH("Immunization Coverage Survey",B533)),"Coverage survey",IF(ISNUMBER(SEARCH("Nutrition",B533)),"Nutrition survey","Other"))))</f>
        <v>DHS</v>
      </c>
      <c r="D533" s="7" t="n">
        <f aca="false">VALUE(LEFT(Raw_Nigeria!D533,4))</f>
        <v>2018</v>
      </c>
      <c r="E533" s="7" t="n">
        <f aca="false">IF(VALUE(RIGHT(Raw_Nigeria!D533,2))&gt;12,"",VALUE(RIGHT(Raw_Nigeria!D533,2)))</f>
        <v>8</v>
      </c>
      <c r="F533" s="7" t="n">
        <f aca="false">VALUE(LEFT(Raw_Nigeria!E533,4))</f>
        <v>2018</v>
      </c>
      <c r="G533" s="7" t="n">
        <f aca="false">IF(VALUE(RIGHT(Raw_Nigeria!E533,2))&gt;12,"",VALUE(RIGHT(Raw_Nigeria!E533,2)))</f>
        <v>12</v>
      </c>
      <c r="H533" s="7" t="n">
        <f aca="false">Raw_Nigeria!F533</f>
        <v>2016</v>
      </c>
      <c r="I533" s="7" t="str">
        <f aca="false">UPPER(TRIM(Raw_Nigeria!G533))</f>
        <v>DTP3</v>
      </c>
      <c r="J533" s="7" t="str">
        <f aca="false">Raw_Nigeria!H533</f>
        <v>Record</v>
      </c>
      <c r="K533" s="7" t="str">
        <f aca="false">Raw_Nigeria!L533</f>
        <v>24-35 m</v>
      </c>
      <c r="L533" s="7" t="str">
        <f aca="false">IF(Raw_Nigeria!K533="","n/a",Raw_Nigeria!K533)</f>
        <v>0-35 m</v>
      </c>
      <c r="M533" s="7" t="str">
        <f aca="false">IF(Raw_Nigeria!I533="","",Raw_Nigeria!I533)</f>
        <v/>
      </c>
      <c r="N533" s="7" t="n">
        <f aca="false">Raw_Nigeria!M533</f>
        <v>24.4</v>
      </c>
      <c r="O533" s="7" t="n">
        <f aca="false">IF(Raw_Nigeria!N533="","",Raw_Nigeria!N533)</f>
        <v>1715</v>
      </c>
      <c r="P533" s="7" t="str">
        <f aca="false">IF(K533="CBAW","Women of child-bearing age","Children")</f>
        <v>Children</v>
      </c>
      <c r="Q533" s="7" t="n">
        <f aca="false">IF(J533="NOT USED",1,0)</f>
        <v>0</v>
      </c>
      <c r="R533" s="7" t="n">
        <f aca="false">IF(AND(P533="Children",Q533=0),1,0)</f>
        <v>1</v>
      </c>
      <c r="S533" s="7" t="n">
        <f aca="false">IF(AND(R533=1,J533="Record or Recall",K533="12-23 m"),1,0)</f>
        <v>0</v>
      </c>
      <c r="T533" s="7" t="n">
        <f aca="false">IF(OR(I533="BCG",I533="DTP1",I533="DTP3",I533="POL3",I533="MCV1",I533="FULL"),1,0)</f>
        <v>1</v>
      </c>
      <c r="U533" s="7" t="n">
        <f aca="false">IF(OR(C533="DHS",C533="MICS"),1,0)</f>
        <v>1</v>
      </c>
      <c r="V533" s="7" t="n">
        <f aca="false">IF(O533="",1,0)</f>
        <v>0</v>
      </c>
      <c r="W533" s="7" t="n">
        <f aca="false">IF(M533="",1,0)</f>
        <v>1</v>
      </c>
      <c r="X533" s="7" t="n">
        <f aca="false">COUNTIFS($B$2:$B$1141,B533,$H$2:$H$1141,H533,$I$2:$I$1141,I533,$J$2:$J$1141,J533,$K$2:$K$1141,K533,$L$2:$L$1141,L533)</f>
        <v>1</v>
      </c>
    </row>
    <row r="534" customFormat="false" ht="15" hidden="false" customHeight="false" outlineLevel="0" collapsed="false">
      <c r="A534" s="7" t="n">
        <f aca="false">ROW()-1</f>
        <v>533</v>
      </c>
      <c r="B534" s="7" t="str">
        <f aca="false">IF(Raw_Nigeria!B534="",TRIM(Raw_Nigeria!C534),TRIM(Raw_Nigeria!B534))</f>
        <v>Nigeria Demographic and Health Survey 2018</v>
      </c>
      <c r="C534" s="7" t="str">
        <f aca="false">IF(ISNUMBER(SEARCH("Demographic and Health",B534)),"DHS",IF(OR(ISNUMBER(SEARCH("Multiple Indicator Cluster",B534)),ISNUMBER(SEARCH("MICS",B534))),"MICS",IF(ISNUMBER(SEARCH("Immunization Coverage Survey",B534)),"Coverage survey",IF(ISNUMBER(SEARCH("Nutrition",B534)),"Nutrition survey","Other"))))</f>
        <v>DHS</v>
      </c>
      <c r="D534" s="7" t="n">
        <f aca="false">VALUE(LEFT(Raw_Nigeria!D534,4))</f>
        <v>2018</v>
      </c>
      <c r="E534" s="7" t="n">
        <f aca="false">IF(VALUE(RIGHT(Raw_Nigeria!D534,2))&gt;12,"",VALUE(RIGHT(Raw_Nigeria!D534,2)))</f>
        <v>8</v>
      </c>
      <c r="F534" s="7" t="n">
        <f aca="false">VALUE(LEFT(Raw_Nigeria!E534,4))</f>
        <v>2018</v>
      </c>
      <c r="G534" s="7" t="n">
        <f aca="false">IF(VALUE(RIGHT(Raw_Nigeria!E534,2))&gt;12,"",VALUE(RIGHT(Raw_Nigeria!E534,2)))</f>
        <v>12</v>
      </c>
      <c r="H534" s="7" t="n">
        <f aca="false">Raw_Nigeria!F534</f>
        <v>2016</v>
      </c>
      <c r="I534" s="7" t="str">
        <f aca="false">UPPER(TRIM(Raw_Nigeria!G534))</f>
        <v>DTP3</v>
      </c>
      <c r="J534" s="7" t="str">
        <f aca="false">Raw_Nigeria!H534</f>
        <v>Record or Recall</v>
      </c>
      <c r="K534" s="7" t="str">
        <f aca="false">Raw_Nigeria!L534</f>
        <v>24-35 m</v>
      </c>
      <c r="L534" s="7" t="str">
        <f aca="false">IF(Raw_Nigeria!K534="","n/a",Raw_Nigeria!K534)</f>
        <v>0-35 m</v>
      </c>
      <c r="M534" s="7" t="str">
        <f aca="false">IF(Raw_Nigeria!I534="","",Raw_Nigeria!I534)</f>
        <v/>
      </c>
      <c r="N534" s="7" t="n">
        <f aca="false">Raw_Nigeria!M534</f>
        <v>47.5</v>
      </c>
      <c r="O534" s="7" t="n">
        <f aca="false">IF(Raw_Nigeria!N534="","",Raw_Nigeria!N534)</f>
        <v>5835</v>
      </c>
      <c r="P534" s="7" t="str">
        <f aca="false">IF(K534="CBAW","Women of child-bearing age","Children")</f>
        <v>Children</v>
      </c>
      <c r="Q534" s="7" t="n">
        <f aca="false">IF(J534="NOT USED",1,0)</f>
        <v>0</v>
      </c>
      <c r="R534" s="7" t="n">
        <f aca="false">IF(AND(P534="Children",Q534=0),1,0)</f>
        <v>1</v>
      </c>
      <c r="S534" s="7" t="n">
        <f aca="false">IF(AND(R534=1,J534="Record or Recall",K534="12-23 m"),1,0)</f>
        <v>0</v>
      </c>
      <c r="T534" s="7" t="n">
        <f aca="false">IF(OR(I534="BCG",I534="DTP1",I534="DTP3",I534="POL3",I534="MCV1",I534="FULL"),1,0)</f>
        <v>1</v>
      </c>
      <c r="U534" s="7" t="n">
        <f aca="false">IF(OR(C534="DHS",C534="MICS"),1,0)</f>
        <v>1</v>
      </c>
      <c r="V534" s="7" t="n">
        <f aca="false">IF(O534="",1,0)</f>
        <v>0</v>
      </c>
      <c r="W534" s="7" t="n">
        <f aca="false">IF(M534="",1,0)</f>
        <v>1</v>
      </c>
      <c r="X534" s="7" t="n">
        <f aca="false">COUNTIFS($B$2:$B$1141,B534,$H$2:$H$1141,H534,$I$2:$I$1141,I534,$J$2:$J$1141,J534,$K$2:$K$1141,K534,$L$2:$L$1141,L534)</f>
        <v>1</v>
      </c>
    </row>
    <row r="535" customFormat="false" ht="15" hidden="false" customHeight="false" outlineLevel="0" collapsed="false">
      <c r="A535" s="7" t="n">
        <f aca="false">ROW()-1</f>
        <v>534</v>
      </c>
      <c r="B535" s="7" t="str">
        <f aca="false">IF(Raw_Nigeria!B535="",TRIM(Raw_Nigeria!C535),TRIM(Raw_Nigeria!B535))</f>
        <v>Nigeria Demographic and Health Survey 2018</v>
      </c>
      <c r="C535" s="7" t="str">
        <f aca="false">IF(ISNUMBER(SEARCH("Demographic and Health",B535)),"DHS",IF(OR(ISNUMBER(SEARCH("Multiple Indicator Cluster",B535)),ISNUMBER(SEARCH("MICS",B535))),"MICS",IF(ISNUMBER(SEARCH("Immunization Coverage Survey",B535)),"Coverage survey",IF(ISNUMBER(SEARCH("Nutrition",B535)),"Nutrition survey","Other"))))</f>
        <v>DHS</v>
      </c>
      <c r="D535" s="7" t="n">
        <f aca="false">VALUE(LEFT(Raw_Nigeria!D535,4))</f>
        <v>2018</v>
      </c>
      <c r="E535" s="7" t="n">
        <f aca="false">IF(VALUE(RIGHT(Raw_Nigeria!D535,2))&gt;12,"",VALUE(RIGHT(Raw_Nigeria!D535,2)))</f>
        <v>8</v>
      </c>
      <c r="F535" s="7" t="n">
        <f aca="false">VALUE(LEFT(Raw_Nigeria!E535,4))</f>
        <v>2018</v>
      </c>
      <c r="G535" s="7" t="n">
        <f aca="false">IF(VALUE(RIGHT(Raw_Nigeria!E535,2))&gt;12,"",VALUE(RIGHT(Raw_Nigeria!E535,2)))</f>
        <v>12</v>
      </c>
      <c r="H535" s="7" t="n">
        <f aca="false">Raw_Nigeria!F535</f>
        <v>2016</v>
      </c>
      <c r="I535" s="7" t="str">
        <f aca="false">UPPER(TRIM(Raw_Nigeria!G535))</f>
        <v>DTP3</v>
      </c>
      <c r="J535" s="7" t="str">
        <f aca="false">Raw_Nigeria!H535</f>
        <v>Recall</v>
      </c>
      <c r="K535" s="7" t="str">
        <f aca="false">Raw_Nigeria!L535</f>
        <v>24-35 m</v>
      </c>
      <c r="L535" s="7" t="str">
        <f aca="false">IF(Raw_Nigeria!K535="","n/a",Raw_Nigeria!K535)</f>
        <v>0-35 m</v>
      </c>
      <c r="M535" s="7" t="str">
        <f aca="false">IF(Raw_Nigeria!I535="","",Raw_Nigeria!I535)</f>
        <v/>
      </c>
      <c r="N535" s="7" t="n">
        <f aca="false">Raw_Nigeria!M535</f>
        <v>23.2</v>
      </c>
      <c r="O535" s="7" t="n">
        <f aca="false">IF(Raw_Nigeria!N535="","",Raw_Nigeria!N535)</f>
        <v>4120</v>
      </c>
      <c r="P535" s="7" t="str">
        <f aca="false">IF(K535="CBAW","Women of child-bearing age","Children")</f>
        <v>Children</v>
      </c>
      <c r="Q535" s="7" t="n">
        <f aca="false">IF(J535="NOT USED",1,0)</f>
        <v>0</v>
      </c>
      <c r="R535" s="7" t="n">
        <f aca="false">IF(AND(P535="Children",Q535=0),1,0)</f>
        <v>1</v>
      </c>
      <c r="S535" s="7" t="n">
        <f aca="false">IF(AND(R535=1,J535="Record or Recall",K535="12-23 m"),1,0)</f>
        <v>0</v>
      </c>
      <c r="T535" s="7" t="n">
        <f aca="false">IF(OR(I535="BCG",I535="DTP1",I535="DTP3",I535="POL3",I535="MCV1",I535="FULL"),1,0)</f>
        <v>1</v>
      </c>
      <c r="U535" s="7" t="n">
        <f aca="false">IF(OR(C535="DHS",C535="MICS"),1,0)</f>
        <v>1</v>
      </c>
      <c r="V535" s="7" t="n">
        <f aca="false">IF(O535="",1,0)</f>
        <v>0</v>
      </c>
      <c r="W535" s="7" t="n">
        <f aca="false">IF(M535="",1,0)</f>
        <v>1</v>
      </c>
      <c r="X535" s="7" t="n">
        <f aca="false">COUNTIFS($B$2:$B$1141,B535,$H$2:$H$1141,H535,$I$2:$I$1141,I535,$J$2:$J$1141,J535,$K$2:$K$1141,K535,$L$2:$L$1141,L535)</f>
        <v>1</v>
      </c>
    </row>
    <row r="536" customFormat="false" ht="15" hidden="false" customHeight="false" outlineLevel="0" collapsed="false">
      <c r="A536" s="7" t="n">
        <f aca="false">ROW()-1</f>
        <v>535</v>
      </c>
      <c r="B536" s="7" t="str">
        <f aca="false">IF(Raw_Nigeria!B536="",TRIM(Raw_Nigeria!C536),TRIM(Raw_Nigeria!B536))</f>
        <v>Nigeria Demographic and Health Survey 2018</v>
      </c>
      <c r="C536" s="7" t="str">
        <f aca="false">IF(ISNUMBER(SEARCH("Demographic and Health",B536)),"DHS",IF(OR(ISNUMBER(SEARCH("Multiple Indicator Cluster",B536)),ISNUMBER(SEARCH("MICS",B536))),"MICS",IF(ISNUMBER(SEARCH("Immunization Coverage Survey",B536)),"Coverage survey",IF(ISNUMBER(SEARCH("Nutrition",B536)),"Nutrition survey","Other"))))</f>
        <v>DHS</v>
      </c>
      <c r="D536" s="7" t="n">
        <f aca="false">VALUE(LEFT(Raw_Nigeria!D536,4))</f>
        <v>2018</v>
      </c>
      <c r="E536" s="7" t="n">
        <f aca="false">IF(VALUE(RIGHT(Raw_Nigeria!D536,2))&gt;12,"",VALUE(RIGHT(Raw_Nigeria!D536,2)))</f>
        <v>8</v>
      </c>
      <c r="F536" s="7" t="n">
        <f aca="false">VALUE(LEFT(Raw_Nigeria!E536,4))</f>
        <v>2018</v>
      </c>
      <c r="G536" s="7" t="n">
        <f aca="false">IF(VALUE(RIGHT(Raw_Nigeria!E536,2))&gt;12,"",VALUE(RIGHT(Raw_Nigeria!E536,2)))</f>
        <v>12</v>
      </c>
      <c r="H536" s="7" t="n">
        <f aca="false">Raw_Nigeria!F536</f>
        <v>2016</v>
      </c>
      <c r="I536" s="7" t="str">
        <f aca="false">UPPER(TRIM(Raw_Nigeria!G536))</f>
        <v>FULL</v>
      </c>
      <c r="J536" s="7" t="str">
        <f aca="false">Raw_Nigeria!H536</f>
        <v>Record or Recall&lt;12m</v>
      </c>
      <c r="K536" s="7" t="str">
        <f aca="false">Raw_Nigeria!L536</f>
        <v>24-35 m</v>
      </c>
      <c r="L536" s="7" t="str">
        <f aca="false">IF(Raw_Nigeria!K536="","n/a",Raw_Nigeria!K536)</f>
        <v>0-12 m</v>
      </c>
      <c r="M536" s="7" t="str">
        <f aca="false">IF(Raw_Nigeria!I536="","",Raw_Nigeria!I536)</f>
        <v/>
      </c>
      <c r="N536" s="7" t="n">
        <f aca="false">Raw_Nigeria!M536</f>
        <v>24.3</v>
      </c>
      <c r="O536" s="7" t="n">
        <f aca="false">IF(Raw_Nigeria!N536="","",Raw_Nigeria!N536)</f>
        <v>5835</v>
      </c>
      <c r="P536" s="7" t="str">
        <f aca="false">IF(K536="CBAW","Women of child-bearing age","Children")</f>
        <v>Children</v>
      </c>
      <c r="Q536" s="7" t="n">
        <f aca="false">IF(J536="NOT USED",1,0)</f>
        <v>0</v>
      </c>
      <c r="R536" s="7" t="n">
        <f aca="false">IF(AND(P536="Children",Q536=0),1,0)</f>
        <v>1</v>
      </c>
      <c r="S536" s="7" t="n">
        <f aca="false">IF(AND(R536=1,J536="Record or Recall",K536="12-23 m"),1,0)</f>
        <v>0</v>
      </c>
      <c r="T536" s="7" t="n">
        <f aca="false">IF(OR(I536="BCG",I536="DTP1",I536="DTP3",I536="POL3",I536="MCV1",I536="FULL"),1,0)</f>
        <v>1</v>
      </c>
      <c r="U536" s="7" t="n">
        <f aca="false">IF(OR(C536="DHS",C536="MICS"),1,0)</f>
        <v>1</v>
      </c>
      <c r="V536" s="7" t="n">
        <f aca="false">IF(O536="",1,0)</f>
        <v>0</v>
      </c>
      <c r="W536" s="7" t="n">
        <f aca="false">IF(M536="",1,0)</f>
        <v>1</v>
      </c>
      <c r="X536" s="7" t="n">
        <f aca="false">COUNTIFS($B$2:$B$1141,B536,$H$2:$H$1141,H536,$I$2:$I$1141,I536,$J$2:$J$1141,J536,$K$2:$K$1141,K536,$L$2:$L$1141,L536)</f>
        <v>1</v>
      </c>
    </row>
    <row r="537" customFormat="false" ht="15" hidden="false" customHeight="false" outlineLevel="0" collapsed="false">
      <c r="A537" s="7" t="n">
        <f aca="false">ROW()-1</f>
        <v>536</v>
      </c>
      <c r="B537" s="7" t="str">
        <f aca="false">IF(Raw_Nigeria!B537="",TRIM(Raw_Nigeria!C537),TRIM(Raw_Nigeria!B537))</f>
        <v>Nigeria Demographic and Health Survey 2018</v>
      </c>
      <c r="C537" s="7" t="str">
        <f aca="false">IF(ISNUMBER(SEARCH("Demographic and Health",B537)),"DHS",IF(OR(ISNUMBER(SEARCH("Multiple Indicator Cluster",B537)),ISNUMBER(SEARCH("MICS",B537))),"MICS",IF(ISNUMBER(SEARCH("Immunization Coverage Survey",B537)),"Coverage survey",IF(ISNUMBER(SEARCH("Nutrition",B537)),"Nutrition survey","Other"))))</f>
        <v>DHS</v>
      </c>
      <c r="D537" s="7" t="n">
        <f aca="false">VALUE(LEFT(Raw_Nigeria!D537,4))</f>
        <v>2018</v>
      </c>
      <c r="E537" s="7" t="n">
        <f aca="false">IF(VALUE(RIGHT(Raw_Nigeria!D537,2))&gt;12,"",VALUE(RIGHT(Raw_Nigeria!D537,2)))</f>
        <v>8</v>
      </c>
      <c r="F537" s="7" t="n">
        <f aca="false">VALUE(LEFT(Raw_Nigeria!E537,4))</f>
        <v>2018</v>
      </c>
      <c r="G537" s="7" t="n">
        <f aca="false">IF(VALUE(RIGHT(Raw_Nigeria!E537,2))&gt;12,"",VALUE(RIGHT(Raw_Nigeria!E537,2)))</f>
        <v>12</v>
      </c>
      <c r="H537" s="7" t="n">
        <f aca="false">Raw_Nigeria!F537</f>
        <v>2016</v>
      </c>
      <c r="I537" s="7" t="str">
        <f aca="false">UPPER(TRIM(Raw_Nigeria!G537))</f>
        <v>FULL</v>
      </c>
      <c r="J537" s="7" t="str">
        <f aca="false">Raw_Nigeria!H537</f>
        <v>Record</v>
      </c>
      <c r="K537" s="7" t="str">
        <f aca="false">Raw_Nigeria!L537</f>
        <v>24-35 m</v>
      </c>
      <c r="L537" s="7" t="str">
        <f aca="false">IF(Raw_Nigeria!K537="","n/a",Raw_Nigeria!K537)</f>
        <v>0-35 m</v>
      </c>
      <c r="M537" s="7" t="str">
        <f aca="false">IF(Raw_Nigeria!I537="","",Raw_Nigeria!I537)</f>
        <v/>
      </c>
      <c r="N537" s="7" t="n">
        <f aca="false">Raw_Nigeria!M537</f>
        <v>19.8</v>
      </c>
      <c r="O537" s="7" t="n">
        <f aca="false">IF(Raw_Nigeria!N537="","",Raw_Nigeria!N537)</f>
        <v>1715</v>
      </c>
      <c r="P537" s="7" t="str">
        <f aca="false">IF(K537="CBAW","Women of child-bearing age","Children")</f>
        <v>Children</v>
      </c>
      <c r="Q537" s="7" t="n">
        <f aca="false">IF(J537="NOT USED",1,0)</f>
        <v>0</v>
      </c>
      <c r="R537" s="7" t="n">
        <f aca="false">IF(AND(P537="Children",Q537=0),1,0)</f>
        <v>1</v>
      </c>
      <c r="S537" s="7" t="n">
        <f aca="false">IF(AND(R537=1,J537="Record or Recall",K537="12-23 m"),1,0)</f>
        <v>0</v>
      </c>
      <c r="T537" s="7" t="n">
        <f aca="false">IF(OR(I537="BCG",I537="DTP1",I537="DTP3",I537="POL3",I537="MCV1",I537="FULL"),1,0)</f>
        <v>1</v>
      </c>
      <c r="U537" s="7" t="n">
        <f aca="false">IF(OR(C537="DHS",C537="MICS"),1,0)</f>
        <v>1</v>
      </c>
      <c r="V537" s="7" t="n">
        <f aca="false">IF(O537="",1,0)</f>
        <v>0</v>
      </c>
      <c r="W537" s="7" t="n">
        <f aca="false">IF(M537="",1,0)</f>
        <v>1</v>
      </c>
      <c r="X537" s="7" t="n">
        <f aca="false">COUNTIFS($B$2:$B$1141,B537,$H$2:$H$1141,H537,$I$2:$I$1141,I537,$J$2:$J$1141,J537,$K$2:$K$1141,K537,$L$2:$L$1141,L537)</f>
        <v>1</v>
      </c>
    </row>
    <row r="538" customFormat="false" ht="15" hidden="false" customHeight="false" outlineLevel="0" collapsed="false">
      <c r="A538" s="7" t="n">
        <f aca="false">ROW()-1</f>
        <v>537</v>
      </c>
      <c r="B538" s="7" t="str">
        <f aca="false">IF(Raw_Nigeria!B538="",TRIM(Raw_Nigeria!C538),TRIM(Raw_Nigeria!B538))</f>
        <v>Nigeria Demographic and Health Survey 2018</v>
      </c>
      <c r="C538" s="7" t="str">
        <f aca="false">IF(ISNUMBER(SEARCH("Demographic and Health",B538)),"DHS",IF(OR(ISNUMBER(SEARCH("Multiple Indicator Cluster",B538)),ISNUMBER(SEARCH("MICS",B538))),"MICS",IF(ISNUMBER(SEARCH("Immunization Coverage Survey",B538)),"Coverage survey",IF(ISNUMBER(SEARCH("Nutrition",B538)),"Nutrition survey","Other"))))</f>
        <v>DHS</v>
      </c>
      <c r="D538" s="7" t="n">
        <f aca="false">VALUE(LEFT(Raw_Nigeria!D538,4))</f>
        <v>2018</v>
      </c>
      <c r="E538" s="7" t="n">
        <f aca="false">IF(VALUE(RIGHT(Raw_Nigeria!D538,2))&gt;12,"",VALUE(RIGHT(Raw_Nigeria!D538,2)))</f>
        <v>8</v>
      </c>
      <c r="F538" s="7" t="n">
        <f aca="false">VALUE(LEFT(Raw_Nigeria!E538,4))</f>
        <v>2018</v>
      </c>
      <c r="G538" s="7" t="n">
        <f aca="false">IF(VALUE(RIGHT(Raw_Nigeria!E538,2))&gt;12,"",VALUE(RIGHT(Raw_Nigeria!E538,2)))</f>
        <v>12</v>
      </c>
      <c r="H538" s="7" t="n">
        <f aca="false">Raw_Nigeria!F538</f>
        <v>2016</v>
      </c>
      <c r="I538" s="7" t="str">
        <f aca="false">UPPER(TRIM(Raw_Nigeria!G538))</f>
        <v>FULL</v>
      </c>
      <c r="J538" s="7" t="str">
        <f aca="false">Raw_Nigeria!H538</f>
        <v>Record or Recall</v>
      </c>
      <c r="K538" s="7" t="str">
        <f aca="false">Raw_Nigeria!L538</f>
        <v>24-35 m</v>
      </c>
      <c r="L538" s="7" t="str">
        <f aca="false">IF(Raw_Nigeria!K538="","n/a",Raw_Nigeria!K538)</f>
        <v>0-35 m</v>
      </c>
      <c r="M538" s="7" t="str">
        <f aca="false">IF(Raw_Nigeria!I538="","",Raw_Nigeria!I538)</f>
        <v/>
      </c>
      <c r="N538" s="7" t="n">
        <f aca="false">Raw_Nigeria!M538</f>
        <v>27.7</v>
      </c>
      <c r="O538" s="7" t="n">
        <f aca="false">IF(Raw_Nigeria!N538="","",Raw_Nigeria!N538)</f>
        <v>5835</v>
      </c>
      <c r="P538" s="7" t="str">
        <f aca="false">IF(K538="CBAW","Women of child-bearing age","Children")</f>
        <v>Children</v>
      </c>
      <c r="Q538" s="7" t="n">
        <f aca="false">IF(J538="NOT USED",1,0)</f>
        <v>0</v>
      </c>
      <c r="R538" s="7" t="n">
        <f aca="false">IF(AND(P538="Children",Q538=0),1,0)</f>
        <v>1</v>
      </c>
      <c r="S538" s="7" t="n">
        <f aca="false">IF(AND(R538=1,J538="Record or Recall",K538="12-23 m"),1,0)</f>
        <v>0</v>
      </c>
      <c r="T538" s="7" t="n">
        <f aca="false">IF(OR(I538="BCG",I538="DTP1",I538="DTP3",I538="POL3",I538="MCV1",I538="FULL"),1,0)</f>
        <v>1</v>
      </c>
      <c r="U538" s="7" t="n">
        <f aca="false">IF(OR(C538="DHS",C538="MICS"),1,0)</f>
        <v>1</v>
      </c>
      <c r="V538" s="7" t="n">
        <f aca="false">IF(O538="",1,0)</f>
        <v>0</v>
      </c>
      <c r="W538" s="7" t="n">
        <f aca="false">IF(M538="",1,0)</f>
        <v>1</v>
      </c>
      <c r="X538" s="7" t="n">
        <f aca="false">COUNTIFS($B$2:$B$1141,B538,$H$2:$H$1141,H538,$I$2:$I$1141,I538,$J$2:$J$1141,J538,$K$2:$K$1141,K538,$L$2:$L$1141,L538)</f>
        <v>1</v>
      </c>
    </row>
    <row r="539" customFormat="false" ht="15" hidden="false" customHeight="false" outlineLevel="0" collapsed="false">
      <c r="A539" s="7" t="n">
        <f aca="false">ROW()-1</f>
        <v>538</v>
      </c>
      <c r="B539" s="7" t="str">
        <f aca="false">IF(Raw_Nigeria!B539="",TRIM(Raw_Nigeria!C539),TRIM(Raw_Nigeria!B539))</f>
        <v>Nigeria Demographic and Health Survey 2018</v>
      </c>
      <c r="C539" s="7" t="str">
        <f aca="false">IF(ISNUMBER(SEARCH("Demographic and Health",B539)),"DHS",IF(OR(ISNUMBER(SEARCH("Multiple Indicator Cluster",B539)),ISNUMBER(SEARCH("MICS",B539))),"MICS",IF(ISNUMBER(SEARCH("Immunization Coverage Survey",B539)),"Coverage survey",IF(ISNUMBER(SEARCH("Nutrition",B539)),"Nutrition survey","Other"))))</f>
        <v>DHS</v>
      </c>
      <c r="D539" s="7" t="n">
        <f aca="false">VALUE(LEFT(Raw_Nigeria!D539,4))</f>
        <v>2018</v>
      </c>
      <c r="E539" s="7" t="n">
        <f aca="false">IF(VALUE(RIGHT(Raw_Nigeria!D539,2))&gt;12,"",VALUE(RIGHT(Raw_Nigeria!D539,2)))</f>
        <v>8</v>
      </c>
      <c r="F539" s="7" t="n">
        <f aca="false">VALUE(LEFT(Raw_Nigeria!E539,4))</f>
        <v>2018</v>
      </c>
      <c r="G539" s="7" t="n">
        <f aca="false">IF(VALUE(RIGHT(Raw_Nigeria!E539,2))&gt;12,"",VALUE(RIGHT(Raw_Nigeria!E539,2)))</f>
        <v>12</v>
      </c>
      <c r="H539" s="7" t="n">
        <f aca="false">Raw_Nigeria!F539</f>
        <v>2016</v>
      </c>
      <c r="I539" s="7" t="str">
        <f aca="false">UPPER(TRIM(Raw_Nigeria!G539))</f>
        <v>FULL</v>
      </c>
      <c r="J539" s="7" t="str">
        <f aca="false">Raw_Nigeria!H539</f>
        <v>Recall</v>
      </c>
      <c r="K539" s="7" t="str">
        <f aca="false">Raw_Nigeria!L539</f>
        <v>24-35 m</v>
      </c>
      <c r="L539" s="7" t="str">
        <f aca="false">IF(Raw_Nigeria!K539="","n/a",Raw_Nigeria!K539)</f>
        <v>0-35 m</v>
      </c>
      <c r="M539" s="7" t="str">
        <f aca="false">IF(Raw_Nigeria!I539="","",Raw_Nigeria!I539)</f>
        <v/>
      </c>
      <c r="N539" s="7" t="n">
        <f aca="false">Raw_Nigeria!M539</f>
        <v>7.9</v>
      </c>
      <c r="O539" s="7" t="n">
        <f aca="false">IF(Raw_Nigeria!N539="","",Raw_Nigeria!N539)</f>
        <v>4120</v>
      </c>
      <c r="P539" s="7" t="str">
        <f aca="false">IF(K539="CBAW","Women of child-bearing age","Children")</f>
        <v>Children</v>
      </c>
      <c r="Q539" s="7" t="n">
        <f aca="false">IF(J539="NOT USED",1,0)</f>
        <v>0</v>
      </c>
      <c r="R539" s="7" t="n">
        <f aca="false">IF(AND(P539="Children",Q539=0),1,0)</f>
        <v>1</v>
      </c>
      <c r="S539" s="7" t="n">
        <f aca="false">IF(AND(R539=1,J539="Record or Recall",K539="12-23 m"),1,0)</f>
        <v>0</v>
      </c>
      <c r="T539" s="7" t="n">
        <f aca="false">IF(OR(I539="BCG",I539="DTP1",I539="DTP3",I539="POL3",I539="MCV1",I539="FULL"),1,0)</f>
        <v>1</v>
      </c>
      <c r="U539" s="7" t="n">
        <f aca="false">IF(OR(C539="DHS",C539="MICS"),1,0)</f>
        <v>1</v>
      </c>
      <c r="V539" s="7" t="n">
        <f aca="false">IF(O539="",1,0)</f>
        <v>0</v>
      </c>
      <c r="W539" s="7" t="n">
        <f aca="false">IF(M539="",1,0)</f>
        <v>1</v>
      </c>
      <c r="X539" s="7" t="n">
        <f aca="false">COUNTIFS($B$2:$B$1141,B539,$H$2:$H$1141,H539,$I$2:$I$1141,I539,$J$2:$J$1141,J539,$K$2:$K$1141,K539,$L$2:$L$1141,L539)</f>
        <v>1</v>
      </c>
    </row>
    <row r="540" customFormat="false" ht="15" hidden="false" customHeight="false" outlineLevel="0" collapsed="false">
      <c r="A540" s="7" t="n">
        <f aca="false">ROW()-1</f>
        <v>539</v>
      </c>
      <c r="B540" s="7" t="str">
        <f aca="false">IF(Raw_Nigeria!B540="",TRIM(Raw_Nigeria!C540),TRIM(Raw_Nigeria!B540))</f>
        <v>Nigeria Demographic and Health Survey 2018</v>
      </c>
      <c r="C540" s="7" t="str">
        <f aca="false">IF(ISNUMBER(SEARCH("Demographic and Health",B540)),"DHS",IF(OR(ISNUMBER(SEARCH("Multiple Indicator Cluster",B540)),ISNUMBER(SEARCH("MICS",B540))),"MICS",IF(ISNUMBER(SEARCH("Immunization Coverage Survey",B540)),"Coverage survey",IF(ISNUMBER(SEARCH("Nutrition",B540)),"Nutrition survey","Other"))))</f>
        <v>DHS</v>
      </c>
      <c r="D540" s="7" t="n">
        <f aca="false">VALUE(LEFT(Raw_Nigeria!D540,4))</f>
        <v>2018</v>
      </c>
      <c r="E540" s="7" t="n">
        <f aca="false">IF(VALUE(RIGHT(Raw_Nigeria!D540,2))&gt;12,"",VALUE(RIGHT(Raw_Nigeria!D540,2)))</f>
        <v>8</v>
      </c>
      <c r="F540" s="7" t="n">
        <f aca="false">VALUE(LEFT(Raw_Nigeria!E540,4))</f>
        <v>2018</v>
      </c>
      <c r="G540" s="7" t="n">
        <f aca="false">IF(VALUE(RIGHT(Raw_Nigeria!E540,2))&gt;12,"",VALUE(RIGHT(Raw_Nigeria!E540,2)))</f>
        <v>12</v>
      </c>
      <c r="H540" s="7" t="n">
        <f aca="false">Raw_Nigeria!F540</f>
        <v>2016</v>
      </c>
      <c r="I540" s="7" t="str">
        <f aca="false">UPPER(TRIM(Raw_Nigeria!G540))</f>
        <v>FULL &lt;1 YEAR</v>
      </c>
      <c r="J540" s="7" t="str">
        <f aca="false">Raw_Nigeria!H540</f>
        <v>Record or Recall&lt;12m</v>
      </c>
      <c r="K540" s="7" t="str">
        <f aca="false">Raw_Nigeria!L540</f>
        <v>24-35 m</v>
      </c>
      <c r="L540" s="7" t="str">
        <f aca="false">IF(Raw_Nigeria!K540="","n/a",Raw_Nigeria!K540)</f>
        <v>0-12 m</v>
      </c>
      <c r="M540" s="7" t="str">
        <f aca="false">IF(Raw_Nigeria!I540="","",Raw_Nigeria!I540)</f>
        <v/>
      </c>
      <c r="N540" s="7" t="n">
        <f aca="false">Raw_Nigeria!M540</f>
        <v>4</v>
      </c>
      <c r="O540" s="7" t="n">
        <f aca="false">IF(Raw_Nigeria!N540="","",Raw_Nigeria!N540)</f>
        <v>5835</v>
      </c>
      <c r="P540" s="7" t="str">
        <f aca="false">IF(K540="CBAW","Women of child-bearing age","Children")</f>
        <v>Children</v>
      </c>
      <c r="Q540" s="7" t="n">
        <f aca="false">IF(J540="NOT USED",1,0)</f>
        <v>0</v>
      </c>
      <c r="R540" s="7" t="n">
        <f aca="false">IF(AND(P540="Children",Q540=0),1,0)</f>
        <v>1</v>
      </c>
      <c r="S540" s="7" t="n">
        <f aca="false">IF(AND(R540=1,J540="Record or Recall",K540="12-23 m"),1,0)</f>
        <v>0</v>
      </c>
      <c r="T540" s="7" t="n">
        <f aca="false">IF(OR(I540="BCG",I540="DTP1",I540="DTP3",I540="POL3",I540="MCV1",I540="FULL"),1,0)</f>
        <v>0</v>
      </c>
      <c r="U540" s="7" t="n">
        <f aca="false">IF(OR(C540="DHS",C540="MICS"),1,0)</f>
        <v>1</v>
      </c>
      <c r="V540" s="7" t="n">
        <f aca="false">IF(O540="",1,0)</f>
        <v>0</v>
      </c>
      <c r="W540" s="7" t="n">
        <f aca="false">IF(M540="",1,0)</f>
        <v>1</v>
      </c>
      <c r="X540" s="7" t="n">
        <f aca="false">COUNTIFS($B$2:$B$1141,B540,$H$2:$H$1141,H540,$I$2:$I$1141,I540,$J$2:$J$1141,J540,$K$2:$K$1141,K540,$L$2:$L$1141,L540)</f>
        <v>1</v>
      </c>
    </row>
    <row r="541" customFormat="false" ht="15" hidden="false" customHeight="false" outlineLevel="0" collapsed="false">
      <c r="A541" s="7" t="n">
        <f aca="false">ROW()-1</f>
        <v>540</v>
      </c>
      <c r="B541" s="7" t="str">
        <f aca="false">IF(Raw_Nigeria!B541="",TRIM(Raw_Nigeria!C541),TRIM(Raw_Nigeria!B541))</f>
        <v>Nigeria Demographic and Health Survey 2018</v>
      </c>
      <c r="C541" s="7" t="str">
        <f aca="false">IF(ISNUMBER(SEARCH("Demographic and Health",B541)),"DHS",IF(OR(ISNUMBER(SEARCH("Multiple Indicator Cluster",B541)),ISNUMBER(SEARCH("MICS",B541))),"MICS",IF(ISNUMBER(SEARCH("Immunization Coverage Survey",B541)),"Coverage survey",IF(ISNUMBER(SEARCH("Nutrition",B541)),"Nutrition survey","Other"))))</f>
        <v>DHS</v>
      </c>
      <c r="D541" s="7" t="n">
        <f aca="false">VALUE(LEFT(Raw_Nigeria!D541,4))</f>
        <v>2018</v>
      </c>
      <c r="E541" s="7" t="n">
        <f aca="false">IF(VALUE(RIGHT(Raw_Nigeria!D541,2))&gt;12,"",VALUE(RIGHT(Raw_Nigeria!D541,2)))</f>
        <v>8</v>
      </c>
      <c r="F541" s="7" t="n">
        <f aca="false">VALUE(LEFT(Raw_Nigeria!E541,4))</f>
        <v>2018</v>
      </c>
      <c r="G541" s="7" t="n">
        <f aca="false">IF(VALUE(RIGHT(Raw_Nigeria!E541,2))&gt;12,"",VALUE(RIGHT(Raw_Nigeria!E541,2)))</f>
        <v>12</v>
      </c>
      <c r="H541" s="7" t="n">
        <f aca="false">Raw_Nigeria!F541</f>
        <v>2016</v>
      </c>
      <c r="I541" s="7" t="str">
        <f aca="false">UPPER(TRIM(Raw_Nigeria!G541))</f>
        <v>FULL &lt;1 YEAR</v>
      </c>
      <c r="J541" s="7" t="str">
        <f aca="false">Raw_Nigeria!H541</f>
        <v>Record</v>
      </c>
      <c r="K541" s="7" t="str">
        <f aca="false">Raw_Nigeria!L541</f>
        <v>24-35 m</v>
      </c>
      <c r="L541" s="7" t="str">
        <f aca="false">IF(Raw_Nigeria!K541="","n/a",Raw_Nigeria!K541)</f>
        <v>0-35 m</v>
      </c>
      <c r="M541" s="7" t="str">
        <f aca="false">IF(Raw_Nigeria!I541="","",Raw_Nigeria!I541)</f>
        <v/>
      </c>
      <c r="N541" s="7" t="n">
        <f aca="false">Raw_Nigeria!M541</f>
        <v>3.8</v>
      </c>
      <c r="O541" s="7" t="n">
        <f aca="false">IF(Raw_Nigeria!N541="","",Raw_Nigeria!N541)</f>
        <v>1715</v>
      </c>
      <c r="P541" s="7" t="str">
        <f aca="false">IF(K541="CBAW","Women of child-bearing age","Children")</f>
        <v>Children</v>
      </c>
      <c r="Q541" s="7" t="n">
        <f aca="false">IF(J541="NOT USED",1,0)</f>
        <v>0</v>
      </c>
      <c r="R541" s="7" t="n">
        <f aca="false">IF(AND(P541="Children",Q541=0),1,0)</f>
        <v>1</v>
      </c>
      <c r="S541" s="7" t="n">
        <f aca="false">IF(AND(R541=1,J541="Record or Recall",K541="12-23 m"),1,0)</f>
        <v>0</v>
      </c>
      <c r="T541" s="7" t="n">
        <f aca="false">IF(OR(I541="BCG",I541="DTP1",I541="DTP3",I541="POL3",I541="MCV1",I541="FULL"),1,0)</f>
        <v>0</v>
      </c>
      <c r="U541" s="7" t="n">
        <f aca="false">IF(OR(C541="DHS",C541="MICS"),1,0)</f>
        <v>1</v>
      </c>
      <c r="V541" s="7" t="n">
        <f aca="false">IF(O541="",1,0)</f>
        <v>0</v>
      </c>
      <c r="W541" s="7" t="n">
        <f aca="false">IF(M541="",1,0)</f>
        <v>1</v>
      </c>
      <c r="X541" s="7" t="n">
        <f aca="false">COUNTIFS($B$2:$B$1141,B541,$H$2:$H$1141,H541,$I$2:$I$1141,I541,$J$2:$J$1141,J541,$K$2:$K$1141,K541,$L$2:$L$1141,L541)</f>
        <v>1</v>
      </c>
    </row>
    <row r="542" customFormat="false" ht="15" hidden="false" customHeight="false" outlineLevel="0" collapsed="false">
      <c r="A542" s="7" t="n">
        <f aca="false">ROW()-1</f>
        <v>541</v>
      </c>
      <c r="B542" s="7" t="str">
        <f aca="false">IF(Raw_Nigeria!B542="",TRIM(Raw_Nigeria!C542),TRIM(Raw_Nigeria!B542))</f>
        <v>Nigeria Demographic and Health Survey 2018</v>
      </c>
      <c r="C542" s="7" t="str">
        <f aca="false">IF(ISNUMBER(SEARCH("Demographic and Health",B542)),"DHS",IF(OR(ISNUMBER(SEARCH("Multiple Indicator Cluster",B542)),ISNUMBER(SEARCH("MICS",B542))),"MICS",IF(ISNUMBER(SEARCH("Immunization Coverage Survey",B542)),"Coverage survey",IF(ISNUMBER(SEARCH("Nutrition",B542)),"Nutrition survey","Other"))))</f>
        <v>DHS</v>
      </c>
      <c r="D542" s="7" t="n">
        <f aca="false">VALUE(LEFT(Raw_Nigeria!D542,4))</f>
        <v>2018</v>
      </c>
      <c r="E542" s="7" t="n">
        <f aca="false">IF(VALUE(RIGHT(Raw_Nigeria!D542,2))&gt;12,"",VALUE(RIGHT(Raw_Nigeria!D542,2)))</f>
        <v>8</v>
      </c>
      <c r="F542" s="7" t="n">
        <f aca="false">VALUE(LEFT(Raw_Nigeria!E542,4))</f>
        <v>2018</v>
      </c>
      <c r="G542" s="7" t="n">
        <f aca="false">IF(VALUE(RIGHT(Raw_Nigeria!E542,2))&gt;12,"",VALUE(RIGHT(Raw_Nigeria!E542,2)))</f>
        <v>12</v>
      </c>
      <c r="H542" s="7" t="n">
        <f aca="false">Raw_Nigeria!F542</f>
        <v>2016</v>
      </c>
      <c r="I542" s="7" t="str">
        <f aca="false">UPPER(TRIM(Raw_Nigeria!G542))</f>
        <v>FULL &lt;1 YEAR</v>
      </c>
      <c r="J542" s="7" t="str">
        <f aca="false">Raw_Nigeria!H542</f>
        <v>Record or Recall</v>
      </c>
      <c r="K542" s="7" t="str">
        <f aca="false">Raw_Nigeria!L542</f>
        <v>24-35 m</v>
      </c>
      <c r="L542" s="7" t="str">
        <f aca="false">IF(Raw_Nigeria!K542="","n/a",Raw_Nigeria!K542)</f>
        <v>0-35 m</v>
      </c>
      <c r="M542" s="7" t="str">
        <f aca="false">IF(Raw_Nigeria!I542="","",Raw_Nigeria!I542)</f>
        <v/>
      </c>
      <c r="N542" s="7" t="n">
        <f aca="false">Raw_Nigeria!M542</f>
        <v>4.7</v>
      </c>
      <c r="O542" s="7" t="n">
        <f aca="false">IF(Raw_Nigeria!N542="","",Raw_Nigeria!N542)</f>
        <v>5835</v>
      </c>
      <c r="P542" s="7" t="str">
        <f aca="false">IF(K542="CBAW","Women of child-bearing age","Children")</f>
        <v>Children</v>
      </c>
      <c r="Q542" s="7" t="n">
        <f aca="false">IF(J542="NOT USED",1,0)</f>
        <v>0</v>
      </c>
      <c r="R542" s="7" t="n">
        <f aca="false">IF(AND(P542="Children",Q542=0),1,0)</f>
        <v>1</v>
      </c>
      <c r="S542" s="7" t="n">
        <f aca="false">IF(AND(R542=1,J542="Record or Recall",K542="12-23 m"),1,0)</f>
        <v>0</v>
      </c>
      <c r="T542" s="7" t="n">
        <f aca="false">IF(OR(I542="BCG",I542="DTP1",I542="DTP3",I542="POL3",I542="MCV1",I542="FULL"),1,0)</f>
        <v>0</v>
      </c>
      <c r="U542" s="7" t="n">
        <f aca="false">IF(OR(C542="DHS",C542="MICS"),1,0)</f>
        <v>1</v>
      </c>
      <c r="V542" s="7" t="n">
        <f aca="false">IF(O542="",1,0)</f>
        <v>0</v>
      </c>
      <c r="W542" s="7" t="n">
        <f aca="false">IF(M542="",1,0)</f>
        <v>1</v>
      </c>
      <c r="X542" s="7" t="n">
        <f aca="false">COUNTIFS($B$2:$B$1141,B542,$H$2:$H$1141,H542,$I$2:$I$1141,I542,$J$2:$J$1141,J542,$K$2:$K$1141,K542,$L$2:$L$1141,L542)</f>
        <v>1</v>
      </c>
    </row>
    <row r="543" customFormat="false" ht="15" hidden="false" customHeight="false" outlineLevel="0" collapsed="false">
      <c r="A543" s="7" t="n">
        <f aca="false">ROW()-1</f>
        <v>542</v>
      </c>
      <c r="B543" s="7" t="str">
        <f aca="false">IF(Raw_Nigeria!B543="",TRIM(Raw_Nigeria!C543),TRIM(Raw_Nigeria!B543))</f>
        <v>Nigeria Demographic and Health Survey 2018</v>
      </c>
      <c r="C543" s="7" t="str">
        <f aca="false">IF(ISNUMBER(SEARCH("Demographic and Health",B543)),"DHS",IF(OR(ISNUMBER(SEARCH("Multiple Indicator Cluster",B543)),ISNUMBER(SEARCH("MICS",B543))),"MICS",IF(ISNUMBER(SEARCH("Immunization Coverage Survey",B543)),"Coverage survey",IF(ISNUMBER(SEARCH("Nutrition",B543)),"Nutrition survey","Other"))))</f>
        <v>DHS</v>
      </c>
      <c r="D543" s="7" t="n">
        <f aca="false">VALUE(LEFT(Raw_Nigeria!D543,4))</f>
        <v>2018</v>
      </c>
      <c r="E543" s="7" t="n">
        <f aca="false">IF(VALUE(RIGHT(Raw_Nigeria!D543,2))&gt;12,"",VALUE(RIGHT(Raw_Nigeria!D543,2)))</f>
        <v>8</v>
      </c>
      <c r="F543" s="7" t="n">
        <f aca="false">VALUE(LEFT(Raw_Nigeria!E543,4))</f>
        <v>2018</v>
      </c>
      <c r="G543" s="7" t="n">
        <f aca="false">IF(VALUE(RIGHT(Raw_Nigeria!E543,2))&gt;12,"",VALUE(RIGHT(Raw_Nigeria!E543,2)))</f>
        <v>12</v>
      </c>
      <c r="H543" s="7" t="n">
        <f aca="false">Raw_Nigeria!F543</f>
        <v>2016</v>
      </c>
      <c r="I543" s="7" t="str">
        <f aca="false">UPPER(TRIM(Raw_Nigeria!G543))</f>
        <v>FULL &lt;1 YEAR</v>
      </c>
      <c r="J543" s="7" t="str">
        <f aca="false">Raw_Nigeria!H543</f>
        <v>Recall</v>
      </c>
      <c r="K543" s="7" t="str">
        <f aca="false">Raw_Nigeria!L543</f>
        <v>24-35 m</v>
      </c>
      <c r="L543" s="7" t="str">
        <f aca="false">IF(Raw_Nigeria!K543="","n/a",Raw_Nigeria!K543)</f>
        <v>0-35 m</v>
      </c>
      <c r="M543" s="7" t="str">
        <f aca="false">IF(Raw_Nigeria!I543="","",Raw_Nigeria!I543)</f>
        <v/>
      </c>
      <c r="N543" s="7" t="n">
        <f aca="false">Raw_Nigeria!M543</f>
        <v>0.9</v>
      </c>
      <c r="O543" s="7" t="n">
        <f aca="false">IF(Raw_Nigeria!N543="","",Raw_Nigeria!N543)</f>
        <v>4120</v>
      </c>
      <c r="P543" s="7" t="str">
        <f aca="false">IF(K543="CBAW","Women of child-bearing age","Children")</f>
        <v>Children</v>
      </c>
      <c r="Q543" s="7" t="n">
        <f aca="false">IF(J543="NOT USED",1,0)</f>
        <v>0</v>
      </c>
      <c r="R543" s="7" t="n">
        <f aca="false">IF(AND(P543="Children",Q543=0),1,0)</f>
        <v>1</v>
      </c>
      <c r="S543" s="7" t="n">
        <f aca="false">IF(AND(R543=1,J543="Record or Recall",K543="12-23 m"),1,0)</f>
        <v>0</v>
      </c>
      <c r="T543" s="7" t="n">
        <f aca="false">IF(OR(I543="BCG",I543="DTP1",I543="DTP3",I543="POL3",I543="MCV1",I543="FULL"),1,0)</f>
        <v>0</v>
      </c>
      <c r="U543" s="7" t="n">
        <f aca="false">IF(OR(C543="DHS",C543="MICS"),1,0)</f>
        <v>1</v>
      </c>
      <c r="V543" s="7" t="n">
        <f aca="false">IF(O543="",1,0)</f>
        <v>0</v>
      </c>
      <c r="W543" s="7" t="n">
        <f aca="false">IF(M543="",1,0)</f>
        <v>1</v>
      </c>
      <c r="X543" s="7" t="n">
        <f aca="false">COUNTIFS($B$2:$B$1141,B543,$H$2:$H$1141,H543,$I$2:$I$1141,I543,$J$2:$J$1141,J543,$K$2:$K$1141,K543,$L$2:$L$1141,L543)</f>
        <v>1</v>
      </c>
    </row>
    <row r="544" customFormat="false" ht="15" hidden="false" customHeight="false" outlineLevel="0" collapsed="false">
      <c r="A544" s="7" t="n">
        <f aca="false">ROW()-1</f>
        <v>543</v>
      </c>
      <c r="B544" s="7" t="str">
        <f aca="false">IF(Raw_Nigeria!B544="",TRIM(Raw_Nigeria!C544),TRIM(Raw_Nigeria!B544))</f>
        <v>Nigeria Demographic and Health Survey 2018</v>
      </c>
      <c r="C544" s="7" t="str">
        <f aca="false">IF(ISNUMBER(SEARCH("Demographic and Health",B544)),"DHS",IF(OR(ISNUMBER(SEARCH("Multiple Indicator Cluster",B544)),ISNUMBER(SEARCH("MICS",B544))),"MICS",IF(ISNUMBER(SEARCH("Immunization Coverage Survey",B544)),"Coverage survey",IF(ISNUMBER(SEARCH("Nutrition",B544)),"Nutrition survey","Other"))))</f>
        <v>DHS</v>
      </c>
      <c r="D544" s="7" t="n">
        <f aca="false">VALUE(LEFT(Raw_Nigeria!D544,4))</f>
        <v>2018</v>
      </c>
      <c r="E544" s="7" t="n">
        <f aca="false">IF(VALUE(RIGHT(Raw_Nigeria!D544,2))&gt;12,"",VALUE(RIGHT(Raw_Nigeria!D544,2)))</f>
        <v>8</v>
      </c>
      <c r="F544" s="7" t="n">
        <f aca="false">VALUE(LEFT(Raw_Nigeria!E544,4))</f>
        <v>2018</v>
      </c>
      <c r="G544" s="7" t="n">
        <f aca="false">IF(VALUE(RIGHT(Raw_Nigeria!E544,2))&gt;12,"",VALUE(RIGHT(Raw_Nigeria!E544,2)))</f>
        <v>12</v>
      </c>
      <c r="H544" s="7" t="n">
        <f aca="false">Raw_Nigeria!F544</f>
        <v>2016</v>
      </c>
      <c r="I544" s="7" t="str">
        <f aca="false">UPPER(TRIM(Raw_Nigeria!G544))</f>
        <v>HEPB1</v>
      </c>
      <c r="J544" s="7" t="str">
        <f aca="false">Raw_Nigeria!H544</f>
        <v>Record or Recall&lt;12m</v>
      </c>
      <c r="K544" s="7" t="str">
        <f aca="false">Raw_Nigeria!L544</f>
        <v>24-35 m</v>
      </c>
      <c r="L544" s="7" t="str">
        <f aca="false">IF(Raw_Nigeria!K544="","n/a",Raw_Nigeria!K544)</f>
        <v>0-12 m</v>
      </c>
      <c r="M544" s="7" t="str">
        <f aca="false">IF(Raw_Nigeria!I544="","",Raw_Nigeria!I544)</f>
        <v/>
      </c>
      <c r="N544" s="7" t="n">
        <f aca="false">Raw_Nigeria!M544</f>
        <v>60.4</v>
      </c>
      <c r="O544" s="7" t="n">
        <f aca="false">IF(Raw_Nigeria!N544="","",Raw_Nigeria!N544)</f>
        <v>5835</v>
      </c>
      <c r="P544" s="7" t="str">
        <f aca="false">IF(K544="CBAW","Women of child-bearing age","Children")</f>
        <v>Children</v>
      </c>
      <c r="Q544" s="7" t="n">
        <f aca="false">IF(J544="NOT USED",1,0)</f>
        <v>0</v>
      </c>
      <c r="R544" s="7" t="n">
        <f aca="false">IF(AND(P544="Children",Q544=0),1,0)</f>
        <v>1</v>
      </c>
      <c r="S544" s="7" t="n">
        <f aca="false">IF(AND(R544=1,J544="Record or Recall",K544="12-23 m"),1,0)</f>
        <v>0</v>
      </c>
      <c r="T544" s="7" t="n">
        <f aca="false">IF(OR(I544="BCG",I544="DTP1",I544="DTP3",I544="POL3",I544="MCV1",I544="FULL"),1,0)</f>
        <v>0</v>
      </c>
      <c r="U544" s="7" t="n">
        <f aca="false">IF(OR(C544="DHS",C544="MICS"),1,0)</f>
        <v>1</v>
      </c>
      <c r="V544" s="7" t="n">
        <f aca="false">IF(O544="",1,0)</f>
        <v>0</v>
      </c>
      <c r="W544" s="7" t="n">
        <f aca="false">IF(M544="",1,0)</f>
        <v>1</v>
      </c>
      <c r="X544" s="7" t="n">
        <f aca="false">COUNTIFS($B$2:$B$1141,B544,$H$2:$H$1141,H544,$I$2:$I$1141,I544,$J$2:$J$1141,J544,$K$2:$K$1141,K544,$L$2:$L$1141,L544)</f>
        <v>1</v>
      </c>
    </row>
    <row r="545" customFormat="false" ht="15" hidden="false" customHeight="false" outlineLevel="0" collapsed="false">
      <c r="A545" s="7" t="n">
        <f aca="false">ROW()-1</f>
        <v>544</v>
      </c>
      <c r="B545" s="7" t="str">
        <f aca="false">IF(Raw_Nigeria!B545="",TRIM(Raw_Nigeria!C545),TRIM(Raw_Nigeria!B545))</f>
        <v>Nigeria Demographic and Health Survey 2018</v>
      </c>
      <c r="C545" s="7" t="str">
        <f aca="false">IF(ISNUMBER(SEARCH("Demographic and Health",B545)),"DHS",IF(OR(ISNUMBER(SEARCH("Multiple Indicator Cluster",B545)),ISNUMBER(SEARCH("MICS",B545))),"MICS",IF(ISNUMBER(SEARCH("Immunization Coverage Survey",B545)),"Coverage survey",IF(ISNUMBER(SEARCH("Nutrition",B545)),"Nutrition survey","Other"))))</f>
        <v>DHS</v>
      </c>
      <c r="D545" s="7" t="n">
        <f aca="false">VALUE(LEFT(Raw_Nigeria!D545,4))</f>
        <v>2018</v>
      </c>
      <c r="E545" s="7" t="n">
        <f aca="false">IF(VALUE(RIGHT(Raw_Nigeria!D545,2))&gt;12,"",VALUE(RIGHT(Raw_Nigeria!D545,2)))</f>
        <v>8</v>
      </c>
      <c r="F545" s="7" t="n">
        <f aca="false">VALUE(LEFT(Raw_Nigeria!E545,4))</f>
        <v>2018</v>
      </c>
      <c r="G545" s="7" t="n">
        <f aca="false">IF(VALUE(RIGHT(Raw_Nigeria!E545,2))&gt;12,"",VALUE(RIGHT(Raw_Nigeria!E545,2)))</f>
        <v>12</v>
      </c>
      <c r="H545" s="7" t="n">
        <f aca="false">Raw_Nigeria!F545</f>
        <v>2016</v>
      </c>
      <c r="I545" s="7" t="str">
        <f aca="false">UPPER(TRIM(Raw_Nigeria!G545))</f>
        <v>HEPB1</v>
      </c>
      <c r="J545" s="7" t="str">
        <f aca="false">Raw_Nigeria!H545</f>
        <v>Record</v>
      </c>
      <c r="K545" s="7" t="str">
        <f aca="false">Raw_Nigeria!L545</f>
        <v>24-35 m</v>
      </c>
      <c r="L545" s="7" t="str">
        <f aca="false">IF(Raw_Nigeria!K545="","n/a",Raw_Nigeria!K545)</f>
        <v>0-35 m</v>
      </c>
      <c r="M545" s="7" t="str">
        <f aca="false">IF(Raw_Nigeria!I545="","",Raw_Nigeria!I545)</f>
        <v/>
      </c>
      <c r="N545" s="7" t="n">
        <f aca="false">Raw_Nigeria!M545</f>
        <v>27.5</v>
      </c>
      <c r="O545" s="7" t="n">
        <f aca="false">IF(Raw_Nigeria!N545="","",Raw_Nigeria!N545)</f>
        <v>1715</v>
      </c>
      <c r="P545" s="7" t="str">
        <f aca="false">IF(K545="CBAW","Women of child-bearing age","Children")</f>
        <v>Children</v>
      </c>
      <c r="Q545" s="7" t="n">
        <f aca="false">IF(J545="NOT USED",1,0)</f>
        <v>0</v>
      </c>
      <c r="R545" s="7" t="n">
        <f aca="false">IF(AND(P545="Children",Q545=0),1,0)</f>
        <v>1</v>
      </c>
      <c r="S545" s="7" t="n">
        <f aca="false">IF(AND(R545=1,J545="Record or Recall",K545="12-23 m"),1,0)</f>
        <v>0</v>
      </c>
      <c r="T545" s="7" t="n">
        <f aca="false">IF(OR(I545="BCG",I545="DTP1",I545="DTP3",I545="POL3",I545="MCV1",I545="FULL"),1,0)</f>
        <v>0</v>
      </c>
      <c r="U545" s="7" t="n">
        <f aca="false">IF(OR(C545="DHS",C545="MICS"),1,0)</f>
        <v>1</v>
      </c>
      <c r="V545" s="7" t="n">
        <f aca="false">IF(O545="",1,0)</f>
        <v>0</v>
      </c>
      <c r="W545" s="7" t="n">
        <f aca="false">IF(M545="",1,0)</f>
        <v>1</v>
      </c>
      <c r="X545" s="7" t="n">
        <f aca="false">COUNTIFS($B$2:$B$1141,B545,$H$2:$H$1141,H545,$I$2:$I$1141,I545,$J$2:$J$1141,J545,$K$2:$K$1141,K545,$L$2:$L$1141,L545)</f>
        <v>1</v>
      </c>
    </row>
    <row r="546" customFormat="false" ht="15" hidden="false" customHeight="false" outlineLevel="0" collapsed="false">
      <c r="A546" s="7" t="n">
        <f aca="false">ROW()-1</f>
        <v>545</v>
      </c>
      <c r="B546" s="7" t="str">
        <f aca="false">IF(Raw_Nigeria!B546="",TRIM(Raw_Nigeria!C546),TRIM(Raw_Nigeria!B546))</f>
        <v>Nigeria Demographic and Health Survey 2018</v>
      </c>
      <c r="C546" s="7" t="str">
        <f aca="false">IF(ISNUMBER(SEARCH("Demographic and Health",B546)),"DHS",IF(OR(ISNUMBER(SEARCH("Multiple Indicator Cluster",B546)),ISNUMBER(SEARCH("MICS",B546))),"MICS",IF(ISNUMBER(SEARCH("Immunization Coverage Survey",B546)),"Coverage survey",IF(ISNUMBER(SEARCH("Nutrition",B546)),"Nutrition survey","Other"))))</f>
        <v>DHS</v>
      </c>
      <c r="D546" s="7" t="n">
        <f aca="false">VALUE(LEFT(Raw_Nigeria!D546,4))</f>
        <v>2018</v>
      </c>
      <c r="E546" s="7" t="n">
        <f aca="false">IF(VALUE(RIGHT(Raw_Nigeria!D546,2))&gt;12,"",VALUE(RIGHT(Raw_Nigeria!D546,2)))</f>
        <v>8</v>
      </c>
      <c r="F546" s="7" t="n">
        <f aca="false">VALUE(LEFT(Raw_Nigeria!E546,4))</f>
        <v>2018</v>
      </c>
      <c r="G546" s="7" t="n">
        <f aca="false">IF(VALUE(RIGHT(Raw_Nigeria!E546,2))&gt;12,"",VALUE(RIGHT(Raw_Nigeria!E546,2)))</f>
        <v>12</v>
      </c>
      <c r="H546" s="7" t="n">
        <f aca="false">Raw_Nigeria!F546</f>
        <v>2016</v>
      </c>
      <c r="I546" s="7" t="str">
        <f aca="false">UPPER(TRIM(Raw_Nigeria!G546))</f>
        <v>HEPB1</v>
      </c>
      <c r="J546" s="7" t="str">
        <f aca="false">Raw_Nigeria!H546</f>
        <v>Record or Recall</v>
      </c>
      <c r="K546" s="7" t="str">
        <f aca="false">Raw_Nigeria!L546</f>
        <v>24-35 m</v>
      </c>
      <c r="L546" s="7" t="str">
        <f aca="false">IF(Raw_Nigeria!K546="","n/a",Raw_Nigeria!K546)</f>
        <v>0-35 m</v>
      </c>
      <c r="M546" s="7" t="str">
        <f aca="false">IF(Raw_Nigeria!I546="","",Raw_Nigeria!I546)</f>
        <v/>
      </c>
      <c r="N546" s="7" t="n">
        <f aca="false">Raw_Nigeria!M546</f>
        <v>61.8</v>
      </c>
      <c r="O546" s="7" t="n">
        <f aca="false">IF(Raw_Nigeria!N546="","",Raw_Nigeria!N546)</f>
        <v>5835</v>
      </c>
      <c r="P546" s="7" t="str">
        <f aca="false">IF(K546="CBAW","Women of child-bearing age","Children")</f>
        <v>Children</v>
      </c>
      <c r="Q546" s="7" t="n">
        <f aca="false">IF(J546="NOT USED",1,0)</f>
        <v>0</v>
      </c>
      <c r="R546" s="7" t="n">
        <f aca="false">IF(AND(P546="Children",Q546=0),1,0)</f>
        <v>1</v>
      </c>
      <c r="S546" s="7" t="n">
        <f aca="false">IF(AND(R546=1,J546="Record or Recall",K546="12-23 m"),1,0)</f>
        <v>0</v>
      </c>
      <c r="T546" s="7" t="n">
        <f aca="false">IF(OR(I546="BCG",I546="DTP1",I546="DTP3",I546="POL3",I546="MCV1",I546="FULL"),1,0)</f>
        <v>0</v>
      </c>
      <c r="U546" s="7" t="n">
        <f aca="false">IF(OR(C546="DHS",C546="MICS"),1,0)</f>
        <v>1</v>
      </c>
      <c r="V546" s="7" t="n">
        <f aca="false">IF(O546="",1,0)</f>
        <v>0</v>
      </c>
      <c r="W546" s="7" t="n">
        <f aca="false">IF(M546="",1,0)</f>
        <v>1</v>
      </c>
      <c r="X546" s="7" t="n">
        <f aca="false">COUNTIFS($B$2:$B$1141,B546,$H$2:$H$1141,H546,$I$2:$I$1141,I546,$J$2:$J$1141,J546,$K$2:$K$1141,K546,$L$2:$L$1141,L546)</f>
        <v>1</v>
      </c>
    </row>
    <row r="547" customFormat="false" ht="15" hidden="false" customHeight="false" outlineLevel="0" collapsed="false">
      <c r="A547" s="7" t="n">
        <f aca="false">ROW()-1</f>
        <v>546</v>
      </c>
      <c r="B547" s="7" t="str">
        <f aca="false">IF(Raw_Nigeria!B547="",TRIM(Raw_Nigeria!C547),TRIM(Raw_Nigeria!B547))</f>
        <v>Nigeria Demographic and Health Survey 2018</v>
      </c>
      <c r="C547" s="7" t="str">
        <f aca="false">IF(ISNUMBER(SEARCH("Demographic and Health",B547)),"DHS",IF(OR(ISNUMBER(SEARCH("Multiple Indicator Cluster",B547)),ISNUMBER(SEARCH("MICS",B547))),"MICS",IF(ISNUMBER(SEARCH("Immunization Coverage Survey",B547)),"Coverage survey",IF(ISNUMBER(SEARCH("Nutrition",B547)),"Nutrition survey","Other"))))</f>
        <v>DHS</v>
      </c>
      <c r="D547" s="7" t="n">
        <f aca="false">VALUE(LEFT(Raw_Nigeria!D547,4))</f>
        <v>2018</v>
      </c>
      <c r="E547" s="7" t="n">
        <f aca="false">IF(VALUE(RIGHT(Raw_Nigeria!D547,2))&gt;12,"",VALUE(RIGHT(Raw_Nigeria!D547,2)))</f>
        <v>8</v>
      </c>
      <c r="F547" s="7" t="n">
        <f aca="false">VALUE(LEFT(Raw_Nigeria!E547,4))</f>
        <v>2018</v>
      </c>
      <c r="G547" s="7" t="n">
        <f aca="false">IF(VALUE(RIGHT(Raw_Nigeria!E547,2))&gt;12,"",VALUE(RIGHT(Raw_Nigeria!E547,2)))</f>
        <v>12</v>
      </c>
      <c r="H547" s="7" t="n">
        <f aca="false">Raw_Nigeria!F547</f>
        <v>2016</v>
      </c>
      <c r="I547" s="7" t="str">
        <f aca="false">UPPER(TRIM(Raw_Nigeria!G547))</f>
        <v>HEPB1</v>
      </c>
      <c r="J547" s="7" t="str">
        <f aca="false">Raw_Nigeria!H547</f>
        <v>Recall</v>
      </c>
      <c r="K547" s="7" t="str">
        <f aca="false">Raw_Nigeria!L547</f>
        <v>24-35 m</v>
      </c>
      <c r="L547" s="7" t="str">
        <f aca="false">IF(Raw_Nigeria!K547="","n/a",Raw_Nigeria!K547)</f>
        <v>0-35 m</v>
      </c>
      <c r="M547" s="7" t="str">
        <f aca="false">IF(Raw_Nigeria!I547="","",Raw_Nigeria!I547)</f>
        <v/>
      </c>
      <c r="N547" s="7" t="n">
        <f aca="false">Raw_Nigeria!M547</f>
        <v>34.3</v>
      </c>
      <c r="O547" s="7" t="n">
        <f aca="false">IF(Raw_Nigeria!N547="","",Raw_Nigeria!N547)</f>
        <v>4120</v>
      </c>
      <c r="P547" s="7" t="str">
        <f aca="false">IF(K547="CBAW","Women of child-bearing age","Children")</f>
        <v>Children</v>
      </c>
      <c r="Q547" s="7" t="n">
        <f aca="false">IF(J547="NOT USED",1,0)</f>
        <v>0</v>
      </c>
      <c r="R547" s="7" t="n">
        <f aca="false">IF(AND(P547="Children",Q547=0),1,0)</f>
        <v>1</v>
      </c>
      <c r="S547" s="7" t="n">
        <f aca="false">IF(AND(R547=1,J547="Record or Recall",K547="12-23 m"),1,0)</f>
        <v>0</v>
      </c>
      <c r="T547" s="7" t="n">
        <f aca="false">IF(OR(I547="BCG",I547="DTP1",I547="DTP3",I547="POL3",I547="MCV1",I547="FULL"),1,0)</f>
        <v>0</v>
      </c>
      <c r="U547" s="7" t="n">
        <f aca="false">IF(OR(C547="DHS",C547="MICS"),1,0)</f>
        <v>1</v>
      </c>
      <c r="V547" s="7" t="n">
        <f aca="false">IF(O547="",1,0)</f>
        <v>0</v>
      </c>
      <c r="W547" s="7" t="n">
        <f aca="false">IF(M547="",1,0)</f>
        <v>1</v>
      </c>
      <c r="X547" s="7" t="n">
        <f aca="false">COUNTIFS($B$2:$B$1141,B547,$H$2:$H$1141,H547,$I$2:$I$1141,I547,$J$2:$J$1141,J547,$K$2:$K$1141,K547,$L$2:$L$1141,L547)</f>
        <v>1</v>
      </c>
    </row>
    <row r="548" customFormat="false" ht="15" hidden="false" customHeight="false" outlineLevel="0" collapsed="false">
      <c r="A548" s="7" t="n">
        <f aca="false">ROW()-1</f>
        <v>547</v>
      </c>
      <c r="B548" s="7" t="str">
        <f aca="false">IF(Raw_Nigeria!B548="",TRIM(Raw_Nigeria!C548),TRIM(Raw_Nigeria!B548))</f>
        <v>Nigeria Demographic and Health Survey 2018</v>
      </c>
      <c r="C548" s="7" t="str">
        <f aca="false">IF(ISNUMBER(SEARCH("Demographic and Health",B548)),"DHS",IF(OR(ISNUMBER(SEARCH("Multiple Indicator Cluster",B548)),ISNUMBER(SEARCH("MICS",B548))),"MICS",IF(ISNUMBER(SEARCH("Immunization Coverage Survey",B548)),"Coverage survey",IF(ISNUMBER(SEARCH("Nutrition",B548)),"Nutrition survey","Other"))))</f>
        <v>DHS</v>
      </c>
      <c r="D548" s="7" t="n">
        <f aca="false">VALUE(LEFT(Raw_Nigeria!D548,4))</f>
        <v>2018</v>
      </c>
      <c r="E548" s="7" t="n">
        <f aca="false">IF(VALUE(RIGHT(Raw_Nigeria!D548,2))&gt;12,"",VALUE(RIGHT(Raw_Nigeria!D548,2)))</f>
        <v>8</v>
      </c>
      <c r="F548" s="7" t="n">
        <f aca="false">VALUE(LEFT(Raw_Nigeria!E548,4))</f>
        <v>2018</v>
      </c>
      <c r="G548" s="7" t="n">
        <f aca="false">IF(VALUE(RIGHT(Raw_Nigeria!E548,2))&gt;12,"",VALUE(RIGHT(Raw_Nigeria!E548,2)))</f>
        <v>12</v>
      </c>
      <c r="H548" s="7" t="n">
        <f aca="false">Raw_Nigeria!F548</f>
        <v>2016</v>
      </c>
      <c r="I548" s="7" t="str">
        <f aca="false">UPPER(TRIM(Raw_Nigeria!G548))</f>
        <v>HEPB2</v>
      </c>
      <c r="J548" s="7" t="str">
        <f aca="false">Raw_Nigeria!H548</f>
        <v>Record or Recall&lt;12m</v>
      </c>
      <c r="K548" s="7" t="str">
        <f aca="false">Raw_Nigeria!L548</f>
        <v>24-35 m</v>
      </c>
      <c r="L548" s="7" t="str">
        <f aca="false">IF(Raw_Nigeria!K548="","n/a",Raw_Nigeria!K548)</f>
        <v>0-12 m</v>
      </c>
      <c r="M548" s="7" t="str">
        <f aca="false">IF(Raw_Nigeria!I548="","",Raw_Nigeria!I548)</f>
        <v/>
      </c>
      <c r="N548" s="7" t="n">
        <f aca="false">Raw_Nigeria!M548</f>
        <v>52.3</v>
      </c>
      <c r="O548" s="7" t="n">
        <f aca="false">IF(Raw_Nigeria!N548="","",Raw_Nigeria!N548)</f>
        <v>5835</v>
      </c>
      <c r="P548" s="7" t="str">
        <f aca="false">IF(K548="CBAW","Women of child-bearing age","Children")</f>
        <v>Children</v>
      </c>
      <c r="Q548" s="7" t="n">
        <f aca="false">IF(J548="NOT USED",1,0)</f>
        <v>0</v>
      </c>
      <c r="R548" s="7" t="n">
        <f aca="false">IF(AND(P548="Children",Q548=0),1,0)</f>
        <v>1</v>
      </c>
      <c r="S548" s="7" t="n">
        <f aca="false">IF(AND(R548=1,J548="Record or Recall",K548="12-23 m"),1,0)</f>
        <v>0</v>
      </c>
      <c r="T548" s="7" t="n">
        <f aca="false">IF(OR(I548="BCG",I548="DTP1",I548="DTP3",I548="POL3",I548="MCV1",I548="FULL"),1,0)</f>
        <v>0</v>
      </c>
      <c r="U548" s="7" t="n">
        <f aca="false">IF(OR(C548="DHS",C548="MICS"),1,0)</f>
        <v>1</v>
      </c>
      <c r="V548" s="7" t="n">
        <f aca="false">IF(O548="",1,0)</f>
        <v>0</v>
      </c>
      <c r="W548" s="7" t="n">
        <f aca="false">IF(M548="",1,0)</f>
        <v>1</v>
      </c>
      <c r="X548" s="7" t="n">
        <f aca="false">COUNTIFS($B$2:$B$1141,B548,$H$2:$H$1141,H548,$I$2:$I$1141,I548,$J$2:$J$1141,J548,$K$2:$K$1141,K548,$L$2:$L$1141,L548)</f>
        <v>1</v>
      </c>
    </row>
    <row r="549" customFormat="false" ht="15" hidden="false" customHeight="false" outlineLevel="0" collapsed="false">
      <c r="A549" s="7" t="n">
        <f aca="false">ROW()-1</f>
        <v>548</v>
      </c>
      <c r="B549" s="7" t="str">
        <f aca="false">IF(Raw_Nigeria!B549="",TRIM(Raw_Nigeria!C549),TRIM(Raw_Nigeria!B549))</f>
        <v>Nigeria Demographic and Health Survey 2018</v>
      </c>
      <c r="C549" s="7" t="str">
        <f aca="false">IF(ISNUMBER(SEARCH("Demographic and Health",B549)),"DHS",IF(OR(ISNUMBER(SEARCH("Multiple Indicator Cluster",B549)),ISNUMBER(SEARCH("MICS",B549))),"MICS",IF(ISNUMBER(SEARCH("Immunization Coverage Survey",B549)),"Coverage survey",IF(ISNUMBER(SEARCH("Nutrition",B549)),"Nutrition survey","Other"))))</f>
        <v>DHS</v>
      </c>
      <c r="D549" s="7" t="n">
        <f aca="false">VALUE(LEFT(Raw_Nigeria!D549,4))</f>
        <v>2018</v>
      </c>
      <c r="E549" s="7" t="n">
        <f aca="false">IF(VALUE(RIGHT(Raw_Nigeria!D549,2))&gt;12,"",VALUE(RIGHT(Raw_Nigeria!D549,2)))</f>
        <v>8</v>
      </c>
      <c r="F549" s="7" t="n">
        <f aca="false">VALUE(LEFT(Raw_Nigeria!E549,4))</f>
        <v>2018</v>
      </c>
      <c r="G549" s="7" t="n">
        <f aca="false">IF(VALUE(RIGHT(Raw_Nigeria!E549,2))&gt;12,"",VALUE(RIGHT(Raw_Nigeria!E549,2)))</f>
        <v>12</v>
      </c>
      <c r="H549" s="7" t="n">
        <f aca="false">Raw_Nigeria!F549</f>
        <v>2016</v>
      </c>
      <c r="I549" s="7" t="str">
        <f aca="false">UPPER(TRIM(Raw_Nigeria!G549))</f>
        <v>HEPB2</v>
      </c>
      <c r="J549" s="7" t="str">
        <f aca="false">Raw_Nigeria!H549</f>
        <v>Record</v>
      </c>
      <c r="K549" s="7" t="str">
        <f aca="false">Raw_Nigeria!L549</f>
        <v>24-35 m</v>
      </c>
      <c r="L549" s="7" t="str">
        <f aca="false">IF(Raw_Nigeria!K549="","n/a",Raw_Nigeria!K549)</f>
        <v>0-35 m</v>
      </c>
      <c r="M549" s="7" t="str">
        <f aca="false">IF(Raw_Nigeria!I549="","",Raw_Nigeria!I549)</f>
        <v/>
      </c>
      <c r="N549" s="7" t="n">
        <f aca="false">Raw_Nigeria!M549</f>
        <v>26.3</v>
      </c>
      <c r="O549" s="7" t="n">
        <f aca="false">IF(Raw_Nigeria!N549="","",Raw_Nigeria!N549)</f>
        <v>1715</v>
      </c>
      <c r="P549" s="7" t="str">
        <f aca="false">IF(K549="CBAW","Women of child-bearing age","Children")</f>
        <v>Children</v>
      </c>
      <c r="Q549" s="7" t="n">
        <f aca="false">IF(J549="NOT USED",1,0)</f>
        <v>0</v>
      </c>
      <c r="R549" s="7" t="n">
        <f aca="false">IF(AND(P549="Children",Q549=0),1,0)</f>
        <v>1</v>
      </c>
      <c r="S549" s="7" t="n">
        <f aca="false">IF(AND(R549=1,J549="Record or Recall",K549="12-23 m"),1,0)</f>
        <v>0</v>
      </c>
      <c r="T549" s="7" t="n">
        <f aca="false">IF(OR(I549="BCG",I549="DTP1",I549="DTP3",I549="POL3",I549="MCV1",I549="FULL"),1,0)</f>
        <v>0</v>
      </c>
      <c r="U549" s="7" t="n">
        <f aca="false">IF(OR(C549="DHS",C549="MICS"),1,0)</f>
        <v>1</v>
      </c>
      <c r="V549" s="7" t="n">
        <f aca="false">IF(O549="",1,0)</f>
        <v>0</v>
      </c>
      <c r="W549" s="7" t="n">
        <f aca="false">IF(M549="",1,0)</f>
        <v>1</v>
      </c>
      <c r="X549" s="7" t="n">
        <f aca="false">COUNTIFS($B$2:$B$1141,B549,$H$2:$H$1141,H549,$I$2:$I$1141,I549,$J$2:$J$1141,J549,$K$2:$K$1141,K549,$L$2:$L$1141,L549)</f>
        <v>1</v>
      </c>
    </row>
    <row r="550" customFormat="false" ht="15" hidden="false" customHeight="false" outlineLevel="0" collapsed="false">
      <c r="A550" s="7" t="n">
        <f aca="false">ROW()-1</f>
        <v>549</v>
      </c>
      <c r="B550" s="7" t="str">
        <f aca="false">IF(Raw_Nigeria!B550="",TRIM(Raw_Nigeria!C550),TRIM(Raw_Nigeria!B550))</f>
        <v>Nigeria Demographic and Health Survey 2018</v>
      </c>
      <c r="C550" s="7" t="str">
        <f aca="false">IF(ISNUMBER(SEARCH("Demographic and Health",B550)),"DHS",IF(OR(ISNUMBER(SEARCH("Multiple Indicator Cluster",B550)),ISNUMBER(SEARCH("MICS",B550))),"MICS",IF(ISNUMBER(SEARCH("Immunization Coverage Survey",B550)),"Coverage survey",IF(ISNUMBER(SEARCH("Nutrition",B550)),"Nutrition survey","Other"))))</f>
        <v>DHS</v>
      </c>
      <c r="D550" s="7" t="n">
        <f aca="false">VALUE(LEFT(Raw_Nigeria!D550,4))</f>
        <v>2018</v>
      </c>
      <c r="E550" s="7" t="n">
        <f aca="false">IF(VALUE(RIGHT(Raw_Nigeria!D550,2))&gt;12,"",VALUE(RIGHT(Raw_Nigeria!D550,2)))</f>
        <v>8</v>
      </c>
      <c r="F550" s="7" t="n">
        <f aca="false">VALUE(LEFT(Raw_Nigeria!E550,4))</f>
        <v>2018</v>
      </c>
      <c r="G550" s="7" t="n">
        <f aca="false">IF(VALUE(RIGHT(Raw_Nigeria!E550,2))&gt;12,"",VALUE(RIGHT(Raw_Nigeria!E550,2)))</f>
        <v>12</v>
      </c>
      <c r="H550" s="7" t="n">
        <f aca="false">Raw_Nigeria!F550</f>
        <v>2016</v>
      </c>
      <c r="I550" s="7" t="str">
        <f aca="false">UPPER(TRIM(Raw_Nigeria!G550))</f>
        <v>HEPB2</v>
      </c>
      <c r="J550" s="7" t="str">
        <f aca="false">Raw_Nigeria!H550</f>
        <v>Record or Recall</v>
      </c>
      <c r="K550" s="7" t="str">
        <f aca="false">Raw_Nigeria!L550</f>
        <v>24-35 m</v>
      </c>
      <c r="L550" s="7" t="str">
        <f aca="false">IF(Raw_Nigeria!K550="","n/a",Raw_Nigeria!K550)</f>
        <v>0-35 m</v>
      </c>
      <c r="M550" s="7" t="str">
        <f aca="false">IF(Raw_Nigeria!I550="","",Raw_Nigeria!I550)</f>
        <v/>
      </c>
      <c r="N550" s="7" t="n">
        <f aca="false">Raw_Nigeria!M550</f>
        <v>54.2</v>
      </c>
      <c r="O550" s="7" t="n">
        <f aca="false">IF(Raw_Nigeria!N550="","",Raw_Nigeria!N550)</f>
        <v>5835</v>
      </c>
      <c r="P550" s="7" t="str">
        <f aca="false">IF(K550="CBAW","Women of child-bearing age","Children")</f>
        <v>Children</v>
      </c>
      <c r="Q550" s="7" t="n">
        <f aca="false">IF(J550="NOT USED",1,0)</f>
        <v>0</v>
      </c>
      <c r="R550" s="7" t="n">
        <f aca="false">IF(AND(P550="Children",Q550=0),1,0)</f>
        <v>1</v>
      </c>
      <c r="S550" s="7" t="n">
        <f aca="false">IF(AND(R550=1,J550="Record or Recall",K550="12-23 m"),1,0)</f>
        <v>0</v>
      </c>
      <c r="T550" s="7" t="n">
        <f aca="false">IF(OR(I550="BCG",I550="DTP1",I550="DTP3",I550="POL3",I550="MCV1",I550="FULL"),1,0)</f>
        <v>0</v>
      </c>
      <c r="U550" s="7" t="n">
        <f aca="false">IF(OR(C550="DHS",C550="MICS"),1,0)</f>
        <v>1</v>
      </c>
      <c r="V550" s="7" t="n">
        <f aca="false">IF(O550="",1,0)</f>
        <v>0</v>
      </c>
      <c r="W550" s="7" t="n">
        <f aca="false">IF(M550="",1,0)</f>
        <v>1</v>
      </c>
      <c r="X550" s="7" t="n">
        <f aca="false">COUNTIFS($B$2:$B$1141,B550,$H$2:$H$1141,H550,$I$2:$I$1141,I550,$J$2:$J$1141,J550,$K$2:$K$1141,K550,$L$2:$L$1141,L550)</f>
        <v>1</v>
      </c>
    </row>
    <row r="551" customFormat="false" ht="15" hidden="false" customHeight="false" outlineLevel="0" collapsed="false">
      <c r="A551" s="7" t="n">
        <f aca="false">ROW()-1</f>
        <v>550</v>
      </c>
      <c r="B551" s="7" t="str">
        <f aca="false">IF(Raw_Nigeria!B551="",TRIM(Raw_Nigeria!C551),TRIM(Raw_Nigeria!B551))</f>
        <v>Nigeria Demographic and Health Survey 2018</v>
      </c>
      <c r="C551" s="7" t="str">
        <f aca="false">IF(ISNUMBER(SEARCH("Demographic and Health",B551)),"DHS",IF(OR(ISNUMBER(SEARCH("Multiple Indicator Cluster",B551)),ISNUMBER(SEARCH("MICS",B551))),"MICS",IF(ISNUMBER(SEARCH("Immunization Coverage Survey",B551)),"Coverage survey",IF(ISNUMBER(SEARCH("Nutrition",B551)),"Nutrition survey","Other"))))</f>
        <v>DHS</v>
      </c>
      <c r="D551" s="7" t="n">
        <f aca="false">VALUE(LEFT(Raw_Nigeria!D551,4))</f>
        <v>2018</v>
      </c>
      <c r="E551" s="7" t="n">
        <f aca="false">IF(VALUE(RIGHT(Raw_Nigeria!D551,2))&gt;12,"",VALUE(RIGHT(Raw_Nigeria!D551,2)))</f>
        <v>8</v>
      </c>
      <c r="F551" s="7" t="n">
        <f aca="false">VALUE(LEFT(Raw_Nigeria!E551,4))</f>
        <v>2018</v>
      </c>
      <c r="G551" s="7" t="n">
        <f aca="false">IF(VALUE(RIGHT(Raw_Nigeria!E551,2))&gt;12,"",VALUE(RIGHT(Raw_Nigeria!E551,2)))</f>
        <v>12</v>
      </c>
      <c r="H551" s="7" t="n">
        <f aca="false">Raw_Nigeria!F551</f>
        <v>2016</v>
      </c>
      <c r="I551" s="7" t="str">
        <f aca="false">UPPER(TRIM(Raw_Nigeria!G551))</f>
        <v>HEPB2</v>
      </c>
      <c r="J551" s="7" t="str">
        <f aca="false">Raw_Nigeria!H551</f>
        <v>Recall</v>
      </c>
      <c r="K551" s="7" t="str">
        <f aca="false">Raw_Nigeria!L551</f>
        <v>24-35 m</v>
      </c>
      <c r="L551" s="7" t="str">
        <f aca="false">IF(Raw_Nigeria!K551="","n/a",Raw_Nigeria!K551)</f>
        <v>0-35 m</v>
      </c>
      <c r="M551" s="7" t="str">
        <f aca="false">IF(Raw_Nigeria!I551="","",Raw_Nigeria!I551)</f>
        <v/>
      </c>
      <c r="N551" s="7" t="n">
        <f aca="false">Raw_Nigeria!M551</f>
        <v>28</v>
      </c>
      <c r="O551" s="7" t="n">
        <f aca="false">IF(Raw_Nigeria!N551="","",Raw_Nigeria!N551)</f>
        <v>4120</v>
      </c>
      <c r="P551" s="7" t="str">
        <f aca="false">IF(K551="CBAW","Women of child-bearing age","Children")</f>
        <v>Children</v>
      </c>
      <c r="Q551" s="7" t="n">
        <f aca="false">IF(J551="NOT USED",1,0)</f>
        <v>0</v>
      </c>
      <c r="R551" s="7" t="n">
        <f aca="false">IF(AND(P551="Children",Q551=0),1,0)</f>
        <v>1</v>
      </c>
      <c r="S551" s="7" t="n">
        <f aca="false">IF(AND(R551=1,J551="Record or Recall",K551="12-23 m"),1,0)</f>
        <v>0</v>
      </c>
      <c r="T551" s="7" t="n">
        <f aca="false">IF(OR(I551="BCG",I551="DTP1",I551="DTP3",I551="POL3",I551="MCV1",I551="FULL"),1,0)</f>
        <v>0</v>
      </c>
      <c r="U551" s="7" t="n">
        <f aca="false">IF(OR(C551="DHS",C551="MICS"),1,0)</f>
        <v>1</v>
      </c>
      <c r="V551" s="7" t="n">
        <f aca="false">IF(O551="",1,0)</f>
        <v>0</v>
      </c>
      <c r="W551" s="7" t="n">
        <f aca="false">IF(M551="",1,0)</f>
        <v>1</v>
      </c>
      <c r="X551" s="7" t="n">
        <f aca="false">COUNTIFS($B$2:$B$1141,B551,$H$2:$H$1141,H551,$I$2:$I$1141,I551,$J$2:$J$1141,J551,$K$2:$K$1141,K551,$L$2:$L$1141,L551)</f>
        <v>1</v>
      </c>
    </row>
    <row r="552" customFormat="false" ht="15" hidden="false" customHeight="false" outlineLevel="0" collapsed="false">
      <c r="A552" s="7" t="n">
        <f aca="false">ROW()-1</f>
        <v>551</v>
      </c>
      <c r="B552" s="7" t="str">
        <f aca="false">IF(Raw_Nigeria!B552="",TRIM(Raw_Nigeria!C552),TRIM(Raw_Nigeria!B552))</f>
        <v>Nigeria Demographic and Health Survey 2018</v>
      </c>
      <c r="C552" s="7" t="str">
        <f aca="false">IF(ISNUMBER(SEARCH("Demographic and Health",B552)),"DHS",IF(OR(ISNUMBER(SEARCH("Multiple Indicator Cluster",B552)),ISNUMBER(SEARCH("MICS",B552))),"MICS",IF(ISNUMBER(SEARCH("Immunization Coverage Survey",B552)),"Coverage survey",IF(ISNUMBER(SEARCH("Nutrition",B552)),"Nutrition survey","Other"))))</f>
        <v>DHS</v>
      </c>
      <c r="D552" s="7" t="n">
        <f aca="false">VALUE(LEFT(Raw_Nigeria!D552,4))</f>
        <v>2018</v>
      </c>
      <c r="E552" s="7" t="n">
        <f aca="false">IF(VALUE(RIGHT(Raw_Nigeria!D552,2))&gt;12,"",VALUE(RIGHT(Raw_Nigeria!D552,2)))</f>
        <v>8</v>
      </c>
      <c r="F552" s="7" t="n">
        <f aca="false">VALUE(LEFT(Raw_Nigeria!E552,4))</f>
        <v>2018</v>
      </c>
      <c r="G552" s="7" t="n">
        <f aca="false">IF(VALUE(RIGHT(Raw_Nigeria!E552,2))&gt;12,"",VALUE(RIGHT(Raw_Nigeria!E552,2)))</f>
        <v>12</v>
      </c>
      <c r="H552" s="7" t="n">
        <f aca="false">Raw_Nigeria!F552</f>
        <v>2016</v>
      </c>
      <c r="I552" s="7" t="str">
        <f aca="false">UPPER(TRIM(Raw_Nigeria!G552))</f>
        <v>HEPB3</v>
      </c>
      <c r="J552" s="7" t="str">
        <f aca="false">Raw_Nigeria!H552</f>
        <v>Record or Recall&lt;12m</v>
      </c>
      <c r="K552" s="7" t="str">
        <f aca="false">Raw_Nigeria!L552</f>
        <v>24-35 m</v>
      </c>
      <c r="L552" s="7" t="str">
        <f aca="false">IF(Raw_Nigeria!K552="","n/a",Raw_Nigeria!K552)</f>
        <v>0-12 m</v>
      </c>
      <c r="M552" s="7" t="str">
        <f aca="false">IF(Raw_Nigeria!I552="","",Raw_Nigeria!I552)</f>
        <v/>
      </c>
      <c r="N552" s="7" t="n">
        <f aca="false">Raw_Nigeria!M552</f>
        <v>45.4</v>
      </c>
      <c r="O552" s="7" t="n">
        <f aca="false">IF(Raw_Nigeria!N552="","",Raw_Nigeria!N552)</f>
        <v>5835</v>
      </c>
      <c r="P552" s="7" t="str">
        <f aca="false">IF(K552="CBAW","Women of child-bearing age","Children")</f>
        <v>Children</v>
      </c>
      <c r="Q552" s="7" t="n">
        <f aca="false">IF(J552="NOT USED",1,0)</f>
        <v>0</v>
      </c>
      <c r="R552" s="7" t="n">
        <f aca="false">IF(AND(P552="Children",Q552=0),1,0)</f>
        <v>1</v>
      </c>
      <c r="S552" s="7" t="n">
        <f aca="false">IF(AND(R552=1,J552="Record or Recall",K552="12-23 m"),1,0)</f>
        <v>0</v>
      </c>
      <c r="T552" s="7" t="n">
        <f aca="false">IF(OR(I552="BCG",I552="DTP1",I552="DTP3",I552="POL3",I552="MCV1",I552="FULL"),1,0)</f>
        <v>0</v>
      </c>
      <c r="U552" s="7" t="n">
        <f aca="false">IF(OR(C552="DHS",C552="MICS"),1,0)</f>
        <v>1</v>
      </c>
      <c r="V552" s="7" t="n">
        <f aca="false">IF(O552="",1,0)</f>
        <v>0</v>
      </c>
      <c r="W552" s="7" t="n">
        <f aca="false">IF(M552="",1,0)</f>
        <v>1</v>
      </c>
      <c r="X552" s="7" t="n">
        <f aca="false">COUNTIFS($B$2:$B$1141,B552,$H$2:$H$1141,H552,$I$2:$I$1141,I552,$J$2:$J$1141,J552,$K$2:$K$1141,K552,$L$2:$L$1141,L552)</f>
        <v>1</v>
      </c>
    </row>
    <row r="553" customFormat="false" ht="15" hidden="false" customHeight="false" outlineLevel="0" collapsed="false">
      <c r="A553" s="7" t="n">
        <f aca="false">ROW()-1</f>
        <v>552</v>
      </c>
      <c r="B553" s="7" t="str">
        <f aca="false">IF(Raw_Nigeria!B553="",TRIM(Raw_Nigeria!C553),TRIM(Raw_Nigeria!B553))</f>
        <v>Nigeria Demographic and Health Survey 2018</v>
      </c>
      <c r="C553" s="7" t="str">
        <f aca="false">IF(ISNUMBER(SEARCH("Demographic and Health",B553)),"DHS",IF(OR(ISNUMBER(SEARCH("Multiple Indicator Cluster",B553)),ISNUMBER(SEARCH("MICS",B553))),"MICS",IF(ISNUMBER(SEARCH("Immunization Coverage Survey",B553)),"Coverage survey",IF(ISNUMBER(SEARCH("Nutrition",B553)),"Nutrition survey","Other"))))</f>
        <v>DHS</v>
      </c>
      <c r="D553" s="7" t="n">
        <f aca="false">VALUE(LEFT(Raw_Nigeria!D553,4))</f>
        <v>2018</v>
      </c>
      <c r="E553" s="7" t="n">
        <f aca="false">IF(VALUE(RIGHT(Raw_Nigeria!D553,2))&gt;12,"",VALUE(RIGHT(Raw_Nigeria!D553,2)))</f>
        <v>8</v>
      </c>
      <c r="F553" s="7" t="n">
        <f aca="false">VALUE(LEFT(Raw_Nigeria!E553,4))</f>
        <v>2018</v>
      </c>
      <c r="G553" s="7" t="n">
        <f aca="false">IF(VALUE(RIGHT(Raw_Nigeria!E553,2))&gt;12,"",VALUE(RIGHT(Raw_Nigeria!E553,2)))</f>
        <v>12</v>
      </c>
      <c r="H553" s="7" t="n">
        <f aca="false">Raw_Nigeria!F553</f>
        <v>2016</v>
      </c>
      <c r="I553" s="7" t="str">
        <f aca="false">UPPER(TRIM(Raw_Nigeria!G553))</f>
        <v>HEPB3</v>
      </c>
      <c r="J553" s="7" t="str">
        <f aca="false">Raw_Nigeria!H553</f>
        <v>Record</v>
      </c>
      <c r="K553" s="7" t="str">
        <f aca="false">Raw_Nigeria!L553</f>
        <v>24-35 m</v>
      </c>
      <c r="L553" s="7" t="str">
        <f aca="false">IF(Raw_Nigeria!K553="","n/a",Raw_Nigeria!K553)</f>
        <v>0-35 m</v>
      </c>
      <c r="M553" s="7" t="str">
        <f aca="false">IF(Raw_Nigeria!I553="","",Raw_Nigeria!I553)</f>
        <v/>
      </c>
      <c r="N553" s="7" t="n">
        <f aca="false">Raw_Nigeria!M553</f>
        <v>24.4</v>
      </c>
      <c r="O553" s="7" t="n">
        <f aca="false">IF(Raw_Nigeria!N553="","",Raw_Nigeria!N553)</f>
        <v>1715</v>
      </c>
      <c r="P553" s="7" t="str">
        <f aca="false">IF(K553="CBAW","Women of child-bearing age","Children")</f>
        <v>Children</v>
      </c>
      <c r="Q553" s="7" t="n">
        <f aca="false">IF(J553="NOT USED",1,0)</f>
        <v>0</v>
      </c>
      <c r="R553" s="7" t="n">
        <f aca="false">IF(AND(P553="Children",Q553=0),1,0)</f>
        <v>1</v>
      </c>
      <c r="S553" s="7" t="n">
        <f aca="false">IF(AND(R553=1,J553="Record or Recall",K553="12-23 m"),1,0)</f>
        <v>0</v>
      </c>
      <c r="T553" s="7" t="n">
        <f aca="false">IF(OR(I553="BCG",I553="DTP1",I553="DTP3",I553="POL3",I553="MCV1",I553="FULL"),1,0)</f>
        <v>0</v>
      </c>
      <c r="U553" s="7" t="n">
        <f aca="false">IF(OR(C553="DHS",C553="MICS"),1,0)</f>
        <v>1</v>
      </c>
      <c r="V553" s="7" t="n">
        <f aca="false">IF(O553="",1,0)</f>
        <v>0</v>
      </c>
      <c r="W553" s="7" t="n">
        <f aca="false">IF(M553="",1,0)</f>
        <v>1</v>
      </c>
      <c r="X553" s="7" t="n">
        <f aca="false">COUNTIFS($B$2:$B$1141,B553,$H$2:$H$1141,H553,$I$2:$I$1141,I553,$J$2:$J$1141,J553,$K$2:$K$1141,K553,$L$2:$L$1141,L553)</f>
        <v>1</v>
      </c>
    </row>
    <row r="554" customFormat="false" ht="15" hidden="false" customHeight="false" outlineLevel="0" collapsed="false">
      <c r="A554" s="7" t="n">
        <f aca="false">ROW()-1</f>
        <v>553</v>
      </c>
      <c r="B554" s="7" t="str">
        <f aca="false">IF(Raw_Nigeria!B554="",TRIM(Raw_Nigeria!C554),TRIM(Raw_Nigeria!B554))</f>
        <v>Nigeria Demographic and Health Survey 2018</v>
      </c>
      <c r="C554" s="7" t="str">
        <f aca="false">IF(ISNUMBER(SEARCH("Demographic and Health",B554)),"DHS",IF(OR(ISNUMBER(SEARCH("Multiple Indicator Cluster",B554)),ISNUMBER(SEARCH("MICS",B554))),"MICS",IF(ISNUMBER(SEARCH("Immunization Coverage Survey",B554)),"Coverage survey",IF(ISNUMBER(SEARCH("Nutrition",B554)),"Nutrition survey","Other"))))</f>
        <v>DHS</v>
      </c>
      <c r="D554" s="7" t="n">
        <f aca="false">VALUE(LEFT(Raw_Nigeria!D554,4))</f>
        <v>2018</v>
      </c>
      <c r="E554" s="7" t="n">
        <f aca="false">IF(VALUE(RIGHT(Raw_Nigeria!D554,2))&gt;12,"",VALUE(RIGHT(Raw_Nigeria!D554,2)))</f>
        <v>8</v>
      </c>
      <c r="F554" s="7" t="n">
        <f aca="false">VALUE(LEFT(Raw_Nigeria!E554,4))</f>
        <v>2018</v>
      </c>
      <c r="G554" s="7" t="n">
        <f aca="false">IF(VALUE(RIGHT(Raw_Nigeria!E554,2))&gt;12,"",VALUE(RIGHT(Raw_Nigeria!E554,2)))</f>
        <v>12</v>
      </c>
      <c r="H554" s="7" t="n">
        <f aca="false">Raw_Nigeria!F554</f>
        <v>2016</v>
      </c>
      <c r="I554" s="7" t="str">
        <f aca="false">UPPER(TRIM(Raw_Nigeria!G554))</f>
        <v>HEPB3</v>
      </c>
      <c r="J554" s="7" t="str">
        <f aca="false">Raw_Nigeria!H554</f>
        <v>Record or Recall</v>
      </c>
      <c r="K554" s="7" t="str">
        <f aca="false">Raw_Nigeria!L554</f>
        <v>24-35 m</v>
      </c>
      <c r="L554" s="7" t="str">
        <f aca="false">IF(Raw_Nigeria!K554="","n/a",Raw_Nigeria!K554)</f>
        <v>0-35 m</v>
      </c>
      <c r="M554" s="7" t="str">
        <f aca="false">IF(Raw_Nigeria!I554="","",Raw_Nigeria!I554)</f>
        <v/>
      </c>
      <c r="N554" s="7" t="n">
        <f aca="false">Raw_Nigeria!M554</f>
        <v>47.5</v>
      </c>
      <c r="O554" s="7" t="n">
        <f aca="false">IF(Raw_Nigeria!N554="","",Raw_Nigeria!N554)</f>
        <v>5835</v>
      </c>
      <c r="P554" s="7" t="str">
        <f aca="false">IF(K554="CBAW","Women of child-bearing age","Children")</f>
        <v>Children</v>
      </c>
      <c r="Q554" s="7" t="n">
        <f aca="false">IF(J554="NOT USED",1,0)</f>
        <v>0</v>
      </c>
      <c r="R554" s="7" t="n">
        <f aca="false">IF(AND(P554="Children",Q554=0),1,0)</f>
        <v>1</v>
      </c>
      <c r="S554" s="7" t="n">
        <f aca="false">IF(AND(R554=1,J554="Record or Recall",K554="12-23 m"),1,0)</f>
        <v>0</v>
      </c>
      <c r="T554" s="7" t="n">
        <f aca="false">IF(OR(I554="BCG",I554="DTP1",I554="DTP3",I554="POL3",I554="MCV1",I554="FULL"),1,0)</f>
        <v>0</v>
      </c>
      <c r="U554" s="7" t="n">
        <f aca="false">IF(OR(C554="DHS",C554="MICS"),1,0)</f>
        <v>1</v>
      </c>
      <c r="V554" s="7" t="n">
        <f aca="false">IF(O554="",1,0)</f>
        <v>0</v>
      </c>
      <c r="W554" s="7" t="n">
        <f aca="false">IF(M554="",1,0)</f>
        <v>1</v>
      </c>
      <c r="X554" s="7" t="n">
        <f aca="false">COUNTIFS($B$2:$B$1141,B554,$H$2:$H$1141,H554,$I$2:$I$1141,I554,$J$2:$J$1141,J554,$K$2:$K$1141,K554,$L$2:$L$1141,L554)</f>
        <v>1</v>
      </c>
    </row>
    <row r="555" customFormat="false" ht="15" hidden="false" customHeight="false" outlineLevel="0" collapsed="false">
      <c r="A555" s="7" t="n">
        <f aca="false">ROW()-1</f>
        <v>554</v>
      </c>
      <c r="B555" s="7" t="str">
        <f aca="false">IF(Raw_Nigeria!B555="",TRIM(Raw_Nigeria!C555),TRIM(Raw_Nigeria!B555))</f>
        <v>Nigeria Demographic and Health Survey 2018</v>
      </c>
      <c r="C555" s="7" t="str">
        <f aca="false">IF(ISNUMBER(SEARCH("Demographic and Health",B555)),"DHS",IF(OR(ISNUMBER(SEARCH("Multiple Indicator Cluster",B555)),ISNUMBER(SEARCH("MICS",B555))),"MICS",IF(ISNUMBER(SEARCH("Immunization Coverage Survey",B555)),"Coverage survey",IF(ISNUMBER(SEARCH("Nutrition",B555)),"Nutrition survey","Other"))))</f>
        <v>DHS</v>
      </c>
      <c r="D555" s="7" t="n">
        <f aca="false">VALUE(LEFT(Raw_Nigeria!D555,4))</f>
        <v>2018</v>
      </c>
      <c r="E555" s="7" t="n">
        <f aca="false">IF(VALUE(RIGHT(Raw_Nigeria!D555,2))&gt;12,"",VALUE(RIGHT(Raw_Nigeria!D555,2)))</f>
        <v>8</v>
      </c>
      <c r="F555" s="7" t="n">
        <f aca="false">VALUE(LEFT(Raw_Nigeria!E555,4))</f>
        <v>2018</v>
      </c>
      <c r="G555" s="7" t="n">
        <f aca="false">IF(VALUE(RIGHT(Raw_Nigeria!E555,2))&gt;12,"",VALUE(RIGHT(Raw_Nigeria!E555,2)))</f>
        <v>12</v>
      </c>
      <c r="H555" s="7" t="n">
        <f aca="false">Raw_Nigeria!F555</f>
        <v>2016</v>
      </c>
      <c r="I555" s="7" t="str">
        <f aca="false">UPPER(TRIM(Raw_Nigeria!G555))</f>
        <v>HEPB3</v>
      </c>
      <c r="J555" s="7" t="str">
        <f aca="false">Raw_Nigeria!H555</f>
        <v>Recall</v>
      </c>
      <c r="K555" s="7" t="str">
        <f aca="false">Raw_Nigeria!L555</f>
        <v>24-35 m</v>
      </c>
      <c r="L555" s="7" t="str">
        <f aca="false">IF(Raw_Nigeria!K555="","n/a",Raw_Nigeria!K555)</f>
        <v>0-35 m</v>
      </c>
      <c r="M555" s="7" t="str">
        <f aca="false">IF(Raw_Nigeria!I555="","",Raw_Nigeria!I555)</f>
        <v/>
      </c>
      <c r="N555" s="7" t="n">
        <f aca="false">Raw_Nigeria!M555</f>
        <v>23.2</v>
      </c>
      <c r="O555" s="7" t="n">
        <f aca="false">IF(Raw_Nigeria!N555="","",Raw_Nigeria!N555)</f>
        <v>4120</v>
      </c>
      <c r="P555" s="7" t="str">
        <f aca="false">IF(K555="CBAW","Women of child-bearing age","Children")</f>
        <v>Children</v>
      </c>
      <c r="Q555" s="7" t="n">
        <f aca="false">IF(J555="NOT USED",1,0)</f>
        <v>0</v>
      </c>
      <c r="R555" s="7" t="n">
        <f aca="false">IF(AND(P555="Children",Q555=0),1,0)</f>
        <v>1</v>
      </c>
      <c r="S555" s="7" t="n">
        <f aca="false">IF(AND(R555=1,J555="Record or Recall",K555="12-23 m"),1,0)</f>
        <v>0</v>
      </c>
      <c r="T555" s="7" t="n">
        <f aca="false">IF(OR(I555="BCG",I555="DTP1",I555="DTP3",I555="POL3",I555="MCV1",I555="FULL"),1,0)</f>
        <v>0</v>
      </c>
      <c r="U555" s="7" t="n">
        <f aca="false">IF(OR(C555="DHS",C555="MICS"),1,0)</f>
        <v>1</v>
      </c>
      <c r="V555" s="7" t="n">
        <f aca="false">IF(O555="",1,0)</f>
        <v>0</v>
      </c>
      <c r="W555" s="7" t="n">
        <f aca="false">IF(M555="",1,0)</f>
        <v>1</v>
      </c>
      <c r="X555" s="7" t="n">
        <f aca="false">COUNTIFS($B$2:$B$1141,B555,$H$2:$H$1141,H555,$I$2:$I$1141,I555,$J$2:$J$1141,J555,$K$2:$K$1141,K555,$L$2:$L$1141,L555)</f>
        <v>1</v>
      </c>
    </row>
    <row r="556" customFormat="false" ht="15" hidden="false" customHeight="false" outlineLevel="0" collapsed="false">
      <c r="A556" s="7" t="n">
        <f aca="false">ROW()-1</f>
        <v>555</v>
      </c>
      <c r="B556" s="7" t="str">
        <f aca="false">IF(Raw_Nigeria!B556="",TRIM(Raw_Nigeria!C556),TRIM(Raw_Nigeria!B556))</f>
        <v>Nigeria Demographic and Health Survey 2018</v>
      </c>
      <c r="C556" s="7" t="str">
        <f aca="false">IF(ISNUMBER(SEARCH("Demographic and Health",B556)),"DHS",IF(OR(ISNUMBER(SEARCH("Multiple Indicator Cluster",B556)),ISNUMBER(SEARCH("MICS",B556))),"MICS",IF(ISNUMBER(SEARCH("Immunization Coverage Survey",B556)),"Coverage survey",IF(ISNUMBER(SEARCH("Nutrition",B556)),"Nutrition survey","Other"))))</f>
        <v>DHS</v>
      </c>
      <c r="D556" s="7" t="n">
        <f aca="false">VALUE(LEFT(Raw_Nigeria!D556,4))</f>
        <v>2018</v>
      </c>
      <c r="E556" s="7" t="n">
        <f aca="false">IF(VALUE(RIGHT(Raw_Nigeria!D556,2))&gt;12,"",VALUE(RIGHT(Raw_Nigeria!D556,2)))</f>
        <v>8</v>
      </c>
      <c r="F556" s="7" t="n">
        <f aca="false">VALUE(LEFT(Raw_Nigeria!E556,4))</f>
        <v>2018</v>
      </c>
      <c r="G556" s="7" t="n">
        <f aca="false">IF(VALUE(RIGHT(Raw_Nigeria!E556,2))&gt;12,"",VALUE(RIGHT(Raw_Nigeria!E556,2)))</f>
        <v>12</v>
      </c>
      <c r="H556" s="7" t="n">
        <f aca="false">Raw_Nigeria!F556</f>
        <v>2016</v>
      </c>
      <c r="I556" s="7" t="str">
        <f aca="false">UPPER(TRIM(Raw_Nigeria!G556))</f>
        <v>HEPBB</v>
      </c>
      <c r="J556" s="7" t="str">
        <f aca="false">Raw_Nigeria!H556</f>
        <v>Record or Recall&lt;12m</v>
      </c>
      <c r="K556" s="7" t="str">
        <f aca="false">Raw_Nigeria!L556</f>
        <v>24-35 m</v>
      </c>
      <c r="L556" s="7" t="str">
        <f aca="false">IF(Raw_Nigeria!K556="","n/a",Raw_Nigeria!K556)</f>
        <v>0-12 m</v>
      </c>
      <c r="M556" s="7" t="str">
        <f aca="false">IF(Raw_Nigeria!I556="","",Raw_Nigeria!I556)</f>
        <v/>
      </c>
      <c r="N556" s="7" t="n">
        <f aca="false">Raw_Nigeria!M556</f>
        <v>48.8</v>
      </c>
      <c r="O556" s="7" t="n">
        <f aca="false">IF(Raw_Nigeria!N556="","",Raw_Nigeria!N556)</f>
        <v>5835</v>
      </c>
      <c r="P556" s="7" t="str">
        <f aca="false">IF(K556="CBAW","Women of child-bearing age","Children")</f>
        <v>Children</v>
      </c>
      <c r="Q556" s="7" t="n">
        <f aca="false">IF(J556="NOT USED",1,0)</f>
        <v>0</v>
      </c>
      <c r="R556" s="7" t="n">
        <f aca="false">IF(AND(P556="Children",Q556=0),1,0)</f>
        <v>1</v>
      </c>
      <c r="S556" s="7" t="n">
        <f aca="false">IF(AND(R556=1,J556="Record or Recall",K556="12-23 m"),1,0)</f>
        <v>0</v>
      </c>
      <c r="T556" s="7" t="n">
        <f aca="false">IF(OR(I556="BCG",I556="DTP1",I556="DTP3",I556="POL3",I556="MCV1",I556="FULL"),1,0)</f>
        <v>0</v>
      </c>
      <c r="U556" s="7" t="n">
        <f aca="false">IF(OR(C556="DHS",C556="MICS"),1,0)</f>
        <v>1</v>
      </c>
      <c r="V556" s="7" t="n">
        <f aca="false">IF(O556="",1,0)</f>
        <v>0</v>
      </c>
      <c r="W556" s="7" t="n">
        <f aca="false">IF(M556="",1,0)</f>
        <v>1</v>
      </c>
      <c r="X556" s="7" t="n">
        <f aca="false">COUNTIFS($B$2:$B$1141,B556,$H$2:$H$1141,H556,$I$2:$I$1141,I556,$J$2:$J$1141,J556,$K$2:$K$1141,K556,$L$2:$L$1141,L556)</f>
        <v>1</v>
      </c>
    </row>
    <row r="557" customFormat="false" ht="15" hidden="false" customHeight="false" outlineLevel="0" collapsed="false">
      <c r="A557" s="7" t="n">
        <f aca="false">ROW()-1</f>
        <v>556</v>
      </c>
      <c r="B557" s="7" t="str">
        <f aca="false">IF(Raw_Nigeria!B557="",TRIM(Raw_Nigeria!C557),TRIM(Raw_Nigeria!B557))</f>
        <v>Nigeria Demographic and Health Survey 2018</v>
      </c>
      <c r="C557" s="7" t="str">
        <f aca="false">IF(ISNUMBER(SEARCH("Demographic and Health",B557)),"DHS",IF(OR(ISNUMBER(SEARCH("Multiple Indicator Cluster",B557)),ISNUMBER(SEARCH("MICS",B557))),"MICS",IF(ISNUMBER(SEARCH("Immunization Coverage Survey",B557)),"Coverage survey",IF(ISNUMBER(SEARCH("Nutrition",B557)),"Nutrition survey","Other"))))</f>
        <v>DHS</v>
      </c>
      <c r="D557" s="7" t="n">
        <f aca="false">VALUE(LEFT(Raw_Nigeria!D557,4))</f>
        <v>2018</v>
      </c>
      <c r="E557" s="7" t="n">
        <f aca="false">IF(VALUE(RIGHT(Raw_Nigeria!D557,2))&gt;12,"",VALUE(RIGHT(Raw_Nigeria!D557,2)))</f>
        <v>8</v>
      </c>
      <c r="F557" s="7" t="n">
        <f aca="false">VALUE(LEFT(Raw_Nigeria!E557,4))</f>
        <v>2018</v>
      </c>
      <c r="G557" s="7" t="n">
        <f aca="false">IF(VALUE(RIGHT(Raw_Nigeria!E557,2))&gt;12,"",VALUE(RIGHT(Raw_Nigeria!E557,2)))</f>
        <v>12</v>
      </c>
      <c r="H557" s="7" t="n">
        <f aca="false">Raw_Nigeria!F557</f>
        <v>2016</v>
      </c>
      <c r="I557" s="7" t="str">
        <f aca="false">UPPER(TRIM(Raw_Nigeria!G557))</f>
        <v>HEPBB</v>
      </c>
      <c r="J557" s="7" t="str">
        <f aca="false">Raw_Nigeria!H557</f>
        <v>Record</v>
      </c>
      <c r="K557" s="7" t="str">
        <f aca="false">Raw_Nigeria!L557</f>
        <v>24-35 m</v>
      </c>
      <c r="L557" s="7" t="str">
        <f aca="false">IF(Raw_Nigeria!K557="","n/a",Raw_Nigeria!K557)</f>
        <v>0-35 m</v>
      </c>
      <c r="M557" s="7" t="str">
        <f aca="false">IF(Raw_Nigeria!I557="","",Raw_Nigeria!I557)</f>
        <v/>
      </c>
      <c r="N557" s="7" t="n">
        <f aca="false">Raw_Nigeria!M557</f>
        <v>21.5</v>
      </c>
      <c r="O557" s="7" t="n">
        <f aca="false">IF(Raw_Nigeria!N557="","",Raw_Nigeria!N557)</f>
        <v>1715</v>
      </c>
      <c r="P557" s="7" t="str">
        <f aca="false">IF(K557="CBAW","Women of child-bearing age","Children")</f>
        <v>Children</v>
      </c>
      <c r="Q557" s="7" t="n">
        <f aca="false">IF(J557="NOT USED",1,0)</f>
        <v>0</v>
      </c>
      <c r="R557" s="7" t="n">
        <f aca="false">IF(AND(P557="Children",Q557=0),1,0)</f>
        <v>1</v>
      </c>
      <c r="S557" s="7" t="n">
        <f aca="false">IF(AND(R557=1,J557="Record or Recall",K557="12-23 m"),1,0)</f>
        <v>0</v>
      </c>
      <c r="T557" s="7" t="n">
        <f aca="false">IF(OR(I557="BCG",I557="DTP1",I557="DTP3",I557="POL3",I557="MCV1",I557="FULL"),1,0)</f>
        <v>0</v>
      </c>
      <c r="U557" s="7" t="n">
        <f aca="false">IF(OR(C557="DHS",C557="MICS"),1,0)</f>
        <v>1</v>
      </c>
      <c r="V557" s="7" t="n">
        <f aca="false">IF(O557="",1,0)</f>
        <v>0</v>
      </c>
      <c r="W557" s="7" t="n">
        <f aca="false">IF(M557="",1,0)</f>
        <v>1</v>
      </c>
      <c r="X557" s="7" t="n">
        <f aca="false">COUNTIFS($B$2:$B$1141,B557,$H$2:$H$1141,H557,$I$2:$I$1141,I557,$J$2:$J$1141,J557,$K$2:$K$1141,K557,$L$2:$L$1141,L557)</f>
        <v>1</v>
      </c>
    </row>
    <row r="558" customFormat="false" ht="15" hidden="false" customHeight="false" outlineLevel="0" collapsed="false">
      <c r="A558" s="7" t="n">
        <f aca="false">ROW()-1</f>
        <v>557</v>
      </c>
      <c r="B558" s="7" t="str">
        <f aca="false">IF(Raw_Nigeria!B558="",TRIM(Raw_Nigeria!C558),TRIM(Raw_Nigeria!B558))</f>
        <v>Nigeria Demographic and Health Survey 2018</v>
      </c>
      <c r="C558" s="7" t="str">
        <f aca="false">IF(ISNUMBER(SEARCH("Demographic and Health",B558)),"DHS",IF(OR(ISNUMBER(SEARCH("Multiple Indicator Cluster",B558)),ISNUMBER(SEARCH("MICS",B558))),"MICS",IF(ISNUMBER(SEARCH("Immunization Coverage Survey",B558)),"Coverage survey",IF(ISNUMBER(SEARCH("Nutrition",B558)),"Nutrition survey","Other"))))</f>
        <v>DHS</v>
      </c>
      <c r="D558" s="7" t="n">
        <f aca="false">VALUE(LEFT(Raw_Nigeria!D558,4))</f>
        <v>2018</v>
      </c>
      <c r="E558" s="7" t="n">
        <f aca="false">IF(VALUE(RIGHT(Raw_Nigeria!D558,2))&gt;12,"",VALUE(RIGHT(Raw_Nigeria!D558,2)))</f>
        <v>8</v>
      </c>
      <c r="F558" s="7" t="n">
        <f aca="false">VALUE(LEFT(Raw_Nigeria!E558,4))</f>
        <v>2018</v>
      </c>
      <c r="G558" s="7" t="n">
        <f aca="false">IF(VALUE(RIGHT(Raw_Nigeria!E558,2))&gt;12,"",VALUE(RIGHT(Raw_Nigeria!E558,2)))</f>
        <v>12</v>
      </c>
      <c r="H558" s="7" t="n">
        <f aca="false">Raw_Nigeria!F558</f>
        <v>2016</v>
      </c>
      <c r="I558" s="7" t="str">
        <f aca="false">UPPER(TRIM(Raw_Nigeria!G558))</f>
        <v>HEPBB</v>
      </c>
      <c r="J558" s="7" t="str">
        <f aca="false">Raw_Nigeria!H558</f>
        <v>Record or Recall</v>
      </c>
      <c r="K558" s="7" t="str">
        <f aca="false">Raw_Nigeria!L558</f>
        <v>24-35 m</v>
      </c>
      <c r="L558" s="7" t="str">
        <f aca="false">IF(Raw_Nigeria!K558="","n/a",Raw_Nigeria!K558)</f>
        <v>0-35 m</v>
      </c>
      <c r="M558" s="7" t="str">
        <f aca="false">IF(Raw_Nigeria!I558="","",Raw_Nigeria!I558)</f>
        <v/>
      </c>
      <c r="N558" s="7" t="n">
        <f aca="false">Raw_Nigeria!M558</f>
        <v>49.9</v>
      </c>
      <c r="O558" s="7" t="n">
        <f aca="false">IF(Raw_Nigeria!N558="","",Raw_Nigeria!N558)</f>
        <v>5835</v>
      </c>
      <c r="P558" s="7" t="str">
        <f aca="false">IF(K558="CBAW","Women of child-bearing age","Children")</f>
        <v>Children</v>
      </c>
      <c r="Q558" s="7" t="n">
        <f aca="false">IF(J558="NOT USED",1,0)</f>
        <v>0</v>
      </c>
      <c r="R558" s="7" t="n">
        <f aca="false">IF(AND(P558="Children",Q558=0),1,0)</f>
        <v>1</v>
      </c>
      <c r="S558" s="7" t="n">
        <f aca="false">IF(AND(R558=1,J558="Record or Recall",K558="12-23 m"),1,0)</f>
        <v>0</v>
      </c>
      <c r="T558" s="7" t="n">
        <f aca="false">IF(OR(I558="BCG",I558="DTP1",I558="DTP3",I558="POL3",I558="MCV1",I558="FULL"),1,0)</f>
        <v>0</v>
      </c>
      <c r="U558" s="7" t="n">
        <f aca="false">IF(OR(C558="DHS",C558="MICS"),1,0)</f>
        <v>1</v>
      </c>
      <c r="V558" s="7" t="n">
        <f aca="false">IF(O558="",1,0)</f>
        <v>0</v>
      </c>
      <c r="W558" s="7" t="n">
        <f aca="false">IF(M558="",1,0)</f>
        <v>1</v>
      </c>
      <c r="X558" s="7" t="n">
        <f aca="false">COUNTIFS($B$2:$B$1141,B558,$H$2:$H$1141,H558,$I$2:$I$1141,I558,$J$2:$J$1141,J558,$K$2:$K$1141,K558,$L$2:$L$1141,L558)</f>
        <v>1</v>
      </c>
    </row>
    <row r="559" customFormat="false" ht="15" hidden="false" customHeight="false" outlineLevel="0" collapsed="false">
      <c r="A559" s="7" t="n">
        <f aca="false">ROW()-1</f>
        <v>558</v>
      </c>
      <c r="B559" s="7" t="str">
        <f aca="false">IF(Raw_Nigeria!B559="",TRIM(Raw_Nigeria!C559),TRIM(Raw_Nigeria!B559))</f>
        <v>Nigeria Demographic and Health Survey 2018</v>
      </c>
      <c r="C559" s="7" t="str">
        <f aca="false">IF(ISNUMBER(SEARCH("Demographic and Health",B559)),"DHS",IF(OR(ISNUMBER(SEARCH("Multiple Indicator Cluster",B559)),ISNUMBER(SEARCH("MICS",B559))),"MICS",IF(ISNUMBER(SEARCH("Immunization Coverage Survey",B559)),"Coverage survey",IF(ISNUMBER(SEARCH("Nutrition",B559)),"Nutrition survey","Other"))))</f>
        <v>DHS</v>
      </c>
      <c r="D559" s="7" t="n">
        <f aca="false">VALUE(LEFT(Raw_Nigeria!D559,4))</f>
        <v>2018</v>
      </c>
      <c r="E559" s="7" t="n">
        <f aca="false">IF(VALUE(RIGHT(Raw_Nigeria!D559,2))&gt;12,"",VALUE(RIGHT(Raw_Nigeria!D559,2)))</f>
        <v>8</v>
      </c>
      <c r="F559" s="7" t="n">
        <f aca="false">VALUE(LEFT(Raw_Nigeria!E559,4))</f>
        <v>2018</v>
      </c>
      <c r="G559" s="7" t="n">
        <f aca="false">IF(VALUE(RIGHT(Raw_Nigeria!E559,2))&gt;12,"",VALUE(RIGHT(Raw_Nigeria!E559,2)))</f>
        <v>12</v>
      </c>
      <c r="H559" s="7" t="n">
        <f aca="false">Raw_Nigeria!F559</f>
        <v>2016</v>
      </c>
      <c r="I559" s="7" t="str">
        <f aca="false">UPPER(TRIM(Raw_Nigeria!G559))</f>
        <v>HEPBB</v>
      </c>
      <c r="J559" s="7" t="str">
        <f aca="false">Raw_Nigeria!H559</f>
        <v>Recall</v>
      </c>
      <c r="K559" s="7" t="str">
        <f aca="false">Raw_Nigeria!L559</f>
        <v>24-35 m</v>
      </c>
      <c r="L559" s="7" t="str">
        <f aca="false">IF(Raw_Nigeria!K559="","n/a",Raw_Nigeria!K559)</f>
        <v>0-35 m</v>
      </c>
      <c r="M559" s="7" t="str">
        <f aca="false">IF(Raw_Nigeria!I559="","",Raw_Nigeria!I559)</f>
        <v/>
      </c>
      <c r="N559" s="7" t="n">
        <f aca="false">Raw_Nigeria!M559</f>
        <v>28.5</v>
      </c>
      <c r="O559" s="7" t="n">
        <f aca="false">IF(Raw_Nigeria!N559="","",Raw_Nigeria!N559)</f>
        <v>4120</v>
      </c>
      <c r="P559" s="7" t="str">
        <f aca="false">IF(K559="CBAW","Women of child-bearing age","Children")</f>
        <v>Children</v>
      </c>
      <c r="Q559" s="7" t="n">
        <f aca="false">IF(J559="NOT USED",1,0)</f>
        <v>0</v>
      </c>
      <c r="R559" s="7" t="n">
        <f aca="false">IF(AND(P559="Children",Q559=0),1,0)</f>
        <v>1</v>
      </c>
      <c r="S559" s="7" t="n">
        <f aca="false">IF(AND(R559=1,J559="Record or Recall",K559="12-23 m"),1,0)</f>
        <v>0</v>
      </c>
      <c r="T559" s="7" t="n">
        <f aca="false">IF(OR(I559="BCG",I559="DTP1",I559="DTP3",I559="POL3",I559="MCV1",I559="FULL"),1,0)</f>
        <v>0</v>
      </c>
      <c r="U559" s="7" t="n">
        <f aca="false">IF(OR(C559="DHS",C559="MICS"),1,0)</f>
        <v>1</v>
      </c>
      <c r="V559" s="7" t="n">
        <f aca="false">IF(O559="",1,0)</f>
        <v>0</v>
      </c>
      <c r="W559" s="7" t="n">
        <f aca="false">IF(M559="",1,0)</f>
        <v>1</v>
      </c>
      <c r="X559" s="7" t="n">
        <f aca="false">COUNTIFS($B$2:$B$1141,B559,$H$2:$H$1141,H559,$I$2:$I$1141,I559,$J$2:$J$1141,J559,$K$2:$K$1141,K559,$L$2:$L$1141,L559)</f>
        <v>1</v>
      </c>
    </row>
    <row r="560" customFormat="false" ht="15" hidden="false" customHeight="false" outlineLevel="0" collapsed="false">
      <c r="A560" s="7" t="n">
        <f aca="false">ROW()-1</f>
        <v>559</v>
      </c>
      <c r="B560" s="7" t="str">
        <f aca="false">IF(Raw_Nigeria!B560="",TRIM(Raw_Nigeria!C560),TRIM(Raw_Nigeria!B560))</f>
        <v>Nigeria Demographic and Health Survey 2018</v>
      </c>
      <c r="C560" s="7" t="str">
        <f aca="false">IF(ISNUMBER(SEARCH("Demographic and Health",B560)),"DHS",IF(OR(ISNUMBER(SEARCH("Multiple Indicator Cluster",B560)),ISNUMBER(SEARCH("MICS",B560))),"MICS",IF(ISNUMBER(SEARCH("Immunization Coverage Survey",B560)),"Coverage survey",IF(ISNUMBER(SEARCH("Nutrition",B560)),"Nutrition survey","Other"))))</f>
        <v>DHS</v>
      </c>
      <c r="D560" s="7" t="n">
        <f aca="false">VALUE(LEFT(Raw_Nigeria!D560,4))</f>
        <v>2018</v>
      </c>
      <c r="E560" s="7" t="n">
        <f aca="false">IF(VALUE(RIGHT(Raw_Nigeria!D560,2))&gt;12,"",VALUE(RIGHT(Raw_Nigeria!D560,2)))</f>
        <v>8</v>
      </c>
      <c r="F560" s="7" t="n">
        <f aca="false">VALUE(LEFT(Raw_Nigeria!E560,4))</f>
        <v>2018</v>
      </c>
      <c r="G560" s="7" t="n">
        <f aca="false">IF(VALUE(RIGHT(Raw_Nigeria!E560,2))&gt;12,"",VALUE(RIGHT(Raw_Nigeria!E560,2)))</f>
        <v>12</v>
      </c>
      <c r="H560" s="7" t="n">
        <f aca="false">Raw_Nigeria!F560</f>
        <v>2016</v>
      </c>
      <c r="I560" s="7" t="str">
        <f aca="false">UPPER(TRIM(Raw_Nigeria!G560))</f>
        <v>HIB1</v>
      </c>
      <c r="J560" s="7" t="str">
        <f aca="false">Raw_Nigeria!H560</f>
        <v>Record or Recall&lt;12m</v>
      </c>
      <c r="K560" s="7" t="str">
        <f aca="false">Raw_Nigeria!L560</f>
        <v>24-35 m</v>
      </c>
      <c r="L560" s="7" t="str">
        <f aca="false">IF(Raw_Nigeria!K560="","n/a",Raw_Nigeria!K560)</f>
        <v>0-12 m</v>
      </c>
      <c r="M560" s="7" t="str">
        <f aca="false">IF(Raw_Nigeria!I560="","",Raw_Nigeria!I560)</f>
        <v/>
      </c>
      <c r="N560" s="7" t="n">
        <f aca="false">Raw_Nigeria!M560</f>
        <v>60.4</v>
      </c>
      <c r="O560" s="7" t="n">
        <f aca="false">IF(Raw_Nigeria!N560="","",Raw_Nigeria!N560)</f>
        <v>5835</v>
      </c>
      <c r="P560" s="7" t="str">
        <f aca="false">IF(K560="CBAW","Women of child-bearing age","Children")</f>
        <v>Children</v>
      </c>
      <c r="Q560" s="7" t="n">
        <f aca="false">IF(J560="NOT USED",1,0)</f>
        <v>0</v>
      </c>
      <c r="R560" s="7" t="n">
        <f aca="false">IF(AND(P560="Children",Q560=0),1,0)</f>
        <v>1</v>
      </c>
      <c r="S560" s="7" t="n">
        <f aca="false">IF(AND(R560=1,J560="Record or Recall",K560="12-23 m"),1,0)</f>
        <v>0</v>
      </c>
      <c r="T560" s="7" t="n">
        <f aca="false">IF(OR(I560="BCG",I560="DTP1",I560="DTP3",I560="POL3",I560="MCV1",I560="FULL"),1,0)</f>
        <v>0</v>
      </c>
      <c r="U560" s="7" t="n">
        <f aca="false">IF(OR(C560="DHS",C560="MICS"),1,0)</f>
        <v>1</v>
      </c>
      <c r="V560" s="7" t="n">
        <f aca="false">IF(O560="",1,0)</f>
        <v>0</v>
      </c>
      <c r="W560" s="7" t="n">
        <f aca="false">IF(M560="",1,0)</f>
        <v>1</v>
      </c>
      <c r="X560" s="7" t="n">
        <f aca="false">COUNTIFS($B$2:$B$1141,B560,$H$2:$H$1141,H560,$I$2:$I$1141,I560,$J$2:$J$1141,J560,$K$2:$K$1141,K560,$L$2:$L$1141,L560)</f>
        <v>1</v>
      </c>
    </row>
    <row r="561" customFormat="false" ht="15" hidden="false" customHeight="false" outlineLevel="0" collapsed="false">
      <c r="A561" s="7" t="n">
        <f aca="false">ROW()-1</f>
        <v>560</v>
      </c>
      <c r="B561" s="7" t="str">
        <f aca="false">IF(Raw_Nigeria!B561="",TRIM(Raw_Nigeria!C561),TRIM(Raw_Nigeria!B561))</f>
        <v>Nigeria Demographic and Health Survey 2018</v>
      </c>
      <c r="C561" s="7" t="str">
        <f aca="false">IF(ISNUMBER(SEARCH("Demographic and Health",B561)),"DHS",IF(OR(ISNUMBER(SEARCH("Multiple Indicator Cluster",B561)),ISNUMBER(SEARCH("MICS",B561))),"MICS",IF(ISNUMBER(SEARCH("Immunization Coverage Survey",B561)),"Coverage survey",IF(ISNUMBER(SEARCH("Nutrition",B561)),"Nutrition survey","Other"))))</f>
        <v>DHS</v>
      </c>
      <c r="D561" s="7" t="n">
        <f aca="false">VALUE(LEFT(Raw_Nigeria!D561,4))</f>
        <v>2018</v>
      </c>
      <c r="E561" s="7" t="n">
        <f aca="false">IF(VALUE(RIGHT(Raw_Nigeria!D561,2))&gt;12,"",VALUE(RIGHT(Raw_Nigeria!D561,2)))</f>
        <v>8</v>
      </c>
      <c r="F561" s="7" t="n">
        <f aca="false">VALUE(LEFT(Raw_Nigeria!E561,4))</f>
        <v>2018</v>
      </c>
      <c r="G561" s="7" t="n">
        <f aca="false">IF(VALUE(RIGHT(Raw_Nigeria!E561,2))&gt;12,"",VALUE(RIGHT(Raw_Nigeria!E561,2)))</f>
        <v>12</v>
      </c>
      <c r="H561" s="7" t="n">
        <f aca="false">Raw_Nigeria!F561</f>
        <v>2016</v>
      </c>
      <c r="I561" s="7" t="str">
        <f aca="false">UPPER(TRIM(Raw_Nigeria!G561))</f>
        <v>HIB1</v>
      </c>
      <c r="J561" s="7" t="str">
        <f aca="false">Raw_Nigeria!H561</f>
        <v>Record</v>
      </c>
      <c r="K561" s="7" t="str">
        <f aca="false">Raw_Nigeria!L561</f>
        <v>24-35 m</v>
      </c>
      <c r="L561" s="7" t="str">
        <f aca="false">IF(Raw_Nigeria!K561="","n/a",Raw_Nigeria!K561)</f>
        <v>0-35 m</v>
      </c>
      <c r="M561" s="7" t="str">
        <f aca="false">IF(Raw_Nigeria!I561="","",Raw_Nigeria!I561)</f>
        <v/>
      </c>
      <c r="N561" s="7" t="n">
        <f aca="false">Raw_Nigeria!M561</f>
        <v>27.5</v>
      </c>
      <c r="O561" s="7" t="n">
        <f aca="false">IF(Raw_Nigeria!N561="","",Raw_Nigeria!N561)</f>
        <v>1715</v>
      </c>
      <c r="P561" s="7" t="str">
        <f aca="false">IF(K561="CBAW","Women of child-bearing age","Children")</f>
        <v>Children</v>
      </c>
      <c r="Q561" s="7" t="n">
        <f aca="false">IF(J561="NOT USED",1,0)</f>
        <v>0</v>
      </c>
      <c r="R561" s="7" t="n">
        <f aca="false">IF(AND(P561="Children",Q561=0),1,0)</f>
        <v>1</v>
      </c>
      <c r="S561" s="7" t="n">
        <f aca="false">IF(AND(R561=1,J561="Record or Recall",K561="12-23 m"),1,0)</f>
        <v>0</v>
      </c>
      <c r="T561" s="7" t="n">
        <f aca="false">IF(OR(I561="BCG",I561="DTP1",I561="DTP3",I561="POL3",I561="MCV1",I561="FULL"),1,0)</f>
        <v>0</v>
      </c>
      <c r="U561" s="7" t="n">
        <f aca="false">IF(OR(C561="DHS",C561="MICS"),1,0)</f>
        <v>1</v>
      </c>
      <c r="V561" s="7" t="n">
        <f aca="false">IF(O561="",1,0)</f>
        <v>0</v>
      </c>
      <c r="W561" s="7" t="n">
        <f aca="false">IF(M561="",1,0)</f>
        <v>1</v>
      </c>
      <c r="X561" s="7" t="n">
        <f aca="false">COUNTIFS($B$2:$B$1141,B561,$H$2:$H$1141,H561,$I$2:$I$1141,I561,$J$2:$J$1141,J561,$K$2:$K$1141,K561,$L$2:$L$1141,L561)</f>
        <v>1</v>
      </c>
    </row>
    <row r="562" customFormat="false" ht="15" hidden="false" customHeight="false" outlineLevel="0" collapsed="false">
      <c r="A562" s="7" t="n">
        <f aca="false">ROW()-1</f>
        <v>561</v>
      </c>
      <c r="B562" s="7" t="str">
        <f aca="false">IF(Raw_Nigeria!B562="",TRIM(Raw_Nigeria!C562),TRIM(Raw_Nigeria!B562))</f>
        <v>Nigeria Demographic and Health Survey 2018</v>
      </c>
      <c r="C562" s="7" t="str">
        <f aca="false">IF(ISNUMBER(SEARCH("Demographic and Health",B562)),"DHS",IF(OR(ISNUMBER(SEARCH("Multiple Indicator Cluster",B562)),ISNUMBER(SEARCH("MICS",B562))),"MICS",IF(ISNUMBER(SEARCH("Immunization Coverage Survey",B562)),"Coverage survey",IF(ISNUMBER(SEARCH("Nutrition",B562)),"Nutrition survey","Other"))))</f>
        <v>DHS</v>
      </c>
      <c r="D562" s="7" t="n">
        <f aca="false">VALUE(LEFT(Raw_Nigeria!D562,4))</f>
        <v>2018</v>
      </c>
      <c r="E562" s="7" t="n">
        <f aca="false">IF(VALUE(RIGHT(Raw_Nigeria!D562,2))&gt;12,"",VALUE(RIGHT(Raw_Nigeria!D562,2)))</f>
        <v>8</v>
      </c>
      <c r="F562" s="7" t="n">
        <f aca="false">VALUE(LEFT(Raw_Nigeria!E562,4))</f>
        <v>2018</v>
      </c>
      <c r="G562" s="7" t="n">
        <f aca="false">IF(VALUE(RIGHT(Raw_Nigeria!E562,2))&gt;12,"",VALUE(RIGHT(Raw_Nigeria!E562,2)))</f>
        <v>12</v>
      </c>
      <c r="H562" s="7" t="n">
        <f aca="false">Raw_Nigeria!F562</f>
        <v>2016</v>
      </c>
      <c r="I562" s="7" t="str">
        <f aca="false">UPPER(TRIM(Raw_Nigeria!G562))</f>
        <v>HIB1</v>
      </c>
      <c r="J562" s="7" t="str">
        <f aca="false">Raw_Nigeria!H562</f>
        <v>Record or Recall</v>
      </c>
      <c r="K562" s="7" t="str">
        <f aca="false">Raw_Nigeria!L562</f>
        <v>24-35 m</v>
      </c>
      <c r="L562" s="7" t="str">
        <f aca="false">IF(Raw_Nigeria!K562="","n/a",Raw_Nigeria!K562)</f>
        <v>0-35 m</v>
      </c>
      <c r="M562" s="7" t="str">
        <f aca="false">IF(Raw_Nigeria!I562="","",Raw_Nigeria!I562)</f>
        <v/>
      </c>
      <c r="N562" s="7" t="n">
        <f aca="false">Raw_Nigeria!M562</f>
        <v>61.8</v>
      </c>
      <c r="O562" s="7" t="n">
        <f aca="false">IF(Raw_Nigeria!N562="","",Raw_Nigeria!N562)</f>
        <v>5835</v>
      </c>
      <c r="P562" s="7" t="str">
        <f aca="false">IF(K562="CBAW","Women of child-bearing age","Children")</f>
        <v>Children</v>
      </c>
      <c r="Q562" s="7" t="n">
        <f aca="false">IF(J562="NOT USED",1,0)</f>
        <v>0</v>
      </c>
      <c r="R562" s="7" t="n">
        <f aca="false">IF(AND(P562="Children",Q562=0),1,0)</f>
        <v>1</v>
      </c>
      <c r="S562" s="7" t="n">
        <f aca="false">IF(AND(R562=1,J562="Record or Recall",K562="12-23 m"),1,0)</f>
        <v>0</v>
      </c>
      <c r="T562" s="7" t="n">
        <f aca="false">IF(OR(I562="BCG",I562="DTP1",I562="DTP3",I562="POL3",I562="MCV1",I562="FULL"),1,0)</f>
        <v>0</v>
      </c>
      <c r="U562" s="7" t="n">
        <f aca="false">IF(OR(C562="DHS",C562="MICS"),1,0)</f>
        <v>1</v>
      </c>
      <c r="V562" s="7" t="n">
        <f aca="false">IF(O562="",1,0)</f>
        <v>0</v>
      </c>
      <c r="W562" s="7" t="n">
        <f aca="false">IF(M562="",1,0)</f>
        <v>1</v>
      </c>
      <c r="X562" s="7" t="n">
        <f aca="false">COUNTIFS($B$2:$B$1141,B562,$H$2:$H$1141,H562,$I$2:$I$1141,I562,$J$2:$J$1141,J562,$K$2:$K$1141,K562,$L$2:$L$1141,L562)</f>
        <v>1</v>
      </c>
    </row>
    <row r="563" customFormat="false" ht="15" hidden="false" customHeight="false" outlineLevel="0" collapsed="false">
      <c r="A563" s="7" t="n">
        <f aca="false">ROW()-1</f>
        <v>562</v>
      </c>
      <c r="B563" s="7" t="str">
        <f aca="false">IF(Raw_Nigeria!B563="",TRIM(Raw_Nigeria!C563),TRIM(Raw_Nigeria!B563))</f>
        <v>Nigeria Demographic and Health Survey 2018</v>
      </c>
      <c r="C563" s="7" t="str">
        <f aca="false">IF(ISNUMBER(SEARCH("Demographic and Health",B563)),"DHS",IF(OR(ISNUMBER(SEARCH("Multiple Indicator Cluster",B563)),ISNUMBER(SEARCH("MICS",B563))),"MICS",IF(ISNUMBER(SEARCH("Immunization Coverage Survey",B563)),"Coverage survey",IF(ISNUMBER(SEARCH("Nutrition",B563)),"Nutrition survey","Other"))))</f>
        <v>DHS</v>
      </c>
      <c r="D563" s="7" t="n">
        <f aca="false">VALUE(LEFT(Raw_Nigeria!D563,4))</f>
        <v>2018</v>
      </c>
      <c r="E563" s="7" t="n">
        <f aca="false">IF(VALUE(RIGHT(Raw_Nigeria!D563,2))&gt;12,"",VALUE(RIGHT(Raw_Nigeria!D563,2)))</f>
        <v>8</v>
      </c>
      <c r="F563" s="7" t="n">
        <f aca="false">VALUE(LEFT(Raw_Nigeria!E563,4))</f>
        <v>2018</v>
      </c>
      <c r="G563" s="7" t="n">
        <f aca="false">IF(VALUE(RIGHT(Raw_Nigeria!E563,2))&gt;12,"",VALUE(RIGHT(Raw_Nigeria!E563,2)))</f>
        <v>12</v>
      </c>
      <c r="H563" s="7" t="n">
        <f aca="false">Raw_Nigeria!F563</f>
        <v>2016</v>
      </c>
      <c r="I563" s="7" t="str">
        <f aca="false">UPPER(TRIM(Raw_Nigeria!G563))</f>
        <v>HIB1</v>
      </c>
      <c r="J563" s="7" t="str">
        <f aca="false">Raw_Nigeria!H563</f>
        <v>Recall</v>
      </c>
      <c r="K563" s="7" t="str">
        <f aca="false">Raw_Nigeria!L563</f>
        <v>24-35 m</v>
      </c>
      <c r="L563" s="7" t="str">
        <f aca="false">IF(Raw_Nigeria!K563="","n/a",Raw_Nigeria!K563)</f>
        <v>0-35 m</v>
      </c>
      <c r="M563" s="7" t="str">
        <f aca="false">IF(Raw_Nigeria!I563="","",Raw_Nigeria!I563)</f>
        <v/>
      </c>
      <c r="N563" s="7" t="n">
        <f aca="false">Raw_Nigeria!M563</f>
        <v>34.3</v>
      </c>
      <c r="O563" s="7" t="n">
        <f aca="false">IF(Raw_Nigeria!N563="","",Raw_Nigeria!N563)</f>
        <v>4120</v>
      </c>
      <c r="P563" s="7" t="str">
        <f aca="false">IF(K563="CBAW","Women of child-bearing age","Children")</f>
        <v>Children</v>
      </c>
      <c r="Q563" s="7" t="n">
        <f aca="false">IF(J563="NOT USED",1,0)</f>
        <v>0</v>
      </c>
      <c r="R563" s="7" t="n">
        <f aca="false">IF(AND(P563="Children",Q563=0),1,0)</f>
        <v>1</v>
      </c>
      <c r="S563" s="7" t="n">
        <f aca="false">IF(AND(R563=1,J563="Record or Recall",K563="12-23 m"),1,0)</f>
        <v>0</v>
      </c>
      <c r="T563" s="7" t="n">
        <f aca="false">IF(OR(I563="BCG",I563="DTP1",I563="DTP3",I563="POL3",I563="MCV1",I563="FULL"),1,0)</f>
        <v>0</v>
      </c>
      <c r="U563" s="7" t="n">
        <f aca="false">IF(OR(C563="DHS",C563="MICS"),1,0)</f>
        <v>1</v>
      </c>
      <c r="V563" s="7" t="n">
        <f aca="false">IF(O563="",1,0)</f>
        <v>0</v>
      </c>
      <c r="W563" s="7" t="n">
        <f aca="false">IF(M563="",1,0)</f>
        <v>1</v>
      </c>
      <c r="X563" s="7" t="n">
        <f aca="false">COUNTIFS($B$2:$B$1141,B563,$H$2:$H$1141,H563,$I$2:$I$1141,I563,$J$2:$J$1141,J563,$K$2:$K$1141,K563,$L$2:$L$1141,L563)</f>
        <v>1</v>
      </c>
    </row>
    <row r="564" customFormat="false" ht="15" hidden="false" customHeight="false" outlineLevel="0" collapsed="false">
      <c r="A564" s="7" t="n">
        <f aca="false">ROW()-1</f>
        <v>563</v>
      </c>
      <c r="B564" s="7" t="str">
        <f aca="false">IF(Raw_Nigeria!B564="",TRIM(Raw_Nigeria!C564),TRIM(Raw_Nigeria!B564))</f>
        <v>Nigeria Demographic and Health Survey 2018</v>
      </c>
      <c r="C564" s="7" t="str">
        <f aca="false">IF(ISNUMBER(SEARCH("Demographic and Health",B564)),"DHS",IF(OR(ISNUMBER(SEARCH("Multiple Indicator Cluster",B564)),ISNUMBER(SEARCH("MICS",B564))),"MICS",IF(ISNUMBER(SEARCH("Immunization Coverage Survey",B564)),"Coverage survey",IF(ISNUMBER(SEARCH("Nutrition",B564)),"Nutrition survey","Other"))))</f>
        <v>DHS</v>
      </c>
      <c r="D564" s="7" t="n">
        <f aca="false">VALUE(LEFT(Raw_Nigeria!D564,4))</f>
        <v>2018</v>
      </c>
      <c r="E564" s="7" t="n">
        <f aca="false">IF(VALUE(RIGHT(Raw_Nigeria!D564,2))&gt;12,"",VALUE(RIGHT(Raw_Nigeria!D564,2)))</f>
        <v>8</v>
      </c>
      <c r="F564" s="7" t="n">
        <f aca="false">VALUE(LEFT(Raw_Nigeria!E564,4))</f>
        <v>2018</v>
      </c>
      <c r="G564" s="7" t="n">
        <f aca="false">IF(VALUE(RIGHT(Raw_Nigeria!E564,2))&gt;12,"",VALUE(RIGHT(Raw_Nigeria!E564,2)))</f>
        <v>12</v>
      </c>
      <c r="H564" s="7" t="n">
        <f aca="false">Raw_Nigeria!F564</f>
        <v>2016</v>
      </c>
      <c r="I564" s="7" t="str">
        <f aca="false">UPPER(TRIM(Raw_Nigeria!G564))</f>
        <v>HIB2</v>
      </c>
      <c r="J564" s="7" t="str">
        <f aca="false">Raw_Nigeria!H564</f>
        <v>Record or Recall&lt;12m</v>
      </c>
      <c r="K564" s="7" t="str">
        <f aca="false">Raw_Nigeria!L564</f>
        <v>24-35 m</v>
      </c>
      <c r="L564" s="7" t="str">
        <f aca="false">IF(Raw_Nigeria!K564="","n/a",Raw_Nigeria!K564)</f>
        <v>0-12 m</v>
      </c>
      <c r="M564" s="7" t="str">
        <f aca="false">IF(Raw_Nigeria!I564="","",Raw_Nigeria!I564)</f>
        <v/>
      </c>
      <c r="N564" s="7" t="n">
        <f aca="false">Raw_Nigeria!M564</f>
        <v>52.3</v>
      </c>
      <c r="O564" s="7" t="n">
        <f aca="false">IF(Raw_Nigeria!N564="","",Raw_Nigeria!N564)</f>
        <v>5835</v>
      </c>
      <c r="P564" s="7" t="str">
        <f aca="false">IF(K564="CBAW","Women of child-bearing age","Children")</f>
        <v>Children</v>
      </c>
      <c r="Q564" s="7" t="n">
        <f aca="false">IF(J564="NOT USED",1,0)</f>
        <v>0</v>
      </c>
      <c r="R564" s="7" t="n">
        <f aca="false">IF(AND(P564="Children",Q564=0),1,0)</f>
        <v>1</v>
      </c>
      <c r="S564" s="7" t="n">
        <f aca="false">IF(AND(R564=1,J564="Record or Recall",K564="12-23 m"),1,0)</f>
        <v>0</v>
      </c>
      <c r="T564" s="7" t="n">
        <f aca="false">IF(OR(I564="BCG",I564="DTP1",I564="DTP3",I564="POL3",I564="MCV1",I564="FULL"),1,0)</f>
        <v>0</v>
      </c>
      <c r="U564" s="7" t="n">
        <f aca="false">IF(OR(C564="DHS",C564="MICS"),1,0)</f>
        <v>1</v>
      </c>
      <c r="V564" s="7" t="n">
        <f aca="false">IF(O564="",1,0)</f>
        <v>0</v>
      </c>
      <c r="W564" s="7" t="n">
        <f aca="false">IF(M564="",1,0)</f>
        <v>1</v>
      </c>
      <c r="X564" s="7" t="n">
        <f aca="false">COUNTIFS($B$2:$B$1141,B564,$H$2:$H$1141,H564,$I$2:$I$1141,I564,$J$2:$J$1141,J564,$K$2:$K$1141,K564,$L$2:$L$1141,L564)</f>
        <v>1</v>
      </c>
    </row>
    <row r="565" customFormat="false" ht="15" hidden="false" customHeight="false" outlineLevel="0" collapsed="false">
      <c r="A565" s="7" t="n">
        <f aca="false">ROW()-1</f>
        <v>564</v>
      </c>
      <c r="B565" s="7" t="str">
        <f aca="false">IF(Raw_Nigeria!B565="",TRIM(Raw_Nigeria!C565),TRIM(Raw_Nigeria!B565))</f>
        <v>Nigeria Demographic and Health Survey 2018</v>
      </c>
      <c r="C565" s="7" t="str">
        <f aca="false">IF(ISNUMBER(SEARCH("Demographic and Health",B565)),"DHS",IF(OR(ISNUMBER(SEARCH("Multiple Indicator Cluster",B565)),ISNUMBER(SEARCH("MICS",B565))),"MICS",IF(ISNUMBER(SEARCH("Immunization Coverage Survey",B565)),"Coverage survey",IF(ISNUMBER(SEARCH("Nutrition",B565)),"Nutrition survey","Other"))))</f>
        <v>DHS</v>
      </c>
      <c r="D565" s="7" t="n">
        <f aca="false">VALUE(LEFT(Raw_Nigeria!D565,4))</f>
        <v>2018</v>
      </c>
      <c r="E565" s="7" t="n">
        <f aca="false">IF(VALUE(RIGHT(Raw_Nigeria!D565,2))&gt;12,"",VALUE(RIGHT(Raw_Nigeria!D565,2)))</f>
        <v>8</v>
      </c>
      <c r="F565" s="7" t="n">
        <f aca="false">VALUE(LEFT(Raw_Nigeria!E565,4))</f>
        <v>2018</v>
      </c>
      <c r="G565" s="7" t="n">
        <f aca="false">IF(VALUE(RIGHT(Raw_Nigeria!E565,2))&gt;12,"",VALUE(RIGHT(Raw_Nigeria!E565,2)))</f>
        <v>12</v>
      </c>
      <c r="H565" s="7" t="n">
        <f aca="false">Raw_Nigeria!F565</f>
        <v>2016</v>
      </c>
      <c r="I565" s="7" t="str">
        <f aca="false">UPPER(TRIM(Raw_Nigeria!G565))</f>
        <v>HIB2</v>
      </c>
      <c r="J565" s="7" t="str">
        <f aca="false">Raw_Nigeria!H565</f>
        <v>Record</v>
      </c>
      <c r="K565" s="7" t="str">
        <f aca="false">Raw_Nigeria!L565</f>
        <v>24-35 m</v>
      </c>
      <c r="L565" s="7" t="str">
        <f aca="false">IF(Raw_Nigeria!K565="","n/a",Raw_Nigeria!K565)</f>
        <v>0-35 m</v>
      </c>
      <c r="M565" s="7" t="str">
        <f aca="false">IF(Raw_Nigeria!I565="","",Raw_Nigeria!I565)</f>
        <v/>
      </c>
      <c r="N565" s="7" t="n">
        <f aca="false">Raw_Nigeria!M565</f>
        <v>26.3</v>
      </c>
      <c r="O565" s="7" t="n">
        <f aca="false">IF(Raw_Nigeria!N565="","",Raw_Nigeria!N565)</f>
        <v>1715</v>
      </c>
      <c r="P565" s="7" t="str">
        <f aca="false">IF(K565="CBAW","Women of child-bearing age","Children")</f>
        <v>Children</v>
      </c>
      <c r="Q565" s="7" t="n">
        <f aca="false">IF(J565="NOT USED",1,0)</f>
        <v>0</v>
      </c>
      <c r="R565" s="7" t="n">
        <f aca="false">IF(AND(P565="Children",Q565=0),1,0)</f>
        <v>1</v>
      </c>
      <c r="S565" s="7" t="n">
        <f aca="false">IF(AND(R565=1,J565="Record or Recall",K565="12-23 m"),1,0)</f>
        <v>0</v>
      </c>
      <c r="T565" s="7" t="n">
        <f aca="false">IF(OR(I565="BCG",I565="DTP1",I565="DTP3",I565="POL3",I565="MCV1",I565="FULL"),1,0)</f>
        <v>0</v>
      </c>
      <c r="U565" s="7" t="n">
        <f aca="false">IF(OR(C565="DHS",C565="MICS"),1,0)</f>
        <v>1</v>
      </c>
      <c r="V565" s="7" t="n">
        <f aca="false">IF(O565="",1,0)</f>
        <v>0</v>
      </c>
      <c r="W565" s="7" t="n">
        <f aca="false">IF(M565="",1,0)</f>
        <v>1</v>
      </c>
      <c r="X565" s="7" t="n">
        <f aca="false">COUNTIFS($B$2:$B$1141,B565,$H$2:$H$1141,H565,$I$2:$I$1141,I565,$J$2:$J$1141,J565,$K$2:$K$1141,K565,$L$2:$L$1141,L565)</f>
        <v>1</v>
      </c>
    </row>
    <row r="566" customFormat="false" ht="15" hidden="false" customHeight="false" outlineLevel="0" collapsed="false">
      <c r="A566" s="7" t="n">
        <f aca="false">ROW()-1</f>
        <v>565</v>
      </c>
      <c r="B566" s="7" t="str">
        <f aca="false">IF(Raw_Nigeria!B566="",TRIM(Raw_Nigeria!C566),TRIM(Raw_Nigeria!B566))</f>
        <v>Nigeria Demographic and Health Survey 2018</v>
      </c>
      <c r="C566" s="7" t="str">
        <f aca="false">IF(ISNUMBER(SEARCH("Demographic and Health",B566)),"DHS",IF(OR(ISNUMBER(SEARCH("Multiple Indicator Cluster",B566)),ISNUMBER(SEARCH("MICS",B566))),"MICS",IF(ISNUMBER(SEARCH("Immunization Coverage Survey",B566)),"Coverage survey",IF(ISNUMBER(SEARCH("Nutrition",B566)),"Nutrition survey","Other"))))</f>
        <v>DHS</v>
      </c>
      <c r="D566" s="7" t="n">
        <f aca="false">VALUE(LEFT(Raw_Nigeria!D566,4))</f>
        <v>2018</v>
      </c>
      <c r="E566" s="7" t="n">
        <f aca="false">IF(VALUE(RIGHT(Raw_Nigeria!D566,2))&gt;12,"",VALUE(RIGHT(Raw_Nigeria!D566,2)))</f>
        <v>8</v>
      </c>
      <c r="F566" s="7" t="n">
        <f aca="false">VALUE(LEFT(Raw_Nigeria!E566,4))</f>
        <v>2018</v>
      </c>
      <c r="G566" s="7" t="n">
        <f aca="false">IF(VALUE(RIGHT(Raw_Nigeria!E566,2))&gt;12,"",VALUE(RIGHT(Raw_Nigeria!E566,2)))</f>
        <v>12</v>
      </c>
      <c r="H566" s="7" t="n">
        <f aca="false">Raw_Nigeria!F566</f>
        <v>2016</v>
      </c>
      <c r="I566" s="7" t="str">
        <f aca="false">UPPER(TRIM(Raw_Nigeria!G566))</f>
        <v>HIB2</v>
      </c>
      <c r="J566" s="7" t="str">
        <f aca="false">Raw_Nigeria!H566</f>
        <v>Record or Recall</v>
      </c>
      <c r="K566" s="7" t="str">
        <f aca="false">Raw_Nigeria!L566</f>
        <v>24-35 m</v>
      </c>
      <c r="L566" s="7" t="str">
        <f aca="false">IF(Raw_Nigeria!K566="","n/a",Raw_Nigeria!K566)</f>
        <v>0-35 m</v>
      </c>
      <c r="M566" s="7" t="str">
        <f aca="false">IF(Raw_Nigeria!I566="","",Raw_Nigeria!I566)</f>
        <v/>
      </c>
      <c r="N566" s="7" t="n">
        <f aca="false">Raw_Nigeria!M566</f>
        <v>54.2</v>
      </c>
      <c r="O566" s="7" t="n">
        <f aca="false">IF(Raw_Nigeria!N566="","",Raw_Nigeria!N566)</f>
        <v>5835</v>
      </c>
      <c r="P566" s="7" t="str">
        <f aca="false">IF(K566="CBAW","Women of child-bearing age","Children")</f>
        <v>Children</v>
      </c>
      <c r="Q566" s="7" t="n">
        <f aca="false">IF(J566="NOT USED",1,0)</f>
        <v>0</v>
      </c>
      <c r="R566" s="7" t="n">
        <f aca="false">IF(AND(P566="Children",Q566=0),1,0)</f>
        <v>1</v>
      </c>
      <c r="S566" s="7" t="n">
        <f aca="false">IF(AND(R566=1,J566="Record or Recall",K566="12-23 m"),1,0)</f>
        <v>0</v>
      </c>
      <c r="T566" s="7" t="n">
        <f aca="false">IF(OR(I566="BCG",I566="DTP1",I566="DTP3",I566="POL3",I566="MCV1",I566="FULL"),1,0)</f>
        <v>0</v>
      </c>
      <c r="U566" s="7" t="n">
        <f aca="false">IF(OR(C566="DHS",C566="MICS"),1,0)</f>
        <v>1</v>
      </c>
      <c r="V566" s="7" t="n">
        <f aca="false">IF(O566="",1,0)</f>
        <v>0</v>
      </c>
      <c r="W566" s="7" t="n">
        <f aca="false">IF(M566="",1,0)</f>
        <v>1</v>
      </c>
      <c r="X566" s="7" t="n">
        <f aca="false">COUNTIFS($B$2:$B$1141,B566,$H$2:$H$1141,H566,$I$2:$I$1141,I566,$J$2:$J$1141,J566,$K$2:$K$1141,K566,$L$2:$L$1141,L566)</f>
        <v>1</v>
      </c>
    </row>
    <row r="567" customFormat="false" ht="15" hidden="false" customHeight="false" outlineLevel="0" collapsed="false">
      <c r="A567" s="7" t="n">
        <f aca="false">ROW()-1</f>
        <v>566</v>
      </c>
      <c r="B567" s="7" t="str">
        <f aca="false">IF(Raw_Nigeria!B567="",TRIM(Raw_Nigeria!C567),TRIM(Raw_Nigeria!B567))</f>
        <v>Nigeria Demographic and Health Survey 2018</v>
      </c>
      <c r="C567" s="7" t="str">
        <f aca="false">IF(ISNUMBER(SEARCH("Demographic and Health",B567)),"DHS",IF(OR(ISNUMBER(SEARCH("Multiple Indicator Cluster",B567)),ISNUMBER(SEARCH("MICS",B567))),"MICS",IF(ISNUMBER(SEARCH("Immunization Coverage Survey",B567)),"Coverage survey",IF(ISNUMBER(SEARCH("Nutrition",B567)),"Nutrition survey","Other"))))</f>
        <v>DHS</v>
      </c>
      <c r="D567" s="7" t="n">
        <f aca="false">VALUE(LEFT(Raw_Nigeria!D567,4))</f>
        <v>2018</v>
      </c>
      <c r="E567" s="7" t="n">
        <f aca="false">IF(VALUE(RIGHT(Raw_Nigeria!D567,2))&gt;12,"",VALUE(RIGHT(Raw_Nigeria!D567,2)))</f>
        <v>8</v>
      </c>
      <c r="F567" s="7" t="n">
        <f aca="false">VALUE(LEFT(Raw_Nigeria!E567,4))</f>
        <v>2018</v>
      </c>
      <c r="G567" s="7" t="n">
        <f aca="false">IF(VALUE(RIGHT(Raw_Nigeria!E567,2))&gt;12,"",VALUE(RIGHT(Raw_Nigeria!E567,2)))</f>
        <v>12</v>
      </c>
      <c r="H567" s="7" t="n">
        <f aca="false">Raw_Nigeria!F567</f>
        <v>2016</v>
      </c>
      <c r="I567" s="7" t="str">
        <f aca="false">UPPER(TRIM(Raw_Nigeria!G567))</f>
        <v>HIB2</v>
      </c>
      <c r="J567" s="7" t="str">
        <f aca="false">Raw_Nigeria!H567</f>
        <v>Recall</v>
      </c>
      <c r="K567" s="7" t="str">
        <f aca="false">Raw_Nigeria!L567</f>
        <v>24-35 m</v>
      </c>
      <c r="L567" s="7" t="str">
        <f aca="false">IF(Raw_Nigeria!K567="","n/a",Raw_Nigeria!K567)</f>
        <v>0-35 m</v>
      </c>
      <c r="M567" s="7" t="str">
        <f aca="false">IF(Raw_Nigeria!I567="","",Raw_Nigeria!I567)</f>
        <v/>
      </c>
      <c r="N567" s="7" t="n">
        <f aca="false">Raw_Nigeria!M567</f>
        <v>28</v>
      </c>
      <c r="O567" s="7" t="n">
        <f aca="false">IF(Raw_Nigeria!N567="","",Raw_Nigeria!N567)</f>
        <v>4120</v>
      </c>
      <c r="P567" s="7" t="str">
        <f aca="false">IF(K567="CBAW","Women of child-bearing age","Children")</f>
        <v>Children</v>
      </c>
      <c r="Q567" s="7" t="n">
        <f aca="false">IF(J567="NOT USED",1,0)</f>
        <v>0</v>
      </c>
      <c r="R567" s="7" t="n">
        <f aca="false">IF(AND(P567="Children",Q567=0),1,0)</f>
        <v>1</v>
      </c>
      <c r="S567" s="7" t="n">
        <f aca="false">IF(AND(R567=1,J567="Record or Recall",K567="12-23 m"),1,0)</f>
        <v>0</v>
      </c>
      <c r="T567" s="7" t="n">
        <f aca="false">IF(OR(I567="BCG",I567="DTP1",I567="DTP3",I567="POL3",I567="MCV1",I567="FULL"),1,0)</f>
        <v>0</v>
      </c>
      <c r="U567" s="7" t="n">
        <f aca="false">IF(OR(C567="DHS",C567="MICS"),1,0)</f>
        <v>1</v>
      </c>
      <c r="V567" s="7" t="n">
        <f aca="false">IF(O567="",1,0)</f>
        <v>0</v>
      </c>
      <c r="W567" s="7" t="n">
        <f aca="false">IF(M567="",1,0)</f>
        <v>1</v>
      </c>
      <c r="X567" s="7" t="n">
        <f aca="false">COUNTIFS($B$2:$B$1141,B567,$H$2:$H$1141,H567,$I$2:$I$1141,I567,$J$2:$J$1141,J567,$K$2:$K$1141,K567,$L$2:$L$1141,L567)</f>
        <v>1</v>
      </c>
    </row>
    <row r="568" customFormat="false" ht="15" hidden="false" customHeight="false" outlineLevel="0" collapsed="false">
      <c r="A568" s="7" t="n">
        <f aca="false">ROW()-1</f>
        <v>567</v>
      </c>
      <c r="B568" s="7" t="str">
        <f aca="false">IF(Raw_Nigeria!B568="",TRIM(Raw_Nigeria!C568),TRIM(Raw_Nigeria!B568))</f>
        <v>Nigeria Demographic and Health Survey 2018</v>
      </c>
      <c r="C568" s="7" t="str">
        <f aca="false">IF(ISNUMBER(SEARCH("Demographic and Health",B568)),"DHS",IF(OR(ISNUMBER(SEARCH("Multiple Indicator Cluster",B568)),ISNUMBER(SEARCH("MICS",B568))),"MICS",IF(ISNUMBER(SEARCH("Immunization Coverage Survey",B568)),"Coverage survey",IF(ISNUMBER(SEARCH("Nutrition",B568)),"Nutrition survey","Other"))))</f>
        <v>DHS</v>
      </c>
      <c r="D568" s="7" t="n">
        <f aca="false">VALUE(LEFT(Raw_Nigeria!D568,4))</f>
        <v>2018</v>
      </c>
      <c r="E568" s="7" t="n">
        <f aca="false">IF(VALUE(RIGHT(Raw_Nigeria!D568,2))&gt;12,"",VALUE(RIGHT(Raw_Nigeria!D568,2)))</f>
        <v>8</v>
      </c>
      <c r="F568" s="7" t="n">
        <f aca="false">VALUE(LEFT(Raw_Nigeria!E568,4))</f>
        <v>2018</v>
      </c>
      <c r="G568" s="7" t="n">
        <f aca="false">IF(VALUE(RIGHT(Raw_Nigeria!E568,2))&gt;12,"",VALUE(RIGHT(Raw_Nigeria!E568,2)))</f>
        <v>12</v>
      </c>
      <c r="H568" s="7" t="n">
        <f aca="false">Raw_Nigeria!F568</f>
        <v>2016</v>
      </c>
      <c r="I568" s="7" t="str">
        <f aca="false">UPPER(TRIM(Raw_Nigeria!G568))</f>
        <v>HIB3</v>
      </c>
      <c r="J568" s="7" t="str">
        <f aca="false">Raw_Nigeria!H568</f>
        <v>Record or Recall&lt;12m</v>
      </c>
      <c r="K568" s="7" t="str">
        <f aca="false">Raw_Nigeria!L568</f>
        <v>24-35 m</v>
      </c>
      <c r="L568" s="7" t="str">
        <f aca="false">IF(Raw_Nigeria!K568="","n/a",Raw_Nigeria!K568)</f>
        <v>0-12 m</v>
      </c>
      <c r="M568" s="7" t="str">
        <f aca="false">IF(Raw_Nigeria!I568="","",Raw_Nigeria!I568)</f>
        <v/>
      </c>
      <c r="N568" s="7" t="n">
        <f aca="false">Raw_Nigeria!M568</f>
        <v>45.4</v>
      </c>
      <c r="O568" s="7" t="n">
        <f aca="false">IF(Raw_Nigeria!N568="","",Raw_Nigeria!N568)</f>
        <v>5835</v>
      </c>
      <c r="P568" s="7" t="str">
        <f aca="false">IF(K568="CBAW","Women of child-bearing age","Children")</f>
        <v>Children</v>
      </c>
      <c r="Q568" s="7" t="n">
        <f aca="false">IF(J568="NOT USED",1,0)</f>
        <v>0</v>
      </c>
      <c r="R568" s="7" t="n">
        <f aca="false">IF(AND(P568="Children",Q568=0),1,0)</f>
        <v>1</v>
      </c>
      <c r="S568" s="7" t="n">
        <f aca="false">IF(AND(R568=1,J568="Record or Recall",K568="12-23 m"),1,0)</f>
        <v>0</v>
      </c>
      <c r="T568" s="7" t="n">
        <f aca="false">IF(OR(I568="BCG",I568="DTP1",I568="DTP3",I568="POL3",I568="MCV1",I568="FULL"),1,0)</f>
        <v>0</v>
      </c>
      <c r="U568" s="7" t="n">
        <f aca="false">IF(OR(C568="DHS",C568="MICS"),1,0)</f>
        <v>1</v>
      </c>
      <c r="V568" s="7" t="n">
        <f aca="false">IF(O568="",1,0)</f>
        <v>0</v>
      </c>
      <c r="W568" s="7" t="n">
        <f aca="false">IF(M568="",1,0)</f>
        <v>1</v>
      </c>
      <c r="X568" s="7" t="n">
        <f aca="false">COUNTIFS($B$2:$B$1141,B568,$H$2:$H$1141,H568,$I$2:$I$1141,I568,$J$2:$J$1141,J568,$K$2:$K$1141,K568,$L$2:$L$1141,L568)</f>
        <v>1</v>
      </c>
    </row>
    <row r="569" customFormat="false" ht="15" hidden="false" customHeight="false" outlineLevel="0" collapsed="false">
      <c r="A569" s="7" t="n">
        <f aca="false">ROW()-1</f>
        <v>568</v>
      </c>
      <c r="B569" s="7" t="str">
        <f aca="false">IF(Raw_Nigeria!B569="",TRIM(Raw_Nigeria!C569),TRIM(Raw_Nigeria!B569))</f>
        <v>Nigeria Demographic and Health Survey 2018</v>
      </c>
      <c r="C569" s="7" t="str">
        <f aca="false">IF(ISNUMBER(SEARCH("Demographic and Health",B569)),"DHS",IF(OR(ISNUMBER(SEARCH("Multiple Indicator Cluster",B569)),ISNUMBER(SEARCH("MICS",B569))),"MICS",IF(ISNUMBER(SEARCH("Immunization Coverage Survey",B569)),"Coverage survey",IF(ISNUMBER(SEARCH("Nutrition",B569)),"Nutrition survey","Other"))))</f>
        <v>DHS</v>
      </c>
      <c r="D569" s="7" t="n">
        <f aca="false">VALUE(LEFT(Raw_Nigeria!D569,4))</f>
        <v>2018</v>
      </c>
      <c r="E569" s="7" t="n">
        <f aca="false">IF(VALUE(RIGHT(Raw_Nigeria!D569,2))&gt;12,"",VALUE(RIGHT(Raw_Nigeria!D569,2)))</f>
        <v>8</v>
      </c>
      <c r="F569" s="7" t="n">
        <f aca="false">VALUE(LEFT(Raw_Nigeria!E569,4))</f>
        <v>2018</v>
      </c>
      <c r="G569" s="7" t="n">
        <f aca="false">IF(VALUE(RIGHT(Raw_Nigeria!E569,2))&gt;12,"",VALUE(RIGHT(Raw_Nigeria!E569,2)))</f>
        <v>12</v>
      </c>
      <c r="H569" s="7" t="n">
        <f aca="false">Raw_Nigeria!F569</f>
        <v>2016</v>
      </c>
      <c r="I569" s="7" t="str">
        <f aca="false">UPPER(TRIM(Raw_Nigeria!G569))</f>
        <v>HIB3</v>
      </c>
      <c r="J569" s="7" t="str">
        <f aca="false">Raw_Nigeria!H569</f>
        <v>Record</v>
      </c>
      <c r="K569" s="7" t="str">
        <f aca="false">Raw_Nigeria!L569</f>
        <v>24-35 m</v>
      </c>
      <c r="L569" s="7" t="str">
        <f aca="false">IF(Raw_Nigeria!K569="","n/a",Raw_Nigeria!K569)</f>
        <v>0-35 m</v>
      </c>
      <c r="M569" s="7" t="str">
        <f aca="false">IF(Raw_Nigeria!I569="","",Raw_Nigeria!I569)</f>
        <v/>
      </c>
      <c r="N569" s="7" t="n">
        <f aca="false">Raw_Nigeria!M569</f>
        <v>24.4</v>
      </c>
      <c r="O569" s="7" t="n">
        <f aca="false">IF(Raw_Nigeria!N569="","",Raw_Nigeria!N569)</f>
        <v>1715</v>
      </c>
      <c r="P569" s="7" t="str">
        <f aca="false">IF(K569="CBAW","Women of child-bearing age","Children")</f>
        <v>Children</v>
      </c>
      <c r="Q569" s="7" t="n">
        <f aca="false">IF(J569="NOT USED",1,0)</f>
        <v>0</v>
      </c>
      <c r="R569" s="7" t="n">
        <f aca="false">IF(AND(P569="Children",Q569=0),1,0)</f>
        <v>1</v>
      </c>
      <c r="S569" s="7" t="n">
        <f aca="false">IF(AND(R569=1,J569="Record or Recall",K569="12-23 m"),1,0)</f>
        <v>0</v>
      </c>
      <c r="T569" s="7" t="n">
        <f aca="false">IF(OR(I569="BCG",I569="DTP1",I569="DTP3",I569="POL3",I569="MCV1",I569="FULL"),1,0)</f>
        <v>0</v>
      </c>
      <c r="U569" s="7" t="n">
        <f aca="false">IF(OR(C569="DHS",C569="MICS"),1,0)</f>
        <v>1</v>
      </c>
      <c r="V569" s="7" t="n">
        <f aca="false">IF(O569="",1,0)</f>
        <v>0</v>
      </c>
      <c r="W569" s="7" t="n">
        <f aca="false">IF(M569="",1,0)</f>
        <v>1</v>
      </c>
      <c r="X569" s="7" t="n">
        <f aca="false">COUNTIFS($B$2:$B$1141,B569,$H$2:$H$1141,H569,$I$2:$I$1141,I569,$J$2:$J$1141,J569,$K$2:$K$1141,K569,$L$2:$L$1141,L569)</f>
        <v>1</v>
      </c>
    </row>
    <row r="570" customFormat="false" ht="15" hidden="false" customHeight="false" outlineLevel="0" collapsed="false">
      <c r="A570" s="7" t="n">
        <f aca="false">ROW()-1</f>
        <v>569</v>
      </c>
      <c r="B570" s="7" t="str">
        <f aca="false">IF(Raw_Nigeria!B570="",TRIM(Raw_Nigeria!C570),TRIM(Raw_Nigeria!B570))</f>
        <v>Nigeria Demographic and Health Survey 2018</v>
      </c>
      <c r="C570" s="7" t="str">
        <f aca="false">IF(ISNUMBER(SEARCH("Demographic and Health",B570)),"DHS",IF(OR(ISNUMBER(SEARCH("Multiple Indicator Cluster",B570)),ISNUMBER(SEARCH("MICS",B570))),"MICS",IF(ISNUMBER(SEARCH("Immunization Coverage Survey",B570)),"Coverage survey",IF(ISNUMBER(SEARCH("Nutrition",B570)),"Nutrition survey","Other"))))</f>
        <v>DHS</v>
      </c>
      <c r="D570" s="7" t="n">
        <f aca="false">VALUE(LEFT(Raw_Nigeria!D570,4))</f>
        <v>2018</v>
      </c>
      <c r="E570" s="7" t="n">
        <f aca="false">IF(VALUE(RIGHT(Raw_Nigeria!D570,2))&gt;12,"",VALUE(RIGHT(Raw_Nigeria!D570,2)))</f>
        <v>8</v>
      </c>
      <c r="F570" s="7" t="n">
        <f aca="false">VALUE(LEFT(Raw_Nigeria!E570,4))</f>
        <v>2018</v>
      </c>
      <c r="G570" s="7" t="n">
        <f aca="false">IF(VALUE(RIGHT(Raw_Nigeria!E570,2))&gt;12,"",VALUE(RIGHT(Raw_Nigeria!E570,2)))</f>
        <v>12</v>
      </c>
      <c r="H570" s="7" t="n">
        <f aca="false">Raw_Nigeria!F570</f>
        <v>2016</v>
      </c>
      <c r="I570" s="7" t="str">
        <f aca="false">UPPER(TRIM(Raw_Nigeria!G570))</f>
        <v>HIB3</v>
      </c>
      <c r="J570" s="7" t="str">
        <f aca="false">Raw_Nigeria!H570</f>
        <v>Record or Recall</v>
      </c>
      <c r="K570" s="7" t="str">
        <f aca="false">Raw_Nigeria!L570</f>
        <v>24-35 m</v>
      </c>
      <c r="L570" s="7" t="str">
        <f aca="false">IF(Raw_Nigeria!K570="","n/a",Raw_Nigeria!K570)</f>
        <v>0-35 m</v>
      </c>
      <c r="M570" s="7" t="str">
        <f aca="false">IF(Raw_Nigeria!I570="","",Raw_Nigeria!I570)</f>
        <v/>
      </c>
      <c r="N570" s="7" t="n">
        <f aca="false">Raw_Nigeria!M570</f>
        <v>47.5</v>
      </c>
      <c r="O570" s="7" t="n">
        <f aca="false">IF(Raw_Nigeria!N570="","",Raw_Nigeria!N570)</f>
        <v>5835</v>
      </c>
      <c r="P570" s="7" t="str">
        <f aca="false">IF(K570="CBAW","Women of child-bearing age","Children")</f>
        <v>Children</v>
      </c>
      <c r="Q570" s="7" t="n">
        <f aca="false">IF(J570="NOT USED",1,0)</f>
        <v>0</v>
      </c>
      <c r="R570" s="7" t="n">
        <f aca="false">IF(AND(P570="Children",Q570=0),1,0)</f>
        <v>1</v>
      </c>
      <c r="S570" s="7" t="n">
        <f aca="false">IF(AND(R570=1,J570="Record or Recall",K570="12-23 m"),1,0)</f>
        <v>0</v>
      </c>
      <c r="T570" s="7" t="n">
        <f aca="false">IF(OR(I570="BCG",I570="DTP1",I570="DTP3",I570="POL3",I570="MCV1",I570="FULL"),1,0)</f>
        <v>0</v>
      </c>
      <c r="U570" s="7" t="n">
        <f aca="false">IF(OR(C570="DHS",C570="MICS"),1,0)</f>
        <v>1</v>
      </c>
      <c r="V570" s="7" t="n">
        <f aca="false">IF(O570="",1,0)</f>
        <v>0</v>
      </c>
      <c r="W570" s="7" t="n">
        <f aca="false">IF(M570="",1,0)</f>
        <v>1</v>
      </c>
      <c r="X570" s="7" t="n">
        <f aca="false">COUNTIFS($B$2:$B$1141,B570,$H$2:$H$1141,H570,$I$2:$I$1141,I570,$J$2:$J$1141,J570,$K$2:$K$1141,K570,$L$2:$L$1141,L570)</f>
        <v>1</v>
      </c>
    </row>
    <row r="571" customFormat="false" ht="15" hidden="false" customHeight="false" outlineLevel="0" collapsed="false">
      <c r="A571" s="7" t="n">
        <f aca="false">ROW()-1</f>
        <v>570</v>
      </c>
      <c r="B571" s="7" t="str">
        <f aca="false">IF(Raw_Nigeria!B571="",TRIM(Raw_Nigeria!C571),TRIM(Raw_Nigeria!B571))</f>
        <v>Nigeria Demographic and Health Survey 2018</v>
      </c>
      <c r="C571" s="7" t="str">
        <f aca="false">IF(ISNUMBER(SEARCH("Demographic and Health",B571)),"DHS",IF(OR(ISNUMBER(SEARCH("Multiple Indicator Cluster",B571)),ISNUMBER(SEARCH("MICS",B571))),"MICS",IF(ISNUMBER(SEARCH("Immunization Coverage Survey",B571)),"Coverage survey",IF(ISNUMBER(SEARCH("Nutrition",B571)),"Nutrition survey","Other"))))</f>
        <v>DHS</v>
      </c>
      <c r="D571" s="7" t="n">
        <f aca="false">VALUE(LEFT(Raw_Nigeria!D571,4))</f>
        <v>2018</v>
      </c>
      <c r="E571" s="7" t="n">
        <f aca="false">IF(VALUE(RIGHT(Raw_Nigeria!D571,2))&gt;12,"",VALUE(RIGHT(Raw_Nigeria!D571,2)))</f>
        <v>8</v>
      </c>
      <c r="F571" s="7" t="n">
        <f aca="false">VALUE(LEFT(Raw_Nigeria!E571,4))</f>
        <v>2018</v>
      </c>
      <c r="G571" s="7" t="n">
        <f aca="false">IF(VALUE(RIGHT(Raw_Nigeria!E571,2))&gt;12,"",VALUE(RIGHT(Raw_Nigeria!E571,2)))</f>
        <v>12</v>
      </c>
      <c r="H571" s="7" t="n">
        <f aca="false">Raw_Nigeria!F571</f>
        <v>2016</v>
      </c>
      <c r="I571" s="7" t="str">
        <f aca="false">UPPER(TRIM(Raw_Nigeria!G571))</f>
        <v>HIB3</v>
      </c>
      <c r="J571" s="7" t="str">
        <f aca="false">Raw_Nigeria!H571</f>
        <v>Recall</v>
      </c>
      <c r="K571" s="7" t="str">
        <f aca="false">Raw_Nigeria!L571</f>
        <v>24-35 m</v>
      </c>
      <c r="L571" s="7" t="str">
        <f aca="false">IF(Raw_Nigeria!K571="","n/a",Raw_Nigeria!K571)</f>
        <v>0-35 m</v>
      </c>
      <c r="M571" s="7" t="str">
        <f aca="false">IF(Raw_Nigeria!I571="","",Raw_Nigeria!I571)</f>
        <v/>
      </c>
      <c r="N571" s="7" t="n">
        <f aca="false">Raw_Nigeria!M571</f>
        <v>23.2</v>
      </c>
      <c r="O571" s="7" t="n">
        <f aca="false">IF(Raw_Nigeria!N571="","",Raw_Nigeria!N571)</f>
        <v>4120</v>
      </c>
      <c r="P571" s="7" t="str">
        <f aca="false">IF(K571="CBAW","Women of child-bearing age","Children")</f>
        <v>Children</v>
      </c>
      <c r="Q571" s="7" t="n">
        <f aca="false">IF(J571="NOT USED",1,0)</f>
        <v>0</v>
      </c>
      <c r="R571" s="7" t="n">
        <f aca="false">IF(AND(P571="Children",Q571=0),1,0)</f>
        <v>1</v>
      </c>
      <c r="S571" s="7" t="n">
        <f aca="false">IF(AND(R571=1,J571="Record or Recall",K571="12-23 m"),1,0)</f>
        <v>0</v>
      </c>
      <c r="T571" s="7" t="n">
        <f aca="false">IF(OR(I571="BCG",I571="DTP1",I571="DTP3",I571="POL3",I571="MCV1",I571="FULL"),1,0)</f>
        <v>0</v>
      </c>
      <c r="U571" s="7" t="n">
        <f aca="false">IF(OR(C571="DHS",C571="MICS"),1,0)</f>
        <v>1</v>
      </c>
      <c r="V571" s="7" t="n">
        <f aca="false">IF(O571="",1,0)</f>
        <v>0</v>
      </c>
      <c r="W571" s="7" t="n">
        <f aca="false">IF(M571="",1,0)</f>
        <v>1</v>
      </c>
      <c r="X571" s="7" t="n">
        <f aca="false">COUNTIFS($B$2:$B$1141,B571,$H$2:$H$1141,H571,$I$2:$I$1141,I571,$J$2:$J$1141,J571,$K$2:$K$1141,K571,$L$2:$L$1141,L571)</f>
        <v>1</v>
      </c>
    </row>
    <row r="572" customFormat="false" ht="15" hidden="false" customHeight="false" outlineLevel="0" collapsed="false">
      <c r="A572" s="7" t="n">
        <f aca="false">ROW()-1</f>
        <v>571</v>
      </c>
      <c r="B572" s="7" t="str">
        <f aca="false">IF(Raw_Nigeria!B572="",TRIM(Raw_Nigeria!C572),TRIM(Raw_Nigeria!B572))</f>
        <v>Nigeria Demographic and Health Survey 2018</v>
      </c>
      <c r="C572" s="7" t="str">
        <f aca="false">IF(ISNUMBER(SEARCH("Demographic and Health",B572)),"DHS",IF(OR(ISNUMBER(SEARCH("Multiple Indicator Cluster",B572)),ISNUMBER(SEARCH("MICS",B572))),"MICS",IF(ISNUMBER(SEARCH("Immunization Coverage Survey",B572)),"Coverage survey",IF(ISNUMBER(SEARCH("Nutrition",B572)),"Nutrition survey","Other"))))</f>
        <v>DHS</v>
      </c>
      <c r="D572" s="7" t="n">
        <f aca="false">VALUE(LEFT(Raw_Nigeria!D572,4))</f>
        <v>2018</v>
      </c>
      <c r="E572" s="7" t="n">
        <f aca="false">IF(VALUE(RIGHT(Raw_Nigeria!D572,2))&gt;12,"",VALUE(RIGHT(Raw_Nigeria!D572,2)))</f>
        <v>8</v>
      </c>
      <c r="F572" s="7" t="n">
        <f aca="false">VALUE(LEFT(Raw_Nigeria!E572,4))</f>
        <v>2018</v>
      </c>
      <c r="G572" s="7" t="n">
        <f aca="false">IF(VALUE(RIGHT(Raw_Nigeria!E572,2))&gt;12,"",VALUE(RIGHT(Raw_Nigeria!E572,2)))</f>
        <v>12</v>
      </c>
      <c r="H572" s="7" t="n">
        <f aca="false">Raw_Nigeria!F572</f>
        <v>2016</v>
      </c>
      <c r="I572" s="7" t="str">
        <f aca="false">UPPER(TRIM(Raw_Nigeria!G572))</f>
        <v>IPV1</v>
      </c>
      <c r="J572" s="7" t="str">
        <f aca="false">Raw_Nigeria!H572</f>
        <v>Record or Recall&lt;12m</v>
      </c>
      <c r="K572" s="7" t="str">
        <f aca="false">Raw_Nigeria!L572</f>
        <v>24-35 m</v>
      </c>
      <c r="L572" s="7" t="str">
        <f aca="false">IF(Raw_Nigeria!K572="","n/a",Raw_Nigeria!K572)</f>
        <v>0-12 m</v>
      </c>
      <c r="M572" s="7" t="str">
        <f aca="false">IF(Raw_Nigeria!I572="","",Raw_Nigeria!I572)</f>
        <v/>
      </c>
      <c r="N572" s="7" t="n">
        <f aca="false">Raw_Nigeria!M572</f>
        <v>49.1</v>
      </c>
      <c r="O572" s="7" t="n">
        <f aca="false">IF(Raw_Nigeria!N572="","",Raw_Nigeria!N572)</f>
        <v>5835</v>
      </c>
      <c r="P572" s="7" t="str">
        <f aca="false">IF(K572="CBAW","Women of child-bearing age","Children")</f>
        <v>Children</v>
      </c>
      <c r="Q572" s="7" t="n">
        <f aca="false">IF(J572="NOT USED",1,0)</f>
        <v>0</v>
      </c>
      <c r="R572" s="7" t="n">
        <f aca="false">IF(AND(P572="Children",Q572=0),1,0)</f>
        <v>1</v>
      </c>
      <c r="S572" s="7" t="n">
        <f aca="false">IF(AND(R572=1,J572="Record or Recall",K572="12-23 m"),1,0)</f>
        <v>0</v>
      </c>
      <c r="T572" s="7" t="n">
        <f aca="false">IF(OR(I572="BCG",I572="DTP1",I572="DTP3",I572="POL3",I572="MCV1",I572="FULL"),1,0)</f>
        <v>0</v>
      </c>
      <c r="U572" s="7" t="n">
        <f aca="false">IF(OR(C572="DHS",C572="MICS"),1,0)</f>
        <v>1</v>
      </c>
      <c r="V572" s="7" t="n">
        <f aca="false">IF(O572="",1,0)</f>
        <v>0</v>
      </c>
      <c r="W572" s="7" t="n">
        <f aca="false">IF(M572="",1,0)</f>
        <v>1</v>
      </c>
      <c r="X572" s="7" t="n">
        <f aca="false">COUNTIFS($B$2:$B$1141,B572,$H$2:$H$1141,H572,$I$2:$I$1141,I572,$J$2:$J$1141,J572,$K$2:$K$1141,K572,$L$2:$L$1141,L572)</f>
        <v>1</v>
      </c>
    </row>
    <row r="573" customFormat="false" ht="15" hidden="false" customHeight="false" outlineLevel="0" collapsed="false">
      <c r="A573" s="7" t="n">
        <f aca="false">ROW()-1</f>
        <v>572</v>
      </c>
      <c r="B573" s="7" t="str">
        <f aca="false">IF(Raw_Nigeria!B573="",TRIM(Raw_Nigeria!C573),TRIM(Raw_Nigeria!B573))</f>
        <v>Nigeria Demographic and Health Survey 2018</v>
      </c>
      <c r="C573" s="7" t="str">
        <f aca="false">IF(ISNUMBER(SEARCH("Demographic and Health",B573)),"DHS",IF(OR(ISNUMBER(SEARCH("Multiple Indicator Cluster",B573)),ISNUMBER(SEARCH("MICS",B573))),"MICS",IF(ISNUMBER(SEARCH("Immunization Coverage Survey",B573)),"Coverage survey",IF(ISNUMBER(SEARCH("Nutrition",B573)),"Nutrition survey","Other"))))</f>
        <v>DHS</v>
      </c>
      <c r="D573" s="7" t="n">
        <f aca="false">VALUE(LEFT(Raw_Nigeria!D573,4))</f>
        <v>2018</v>
      </c>
      <c r="E573" s="7" t="n">
        <f aca="false">IF(VALUE(RIGHT(Raw_Nigeria!D573,2))&gt;12,"",VALUE(RIGHT(Raw_Nigeria!D573,2)))</f>
        <v>8</v>
      </c>
      <c r="F573" s="7" t="n">
        <f aca="false">VALUE(LEFT(Raw_Nigeria!E573,4))</f>
        <v>2018</v>
      </c>
      <c r="G573" s="7" t="n">
        <f aca="false">IF(VALUE(RIGHT(Raw_Nigeria!E573,2))&gt;12,"",VALUE(RIGHT(Raw_Nigeria!E573,2)))</f>
        <v>12</v>
      </c>
      <c r="H573" s="7" t="n">
        <f aca="false">Raw_Nigeria!F573</f>
        <v>2016</v>
      </c>
      <c r="I573" s="7" t="str">
        <f aca="false">UPPER(TRIM(Raw_Nigeria!G573))</f>
        <v>IPV1</v>
      </c>
      <c r="J573" s="7" t="str">
        <f aca="false">Raw_Nigeria!H573</f>
        <v>Record</v>
      </c>
      <c r="K573" s="7" t="str">
        <f aca="false">Raw_Nigeria!L573</f>
        <v>24-35 m</v>
      </c>
      <c r="L573" s="7" t="str">
        <f aca="false">IF(Raw_Nigeria!K573="","n/a",Raw_Nigeria!K573)</f>
        <v>0-35 m</v>
      </c>
      <c r="M573" s="7" t="str">
        <f aca="false">IF(Raw_Nigeria!I573="","",Raw_Nigeria!I573)</f>
        <v/>
      </c>
      <c r="N573" s="7" t="n">
        <f aca="false">Raw_Nigeria!M573</f>
        <v>21.7</v>
      </c>
      <c r="O573" s="7" t="n">
        <f aca="false">IF(Raw_Nigeria!N573="","",Raw_Nigeria!N573)</f>
        <v>1715</v>
      </c>
      <c r="P573" s="7" t="str">
        <f aca="false">IF(K573="CBAW","Women of child-bearing age","Children")</f>
        <v>Children</v>
      </c>
      <c r="Q573" s="7" t="n">
        <f aca="false">IF(J573="NOT USED",1,0)</f>
        <v>0</v>
      </c>
      <c r="R573" s="7" t="n">
        <f aca="false">IF(AND(P573="Children",Q573=0),1,0)</f>
        <v>1</v>
      </c>
      <c r="S573" s="7" t="n">
        <f aca="false">IF(AND(R573=1,J573="Record or Recall",K573="12-23 m"),1,0)</f>
        <v>0</v>
      </c>
      <c r="T573" s="7" t="n">
        <f aca="false">IF(OR(I573="BCG",I573="DTP1",I573="DTP3",I573="POL3",I573="MCV1",I573="FULL"),1,0)</f>
        <v>0</v>
      </c>
      <c r="U573" s="7" t="n">
        <f aca="false">IF(OR(C573="DHS",C573="MICS"),1,0)</f>
        <v>1</v>
      </c>
      <c r="V573" s="7" t="n">
        <f aca="false">IF(O573="",1,0)</f>
        <v>0</v>
      </c>
      <c r="W573" s="7" t="n">
        <f aca="false">IF(M573="",1,0)</f>
        <v>1</v>
      </c>
      <c r="X573" s="7" t="n">
        <f aca="false">COUNTIFS($B$2:$B$1141,B573,$H$2:$H$1141,H573,$I$2:$I$1141,I573,$J$2:$J$1141,J573,$K$2:$K$1141,K573,$L$2:$L$1141,L573)</f>
        <v>1</v>
      </c>
    </row>
    <row r="574" customFormat="false" ht="15" hidden="false" customHeight="false" outlineLevel="0" collapsed="false">
      <c r="A574" s="7" t="n">
        <f aca="false">ROW()-1</f>
        <v>573</v>
      </c>
      <c r="B574" s="7" t="str">
        <f aca="false">IF(Raw_Nigeria!B574="",TRIM(Raw_Nigeria!C574),TRIM(Raw_Nigeria!B574))</f>
        <v>Nigeria Demographic and Health Survey 2018</v>
      </c>
      <c r="C574" s="7" t="str">
        <f aca="false">IF(ISNUMBER(SEARCH("Demographic and Health",B574)),"DHS",IF(OR(ISNUMBER(SEARCH("Multiple Indicator Cluster",B574)),ISNUMBER(SEARCH("MICS",B574))),"MICS",IF(ISNUMBER(SEARCH("Immunization Coverage Survey",B574)),"Coverage survey",IF(ISNUMBER(SEARCH("Nutrition",B574)),"Nutrition survey","Other"))))</f>
        <v>DHS</v>
      </c>
      <c r="D574" s="7" t="n">
        <f aca="false">VALUE(LEFT(Raw_Nigeria!D574,4))</f>
        <v>2018</v>
      </c>
      <c r="E574" s="7" t="n">
        <f aca="false">IF(VALUE(RIGHT(Raw_Nigeria!D574,2))&gt;12,"",VALUE(RIGHT(Raw_Nigeria!D574,2)))</f>
        <v>8</v>
      </c>
      <c r="F574" s="7" t="n">
        <f aca="false">VALUE(LEFT(Raw_Nigeria!E574,4))</f>
        <v>2018</v>
      </c>
      <c r="G574" s="7" t="n">
        <f aca="false">IF(VALUE(RIGHT(Raw_Nigeria!E574,2))&gt;12,"",VALUE(RIGHT(Raw_Nigeria!E574,2)))</f>
        <v>12</v>
      </c>
      <c r="H574" s="7" t="n">
        <f aca="false">Raw_Nigeria!F574</f>
        <v>2016</v>
      </c>
      <c r="I574" s="7" t="str">
        <f aca="false">UPPER(TRIM(Raw_Nigeria!G574))</f>
        <v>IPV1</v>
      </c>
      <c r="J574" s="7" t="str">
        <f aca="false">Raw_Nigeria!H574</f>
        <v>Record or Recall</v>
      </c>
      <c r="K574" s="7" t="str">
        <f aca="false">Raw_Nigeria!L574</f>
        <v>24-35 m</v>
      </c>
      <c r="L574" s="7" t="str">
        <f aca="false">IF(Raw_Nigeria!K574="","n/a",Raw_Nigeria!K574)</f>
        <v>0-35 m</v>
      </c>
      <c r="M574" s="7" t="str">
        <f aca="false">IF(Raw_Nigeria!I574="","",Raw_Nigeria!I574)</f>
        <v/>
      </c>
      <c r="N574" s="7" t="n">
        <f aca="false">Raw_Nigeria!M574</f>
        <v>52.3</v>
      </c>
      <c r="O574" s="7" t="n">
        <f aca="false">IF(Raw_Nigeria!N574="","",Raw_Nigeria!N574)</f>
        <v>5835</v>
      </c>
      <c r="P574" s="7" t="str">
        <f aca="false">IF(K574="CBAW","Women of child-bearing age","Children")</f>
        <v>Children</v>
      </c>
      <c r="Q574" s="7" t="n">
        <f aca="false">IF(J574="NOT USED",1,0)</f>
        <v>0</v>
      </c>
      <c r="R574" s="7" t="n">
        <f aca="false">IF(AND(P574="Children",Q574=0),1,0)</f>
        <v>1</v>
      </c>
      <c r="S574" s="7" t="n">
        <f aca="false">IF(AND(R574=1,J574="Record or Recall",K574="12-23 m"),1,0)</f>
        <v>0</v>
      </c>
      <c r="T574" s="7" t="n">
        <f aca="false">IF(OR(I574="BCG",I574="DTP1",I574="DTP3",I574="POL3",I574="MCV1",I574="FULL"),1,0)</f>
        <v>0</v>
      </c>
      <c r="U574" s="7" t="n">
        <f aca="false">IF(OR(C574="DHS",C574="MICS"),1,0)</f>
        <v>1</v>
      </c>
      <c r="V574" s="7" t="n">
        <f aca="false">IF(O574="",1,0)</f>
        <v>0</v>
      </c>
      <c r="W574" s="7" t="n">
        <f aca="false">IF(M574="",1,0)</f>
        <v>1</v>
      </c>
      <c r="X574" s="7" t="n">
        <f aca="false">COUNTIFS($B$2:$B$1141,B574,$H$2:$H$1141,H574,$I$2:$I$1141,I574,$J$2:$J$1141,J574,$K$2:$K$1141,K574,$L$2:$L$1141,L574)</f>
        <v>1</v>
      </c>
    </row>
    <row r="575" customFormat="false" ht="15" hidden="false" customHeight="false" outlineLevel="0" collapsed="false">
      <c r="A575" s="7" t="n">
        <f aca="false">ROW()-1</f>
        <v>574</v>
      </c>
      <c r="B575" s="7" t="str">
        <f aca="false">IF(Raw_Nigeria!B575="",TRIM(Raw_Nigeria!C575),TRIM(Raw_Nigeria!B575))</f>
        <v>Nigeria Demographic and Health Survey 2018</v>
      </c>
      <c r="C575" s="7" t="str">
        <f aca="false">IF(ISNUMBER(SEARCH("Demographic and Health",B575)),"DHS",IF(OR(ISNUMBER(SEARCH("Multiple Indicator Cluster",B575)),ISNUMBER(SEARCH("MICS",B575))),"MICS",IF(ISNUMBER(SEARCH("Immunization Coverage Survey",B575)),"Coverage survey",IF(ISNUMBER(SEARCH("Nutrition",B575)),"Nutrition survey","Other"))))</f>
        <v>DHS</v>
      </c>
      <c r="D575" s="7" t="n">
        <f aca="false">VALUE(LEFT(Raw_Nigeria!D575,4))</f>
        <v>2018</v>
      </c>
      <c r="E575" s="7" t="n">
        <f aca="false">IF(VALUE(RIGHT(Raw_Nigeria!D575,2))&gt;12,"",VALUE(RIGHT(Raw_Nigeria!D575,2)))</f>
        <v>8</v>
      </c>
      <c r="F575" s="7" t="n">
        <f aca="false">VALUE(LEFT(Raw_Nigeria!E575,4))</f>
        <v>2018</v>
      </c>
      <c r="G575" s="7" t="n">
        <f aca="false">IF(VALUE(RIGHT(Raw_Nigeria!E575,2))&gt;12,"",VALUE(RIGHT(Raw_Nigeria!E575,2)))</f>
        <v>12</v>
      </c>
      <c r="H575" s="7" t="n">
        <f aca="false">Raw_Nigeria!F575</f>
        <v>2016</v>
      </c>
      <c r="I575" s="7" t="str">
        <f aca="false">UPPER(TRIM(Raw_Nigeria!G575))</f>
        <v>IPV1</v>
      </c>
      <c r="J575" s="7" t="str">
        <f aca="false">Raw_Nigeria!H575</f>
        <v>Recall</v>
      </c>
      <c r="K575" s="7" t="str">
        <f aca="false">Raw_Nigeria!L575</f>
        <v>24-35 m</v>
      </c>
      <c r="L575" s="7" t="str">
        <f aca="false">IF(Raw_Nigeria!K575="","n/a",Raw_Nigeria!K575)</f>
        <v>0-35 m</v>
      </c>
      <c r="M575" s="7" t="str">
        <f aca="false">IF(Raw_Nigeria!I575="","",Raw_Nigeria!I575)</f>
        <v/>
      </c>
      <c r="N575" s="7" t="n">
        <f aca="false">Raw_Nigeria!M575</f>
        <v>30.7</v>
      </c>
      <c r="O575" s="7" t="n">
        <f aca="false">IF(Raw_Nigeria!N575="","",Raw_Nigeria!N575)</f>
        <v>4120</v>
      </c>
      <c r="P575" s="7" t="str">
        <f aca="false">IF(K575="CBAW","Women of child-bearing age","Children")</f>
        <v>Children</v>
      </c>
      <c r="Q575" s="7" t="n">
        <f aca="false">IF(J575="NOT USED",1,0)</f>
        <v>0</v>
      </c>
      <c r="R575" s="7" t="n">
        <f aca="false">IF(AND(P575="Children",Q575=0),1,0)</f>
        <v>1</v>
      </c>
      <c r="S575" s="7" t="n">
        <f aca="false">IF(AND(R575=1,J575="Record or Recall",K575="12-23 m"),1,0)</f>
        <v>0</v>
      </c>
      <c r="T575" s="7" t="n">
        <f aca="false">IF(OR(I575="BCG",I575="DTP1",I575="DTP3",I575="POL3",I575="MCV1",I575="FULL"),1,0)</f>
        <v>0</v>
      </c>
      <c r="U575" s="7" t="n">
        <f aca="false">IF(OR(C575="DHS",C575="MICS"),1,0)</f>
        <v>1</v>
      </c>
      <c r="V575" s="7" t="n">
        <f aca="false">IF(O575="",1,0)</f>
        <v>0</v>
      </c>
      <c r="W575" s="7" t="n">
        <f aca="false">IF(M575="",1,0)</f>
        <v>1</v>
      </c>
      <c r="X575" s="7" t="n">
        <f aca="false">COUNTIFS($B$2:$B$1141,B575,$H$2:$H$1141,H575,$I$2:$I$1141,I575,$J$2:$J$1141,J575,$K$2:$K$1141,K575,$L$2:$L$1141,L575)</f>
        <v>1</v>
      </c>
    </row>
    <row r="576" customFormat="false" ht="15" hidden="false" customHeight="false" outlineLevel="0" collapsed="false">
      <c r="A576" s="7" t="n">
        <f aca="false">ROW()-1</f>
        <v>575</v>
      </c>
      <c r="B576" s="7" t="str">
        <f aca="false">IF(Raw_Nigeria!B576="",TRIM(Raw_Nigeria!C576),TRIM(Raw_Nigeria!B576))</f>
        <v>Nigeria Demographic and Health Survey 2018</v>
      </c>
      <c r="C576" s="7" t="str">
        <f aca="false">IF(ISNUMBER(SEARCH("Demographic and Health",B576)),"DHS",IF(OR(ISNUMBER(SEARCH("Multiple Indicator Cluster",B576)),ISNUMBER(SEARCH("MICS",B576))),"MICS",IF(ISNUMBER(SEARCH("Immunization Coverage Survey",B576)),"Coverage survey",IF(ISNUMBER(SEARCH("Nutrition",B576)),"Nutrition survey","Other"))))</f>
        <v>DHS</v>
      </c>
      <c r="D576" s="7" t="n">
        <f aca="false">VALUE(LEFT(Raw_Nigeria!D576,4))</f>
        <v>2018</v>
      </c>
      <c r="E576" s="7" t="n">
        <f aca="false">IF(VALUE(RIGHT(Raw_Nigeria!D576,2))&gt;12,"",VALUE(RIGHT(Raw_Nigeria!D576,2)))</f>
        <v>8</v>
      </c>
      <c r="F576" s="7" t="n">
        <f aca="false">VALUE(LEFT(Raw_Nigeria!E576,4))</f>
        <v>2018</v>
      </c>
      <c r="G576" s="7" t="n">
        <f aca="false">IF(VALUE(RIGHT(Raw_Nigeria!E576,2))&gt;12,"",VALUE(RIGHT(Raw_Nigeria!E576,2)))</f>
        <v>12</v>
      </c>
      <c r="H576" s="7" t="n">
        <f aca="false">Raw_Nigeria!F576</f>
        <v>2016</v>
      </c>
      <c r="I576" s="7" t="str">
        <f aca="false">UPPER(TRIM(Raw_Nigeria!G576))</f>
        <v>MCV1</v>
      </c>
      <c r="J576" s="7" t="str">
        <f aca="false">Raw_Nigeria!H576</f>
        <v>Record or Recall&lt;12m</v>
      </c>
      <c r="K576" s="7" t="str">
        <f aca="false">Raw_Nigeria!L576</f>
        <v>24-35 m</v>
      </c>
      <c r="L576" s="7" t="str">
        <f aca="false">IF(Raw_Nigeria!K576="","n/a",Raw_Nigeria!K576)</f>
        <v>0-12 m</v>
      </c>
      <c r="M576" s="7" t="str">
        <f aca="false">IF(Raw_Nigeria!I576="","",Raw_Nigeria!I576)</f>
        <v/>
      </c>
      <c r="N576" s="7" t="n">
        <f aca="false">Raw_Nigeria!M576</f>
        <v>49.2</v>
      </c>
      <c r="O576" s="7" t="n">
        <f aca="false">IF(Raw_Nigeria!N576="","",Raw_Nigeria!N576)</f>
        <v>5835</v>
      </c>
      <c r="P576" s="7" t="str">
        <f aca="false">IF(K576="CBAW","Women of child-bearing age","Children")</f>
        <v>Children</v>
      </c>
      <c r="Q576" s="7" t="n">
        <f aca="false">IF(J576="NOT USED",1,0)</f>
        <v>0</v>
      </c>
      <c r="R576" s="7" t="n">
        <f aca="false">IF(AND(P576="Children",Q576=0),1,0)</f>
        <v>1</v>
      </c>
      <c r="S576" s="7" t="n">
        <f aca="false">IF(AND(R576=1,J576="Record or Recall",K576="12-23 m"),1,0)</f>
        <v>0</v>
      </c>
      <c r="T576" s="7" t="n">
        <f aca="false">IF(OR(I576="BCG",I576="DTP1",I576="DTP3",I576="POL3",I576="MCV1",I576="FULL"),1,0)</f>
        <v>1</v>
      </c>
      <c r="U576" s="7" t="n">
        <f aca="false">IF(OR(C576="DHS",C576="MICS"),1,0)</f>
        <v>1</v>
      </c>
      <c r="V576" s="7" t="n">
        <f aca="false">IF(O576="",1,0)</f>
        <v>0</v>
      </c>
      <c r="W576" s="7" t="n">
        <f aca="false">IF(M576="",1,0)</f>
        <v>1</v>
      </c>
      <c r="X576" s="7" t="n">
        <f aca="false">COUNTIFS($B$2:$B$1141,B576,$H$2:$H$1141,H576,$I$2:$I$1141,I576,$J$2:$J$1141,J576,$K$2:$K$1141,K576,$L$2:$L$1141,L576)</f>
        <v>1</v>
      </c>
    </row>
    <row r="577" customFormat="false" ht="15" hidden="false" customHeight="false" outlineLevel="0" collapsed="false">
      <c r="A577" s="7" t="n">
        <f aca="false">ROW()-1</f>
        <v>576</v>
      </c>
      <c r="B577" s="7" t="str">
        <f aca="false">IF(Raw_Nigeria!B577="",TRIM(Raw_Nigeria!C577),TRIM(Raw_Nigeria!B577))</f>
        <v>Nigeria Demographic and Health Survey 2018</v>
      </c>
      <c r="C577" s="7" t="str">
        <f aca="false">IF(ISNUMBER(SEARCH("Demographic and Health",B577)),"DHS",IF(OR(ISNUMBER(SEARCH("Multiple Indicator Cluster",B577)),ISNUMBER(SEARCH("MICS",B577))),"MICS",IF(ISNUMBER(SEARCH("Immunization Coverage Survey",B577)),"Coverage survey",IF(ISNUMBER(SEARCH("Nutrition",B577)),"Nutrition survey","Other"))))</f>
        <v>DHS</v>
      </c>
      <c r="D577" s="7" t="n">
        <f aca="false">VALUE(LEFT(Raw_Nigeria!D577,4))</f>
        <v>2018</v>
      </c>
      <c r="E577" s="7" t="n">
        <f aca="false">IF(VALUE(RIGHT(Raw_Nigeria!D577,2))&gt;12,"",VALUE(RIGHT(Raw_Nigeria!D577,2)))</f>
        <v>8</v>
      </c>
      <c r="F577" s="7" t="n">
        <f aca="false">VALUE(LEFT(Raw_Nigeria!E577,4))</f>
        <v>2018</v>
      </c>
      <c r="G577" s="7" t="n">
        <f aca="false">IF(VALUE(RIGHT(Raw_Nigeria!E577,2))&gt;12,"",VALUE(RIGHT(Raw_Nigeria!E577,2)))</f>
        <v>12</v>
      </c>
      <c r="H577" s="7" t="n">
        <f aca="false">Raw_Nigeria!F577</f>
        <v>2016</v>
      </c>
      <c r="I577" s="7" t="str">
        <f aca="false">UPPER(TRIM(Raw_Nigeria!G577))</f>
        <v>MCV1</v>
      </c>
      <c r="J577" s="7" t="str">
        <f aca="false">Raw_Nigeria!H577</f>
        <v>Record</v>
      </c>
      <c r="K577" s="7" t="str">
        <f aca="false">Raw_Nigeria!L577</f>
        <v>24-35 m</v>
      </c>
      <c r="L577" s="7" t="str">
        <f aca="false">IF(Raw_Nigeria!K577="","n/a",Raw_Nigeria!K577)</f>
        <v>0-35 m</v>
      </c>
      <c r="M577" s="7" t="str">
        <f aca="false">IF(Raw_Nigeria!I577="","",Raw_Nigeria!I577)</f>
        <v/>
      </c>
      <c r="N577" s="7" t="n">
        <f aca="false">Raw_Nigeria!M577</f>
        <v>22.6</v>
      </c>
      <c r="O577" s="7" t="n">
        <f aca="false">IF(Raw_Nigeria!N577="","",Raw_Nigeria!N577)</f>
        <v>1715</v>
      </c>
      <c r="P577" s="7" t="str">
        <f aca="false">IF(K577="CBAW","Women of child-bearing age","Children")</f>
        <v>Children</v>
      </c>
      <c r="Q577" s="7" t="n">
        <f aca="false">IF(J577="NOT USED",1,0)</f>
        <v>0</v>
      </c>
      <c r="R577" s="7" t="n">
        <f aca="false">IF(AND(P577="Children",Q577=0),1,0)</f>
        <v>1</v>
      </c>
      <c r="S577" s="7" t="n">
        <f aca="false">IF(AND(R577=1,J577="Record or Recall",K577="12-23 m"),1,0)</f>
        <v>0</v>
      </c>
      <c r="T577" s="7" t="n">
        <f aca="false">IF(OR(I577="BCG",I577="DTP1",I577="DTP3",I577="POL3",I577="MCV1",I577="FULL"),1,0)</f>
        <v>1</v>
      </c>
      <c r="U577" s="7" t="n">
        <f aca="false">IF(OR(C577="DHS",C577="MICS"),1,0)</f>
        <v>1</v>
      </c>
      <c r="V577" s="7" t="n">
        <f aca="false">IF(O577="",1,0)</f>
        <v>0</v>
      </c>
      <c r="W577" s="7" t="n">
        <f aca="false">IF(M577="",1,0)</f>
        <v>1</v>
      </c>
      <c r="X577" s="7" t="n">
        <f aca="false">COUNTIFS($B$2:$B$1141,B577,$H$2:$H$1141,H577,$I$2:$I$1141,I577,$J$2:$J$1141,J577,$K$2:$K$1141,K577,$L$2:$L$1141,L577)</f>
        <v>1</v>
      </c>
    </row>
    <row r="578" customFormat="false" ht="15" hidden="false" customHeight="false" outlineLevel="0" collapsed="false">
      <c r="A578" s="7" t="n">
        <f aca="false">ROW()-1</f>
        <v>577</v>
      </c>
      <c r="B578" s="7" t="str">
        <f aca="false">IF(Raw_Nigeria!B578="",TRIM(Raw_Nigeria!C578),TRIM(Raw_Nigeria!B578))</f>
        <v>Nigeria Demographic and Health Survey 2018</v>
      </c>
      <c r="C578" s="7" t="str">
        <f aca="false">IF(ISNUMBER(SEARCH("Demographic and Health",B578)),"DHS",IF(OR(ISNUMBER(SEARCH("Multiple Indicator Cluster",B578)),ISNUMBER(SEARCH("MICS",B578))),"MICS",IF(ISNUMBER(SEARCH("Immunization Coverage Survey",B578)),"Coverage survey",IF(ISNUMBER(SEARCH("Nutrition",B578)),"Nutrition survey","Other"))))</f>
        <v>DHS</v>
      </c>
      <c r="D578" s="7" t="n">
        <f aca="false">VALUE(LEFT(Raw_Nigeria!D578,4))</f>
        <v>2018</v>
      </c>
      <c r="E578" s="7" t="n">
        <f aca="false">IF(VALUE(RIGHT(Raw_Nigeria!D578,2))&gt;12,"",VALUE(RIGHT(Raw_Nigeria!D578,2)))</f>
        <v>8</v>
      </c>
      <c r="F578" s="7" t="n">
        <f aca="false">VALUE(LEFT(Raw_Nigeria!E578,4))</f>
        <v>2018</v>
      </c>
      <c r="G578" s="7" t="n">
        <f aca="false">IF(VALUE(RIGHT(Raw_Nigeria!E578,2))&gt;12,"",VALUE(RIGHT(Raw_Nigeria!E578,2)))</f>
        <v>12</v>
      </c>
      <c r="H578" s="7" t="n">
        <f aca="false">Raw_Nigeria!F578</f>
        <v>2016</v>
      </c>
      <c r="I578" s="7" t="str">
        <f aca="false">UPPER(TRIM(Raw_Nigeria!G578))</f>
        <v>MCV1</v>
      </c>
      <c r="J578" s="7" t="str">
        <f aca="false">Raw_Nigeria!H578</f>
        <v>Record or Recall</v>
      </c>
      <c r="K578" s="7" t="str">
        <f aca="false">Raw_Nigeria!L578</f>
        <v>24-35 m</v>
      </c>
      <c r="L578" s="7" t="str">
        <f aca="false">IF(Raw_Nigeria!K578="","n/a",Raw_Nigeria!K578)</f>
        <v>0-35 m</v>
      </c>
      <c r="M578" s="7" t="str">
        <f aca="false">IF(Raw_Nigeria!I578="","",Raw_Nigeria!I578)</f>
        <v/>
      </c>
      <c r="N578" s="7" t="n">
        <f aca="false">Raw_Nigeria!M578</f>
        <v>57.7</v>
      </c>
      <c r="O578" s="7" t="n">
        <f aca="false">IF(Raw_Nigeria!N578="","",Raw_Nigeria!N578)</f>
        <v>5835</v>
      </c>
      <c r="P578" s="7" t="str">
        <f aca="false">IF(K578="CBAW","Women of child-bearing age","Children")</f>
        <v>Children</v>
      </c>
      <c r="Q578" s="7" t="n">
        <f aca="false">IF(J578="NOT USED",1,0)</f>
        <v>0</v>
      </c>
      <c r="R578" s="7" t="n">
        <f aca="false">IF(AND(P578="Children",Q578=0),1,0)</f>
        <v>1</v>
      </c>
      <c r="S578" s="7" t="n">
        <f aca="false">IF(AND(R578=1,J578="Record or Recall",K578="12-23 m"),1,0)</f>
        <v>0</v>
      </c>
      <c r="T578" s="7" t="n">
        <f aca="false">IF(OR(I578="BCG",I578="DTP1",I578="DTP3",I578="POL3",I578="MCV1",I578="FULL"),1,0)</f>
        <v>1</v>
      </c>
      <c r="U578" s="7" t="n">
        <f aca="false">IF(OR(C578="DHS",C578="MICS"),1,0)</f>
        <v>1</v>
      </c>
      <c r="V578" s="7" t="n">
        <f aca="false">IF(O578="",1,0)</f>
        <v>0</v>
      </c>
      <c r="W578" s="7" t="n">
        <f aca="false">IF(M578="",1,0)</f>
        <v>1</v>
      </c>
      <c r="X578" s="7" t="n">
        <f aca="false">COUNTIFS($B$2:$B$1141,B578,$H$2:$H$1141,H578,$I$2:$I$1141,I578,$J$2:$J$1141,J578,$K$2:$K$1141,K578,$L$2:$L$1141,L578)</f>
        <v>1</v>
      </c>
    </row>
    <row r="579" customFormat="false" ht="15" hidden="false" customHeight="false" outlineLevel="0" collapsed="false">
      <c r="A579" s="7" t="n">
        <f aca="false">ROW()-1</f>
        <v>578</v>
      </c>
      <c r="B579" s="7" t="str">
        <f aca="false">IF(Raw_Nigeria!B579="",TRIM(Raw_Nigeria!C579),TRIM(Raw_Nigeria!B579))</f>
        <v>Nigeria Demographic and Health Survey 2018</v>
      </c>
      <c r="C579" s="7" t="str">
        <f aca="false">IF(ISNUMBER(SEARCH("Demographic and Health",B579)),"DHS",IF(OR(ISNUMBER(SEARCH("Multiple Indicator Cluster",B579)),ISNUMBER(SEARCH("MICS",B579))),"MICS",IF(ISNUMBER(SEARCH("Immunization Coverage Survey",B579)),"Coverage survey",IF(ISNUMBER(SEARCH("Nutrition",B579)),"Nutrition survey","Other"))))</f>
        <v>DHS</v>
      </c>
      <c r="D579" s="7" t="n">
        <f aca="false">VALUE(LEFT(Raw_Nigeria!D579,4))</f>
        <v>2018</v>
      </c>
      <c r="E579" s="7" t="n">
        <f aca="false">IF(VALUE(RIGHT(Raw_Nigeria!D579,2))&gt;12,"",VALUE(RIGHT(Raw_Nigeria!D579,2)))</f>
        <v>8</v>
      </c>
      <c r="F579" s="7" t="n">
        <f aca="false">VALUE(LEFT(Raw_Nigeria!E579,4))</f>
        <v>2018</v>
      </c>
      <c r="G579" s="7" t="n">
        <f aca="false">IF(VALUE(RIGHT(Raw_Nigeria!E579,2))&gt;12,"",VALUE(RIGHT(Raw_Nigeria!E579,2)))</f>
        <v>12</v>
      </c>
      <c r="H579" s="7" t="n">
        <f aca="false">Raw_Nigeria!F579</f>
        <v>2016</v>
      </c>
      <c r="I579" s="7" t="str">
        <f aca="false">UPPER(TRIM(Raw_Nigeria!G579))</f>
        <v>MCV1</v>
      </c>
      <c r="J579" s="7" t="str">
        <f aca="false">Raw_Nigeria!H579</f>
        <v>Recall</v>
      </c>
      <c r="K579" s="7" t="str">
        <f aca="false">Raw_Nigeria!L579</f>
        <v>24-35 m</v>
      </c>
      <c r="L579" s="7" t="str">
        <f aca="false">IF(Raw_Nigeria!K579="","n/a",Raw_Nigeria!K579)</f>
        <v>0-35 m</v>
      </c>
      <c r="M579" s="7" t="str">
        <f aca="false">IF(Raw_Nigeria!I579="","",Raw_Nigeria!I579)</f>
        <v/>
      </c>
      <c r="N579" s="7" t="n">
        <f aca="false">Raw_Nigeria!M579</f>
        <v>35.1</v>
      </c>
      <c r="O579" s="7" t="n">
        <f aca="false">IF(Raw_Nigeria!N579="","",Raw_Nigeria!N579)</f>
        <v>4120</v>
      </c>
      <c r="P579" s="7" t="str">
        <f aca="false">IF(K579="CBAW","Women of child-bearing age","Children")</f>
        <v>Children</v>
      </c>
      <c r="Q579" s="7" t="n">
        <f aca="false">IF(J579="NOT USED",1,0)</f>
        <v>0</v>
      </c>
      <c r="R579" s="7" t="n">
        <f aca="false">IF(AND(P579="Children",Q579=0),1,0)</f>
        <v>1</v>
      </c>
      <c r="S579" s="7" t="n">
        <f aca="false">IF(AND(R579=1,J579="Record or Recall",K579="12-23 m"),1,0)</f>
        <v>0</v>
      </c>
      <c r="T579" s="7" t="n">
        <f aca="false">IF(OR(I579="BCG",I579="DTP1",I579="DTP3",I579="POL3",I579="MCV1",I579="FULL"),1,0)</f>
        <v>1</v>
      </c>
      <c r="U579" s="7" t="n">
        <f aca="false">IF(OR(C579="DHS",C579="MICS"),1,0)</f>
        <v>1</v>
      </c>
      <c r="V579" s="7" t="n">
        <f aca="false">IF(O579="",1,0)</f>
        <v>0</v>
      </c>
      <c r="W579" s="7" t="n">
        <f aca="false">IF(M579="",1,0)</f>
        <v>1</v>
      </c>
      <c r="X579" s="7" t="n">
        <f aca="false">COUNTIFS($B$2:$B$1141,B579,$H$2:$H$1141,H579,$I$2:$I$1141,I579,$J$2:$J$1141,J579,$K$2:$K$1141,K579,$L$2:$L$1141,L579)</f>
        <v>1</v>
      </c>
    </row>
    <row r="580" customFormat="false" ht="15" hidden="false" customHeight="false" outlineLevel="0" collapsed="false">
      <c r="A580" s="7" t="n">
        <f aca="false">ROW()-1</f>
        <v>579</v>
      </c>
      <c r="B580" s="7" t="str">
        <f aca="false">IF(Raw_Nigeria!B580="",TRIM(Raw_Nigeria!C580),TRIM(Raw_Nigeria!B580))</f>
        <v>Nigeria Demographic and Health Survey 2018</v>
      </c>
      <c r="C580" s="7" t="str">
        <f aca="false">IF(ISNUMBER(SEARCH("Demographic and Health",B580)),"DHS",IF(OR(ISNUMBER(SEARCH("Multiple Indicator Cluster",B580)),ISNUMBER(SEARCH("MICS",B580))),"MICS",IF(ISNUMBER(SEARCH("Immunization Coverage Survey",B580)),"Coverage survey",IF(ISNUMBER(SEARCH("Nutrition",B580)),"Nutrition survey","Other"))))</f>
        <v>DHS</v>
      </c>
      <c r="D580" s="7" t="n">
        <f aca="false">VALUE(LEFT(Raw_Nigeria!D580,4))</f>
        <v>2018</v>
      </c>
      <c r="E580" s="7" t="n">
        <f aca="false">IF(VALUE(RIGHT(Raw_Nigeria!D580,2))&gt;12,"",VALUE(RIGHT(Raw_Nigeria!D580,2)))</f>
        <v>8</v>
      </c>
      <c r="F580" s="7" t="n">
        <f aca="false">VALUE(LEFT(Raw_Nigeria!E580,4))</f>
        <v>2018</v>
      </c>
      <c r="G580" s="7" t="n">
        <f aca="false">IF(VALUE(RIGHT(Raw_Nigeria!E580,2))&gt;12,"",VALUE(RIGHT(Raw_Nigeria!E580,2)))</f>
        <v>12</v>
      </c>
      <c r="H580" s="7" t="n">
        <f aca="false">Raw_Nigeria!F580</f>
        <v>2016</v>
      </c>
      <c r="I580" s="7" t="str">
        <f aca="false">UPPER(TRIM(Raw_Nigeria!G580))</f>
        <v>PCV1</v>
      </c>
      <c r="J580" s="7" t="str">
        <f aca="false">Raw_Nigeria!H580</f>
        <v>Record or Recall&lt;12m</v>
      </c>
      <c r="K580" s="7" t="str">
        <f aca="false">Raw_Nigeria!L580</f>
        <v>24-35 m</v>
      </c>
      <c r="L580" s="7" t="str">
        <f aca="false">IF(Raw_Nigeria!K580="","n/a",Raw_Nigeria!K580)</f>
        <v>0-12 m</v>
      </c>
      <c r="M580" s="7" t="str">
        <f aca="false">IF(Raw_Nigeria!I580="","",Raw_Nigeria!I580)</f>
        <v/>
      </c>
      <c r="N580" s="7" t="n">
        <f aca="false">Raw_Nigeria!M580</f>
        <v>56.3</v>
      </c>
      <c r="O580" s="7" t="n">
        <f aca="false">IF(Raw_Nigeria!N580="","",Raw_Nigeria!N580)</f>
        <v>5835</v>
      </c>
      <c r="P580" s="7" t="str">
        <f aca="false">IF(K580="CBAW","Women of child-bearing age","Children")</f>
        <v>Children</v>
      </c>
      <c r="Q580" s="7" t="n">
        <f aca="false">IF(J580="NOT USED",1,0)</f>
        <v>0</v>
      </c>
      <c r="R580" s="7" t="n">
        <f aca="false">IF(AND(P580="Children",Q580=0),1,0)</f>
        <v>1</v>
      </c>
      <c r="S580" s="7" t="n">
        <f aca="false">IF(AND(R580=1,J580="Record or Recall",K580="12-23 m"),1,0)</f>
        <v>0</v>
      </c>
      <c r="T580" s="7" t="n">
        <f aca="false">IF(OR(I580="BCG",I580="DTP1",I580="DTP3",I580="POL3",I580="MCV1",I580="FULL"),1,0)</f>
        <v>0</v>
      </c>
      <c r="U580" s="7" t="n">
        <f aca="false">IF(OR(C580="DHS",C580="MICS"),1,0)</f>
        <v>1</v>
      </c>
      <c r="V580" s="7" t="n">
        <f aca="false">IF(O580="",1,0)</f>
        <v>0</v>
      </c>
      <c r="W580" s="7" t="n">
        <f aca="false">IF(M580="",1,0)</f>
        <v>1</v>
      </c>
      <c r="X580" s="7" t="n">
        <f aca="false">COUNTIFS($B$2:$B$1141,B580,$H$2:$H$1141,H580,$I$2:$I$1141,I580,$J$2:$J$1141,J580,$K$2:$K$1141,K580,$L$2:$L$1141,L580)</f>
        <v>1</v>
      </c>
    </row>
    <row r="581" customFormat="false" ht="15" hidden="false" customHeight="false" outlineLevel="0" collapsed="false">
      <c r="A581" s="7" t="n">
        <f aca="false">ROW()-1</f>
        <v>580</v>
      </c>
      <c r="B581" s="7" t="str">
        <f aca="false">IF(Raw_Nigeria!B581="",TRIM(Raw_Nigeria!C581),TRIM(Raw_Nigeria!B581))</f>
        <v>Nigeria Demographic and Health Survey 2018</v>
      </c>
      <c r="C581" s="7" t="str">
        <f aca="false">IF(ISNUMBER(SEARCH("Demographic and Health",B581)),"DHS",IF(OR(ISNUMBER(SEARCH("Multiple Indicator Cluster",B581)),ISNUMBER(SEARCH("MICS",B581))),"MICS",IF(ISNUMBER(SEARCH("Immunization Coverage Survey",B581)),"Coverage survey",IF(ISNUMBER(SEARCH("Nutrition",B581)),"Nutrition survey","Other"))))</f>
        <v>DHS</v>
      </c>
      <c r="D581" s="7" t="n">
        <f aca="false">VALUE(LEFT(Raw_Nigeria!D581,4))</f>
        <v>2018</v>
      </c>
      <c r="E581" s="7" t="n">
        <f aca="false">IF(VALUE(RIGHT(Raw_Nigeria!D581,2))&gt;12,"",VALUE(RIGHT(Raw_Nigeria!D581,2)))</f>
        <v>8</v>
      </c>
      <c r="F581" s="7" t="n">
        <f aca="false">VALUE(LEFT(Raw_Nigeria!E581,4))</f>
        <v>2018</v>
      </c>
      <c r="G581" s="7" t="n">
        <f aca="false">IF(VALUE(RIGHT(Raw_Nigeria!E581,2))&gt;12,"",VALUE(RIGHT(Raw_Nigeria!E581,2)))</f>
        <v>12</v>
      </c>
      <c r="H581" s="7" t="n">
        <f aca="false">Raw_Nigeria!F581</f>
        <v>2016</v>
      </c>
      <c r="I581" s="7" t="str">
        <f aca="false">UPPER(TRIM(Raw_Nigeria!G581))</f>
        <v>PCV1</v>
      </c>
      <c r="J581" s="7" t="str">
        <f aca="false">Raw_Nigeria!H581</f>
        <v>Record</v>
      </c>
      <c r="K581" s="7" t="str">
        <f aca="false">Raw_Nigeria!L581</f>
        <v>24-35 m</v>
      </c>
      <c r="L581" s="7" t="str">
        <f aca="false">IF(Raw_Nigeria!K581="","n/a",Raw_Nigeria!K581)</f>
        <v>0-35 m</v>
      </c>
      <c r="M581" s="7" t="str">
        <f aca="false">IF(Raw_Nigeria!I581="","",Raw_Nigeria!I581)</f>
        <v/>
      </c>
      <c r="N581" s="7" t="n">
        <f aca="false">Raw_Nigeria!M581</f>
        <v>25.8</v>
      </c>
      <c r="O581" s="7" t="n">
        <f aca="false">IF(Raw_Nigeria!N581="","",Raw_Nigeria!N581)</f>
        <v>1715</v>
      </c>
      <c r="P581" s="7" t="str">
        <f aca="false">IF(K581="CBAW","Women of child-bearing age","Children")</f>
        <v>Children</v>
      </c>
      <c r="Q581" s="7" t="n">
        <f aca="false">IF(J581="NOT USED",1,0)</f>
        <v>0</v>
      </c>
      <c r="R581" s="7" t="n">
        <f aca="false">IF(AND(P581="Children",Q581=0),1,0)</f>
        <v>1</v>
      </c>
      <c r="S581" s="7" t="n">
        <f aca="false">IF(AND(R581=1,J581="Record or Recall",K581="12-23 m"),1,0)</f>
        <v>0</v>
      </c>
      <c r="T581" s="7" t="n">
        <f aca="false">IF(OR(I581="BCG",I581="DTP1",I581="DTP3",I581="POL3",I581="MCV1",I581="FULL"),1,0)</f>
        <v>0</v>
      </c>
      <c r="U581" s="7" t="n">
        <f aca="false">IF(OR(C581="DHS",C581="MICS"),1,0)</f>
        <v>1</v>
      </c>
      <c r="V581" s="7" t="n">
        <f aca="false">IF(O581="",1,0)</f>
        <v>0</v>
      </c>
      <c r="W581" s="7" t="n">
        <f aca="false">IF(M581="",1,0)</f>
        <v>1</v>
      </c>
      <c r="X581" s="7" t="n">
        <f aca="false">COUNTIFS($B$2:$B$1141,B581,$H$2:$H$1141,H581,$I$2:$I$1141,I581,$J$2:$J$1141,J581,$K$2:$K$1141,K581,$L$2:$L$1141,L581)</f>
        <v>1</v>
      </c>
    </row>
    <row r="582" customFormat="false" ht="15" hidden="false" customHeight="false" outlineLevel="0" collapsed="false">
      <c r="A582" s="7" t="n">
        <f aca="false">ROW()-1</f>
        <v>581</v>
      </c>
      <c r="B582" s="7" t="str">
        <f aca="false">IF(Raw_Nigeria!B582="",TRIM(Raw_Nigeria!C582),TRIM(Raw_Nigeria!B582))</f>
        <v>Nigeria Demographic and Health Survey 2018</v>
      </c>
      <c r="C582" s="7" t="str">
        <f aca="false">IF(ISNUMBER(SEARCH("Demographic and Health",B582)),"DHS",IF(OR(ISNUMBER(SEARCH("Multiple Indicator Cluster",B582)),ISNUMBER(SEARCH("MICS",B582))),"MICS",IF(ISNUMBER(SEARCH("Immunization Coverage Survey",B582)),"Coverage survey",IF(ISNUMBER(SEARCH("Nutrition",B582)),"Nutrition survey","Other"))))</f>
        <v>DHS</v>
      </c>
      <c r="D582" s="7" t="n">
        <f aca="false">VALUE(LEFT(Raw_Nigeria!D582,4))</f>
        <v>2018</v>
      </c>
      <c r="E582" s="7" t="n">
        <f aca="false">IF(VALUE(RIGHT(Raw_Nigeria!D582,2))&gt;12,"",VALUE(RIGHT(Raw_Nigeria!D582,2)))</f>
        <v>8</v>
      </c>
      <c r="F582" s="7" t="n">
        <f aca="false">VALUE(LEFT(Raw_Nigeria!E582,4))</f>
        <v>2018</v>
      </c>
      <c r="G582" s="7" t="n">
        <f aca="false">IF(VALUE(RIGHT(Raw_Nigeria!E582,2))&gt;12,"",VALUE(RIGHT(Raw_Nigeria!E582,2)))</f>
        <v>12</v>
      </c>
      <c r="H582" s="7" t="n">
        <f aca="false">Raw_Nigeria!F582</f>
        <v>2016</v>
      </c>
      <c r="I582" s="7" t="str">
        <f aca="false">UPPER(TRIM(Raw_Nigeria!G582))</f>
        <v>PCV1</v>
      </c>
      <c r="J582" s="7" t="str">
        <f aca="false">Raw_Nigeria!H582</f>
        <v>Record or Recall</v>
      </c>
      <c r="K582" s="7" t="str">
        <f aca="false">Raw_Nigeria!L582</f>
        <v>24-35 m</v>
      </c>
      <c r="L582" s="7" t="str">
        <f aca="false">IF(Raw_Nigeria!K582="","n/a",Raw_Nigeria!K582)</f>
        <v>0-35 m</v>
      </c>
      <c r="M582" s="7" t="str">
        <f aca="false">IF(Raw_Nigeria!I582="","",Raw_Nigeria!I582)</f>
        <v/>
      </c>
      <c r="N582" s="7" t="n">
        <f aca="false">Raw_Nigeria!M582</f>
        <v>57.8</v>
      </c>
      <c r="O582" s="7" t="n">
        <f aca="false">IF(Raw_Nigeria!N582="","",Raw_Nigeria!N582)</f>
        <v>5835</v>
      </c>
      <c r="P582" s="7" t="str">
        <f aca="false">IF(K582="CBAW","Women of child-bearing age","Children")</f>
        <v>Children</v>
      </c>
      <c r="Q582" s="7" t="n">
        <f aca="false">IF(J582="NOT USED",1,0)</f>
        <v>0</v>
      </c>
      <c r="R582" s="7" t="n">
        <f aca="false">IF(AND(P582="Children",Q582=0),1,0)</f>
        <v>1</v>
      </c>
      <c r="S582" s="7" t="n">
        <f aca="false">IF(AND(R582=1,J582="Record or Recall",K582="12-23 m"),1,0)</f>
        <v>0</v>
      </c>
      <c r="T582" s="7" t="n">
        <f aca="false">IF(OR(I582="BCG",I582="DTP1",I582="DTP3",I582="POL3",I582="MCV1",I582="FULL"),1,0)</f>
        <v>0</v>
      </c>
      <c r="U582" s="7" t="n">
        <f aca="false">IF(OR(C582="DHS",C582="MICS"),1,0)</f>
        <v>1</v>
      </c>
      <c r="V582" s="7" t="n">
        <f aca="false">IF(O582="",1,0)</f>
        <v>0</v>
      </c>
      <c r="W582" s="7" t="n">
        <f aca="false">IF(M582="",1,0)</f>
        <v>1</v>
      </c>
      <c r="X582" s="7" t="n">
        <f aca="false">COUNTIFS($B$2:$B$1141,B582,$H$2:$H$1141,H582,$I$2:$I$1141,I582,$J$2:$J$1141,J582,$K$2:$K$1141,K582,$L$2:$L$1141,L582)</f>
        <v>1</v>
      </c>
    </row>
    <row r="583" customFormat="false" ht="15" hidden="false" customHeight="false" outlineLevel="0" collapsed="false">
      <c r="A583" s="7" t="n">
        <f aca="false">ROW()-1</f>
        <v>582</v>
      </c>
      <c r="B583" s="7" t="str">
        <f aca="false">IF(Raw_Nigeria!B583="",TRIM(Raw_Nigeria!C583),TRIM(Raw_Nigeria!B583))</f>
        <v>Nigeria Demographic and Health Survey 2018</v>
      </c>
      <c r="C583" s="7" t="str">
        <f aca="false">IF(ISNUMBER(SEARCH("Demographic and Health",B583)),"DHS",IF(OR(ISNUMBER(SEARCH("Multiple Indicator Cluster",B583)),ISNUMBER(SEARCH("MICS",B583))),"MICS",IF(ISNUMBER(SEARCH("Immunization Coverage Survey",B583)),"Coverage survey",IF(ISNUMBER(SEARCH("Nutrition",B583)),"Nutrition survey","Other"))))</f>
        <v>DHS</v>
      </c>
      <c r="D583" s="7" t="n">
        <f aca="false">VALUE(LEFT(Raw_Nigeria!D583,4))</f>
        <v>2018</v>
      </c>
      <c r="E583" s="7" t="n">
        <f aca="false">IF(VALUE(RIGHT(Raw_Nigeria!D583,2))&gt;12,"",VALUE(RIGHT(Raw_Nigeria!D583,2)))</f>
        <v>8</v>
      </c>
      <c r="F583" s="7" t="n">
        <f aca="false">VALUE(LEFT(Raw_Nigeria!E583,4))</f>
        <v>2018</v>
      </c>
      <c r="G583" s="7" t="n">
        <f aca="false">IF(VALUE(RIGHT(Raw_Nigeria!E583,2))&gt;12,"",VALUE(RIGHT(Raw_Nigeria!E583,2)))</f>
        <v>12</v>
      </c>
      <c r="H583" s="7" t="n">
        <f aca="false">Raw_Nigeria!F583</f>
        <v>2016</v>
      </c>
      <c r="I583" s="7" t="str">
        <f aca="false">UPPER(TRIM(Raw_Nigeria!G583))</f>
        <v>PCV1</v>
      </c>
      <c r="J583" s="7" t="str">
        <f aca="false">Raw_Nigeria!H583</f>
        <v>Recall</v>
      </c>
      <c r="K583" s="7" t="str">
        <f aca="false">Raw_Nigeria!L583</f>
        <v>24-35 m</v>
      </c>
      <c r="L583" s="7" t="str">
        <f aca="false">IF(Raw_Nigeria!K583="","n/a",Raw_Nigeria!K583)</f>
        <v>0-35 m</v>
      </c>
      <c r="M583" s="7" t="str">
        <f aca="false">IF(Raw_Nigeria!I583="","",Raw_Nigeria!I583)</f>
        <v/>
      </c>
      <c r="N583" s="7" t="n">
        <f aca="false">Raw_Nigeria!M583</f>
        <v>32</v>
      </c>
      <c r="O583" s="7" t="n">
        <f aca="false">IF(Raw_Nigeria!N583="","",Raw_Nigeria!N583)</f>
        <v>4120</v>
      </c>
      <c r="P583" s="7" t="str">
        <f aca="false">IF(K583="CBAW","Women of child-bearing age","Children")</f>
        <v>Children</v>
      </c>
      <c r="Q583" s="7" t="n">
        <f aca="false">IF(J583="NOT USED",1,0)</f>
        <v>0</v>
      </c>
      <c r="R583" s="7" t="n">
        <f aca="false">IF(AND(P583="Children",Q583=0),1,0)</f>
        <v>1</v>
      </c>
      <c r="S583" s="7" t="n">
        <f aca="false">IF(AND(R583=1,J583="Record or Recall",K583="12-23 m"),1,0)</f>
        <v>0</v>
      </c>
      <c r="T583" s="7" t="n">
        <f aca="false">IF(OR(I583="BCG",I583="DTP1",I583="DTP3",I583="POL3",I583="MCV1",I583="FULL"),1,0)</f>
        <v>0</v>
      </c>
      <c r="U583" s="7" t="n">
        <f aca="false">IF(OR(C583="DHS",C583="MICS"),1,0)</f>
        <v>1</v>
      </c>
      <c r="V583" s="7" t="n">
        <f aca="false">IF(O583="",1,0)</f>
        <v>0</v>
      </c>
      <c r="W583" s="7" t="n">
        <f aca="false">IF(M583="",1,0)</f>
        <v>1</v>
      </c>
      <c r="X583" s="7" t="n">
        <f aca="false">COUNTIFS($B$2:$B$1141,B583,$H$2:$H$1141,H583,$I$2:$I$1141,I583,$J$2:$J$1141,J583,$K$2:$K$1141,K583,$L$2:$L$1141,L583)</f>
        <v>1</v>
      </c>
    </row>
    <row r="584" customFormat="false" ht="15" hidden="false" customHeight="false" outlineLevel="0" collapsed="false">
      <c r="A584" s="7" t="n">
        <f aca="false">ROW()-1</f>
        <v>583</v>
      </c>
      <c r="B584" s="7" t="str">
        <f aca="false">IF(Raw_Nigeria!B584="",TRIM(Raw_Nigeria!C584),TRIM(Raw_Nigeria!B584))</f>
        <v>Nigeria Demographic and Health Survey 2018</v>
      </c>
      <c r="C584" s="7" t="str">
        <f aca="false">IF(ISNUMBER(SEARCH("Demographic and Health",B584)),"DHS",IF(OR(ISNUMBER(SEARCH("Multiple Indicator Cluster",B584)),ISNUMBER(SEARCH("MICS",B584))),"MICS",IF(ISNUMBER(SEARCH("Immunization Coverage Survey",B584)),"Coverage survey",IF(ISNUMBER(SEARCH("Nutrition",B584)),"Nutrition survey","Other"))))</f>
        <v>DHS</v>
      </c>
      <c r="D584" s="7" t="n">
        <f aca="false">VALUE(LEFT(Raw_Nigeria!D584,4))</f>
        <v>2018</v>
      </c>
      <c r="E584" s="7" t="n">
        <f aca="false">IF(VALUE(RIGHT(Raw_Nigeria!D584,2))&gt;12,"",VALUE(RIGHT(Raw_Nigeria!D584,2)))</f>
        <v>8</v>
      </c>
      <c r="F584" s="7" t="n">
        <f aca="false">VALUE(LEFT(Raw_Nigeria!E584,4))</f>
        <v>2018</v>
      </c>
      <c r="G584" s="7" t="n">
        <f aca="false">IF(VALUE(RIGHT(Raw_Nigeria!E584,2))&gt;12,"",VALUE(RIGHT(Raw_Nigeria!E584,2)))</f>
        <v>12</v>
      </c>
      <c r="H584" s="7" t="n">
        <f aca="false">Raw_Nigeria!F584</f>
        <v>2016</v>
      </c>
      <c r="I584" s="7" t="str">
        <f aca="false">UPPER(TRIM(Raw_Nigeria!G584))</f>
        <v>PCV2</v>
      </c>
      <c r="J584" s="7" t="str">
        <f aca="false">Raw_Nigeria!H584</f>
        <v>Record or Recall&lt;12m</v>
      </c>
      <c r="K584" s="7" t="str">
        <f aca="false">Raw_Nigeria!L584</f>
        <v>24-35 m</v>
      </c>
      <c r="L584" s="7" t="str">
        <f aca="false">IF(Raw_Nigeria!K584="","n/a",Raw_Nigeria!K584)</f>
        <v>0-12 m</v>
      </c>
      <c r="M584" s="7" t="str">
        <f aca="false">IF(Raw_Nigeria!I584="","",Raw_Nigeria!I584)</f>
        <v/>
      </c>
      <c r="N584" s="7" t="n">
        <f aca="false">Raw_Nigeria!M584</f>
        <v>48.3</v>
      </c>
      <c r="O584" s="7" t="n">
        <f aca="false">IF(Raw_Nigeria!N584="","",Raw_Nigeria!N584)</f>
        <v>5835</v>
      </c>
      <c r="P584" s="7" t="str">
        <f aca="false">IF(K584="CBAW","Women of child-bearing age","Children")</f>
        <v>Children</v>
      </c>
      <c r="Q584" s="7" t="n">
        <f aca="false">IF(J584="NOT USED",1,0)</f>
        <v>0</v>
      </c>
      <c r="R584" s="7" t="n">
        <f aca="false">IF(AND(P584="Children",Q584=0),1,0)</f>
        <v>1</v>
      </c>
      <c r="S584" s="7" t="n">
        <f aca="false">IF(AND(R584=1,J584="Record or Recall",K584="12-23 m"),1,0)</f>
        <v>0</v>
      </c>
      <c r="T584" s="7" t="n">
        <f aca="false">IF(OR(I584="BCG",I584="DTP1",I584="DTP3",I584="POL3",I584="MCV1",I584="FULL"),1,0)</f>
        <v>0</v>
      </c>
      <c r="U584" s="7" t="n">
        <f aca="false">IF(OR(C584="DHS",C584="MICS"),1,0)</f>
        <v>1</v>
      </c>
      <c r="V584" s="7" t="n">
        <f aca="false">IF(O584="",1,0)</f>
        <v>0</v>
      </c>
      <c r="W584" s="7" t="n">
        <f aca="false">IF(M584="",1,0)</f>
        <v>1</v>
      </c>
      <c r="X584" s="7" t="n">
        <f aca="false">COUNTIFS($B$2:$B$1141,B584,$H$2:$H$1141,H584,$I$2:$I$1141,I584,$J$2:$J$1141,J584,$K$2:$K$1141,K584,$L$2:$L$1141,L584)</f>
        <v>1</v>
      </c>
    </row>
    <row r="585" customFormat="false" ht="15" hidden="false" customHeight="false" outlineLevel="0" collapsed="false">
      <c r="A585" s="7" t="n">
        <f aca="false">ROW()-1</f>
        <v>584</v>
      </c>
      <c r="B585" s="7" t="str">
        <f aca="false">IF(Raw_Nigeria!B585="",TRIM(Raw_Nigeria!C585),TRIM(Raw_Nigeria!B585))</f>
        <v>Nigeria Demographic and Health Survey 2018</v>
      </c>
      <c r="C585" s="7" t="str">
        <f aca="false">IF(ISNUMBER(SEARCH("Demographic and Health",B585)),"DHS",IF(OR(ISNUMBER(SEARCH("Multiple Indicator Cluster",B585)),ISNUMBER(SEARCH("MICS",B585))),"MICS",IF(ISNUMBER(SEARCH("Immunization Coverage Survey",B585)),"Coverage survey",IF(ISNUMBER(SEARCH("Nutrition",B585)),"Nutrition survey","Other"))))</f>
        <v>DHS</v>
      </c>
      <c r="D585" s="7" t="n">
        <f aca="false">VALUE(LEFT(Raw_Nigeria!D585,4))</f>
        <v>2018</v>
      </c>
      <c r="E585" s="7" t="n">
        <f aca="false">IF(VALUE(RIGHT(Raw_Nigeria!D585,2))&gt;12,"",VALUE(RIGHT(Raw_Nigeria!D585,2)))</f>
        <v>8</v>
      </c>
      <c r="F585" s="7" t="n">
        <f aca="false">VALUE(LEFT(Raw_Nigeria!E585,4))</f>
        <v>2018</v>
      </c>
      <c r="G585" s="7" t="n">
        <f aca="false">IF(VALUE(RIGHT(Raw_Nigeria!E585,2))&gt;12,"",VALUE(RIGHT(Raw_Nigeria!E585,2)))</f>
        <v>12</v>
      </c>
      <c r="H585" s="7" t="n">
        <f aca="false">Raw_Nigeria!F585</f>
        <v>2016</v>
      </c>
      <c r="I585" s="7" t="str">
        <f aca="false">UPPER(TRIM(Raw_Nigeria!G585))</f>
        <v>PCV2</v>
      </c>
      <c r="J585" s="7" t="str">
        <f aca="false">Raw_Nigeria!H585</f>
        <v>Record</v>
      </c>
      <c r="K585" s="7" t="str">
        <f aca="false">Raw_Nigeria!L585</f>
        <v>24-35 m</v>
      </c>
      <c r="L585" s="7" t="str">
        <f aca="false">IF(Raw_Nigeria!K585="","n/a",Raw_Nigeria!K585)</f>
        <v>0-35 m</v>
      </c>
      <c r="M585" s="7" t="str">
        <f aca="false">IF(Raw_Nigeria!I585="","",Raw_Nigeria!I585)</f>
        <v/>
      </c>
      <c r="N585" s="7" t="n">
        <f aca="false">Raw_Nigeria!M585</f>
        <v>24</v>
      </c>
      <c r="O585" s="7" t="n">
        <f aca="false">IF(Raw_Nigeria!N585="","",Raw_Nigeria!N585)</f>
        <v>1715</v>
      </c>
      <c r="P585" s="7" t="str">
        <f aca="false">IF(K585="CBAW","Women of child-bearing age","Children")</f>
        <v>Children</v>
      </c>
      <c r="Q585" s="7" t="n">
        <f aca="false">IF(J585="NOT USED",1,0)</f>
        <v>0</v>
      </c>
      <c r="R585" s="7" t="n">
        <f aca="false">IF(AND(P585="Children",Q585=0),1,0)</f>
        <v>1</v>
      </c>
      <c r="S585" s="7" t="n">
        <f aca="false">IF(AND(R585=1,J585="Record or Recall",K585="12-23 m"),1,0)</f>
        <v>0</v>
      </c>
      <c r="T585" s="7" t="n">
        <f aca="false">IF(OR(I585="BCG",I585="DTP1",I585="DTP3",I585="POL3",I585="MCV1",I585="FULL"),1,0)</f>
        <v>0</v>
      </c>
      <c r="U585" s="7" t="n">
        <f aca="false">IF(OR(C585="DHS",C585="MICS"),1,0)</f>
        <v>1</v>
      </c>
      <c r="V585" s="7" t="n">
        <f aca="false">IF(O585="",1,0)</f>
        <v>0</v>
      </c>
      <c r="W585" s="7" t="n">
        <f aca="false">IF(M585="",1,0)</f>
        <v>1</v>
      </c>
      <c r="X585" s="7" t="n">
        <f aca="false">COUNTIFS($B$2:$B$1141,B585,$H$2:$H$1141,H585,$I$2:$I$1141,I585,$J$2:$J$1141,J585,$K$2:$K$1141,K585,$L$2:$L$1141,L585)</f>
        <v>1</v>
      </c>
    </row>
    <row r="586" customFormat="false" ht="15" hidden="false" customHeight="false" outlineLevel="0" collapsed="false">
      <c r="A586" s="7" t="n">
        <f aca="false">ROW()-1</f>
        <v>585</v>
      </c>
      <c r="B586" s="7" t="str">
        <f aca="false">IF(Raw_Nigeria!B586="",TRIM(Raw_Nigeria!C586),TRIM(Raw_Nigeria!B586))</f>
        <v>Nigeria Demographic and Health Survey 2018</v>
      </c>
      <c r="C586" s="7" t="str">
        <f aca="false">IF(ISNUMBER(SEARCH("Demographic and Health",B586)),"DHS",IF(OR(ISNUMBER(SEARCH("Multiple Indicator Cluster",B586)),ISNUMBER(SEARCH("MICS",B586))),"MICS",IF(ISNUMBER(SEARCH("Immunization Coverage Survey",B586)),"Coverage survey",IF(ISNUMBER(SEARCH("Nutrition",B586)),"Nutrition survey","Other"))))</f>
        <v>DHS</v>
      </c>
      <c r="D586" s="7" t="n">
        <f aca="false">VALUE(LEFT(Raw_Nigeria!D586,4))</f>
        <v>2018</v>
      </c>
      <c r="E586" s="7" t="n">
        <f aca="false">IF(VALUE(RIGHT(Raw_Nigeria!D586,2))&gt;12,"",VALUE(RIGHT(Raw_Nigeria!D586,2)))</f>
        <v>8</v>
      </c>
      <c r="F586" s="7" t="n">
        <f aca="false">VALUE(LEFT(Raw_Nigeria!E586,4))</f>
        <v>2018</v>
      </c>
      <c r="G586" s="7" t="n">
        <f aca="false">IF(VALUE(RIGHT(Raw_Nigeria!E586,2))&gt;12,"",VALUE(RIGHT(Raw_Nigeria!E586,2)))</f>
        <v>12</v>
      </c>
      <c r="H586" s="7" t="n">
        <f aca="false">Raw_Nigeria!F586</f>
        <v>2016</v>
      </c>
      <c r="I586" s="7" t="str">
        <f aca="false">UPPER(TRIM(Raw_Nigeria!G586))</f>
        <v>PCV2</v>
      </c>
      <c r="J586" s="7" t="str">
        <f aca="false">Raw_Nigeria!H586</f>
        <v>Record or Recall</v>
      </c>
      <c r="K586" s="7" t="str">
        <f aca="false">Raw_Nigeria!L586</f>
        <v>24-35 m</v>
      </c>
      <c r="L586" s="7" t="str">
        <f aca="false">IF(Raw_Nigeria!K586="","n/a",Raw_Nigeria!K586)</f>
        <v>0-35 m</v>
      </c>
      <c r="M586" s="7" t="str">
        <f aca="false">IF(Raw_Nigeria!I586="","",Raw_Nigeria!I586)</f>
        <v/>
      </c>
      <c r="N586" s="7" t="n">
        <f aca="false">Raw_Nigeria!M586</f>
        <v>50.3</v>
      </c>
      <c r="O586" s="7" t="n">
        <f aca="false">IF(Raw_Nigeria!N586="","",Raw_Nigeria!N586)</f>
        <v>5835</v>
      </c>
      <c r="P586" s="7" t="str">
        <f aca="false">IF(K586="CBAW","Women of child-bearing age","Children")</f>
        <v>Children</v>
      </c>
      <c r="Q586" s="7" t="n">
        <f aca="false">IF(J586="NOT USED",1,0)</f>
        <v>0</v>
      </c>
      <c r="R586" s="7" t="n">
        <f aca="false">IF(AND(P586="Children",Q586=0),1,0)</f>
        <v>1</v>
      </c>
      <c r="S586" s="7" t="n">
        <f aca="false">IF(AND(R586=1,J586="Record or Recall",K586="12-23 m"),1,0)</f>
        <v>0</v>
      </c>
      <c r="T586" s="7" t="n">
        <f aca="false">IF(OR(I586="BCG",I586="DTP1",I586="DTP3",I586="POL3",I586="MCV1",I586="FULL"),1,0)</f>
        <v>0</v>
      </c>
      <c r="U586" s="7" t="n">
        <f aca="false">IF(OR(C586="DHS",C586="MICS"),1,0)</f>
        <v>1</v>
      </c>
      <c r="V586" s="7" t="n">
        <f aca="false">IF(O586="",1,0)</f>
        <v>0</v>
      </c>
      <c r="W586" s="7" t="n">
        <f aca="false">IF(M586="",1,0)</f>
        <v>1</v>
      </c>
      <c r="X586" s="7" t="n">
        <f aca="false">COUNTIFS($B$2:$B$1141,B586,$H$2:$H$1141,H586,$I$2:$I$1141,I586,$J$2:$J$1141,J586,$K$2:$K$1141,K586,$L$2:$L$1141,L586)</f>
        <v>1</v>
      </c>
    </row>
    <row r="587" customFormat="false" ht="15" hidden="false" customHeight="false" outlineLevel="0" collapsed="false">
      <c r="A587" s="7" t="n">
        <f aca="false">ROW()-1</f>
        <v>586</v>
      </c>
      <c r="B587" s="7" t="str">
        <f aca="false">IF(Raw_Nigeria!B587="",TRIM(Raw_Nigeria!C587),TRIM(Raw_Nigeria!B587))</f>
        <v>Nigeria Demographic and Health Survey 2018</v>
      </c>
      <c r="C587" s="7" t="str">
        <f aca="false">IF(ISNUMBER(SEARCH("Demographic and Health",B587)),"DHS",IF(OR(ISNUMBER(SEARCH("Multiple Indicator Cluster",B587)),ISNUMBER(SEARCH("MICS",B587))),"MICS",IF(ISNUMBER(SEARCH("Immunization Coverage Survey",B587)),"Coverage survey",IF(ISNUMBER(SEARCH("Nutrition",B587)),"Nutrition survey","Other"))))</f>
        <v>DHS</v>
      </c>
      <c r="D587" s="7" t="n">
        <f aca="false">VALUE(LEFT(Raw_Nigeria!D587,4))</f>
        <v>2018</v>
      </c>
      <c r="E587" s="7" t="n">
        <f aca="false">IF(VALUE(RIGHT(Raw_Nigeria!D587,2))&gt;12,"",VALUE(RIGHT(Raw_Nigeria!D587,2)))</f>
        <v>8</v>
      </c>
      <c r="F587" s="7" t="n">
        <f aca="false">VALUE(LEFT(Raw_Nigeria!E587,4))</f>
        <v>2018</v>
      </c>
      <c r="G587" s="7" t="n">
        <f aca="false">IF(VALUE(RIGHT(Raw_Nigeria!E587,2))&gt;12,"",VALUE(RIGHT(Raw_Nigeria!E587,2)))</f>
        <v>12</v>
      </c>
      <c r="H587" s="7" t="n">
        <f aca="false">Raw_Nigeria!F587</f>
        <v>2016</v>
      </c>
      <c r="I587" s="7" t="str">
        <f aca="false">UPPER(TRIM(Raw_Nigeria!G587))</f>
        <v>PCV2</v>
      </c>
      <c r="J587" s="7" t="str">
        <f aca="false">Raw_Nigeria!H587</f>
        <v>Recall</v>
      </c>
      <c r="K587" s="7" t="str">
        <f aca="false">Raw_Nigeria!L587</f>
        <v>24-35 m</v>
      </c>
      <c r="L587" s="7" t="str">
        <f aca="false">IF(Raw_Nigeria!K587="","n/a",Raw_Nigeria!K587)</f>
        <v>0-35 m</v>
      </c>
      <c r="M587" s="7" t="str">
        <f aca="false">IF(Raw_Nigeria!I587="","",Raw_Nigeria!I587)</f>
        <v/>
      </c>
      <c r="N587" s="7" t="n">
        <f aca="false">Raw_Nigeria!M587</f>
        <v>26.3</v>
      </c>
      <c r="O587" s="7" t="n">
        <f aca="false">IF(Raw_Nigeria!N587="","",Raw_Nigeria!N587)</f>
        <v>4120</v>
      </c>
      <c r="P587" s="7" t="str">
        <f aca="false">IF(K587="CBAW","Women of child-bearing age","Children")</f>
        <v>Children</v>
      </c>
      <c r="Q587" s="7" t="n">
        <f aca="false">IF(J587="NOT USED",1,0)</f>
        <v>0</v>
      </c>
      <c r="R587" s="7" t="n">
        <f aca="false">IF(AND(P587="Children",Q587=0),1,0)</f>
        <v>1</v>
      </c>
      <c r="S587" s="7" t="n">
        <f aca="false">IF(AND(R587=1,J587="Record or Recall",K587="12-23 m"),1,0)</f>
        <v>0</v>
      </c>
      <c r="T587" s="7" t="n">
        <f aca="false">IF(OR(I587="BCG",I587="DTP1",I587="DTP3",I587="POL3",I587="MCV1",I587="FULL"),1,0)</f>
        <v>0</v>
      </c>
      <c r="U587" s="7" t="n">
        <f aca="false">IF(OR(C587="DHS",C587="MICS"),1,0)</f>
        <v>1</v>
      </c>
      <c r="V587" s="7" t="n">
        <f aca="false">IF(O587="",1,0)</f>
        <v>0</v>
      </c>
      <c r="W587" s="7" t="n">
        <f aca="false">IF(M587="",1,0)</f>
        <v>1</v>
      </c>
      <c r="X587" s="7" t="n">
        <f aca="false">COUNTIFS($B$2:$B$1141,B587,$H$2:$H$1141,H587,$I$2:$I$1141,I587,$J$2:$J$1141,J587,$K$2:$K$1141,K587,$L$2:$L$1141,L587)</f>
        <v>1</v>
      </c>
    </row>
    <row r="588" customFormat="false" ht="15" hidden="false" customHeight="false" outlineLevel="0" collapsed="false">
      <c r="A588" s="7" t="n">
        <f aca="false">ROW()-1</f>
        <v>587</v>
      </c>
      <c r="B588" s="7" t="str">
        <f aca="false">IF(Raw_Nigeria!B588="",TRIM(Raw_Nigeria!C588),TRIM(Raw_Nigeria!B588))</f>
        <v>Nigeria Demographic and Health Survey 2018</v>
      </c>
      <c r="C588" s="7" t="str">
        <f aca="false">IF(ISNUMBER(SEARCH("Demographic and Health",B588)),"DHS",IF(OR(ISNUMBER(SEARCH("Multiple Indicator Cluster",B588)),ISNUMBER(SEARCH("MICS",B588))),"MICS",IF(ISNUMBER(SEARCH("Immunization Coverage Survey",B588)),"Coverage survey",IF(ISNUMBER(SEARCH("Nutrition",B588)),"Nutrition survey","Other"))))</f>
        <v>DHS</v>
      </c>
      <c r="D588" s="7" t="n">
        <f aca="false">VALUE(LEFT(Raw_Nigeria!D588,4))</f>
        <v>2018</v>
      </c>
      <c r="E588" s="7" t="n">
        <f aca="false">IF(VALUE(RIGHT(Raw_Nigeria!D588,2))&gt;12,"",VALUE(RIGHT(Raw_Nigeria!D588,2)))</f>
        <v>8</v>
      </c>
      <c r="F588" s="7" t="n">
        <f aca="false">VALUE(LEFT(Raw_Nigeria!E588,4))</f>
        <v>2018</v>
      </c>
      <c r="G588" s="7" t="n">
        <f aca="false">IF(VALUE(RIGHT(Raw_Nigeria!E588,2))&gt;12,"",VALUE(RIGHT(Raw_Nigeria!E588,2)))</f>
        <v>12</v>
      </c>
      <c r="H588" s="7" t="n">
        <f aca="false">Raw_Nigeria!F588</f>
        <v>2016</v>
      </c>
      <c r="I588" s="7" t="str">
        <f aca="false">UPPER(TRIM(Raw_Nigeria!G588))</f>
        <v>PCVC</v>
      </c>
      <c r="J588" s="7" t="str">
        <f aca="false">Raw_Nigeria!H588</f>
        <v>Record or Recall&lt;12m</v>
      </c>
      <c r="K588" s="7" t="str">
        <f aca="false">Raw_Nigeria!L588</f>
        <v>24-35 m</v>
      </c>
      <c r="L588" s="7" t="str">
        <f aca="false">IF(Raw_Nigeria!K588="","n/a",Raw_Nigeria!K588)</f>
        <v>0-12 m</v>
      </c>
      <c r="M588" s="7" t="str">
        <f aca="false">IF(Raw_Nigeria!I588="","",Raw_Nigeria!I588)</f>
        <v/>
      </c>
      <c r="N588" s="7" t="n">
        <f aca="false">Raw_Nigeria!M588</f>
        <v>41.1</v>
      </c>
      <c r="O588" s="7" t="n">
        <f aca="false">IF(Raw_Nigeria!N588="","",Raw_Nigeria!N588)</f>
        <v>5835</v>
      </c>
      <c r="P588" s="7" t="str">
        <f aca="false">IF(K588="CBAW","Women of child-bearing age","Children")</f>
        <v>Children</v>
      </c>
      <c r="Q588" s="7" t="n">
        <f aca="false">IF(J588="NOT USED",1,0)</f>
        <v>0</v>
      </c>
      <c r="R588" s="7" t="n">
        <f aca="false">IF(AND(P588="Children",Q588=0),1,0)</f>
        <v>1</v>
      </c>
      <c r="S588" s="7" t="n">
        <f aca="false">IF(AND(R588=1,J588="Record or Recall",K588="12-23 m"),1,0)</f>
        <v>0</v>
      </c>
      <c r="T588" s="7" t="n">
        <f aca="false">IF(OR(I588="BCG",I588="DTP1",I588="DTP3",I588="POL3",I588="MCV1",I588="FULL"),1,0)</f>
        <v>0</v>
      </c>
      <c r="U588" s="7" t="n">
        <f aca="false">IF(OR(C588="DHS",C588="MICS"),1,0)</f>
        <v>1</v>
      </c>
      <c r="V588" s="7" t="n">
        <f aca="false">IF(O588="",1,0)</f>
        <v>0</v>
      </c>
      <c r="W588" s="7" t="n">
        <f aca="false">IF(M588="",1,0)</f>
        <v>1</v>
      </c>
      <c r="X588" s="7" t="n">
        <f aca="false">COUNTIFS($B$2:$B$1141,B588,$H$2:$H$1141,H588,$I$2:$I$1141,I588,$J$2:$J$1141,J588,$K$2:$K$1141,K588,$L$2:$L$1141,L588)</f>
        <v>1</v>
      </c>
    </row>
    <row r="589" customFormat="false" ht="15" hidden="false" customHeight="false" outlineLevel="0" collapsed="false">
      <c r="A589" s="7" t="n">
        <f aca="false">ROW()-1</f>
        <v>588</v>
      </c>
      <c r="B589" s="7" t="str">
        <f aca="false">IF(Raw_Nigeria!B589="",TRIM(Raw_Nigeria!C589),TRIM(Raw_Nigeria!B589))</f>
        <v>Nigeria Demographic and Health Survey 2018</v>
      </c>
      <c r="C589" s="7" t="str">
        <f aca="false">IF(ISNUMBER(SEARCH("Demographic and Health",B589)),"DHS",IF(OR(ISNUMBER(SEARCH("Multiple Indicator Cluster",B589)),ISNUMBER(SEARCH("MICS",B589))),"MICS",IF(ISNUMBER(SEARCH("Immunization Coverage Survey",B589)),"Coverage survey",IF(ISNUMBER(SEARCH("Nutrition",B589)),"Nutrition survey","Other"))))</f>
        <v>DHS</v>
      </c>
      <c r="D589" s="7" t="n">
        <f aca="false">VALUE(LEFT(Raw_Nigeria!D589,4))</f>
        <v>2018</v>
      </c>
      <c r="E589" s="7" t="n">
        <f aca="false">IF(VALUE(RIGHT(Raw_Nigeria!D589,2))&gt;12,"",VALUE(RIGHT(Raw_Nigeria!D589,2)))</f>
        <v>8</v>
      </c>
      <c r="F589" s="7" t="n">
        <f aca="false">VALUE(LEFT(Raw_Nigeria!E589,4))</f>
        <v>2018</v>
      </c>
      <c r="G589" s="7" t="n">
        <f aca="false">IF(VALUE(RIGHT(Raw_Nigeria!E589,2))&gt;12,"",VALUE(RIGHT(Raw_Nigeria!E589,2)))</f>
        <v>12</v>
      </c>
      <c r="H589" s="7" t="n">
        <f aca="false">Raw_Nigeria!F589</f>
        <v>2016</v>
      </c>
      <c r="I589" s="7" t="str">
        <f aca="false">UPPER(TRIM(Raw_Nigeria!G589))</f>
        <v>PCVC</v>
      </c>
      <c r="J589" s="7" t="str">
        <f aca="false">Raw_Nigeria!H589</f>
        <v>Record</v>
      </c>
      <c r="K589" s="7" t="str">
        <f aca="false">Raw_Nigeria!L589</f>
        <v>24-35 m</v>
      </c>
      <c r="L589" s="7" t="str">
        <f aca="false">IF(Raw_Nigeria!K589="","n/a",Raw_Nigeria!K589)</f>
        <v>0-35 m</v>
      </c>
      <c r="M589" s="7" t="str">
        <f aca="false">IF(Raw_Nigeria!I589="","",Raw_Nigeria!I589)</f>
        <v/>
      </c>
      <c r="N589" s="7" t="n">
        <f aca="false">Raw_Nigeria!M589</f>
        <v>21.7</v>
      </c>
      <c r="O589" s="7" t="n">
        <f aca="false">IF(Raw_Nigeria!N589="","",Raw_Nigeria!N589)</f>
        <v>1715</v>
      </c>
      <c r="P589" s="7" t="str">
        <f aca="false">IF(K589="CBAW","Women of child-bearing age","Children")</f>
        <v>Children</v>
      </c>
      <c r="Q589" s="7" t="n">
        <f aca="false">IF(J589="NOT USED",1,0)</f>
        <v>0</v>
      </c>
      <c r="R589" s="7" t="n">
        <f aca="false">IF(AND(P589="Children",Q589=0),1,0)</f>
        <v>1</v>
      </c>
      <c r="S589" s="7" t="n">
        <f aca="false">IF(AND(R589=1,J589="Record or Recall",K589="12-23 m"),1,0)</f>
        <v>0</v>
      </c>
      <c r="T589" s="7" t="n">
        <f aca="false">IF(OR(I589="BCG",I589="DTP1",I589="DTP3",I589="POL3",I589="MCV1",I589="FULL"),1,0)</f>
        <v>0</v>
      </c>
      <c r="U589" s="7" t="n">
        <f aca="false">IF(OR(C589="DHS",C589="MICS"),1,0)</f>
        <v>1</v>
      </c>
      <c r="V589" s="7" t="n">
        <f aca="false">IF(O589="",1,0)</f>
        <v>0</v>
      </c>
      <c r="W589" s="7" t="n">
        <f aca="false">IF(M589="",1,0)</f>
        <v>1</v>
      </c>
      <c r="X589" s="7" t="n">
        <f aca="false">COUNTIFS($B$2:$B$1141,B589,$H$2:$H$1141,H589,$I$2:$I$1141,I589,$J$2:$J$1141,J589,$K$2:$K$1141,K589,$L$2:$L$1141,L589)</f>
        <v>1</v>
      </c>
    </row>
    <row r="590" customFormat="false" ht="15" hidden="false" customHeight="false" outlineLevel="0" collapsed="false">
      <c r="A590" s="7" t="n">
        <f aca="false">ROW()-1</f>
        <v>589</v>
      </c>
      <c r="B590" s="7" t="str">
        <f aca="false">IF(Raw_Nigeria!B590="",TRIM(Raw_Nigeria!C590),TRIM(Raw_Nigeria!B590))</f>
        <v>Nigeria Demographic and Health Survey 2018</v>
      </c>
      <c r="C590" s="7" t="str">
        <f aca="false">IF(ISNUMBER(SEARCH("Demographic and Health",B590)),"DHS",IF(OR(ISNUMBER(SEARCH("Multiple Indicator Cluster",B590)),ISNUMBER(SEARCH("MICS",B590))),"MICS",IF(ISNUMBER(SEARCH("Immunization Coverage Survey",B590)),"Coverage survey",IF(ISNUMBER(SEARCH("Nutrition",B590)),"Nutrition survey","Other"))))</f>
        <v>DHS</v>
      </c>
      <c r="D590" s="7" t="n">
        <f aca="false">VALUE(LEFT(Raw_Nigeria!D590,4))</f>
        <v>2018</v>
      </c>
      <c r="E590" s="7" t="n">
        <f aca="false">IF(VALUE(RIGHT(Raw_Nigeria!D590,2))&gt;12,"",VALUE(RIGHT(Raw_Nigeria!D590,2)))</f>
        <v>8</v>
      </c>
      <c r="F590" s="7" t="n">
        <f aca="false">VALUE(LEFT(Raw_Nigeria!E590,4))</f>
        <v>2018</v>
      </c>
      <c r="G590" s="7" t="n">
        <f aca="false">IF(VALUE(RIGHT(Raw_Nigeria!E590,2))&gt;12,"",VALUE(RIGHT(Raw_Nigeria!E590,2)))</f>
        <v>12</v>
      </c>
      <c r="H590" s="7" t="n">
        <f aca="false">Raw_Nigeria!F590</f>
        <v>2016</v>
      </c>
      <c r="I590" s="7" t="str">
        <f aca="false">UPPER(TRIM(Raw_Nigeria!G590))</f>
        <v>PCVC</v>
      </c>
      <c r="J590" s="7" t="str">
        <f aca="false">Raw_Nigeria!H590</f>
        <v>Record or Recall</v>
      </c>
      <c r="K590" s="7" t="str">
        <f aca="false">Raw_Nigeria!L590</f>
        <v>24-35 m</v>
      </c>
      <c r="L590" s="7" t="str">
        <f aca="false">IF(Raw_Nigeria!K590="","n/a",Raw_Nigeria!K590)</f>
        <v>0-35 m</v>
      </c>
      <c r="M590" s="7" t="str">
        <f aca="false">IF(Raw_Nigeria!I590="","",Raw_Nigeria!I590)</f>
        <v/>
      </c>
      <c r="N590" s="7" t="n">
        <f aca="false">Raw_Nigeria!M590</f>
        <v>43.5</v>
      </c>
      <c r="O590" s="7" t="n">
        <f aca="false">IF(Raw_Nigeria!N590="","",Raw_Nigeria!N590)</f>
        <v>5835</v>
      </c>
      <c r="P590" s="7" t="str">
        <f aca="false">IF(K590="CBAW","Women of child-bearing age","Children")</f>
        <v>Children</v>
      </c>
      <c r="Q590" s="7" t="n">
        <f aca="false">IF(J590="NOT USED",1,0)</f>
        <v>0</v>
      </c>
      <c r="R590" s="7" t="n">
        <f aca="false">IF(AND(P590="Children",Q590=0),1,0)</f>
        <v>1</v>
      </c>
      <c r="S590" s="7" t="n">
        <f aca="false">IF(AND(R590=1,J590="Record or Recall",K590="12-23 m"),1,0)</f>
        <v>0</v>
      </c>
      <c r="T590" s="7" t="n">
        <f aca="false">IF(OR(I590="BCG",I590="DTP1",I590="DTP3",I590="POL3",I590="MCV1",I590="FULL"),1,0)</f>
        <v>0</v>
      </c>
      <c r="U590" s="7" t="n">
        <f aca="false">IF(OR(C590="DHS",C590="MICS"),1,0)</f>
        <v>1</v>
      </c>
      <c r="V590" s="7" t="n">
        <f aca="false">IF(O590="",1,0)</f>
        <v>0</v>
      </c>
      <c r="W590" s="7" t="n">
        <f aca="false">IF(M590="",1,0)</f>
        <v>1</v>
      </c>
      <c r="X590" s="7" t="n">
        <f aca="false">COUNTIFS($B$2:$B$1141,B590,$H$2:$H$1141,H590,$I$2:$I$1141,I590,$J$2:$J$1141,J590,$K$2:$K$1141,K590,$L$2:$L$1141,L590)</f>
        <v>1</v>
      </c>
    </row>
    <row r="591" customFormat="false" ht="15" hidden="false" customHeight="false" outlineLevel="0" collapsed="false">
      <c r="A591" s="7" t="n">
        <f aca="false">ROW()-1</f>
        <v>590</v>
      </c>
      <c r="B591" s="7" t="str">
        <f aca="false">IF(Raw_Nigeria!B591="",TRIM(Raw_Nigeria!C591),TRIM(Raw_Nigeria!B591))</f>
        <v>Nigeria Demographic and Health Survey 2018</v>
      </c>
      <c r="C591" s="7" t="str">
        <f aca="false">IF(ISNUMBER(SEARCH("Demographic and Health",B591)),"DHS",IF(OR(ISNUMBER(SEARCH("Multiple Indicator Cluster",B591)),ISNUMBER(SEARCH("MICS",B591))),"MICS",IF(ISNUMBER(SEARCH("Immunization Coverage Survey",B591)),"Coverage survey",IF(ISNUMBER(SEARCH("Nutrition",B591)),"Nutrition survey","Other"))))</f>
        <v>DHS</v>
      </c>
      <c r="D591" s="7" t="n">
        <f aca="false">VALUE(LEFT(Raw_Nigeria!D591,4))</f>
        <v>2018</v>
      </c>
      <c r="E591" s="7" t="n">
        <f aca="false">IF(VALUE(RIGHT(Raw_Nigeria!D591,2))&gt;12,"",VALUE(RIGHT(Raw_Nigeria!D591,2)))</f>
        <v>8</v>
      </c>
      <c r="F591" s="7" t="n">
        <f aca="false">VALUE(LEFT(Raw_Nigeria!E591,4))</f>
        <v>2018</v>
      </c>
      <c r="G591" s="7" t="n">
        <f aca="false">IF(VALUE(RIGHT(Raw_Nigeria!E591,2))&gt;12,"",VALUE(RIGHT(Raw_Nigeria!E591,2)))</f>
        <v>12</v>
      </c>
      <c r="H591" s="7" t="n">
        <f aca="false">Raw_Nigeria!F591</f>
        <v>2016</v>
      </c>
      <c r="I591" s="7" t="str">
        <f aca="false">UPPER(TRIM(Raw_Nigeria!G591))</f>
        <v>PCVC</v>
      </c>
      <c r="J591" s="7" t="str">
        <f aca="false">Raw_Nigeria!H591</f>
        <v>Recall</v>
      </c>
      <c r="K591" s="7" t="str">
        <f aca="false">Raw_Nigeria!L591</f>
        <v>24-35 m</v>
      </c>
      <c r="L591" s="7" t="str">
        <f aca="false">IF(Raw_Nigeria!K591="","n/a",Raw_Nigeria!K591)</f>
        <v>0-35 m</v>
      </c>
      <c r="M591" s="7" t="str">
        <f aca="false">IF(Raw_Nigeria!I591="","",Raw_Nigeria!I591)</f>
        <v/>
      </c>
      <c r="N591" s="7" t="n">
        <f aca="false">Raw_Nigeria!M591</f>
        <v>21.8</v>
      </c>
      <c r="O591" s="7" t="n">
        <f aca="false">IF(Raw_Nigeria!N591="","",Raw_Nigeria!N591)</f>
        <v>4120</v>
      </c>
      <c r="P591" s="7" t="str">
        <f aca="false">IF(K591="CBAW","Women of child-bearing age","Children")</f>
        <v>Children</v>
      </c>
      <c r="Q591" s="7" t="n">
        <f aca="false">IF(J591="NOT USED",1,0)</f>
        <v>0</v>
      </c>
      <c r="R591" s="7" t="n">
        <f aca="false">IF(AND(P591="Children",Q591=0),1,0)</f>
        <v>1</v>
      </c>
      <c r="S591" s="7" t="n">
        <f aca="false">IF(AND(R591=1,J591="Record or Recall",K591="12-23 m"),1,0)</f>
        <v>0</v>
      </c>
      <c r="T591" s="7" t="n">
        <f aca="false">IF(OR(I591="BCG",I591="DTP1",I591="DTP3",I591="POL3",I591="MCV1",I591="FULL"),1,0)</f>
        <v>0</v>
      </c>
      <c r="U591" s="7" t="n">
        <f aca="false">IF(OR(C591="DHS",C591="MICS"),1,0)</f>
        <v>1</v>
      </c>
      <c r="V591" s="7" t="n">
        <f aca="false">IF(O591="",1,0)</f>
        <v>0</v>
      </c>
      <c r="W591" s="7" t="n">
        <f aca="false">IF(M591="",1,0)</f>
        <v>1</v>
      </c>
      <c r="X591" s="7" t="n">
        <f aca="false">COUNTIFS($B$2:$B$1141,B591,$H$2:$H$1141,H591,$I$2:$I$1141,I591,$J$2:$J$1141,J591,$K$2:$K$1141,K591,$L$2:$L$1141,L591)</f>
        <v>1</v>
      </c>
    </row>
    <row r="592" customFormat="false" ht="15" hidden="false" customHeight="false" outlineLevel="0" collapsed="false">
      <c r="A592" s="7" t="n">
        <f aca="false">ROW()-1</f>
        <v>591</v>
      </c>
      <c r="B592" s="7" t="str">
        <f aca="false">IF(Raw_Nigeria!B592="",TRIM(Raw_Nigeria!C592),TRIM(Raw_Nigeria!B592))</f>
        <v>Nigeria Demographic and Health Survey 2018</v>
      </c>
      <c r="C592" s="7" t="str">
        <f aca="false">IF(ISNUMBER(SEARCH("Demographic and Health",B592)),"DHS",IF(OR(ISNUMBER(SEARCH("Multiple Indicator Cluster",B592)),ISNUMBER(SEARCH("MICS",B592))),"MICS",IF(ISNUMBER(SEARCH("Immunization Coverage Survey",B592)),"Coverage survey",IF(ISNUMBER(SEARCH("Nutrition",B592)),"Nutrition survey","Other"))))</f>
        <v>DHS</v>
      </c>
      <c r="D592" s="7" t="n">
        <f aca="false">VALUE(LEFT(Raw_Nigeria!D592,4))</f>
        <v>2018</v>
      </c>
      <c r="E592" s="7" t="n">
        <f aca="false">IF(VALUE(RIGHT(Raw_Nigeria!D592,2))&gt;12,"",VALUE(RIGHT(Raw_Nigeria!D592,2)))</f>
        <v>8</v>
      </c>
      <c r="F592" s="7" t="n">
        <f aca="false">VALUE(LEFT(Raw_Nigeria!E592,4))</f>
        <v>2018</v>
      </c>
      <c r="G592" s="7" t="n">
        <f aca="false">IF(VALUE(RIGHT(Raw_Nigeria!E592,2))&gt;12,"",VALUE(RIGHT(Raw_Nigeria!E592,2)))</f>
        <v>12</v>
      </c>
      <c r="H592" s="7" t="n">
        <f aca="false">Raw_Nigeria!F592</f>
        <v>2016</v>
      </c>
      <c r="I592" s="7" t="str">
        <f aca="false">UPPER(TRIM(Raw_Nigeria!G592))</f>
        <v>POL0</v>
      </c>
      <c r="J592" s="7" t="str">
        <f aca="false">Raw_Nigeria!H592</f>
        <v>Record or Recall&lt;12m</v>
      </c>
      <c r="K592" s="7" t="str">
        <f aca="false">Raw_Nigeria!L592</f>
        <v>24-35 m</v>
      </c>
      <c r="L592" s="7" t="str">
        <f aca="false">IF(Raw_Nigeria!K592="","n/a",Raw_Nigeria!K592)</f>
        <v>0-12 m</v>
      </c>
      <c r="M592" s="7" t="str">
        <f aca="false">IF(Raw_Nigeria!I592="","",Raw_Nigeria!I592)</f>
        <v/>
      </c>
      <c r="N592" s="7" t="n">
        <f aca="false">Raw_Nigeria!M592</f>
        <v>50.3</v>
      </c>
      <c r="O592" s="7" t="n">
        <f aca="false">IF(Raw_Nigeria!N592="","",Raw_Nigeria!N592)</f>
        <v>5835</v>
      </c>
      <c r="P592" s="7" t="str">
        <f aca="false">IF(K592="CBAW","Women of child-bearing age","Children")</f>
        <v>Children</v>
      </c>
      <c r="Q592" s="7" t="n">
        <f aca="false">IF(J592="NOT USED",1,0)</f>
        <v>0</v>
      </c>
      <c r="R592" s="7" t="n">
        <f aca="false">IF(AND(P592="Children",Q592=0),1,0)</f>
        <v>1</v>
      </c>
      <c r="S592" s="7" t="n">
        <f aca="false">IF(AND(R592=1,J592="Record or Recall",K592="12-23 m"),1,0)</f>
        <v>0</v>
      </c>
      <c r="T592" s="7" t="n">
        <f aca="false">IF(OR(I592="BCG",I592="DTP1",I592="DTP3",I592="POL3",I592="MCV1",I592="FULL"),1,0)</f>
        <v>0</v>
      </c>
      <c r="U592" s="7" t="n">
        <f aca="false">IF(OR(C592="DHS",C592="MICS"),1,0)</f>
        <v>1</v>
      </c>
      <c r="V592" s="7" t="n">
        <f aca="false">IF(O592="",1,0)</f>
        <v>0</v>
      </c>
      <c r="W592" s="7" t="n">
        <f aca="false">IF(M592="",1,0)</f>
        <v>1</v>
      </c>
      <c r="X592" s="7" t="n">
        <f aca="false">COUNTIFS($B$2:$B$1141,B592,$H$2:$H$1141,H592,$I$2:$I$1141,I592,$J$2:$J$1141,J592,$K$2:$K$1141,K592,$L$2:$L$1141,L592)</f>
        <v>1</v>
      </c>
    </row>
    <row r="593" customFormat="false" ht="15" hidden="false" customHeight="false" outlineLevel="0" collapsed="false">
      <c r="A593" s="7" t="n">
        <f aca="false">ROW()-1</f>
        <v>592</v>
      </c>
      <c r="B593" s="7" t="str">
        <f aca="false">IF(Raw_Nigeria!B593="",TRIM(Raw_Nigeria!C593),TRIM(Raw_Nigeria!B593))</f>
        <v>Nigeria Demographic and Health Survey 2018</v>
      </c>
      <c r="C593" s="7" t="str">
        <f aca="false">IF(ISNUMBER(SEARCH("Demographic and Health",B593)),"DHS",IF(OR(ISNUMBER(SEARCH("Multiple Indicator Cluster",B593)),ISNUMBER(SEARCH("MICS",B593))),"MICS",IF(ISNUMBER(SEARCH("Immunization Coverage Survey",B593)),"Coverage survey",IF(ISNUMBER(SEARCH("Nutrition",B593)),"Nutrition survey","Other"))))</f>
        <v>DHS</v>
      </c>
      <c r="D593" s="7" t="n">
        <f aca="false">VALUE(LEFT(Raw_Nigeria!D593,4))</f>
        <v>2018</v>
      </c>
      <c r="E593" s="7" t="n">
        <f aca="false">IF(VALUE(RIGHT(Raw_Nigeria!D593,2))&gt;12,"",VALUE(RIGHT(Raw_Nigeria!D593,2)))</f>
        <v>8</v>
      </c>
      <c r="F593" s="7" t="n">
        <f aca="false">VALUE(LEFT(Raw_Nigeria!E593,4))</f>
        <v>2018</v>
      </c>
      <c r="G593" s="7" t="n">
        <f aca="false">IF(VALUE(RIGHT(Raw_Nigeria!E593,2))&gt;12,"",VALUE(RIGHT(Raw_Nigeria!E593,2)))</f>
        <v>12</v>
      </c>
      <c r="H593" s="7" t="n">
        <f aca="false">Raw_Nigeria!F593</f>
        <v>2016</v>
      </c>
      <c r="I593" s="7" t="str">
        <f aca="false">UPPER(TRIM(Raw_Nigeria!G593))</f>
        <v>POL0</v>
      </c>
      <c r="J593" s="7" t="str">
        <f aca="false">Raw_Nigeria!H593</f>
        <v>Record</v>
      </c>
      <c r="K593" s="7" t="str">
        <f aca="false">Raw_Nigeria!L593</f>
        <v>24-35 m</v>
      </c>
      <c r="L593" s="7" t="str">
        <f aca="false">IF(Raw_Nigeria!K593="","n/a",Raw_Nigeria!K593)</f>
        <v>0-35 m</v>
      </c>
      <c r="M593" s="7" t="str">
        <f aca="false">IF(Raw_Nigeria!I593="","",Raw_Nigeria!I593)</f>
        <v/>
      </c>
      <c r="N593" s="7" t="n">
        <f aca="false">Raw_Nigeria!M593</f>
        <v>24.7</v>
      </c>
      <c r="O593" s="7" t="n">
        <f aca="false">IF(Raw_Nigeria!N593="","",Raw_Nigeria!N593)</f>
        <v>1715</v>
      </c>
      <c r="P593" s="7" t="str">
        <f aca="false">IF(K593="CBAW","Women of child-bearing age","Children")</f>
        <v>Children</v>
      </c>
      <c r="Q593" s="7" t="n">
        <f aca="false">IF(J593="NOT USED",1,0)</f>
        <v>0</v>
      </c>
      <c r="R593" s="7" t="n">
        <f aca="false">IF(AND(P593="Children",Q593=0),1,0)</f>
        <v>1</v>
      </c>
      <c r="S593" s="7" t="n">
        <f aca="false">IF(AND(R593=1,J593="Record or Recall",K593="12-23 m"),1,0)</f>
        <v>0</v>
      </c>
      <c r="T593" s="7" t="n">
        <f aca="false">IF(OR(I593="BCG",I593="DTP1",I593="DTP3",I593="POL3",I593="MCV1",I593="FULL"),1,0)</f>
        <v>0</v>
      </c>
      <c r="U593" s="7" t="n">
        <f aca="false">IF(OR(C593="DHS",C593="MICS"),1,0)</f>
        <v>1</v>
      </c>
      <c r="V593" s="7" t="n">
        <f aca="false">IF(O593="",1,0)</f>
        <v>0</v>
      </c>
      <c r="W593" s="7" t="n">
        <f aca="false">IF(M593="",1,0)</f>
        <v>1</v>
      </c>
      <c r="X593" s="7" t="n">
        <f aca="false">COUNTIFS($B$2:$B$1141,B593,$H$2:$H$1141,H593,$I$2:$I$1141,I593,$J$2:$J$1141,J593,$K$2:$K$1141,K593,$L$2:$L$1141,L593)</f>
        <v>1</v>
      </c>
    </row>
    <row r="594" customFormat="false" ht="15" hidden="false" customHeight="false" outlineLevel="0" collapsed="false">
      <c r="A594" s="7" t="n">
        <f aca="false">ROW()-1</f>
        <v>593</v>
      </c>
      <c r="B594" s="7" t="str">
        <f aca="false">IF(Raw_Nigeria!B594="",TRIM(Raw_Nigeria!C594),TRIM(Raw_Nigeria!B594))</f>
        <v>Nigeria Demographic and Health Survey 2018</v>
      </c>
      <c r="C594" s="7" t="str">
        <f aca="false">IF(ISNUMBER(SEARCH("Demographic and Health",B594)),"DHS",IF(OR(ISNUMBER(SEARCH("Multiple Indicator Cluster",B594)),ISNUMBER(SEARCH("MICS",B594))),"MICS",IF(ISNUMBER(SEARCH("Immunization Coverage Survey",B594)),"Coverage survey",IF(ISNUMBER(SEARCH("Nutrition",B594)),"Nutrition survey","Other"))))</f>
        <v>DHS</v>
      </c>
      <c r="D594" s="7" t="n">
        <f aca="false">VALUE(LEFT(Raw_Nigeria!D594,4))</f>
        <v>2018</v>
      </c>
      <c r="E594" s="7" t="n">
        <f aca="false">IF(VALUE(RIGHT(Raw_Nigeria!D594,2))&gt;12,"",VALUE(RIGHT(Raw_Nigeria!D594,2)))</f>
        <v>8</v>
      </c>
      <c r="F594" s="7" t="n">
        <f aca="false">VALUE(LEFT(Raw_Nigeria!E594,4))</f>
        <v>2018</v>
      </c>
      <c r="G594" s="7" t="n">
        <f aca="false">IF(VALUE(RIGHT(Raw_Nigeria!E594,2))&gt;12,"",VALUE(RIGHT(Raw_Nigeria!E594,2)))</f>
        <v>12</v>
      </c>
      <c r="H594" s="7" t="n">
        <f aca="false">Raw_Nigeria!F594</f>
        <v>2016</v>
      </c>
      <c r="I594" s="7" t="str">
        <f aca="false">UPPER(TRIM(Raw_Nigeria!G594))</f>
        <v>POL0</v>
      </c>
      <c r="J594" s="7" t="str">
        <f aca="false">Raw_Nigeria!H594</f>
        <v>Record or Recall</v>
      </c>
      <c r="K594" s="7" t="str">
        <f aca="false">Raw_Nigeria!L594</f>
        <v>24-35 m</v>
      </c>
      <c r="L594" s="7" t="str">
        <f aca="false">IF(Raw_Nigeria!K594="","n/a",Raw_Nigeria!K594)</f>
        <v>0-35 m</v>
      </c>
      <c r="M594" s="7" t="str">
        <f aca="false">IF(Raw_Nigeria!I594="","",Raw_Nigeria!I594)</f>
        <v/>
      </c>
      <c r="N594" s="7" t="n">
        <f aca="false">Raw_Nigeria!M594</f>
        <v>51.3</v>
      </c>
      <c r="O594" s="7" t="n">
        <f aca="false">IF(Raw_Nigeria!N594="","",Raw_Nigeria!N594)</f>
        <v>5835</v>
      </c>
      <c r="P594" s="7" t="str">
        <f aca="false">IF(K594="CBAW","Women of child-bearing age","Children")</f>
        <v>Children</v>
      </c>
      <c r="Q594" s="7" t="n">
        <f aca="false">IF(J594="NOT USED",1,0)</f>
        <v>0</v>
      </c>
      <c r="R594" s="7" t="n">
        <f aca="false">IF(AND(P594="Children",Q594=0),1,0)</f>
        <v>1</v>
      </c>
      <c r="S594" s="7" t="n">
        <f aca="false">IF(AND(R594=1,J594="Record or Recall",K594="12-23 m"),1,0)</f>
        <v>0</v>
      </c>
      <c r="T594" s="7" t="n">
        <f aca="false">IF(OR(I594="BCG",I594="DTP1",I594="DTP3",I594="POL3",I594="MCV1",I594="FULL"),1,0)</f>
        <v>0</v>
      </c>
      <c r="U594" s="7" t="n">
        <f aca="false">IF(OR(C594="DHS",C594="MICS"),1,0)</f>
        <v>1</v>
      </c>
      <c r="V594" s="7" t="n">
        <f aca="false">IF(O594="",1,0)</f>
        <v>0</v>
      </c>
      <c r="W594" s="7" t="n">
        <f aca="false">IF(M594="",1,0)</f>
        <v>1</v>
      </c>
      <c r="X594" s="7" t="n">
        <f aca="false">COUNTIFS($B$2:$B$1141,B594,$H$2:$H$1141,H594,$I$2:$I$1141,I594,$J$2:$J$1141,J594,$K$2:$K$1141,K594,$L$2:$L$1141,L594)</f>
        <v>1</v>
      </c>
    </row>
    <row r="595" customFormat="false" ht="15" hidden="false" customHeight="false" outlineLevel="0" collapsed="false">
      <c r="A595" s="7" t="n">
        <f aca="false">ROW()-1</f>
        <v>594</v>
      </c>
      <c r="B595" s="7" t="str">
        <f aca="false">IF(Raw_Nigeria!B595="",TRIM(Raw_Nigeria!C595),TRIM(Raw_Nigeria!B595))</f>
        <v>Nigeria Demographic and Health Survey 2018</v>
      </c>
      <c r="C595" s="7" t="str">
        <f aca="false">IF(ISNUMBER(SEARCH("Demographic and Health",B595)),"DHS",IF(OR(ISNUMBER(SEARCH("Multiple Indicator Cluster",B595)),ISNUMBER(SEARCH("MICS",B595))),"MICS",IF(ISNUMBER(SEARCH("Immunization Coverage Survey",B595)),"Coverage survey",IF(ISNUMBER(SEARCH("Nutrition",B595)),"Nutrition survey","Other"))))</f>
        <v>DHS</v>
      </c>
      <c r="D595" s="7" t="n">
        <f aca="false">VALUE(LEFT(Raw_Nigeria!D595,4))</f>
        <v>2018</v>
      </c>
      <c r="E595" s="7" t="n">
        <f aca="false">IF(VALUE(RIGHT(Raw_Nigeria!D595,2))&gt;12,"",VALUE(RIGHT(Raw_Nigeria!D595,2)))</f>
        <v>8</v>
      </c>
      <c r="F595" s="7" t="n">
        <f aca="false">VALUE(LEFT(Raw_Nigeria!E595,4))</f>
        <v>2018</v>
      </c>
      <c r="G595" s="7" t="n">
        <f aca="false">IF(VALUE(RIGHT(Raw_Nigeria!E595,2))&gt;12,"",VALUE(RIGHT(Raw_Nigeria!E595,2)))</f>
        <v>12</v>
      </c>
      <c r="H595" s="7" t="n">
        <f aca="false">Raw_Nigeria!F595</f>
        <v>2016</v>
      </c>
      <c r="I595" s="7" t="str">
        <f aca="false">UPPER(TRIM(Raw_Nigeria!G595))</f>
        <v>POL0</v>
      </c>
      <c r="J595" s="7" t="str">
        <f aca="false">Raw_Nigeria!H595</f>
        <v>Recall</v>
      </c>
      <c r="K595" s="7" t="str">
        <f aca="false">Raw_Nigeria!L595</f>
        <v>24-35 m</v>
      </c>
      <c r="L595" s="7" t="str">
        <f aca="false">IF(Raw_Nigeria!K595="","n/a",Raw_Nigeria!K595)</f>
        <v>0-35 m</v>
      </c>
      <c r="M595" s="7" t="str">
        <f aca="false">IF(Raw_Nigeria!I595="","",Raw_Nigeria!I595)</f>
        <v/>
      </c>
      <c r="N595" s="7" t="n">
        <f aca="false">Raw_Nigeria!M595</f>
        <v>26.6</v>
      </c>
      <c r="O595" s="7" t="n">
        <f aca="false">IF(Raw_Nigeria!N595="","",Raw_Nigeria!N595)</f>
        <v>4120</v>
      </c>
      <c r="P595" s="7" t="str">
        <f aca="false">IF(K595="CBAW","Women of child-bearing age","Children")</f>
        <v>Children</v>
      </c>
      <c r="Q595" s="7" t="n">
        <f aca="false">IF(J595="NOT USED",1,0)</f>
        <v>0</v>
      </c>
      <c r="R595" s="7" t="n">
        <f aca="false">IF(AND(P595="Children",Q595=0),1,0)</f>
        <v>1</v>
      </c>
      <c r="S595" s="7" t="n">
        <f aca="false">IF(AND(R595=1,J595="Record or Recall",K595="12-23 m"),1,0)</f>
        <v>0</v>
      </c>
      <c r="T595" s="7" t="n">
        <f aca="false">IF(OR(I595="BCG",I595="DTP1",I595="DTP3",I595="POL3",I595="MCV1",I595="FULL"),1,0)</f>
        <v>0</v>
      </c>
      <c r="U595" s="7" t="n">
        <f aca="false">IF(OR(C595="DHS",C595="MICS"),1,0)</f>
        <v>1</v>
      </c>
      <c r="V595" s="7" t="n">
        <f aca="false">IF(O595="",1,0)</f>
        <v>0</v>
      </c>
      <c r="W595" s="7" t="n">
        <f aca="false">IF(M595="",1,0)</f>
        <v>1</v>
      </c>
      <c r="X595" s="7" t="n">
        <f aca="false">COUNTIFS($B$2:$B$1141,B595,$H$2:$H$1141,H595,$I$2:$I$1141,I595,$J$2:$J$1141,J595,$K$2:$K$1141,K595,$L$2:$L$1141,L595)</f>
        <v>1</v>
      </c>
    </row>
    <row r="596" customFormat="false" ht="15" hidden="false" customHeight="false" outlineLevel="0" collapsed="false">
      <c r="A596" s="7" t="n">
        <f aca="false">ROW()-1</f>
        <v>595</v>
      </c>
      <c r="B596" s="7" t="str">
        <f aca="false">IF(Raw_Nigeria!B596="",TRIM(Raw_Nigeria!C596),TRIM(Raw_Nigeria!B596))</f>
        <v>Nigeria Demographic and Health Survey 2018</v>
      </c>
      <c r="C596" s="7" t="str">
        <f aca="false">IF(ISNUMBER(SEARCH("Demographic and Health",B596)),"DHS",IF(OR(ISNUMBER(SEARCH("Multiple Indicator Cluster",B596)),ISNUMBER(SEARCH("MICS",B596))),"MICS",IF(ISNUMBER(SEARCH("Immunization Coverage Survey",B596)),"Coverage survey",IF(ISNUMBER(SEARCH("Nutrition",B596)),"Nutrition survey","Other"))))</f>
        <v>DHS</v>
      </c>
      <c r="D596" s="7" t="n">
        <f aca="false">VALUE(LEFT(Raw_Nigeria!D596,4))</f>
        <v>2018</v>
      </c>
      <c r="E596" s="7" t="n">
        <f aca="false">IF(VALUE(RIGHT(Raw_Nigeria!D596,2))&gt;12,"",VALUE(RIGHT(Raw_Nigeria!D596,2)))</f>
        <v>8</v>
      </c>
      <c r="F596" s="7" t="n">
        <f aca="false">VALUE(LEFT(Raw_Nigeria!E596,4))</f>
        <v>2018</v>
      </c>
      <c r="G596" s="7" t="n">
        <f aca="false">IF(VALUE(RIGHT(Raw_Nigeria!E596,2))&gt;12,"",VALUE(RIGHT(Raw_Nigeria!E596,2)))</f>
        <v>12</v>
      </c>
      <c r="H596" s="7" t="n">
        <f aca="false">Raw_Nigeria!F596</f>
        <v>2016</v>
      </c>
      <c r="I596" s="7" t="str">
        <f aca="false">UPPER(TRIM(Raw_Nigeria!G596))</f>
        <v>POL1</v>
      </c>
      <c r="J596" s="7" t="str">
        <f aca="false">Raw_Nigeria!H596</f>
        <v>Record or Recall&lt;12m</v>
      </c>
      <c r="K596" s="7" t="str">
        <f aca="false">Raw_Nigeria!L596</f>
        <v>24-35 m</v>
      </c>
      <c r="L596" s="7" t="str">
        <f aca="false">IF(Raw_Nigeria!K596="","n/a",Raw_Nigeria!K596)</f>
        <v>0-12 m</v>
      </c>
      <c r="M596" s="7" t="str">
        <f aca="false">IF(Raw_Nigeria!I596="","",Raw_Nigeria!I596)</f>
        <v/>
      </c>
      <c r="N596" s="7" t="n">
        <f aca="false">Raw_Nigeria!M596</f>
        <v>69.5</v>
      </c>
      <c r="O596" s="7" t="n">
        <f aca="false">IF(Raw_Nigeria!N596="","",Raw_Nigeria!N596)</f>
        <v>5835</v>
      </c>
      <c r="P596" s="7" t="str">
        <f aca="false">IF(K596="CBAW","Women of child-bearing age","Children")</f>
        <v>Children</v>
      </c>
      <c r="Q596" s="7" t="n">
        <f aca="false">IF(J596="NOT USED",1,0)</f>
        <v>0</v>
      </c>
      <c r="R596" s="7" t="n">
        <f aca="false">IF(AND(P596="Children",Q596=0),1,0)</f>
        <v>1</v>
      </c>
      <c r="S596" s="7" t="n">
        <f aca="false">IF(AND(R596=1,J596="Record or Recall",K596="12-23 m"),1,0)</f>
        <v>0</v>
      </c>
      <c r="T596" s="7" t="n">
        <f aca="false">IF(OR(I596="BCG",I596="DTP1",I596="DTP3",I596="POL3",I596="MCV1",I596="FULL"),1,0)</f>
        <v>0</v>
      </c>
      <c r="U596" s="7" t="n">
        <f aca="false">IF(OR(C596="DHS",C596="MICS"),1,0)</f>
        <v>1</v>
      </c>
      <c r="V596" s="7" t="n">
        <f aca="false">IF(O596="",1,0)</f>
        <v>0</v>
      </c>
      <c r="W596" s="7" t="n">
        <f aca="false">IF(M596="",1,0)</f>
        <v>1</v>
      </c>
      <c r="X596" s="7" t="n">
        <f aca="false">COUNTIFS($B$2:$B$1141,B596,$H$2:$H$1141,H596,$I$2:$I$1141,I596,$J$2:$J$1141,J596,$K$2:$K$1141,K596,$L$2:$L$1141,L596)</f>
        <v>1</v>
      </c>
    </row>
    <row r="597" customFormat="false" ht="15" hidden="false" customHeight="false" outlineLevel="0" collapsed="false">
      <c r="A597" s="7" t="n">
        <f aca="false">ROW()-1</f>
        <v>596</v>
      </c>
      <c r="B597" s="7" t="str">
        <f aca="false">IF(Raw_Nigeria!B597="",TRIM(Raw_Nigeria!C597),TRIM(Raw_Nigeria!B597))</f>
        <v>Nigeria Demographic and Health Survey 2018</v>
      </c>
      <c r="C597" s="7" t="str">
        <f aca="false">IF(ISNUMBER(SEARCH("Demographic and Health",B597)),"DHS",IF(OR(ISNUMBER(SEARCH("Multiple Indicator Cluster",B597)),ISNUMBER(SEARCH("MICS",B597))),"MICS",IF(ISNUMBER(SEARCH("Immunization Coverage Survey",B597)),"Coverage survey",IF(ISNUMBER(SEARCH("Nutrition",B597)),"Nutrition survey","Other"))))</f>
        <v>DHS</v>
      </c>
      <c r="D597" s="7" t="n">
        <f aca="false">VALUE(LEFT(Raw_Nigeria!D597,4))</f>
        <v>2018</v>
      </c>
      <c r="E597" s="7" t="n">
        <f aca="false">IF(VALUE(RIGHT(Raw_Nigeria!D597,2))&gt;12,"",VALUE(RIGHT(Raw_Nigeria!D597,2)))</f>
        <v>8</v>
      </c>
      <c r="F597" s="7" t="n">
        <f aca="false">VALUE(LEFT(Raw_Nigeria!E597,4))</f>
        <v>2018</v>
      </c>
      <c r="G597" s="7" t="n">
        <f aca="false">IF(VALUE(RIGHT(Raw_Nigeria!E597,2))&gt;12,"",VALUE(RIGHT(Raw_Nigeria!E597,2)))</f>
        <v>12</v>
      </c>
      <c r="H597" s="7" t="n">
        <f aca="false">Raw_Nigeria!F597</f>
        <v>2016</v>
      </c>
      <c r="I597" s="7" t="str">
        <f aca="false">UPPER(TRIM(Raw_Nigeria!G597))</f>
        <v>POL1</v>
      </c>
      <c r="J597" s="7" t="str">
        <f aca="false">Raw_Nigeria!H597</f>
        <v>Record</v>
      </c>
      <c r="K597" s="7" t="str">
        <f aca="false">Raw_Nigeria!L597</f>
        <v>24-35 m</v>
      </c>
      <c r="L597" s="7" t="str">
        <f aca="false">IF(Raw_Nigeria!K597="","n/a",Raw_Nigeria!K597)</f>
        <v>0-35 m</v>
      </c>
      <c r="M597" s="7" t="str">
        <f aca="false">IF(Raw_Nigeria!I597="","",Raw_Nigeria!I597)</f>
        <v/>
      </c>
      <c r="N597" s="7" t="n">
        <f aca="false">Raw_Nigeria!M597</f>
        <v>27.9</v>
      </c>
      <c r="O597" s="7" t="n">
        <f aca="false">IF(Raw_Nigeria!N597="","",Raw_Nigeria!N597)</f>
        <v>1715</v>
      </c>
      <c r="P597" s="7" t="str">
        <f aca="false">IF(K597="CBAW","Women of child-bearing age","Children")</f>
        <v>Children</v>
      </c>
      <c r="Q597" s="7" t="n">
        <f aca="false">IF(J597="NOT USED",1,0)</f>
        <v>0</v>
      </c>
      <c r="R597" s="7" t="n">
        <f aca="false">IF(AND(P597="Children",Q597=0),1,0)</f>
        <v>1</v>
      </c>
      <c r="S597" s="7" t="n">
        <f aca="false">IF(AND(R597=1,J597="Record or Recall",K597="12-23 m"),1,0)</f>
        <v>0</v>
      </c>
      <c r="T597" s="7" t="n">
        <f aca="false">IF(OR(I597="BCG",I597="DTP1",I597="DTP3",I597="POL3",I597="MCV1",I597="FULL"),1,0)</f>
        <v>0</v>
      </c>
      <c r="U597" s="7" t="n">
        <f aca="false">IF(OR(C597="DHS",C597="MICS"),1,0)</f>
        <v>1</v>
      </c>
      <c r="V597" s="7" t="n">
        <f aca="false">IF(O597="",1,0)</f>
        <v>0</v>
      </c>
      <c r="W597" s="7" t="n">
        <f aca="false">IF(M597="",1,0)</f>
        <v>1</v>
      </c>
      <c r="X597" s="7" t="n">
        <f aca="false">COUNTIFS($B$2:$B$1141,B597,$H$2:$H$1141,H597,$I$2:$I$1141,I597,$J$2:$J$1141,J597,$K$2:$K$1141,K597,$L$2:$L$1141,L597)</f>
        <v>1</v>
      </c>
    </row>
    <row r="598" customFormat="false" ht="15" hidden="false" customHeight="false" outlineLevel="0" collapsed="false">
      <c r="A598" s="7" t="n">
        <f aca="false">ROW()-1</f>
        <v>597</v>
      </c>
      <c r="B598" s="7" t="str">
        <f aca="false">IF(Raw_Nigeria!B598="",TRIM(Raw_Nigeria!C598),TRIM(Raw_Nigeria!B598))</f>
        <v>Nigeria Demographic and Health Survey 2018</v>
      </c>
      <c r="C598" s="7" t="str">
        <f aca="false">IF(ISNUMBER(SEARCH("Demographic and Health",B598)),"DHS",IF(OR(ISNUMBER(SEARCH("Multiple Indicator Cluster",B598)),ISNUMBER(SEARCH("MICS",B598))),"MICS",IF(ISNUMBER(SEARCH("Immunization Coverage Survey",B598)),"Coverage survey",IF(ISNUMBER(SEARCH("Nutrition",B598)),"Nutrition survey","Other"))))</f>
        <v>DHS</v>
      </c>
      <c r="D598" s="7" t="n">
        <f aca="false">VALUE(LEFT(Raw_Nigeria!D598,4))</f>
        <v>2018</v>
      </c>
      <c r="E598" s="7" t="n">
        <f aca="false">IF(VALUE(RIGHT(Raw_Nigeria!D598,2))&gt;12,"",VALUE(RIGHT(Raw_Nigeria!D598,2)))</f>
        <v>8</v>
      </c>
      <c r="F598" s="7" t="n">
        <f aca="false">VALUE(LEFT(Raw_Nigeria!E598,4))</f>
        <v>2018</v>
      </c>
      <c r="G598" s="7" t="n">
        <f aca="false">IF(VALUE(RIGHT(Raw_Nigeria!E598,2))&gt;12,"",VALUE(RIGHT(Raw_Nigeria!E598,2)))</f>
        <v>12</v>
      </c>
      <c r="H598" s="7" t="n">
        <f aca="false">Raw_Nigeria!F598</f>
        <v>2016</v>
      </c>
      <c r="I598" s="7" t="str">
        <f aca="false">UPPER(TRIM(Raw_Nigeria!G598))</f>
        <v>POL1</v>
      </c>
      <c r="J598" s="7" t="str">
        <f aca="false">Raw_Nigeria!H598</f>
        <v>Record or Recall</v>
      </c>
      <c r="K598" s="7" t="str">
        <f aca="false">Raw_Nigeria!L598</f>
        <v>24-35 m</v>
      </c>
      <c r="L598" s="7" t="str">
        <f aca="false">IF(Raw_Nigeria!K598="","n/a",Raw_Nigeria!K598)</f>
        <v>0-35 m</v>
      </c>
      <c r="M598" s="7" t="str">
        <f aca="false">IF(Raw_Nigeria!I598="","",Raw_Nigeria!I598)</f>
        <v/>
      </c>
      <c r="N598" s="7" t="n">
        <f aca="false">Raw_Nigeria!M598</f>
        <v>71.2</v>
      </c>
      <c r="O598" s="7" t="n">
        <f aca="false">IF(Raw_Nigeria!N598="","",Raw_Nigeria!N598)</f>
        <v>5835</v>
      </c>
      <c r="P598" s="7" t="str">
        <f aca="false">IF(K598="CBAW","Women of child-bearing age","Children")</f>
        <v>Children</v>
      </c>
      <c r="Q598" s="7" t="n">
        <f aca="false">IF(J598="NOT USED",1,0)</f>
        <v>0</v>
      </c>
      <c r="R598" s="7" t="n">
        <f aca="false">IF(AND(P598="Children",Q598=0),1,0)</f>
        <v>1</v>
      </c>
      <c r="S598" s="7" t="n">
        <f aca="false">IF(AND(R598=1,J598="Record or Recall",K598="12-23 m"),1,0)</f>
        <v>0</v>
      </c>
      <c r="T598" s="7" t="n">
        <f aca="false">IF(OR(I598="BCG",I598="DTP1",I598="DTP3",I598="POL3",I598="MCV1",I598="FULL"),1,0)</f>
        <v>0</v>
      </c>
      <c r="U598" s="7" t="n">
        <f aca="false">IF(OR(C598="DHS",C598="MICS"),1,0)</f>
        <v>1</v>
      </c>
      <c r="V598" s="7" t="n">
        <f aca="false">IF(O598="",1,0)</f>
        <v>0</v>
      </c>
      <c r="W598" s="7" t="n">
        <f aca="false">IF(M598="",1,0)</f>
        <v>1</v>
      </c>
      <c r="X598" s="7" t="n">
        <f aca="false">COUNTIFS($B$2:$B$1141,B598,$H$2:$H$1141,H598,$I$2:$I$1141,I598,$J$2:$J$1141,J598,$K$2:$K$1141,K598,$L$2:$L$1141,L598)</f>
        <v>1</v>
      </c>
    </row>
    <row r="599" customFormat="false" ht="15" hidden="false" customHeight="false" outlineLevel="0" collapsed="false">
      <c r="A599" s="7" t="n">
        <f aca="false">ROW()-1</f>
        <v>598</v>
      </c>
      <c r="B599" s="7" t="str">
        <f aca="false">IF(Raw_Nigeria!B599="",TRIM(Raw_Nigeria!C599),TRIM(Raw_Nigeria!B599))</f>
        <v>Nigeria Demographic and Health Survey 2018</v>
      </c>
      <c r="C599" s="7" t="str">
        <f aca="false">IF(ISNUMBER(SEARCH("Demographic and Health",B599)),"DHS",IF(OR(ISNUMBER(SEARCH("Multiple Indicator Cluster",B599)),ISNUMBER(SEARCH("MICS",B599))),"MICS",IF(ISNUMBER(SEARCH("Immunization Coverage Survey",B599)),"Coverage survey",IF(ISNUMBER(SEARCH("Nutrition",B599)),"Nutrition survey","Other"))))</f>
        <v>DHS</v>
      </c>
      <c r="D599" s="7" t="n">
        <f aca="false">VALUE(LEFT(Raw_Nigeria!D599,4))</f>
        <v>2018</v>
      </c>
      <c r="E599" s="7" t="n">
        <f aca="false">IF(VALUE(RIGHT(Raw_Nigeria!D599,2))&gt;12,"",VALUE(RIGHT(Raw_Nigeria!D599,2)))</f>
        <v>8</v>
      </c>
      <c r="F599" s="7" t="n">
        <f aca="false">VALUE(LEFT(Raw_Nigeria!E599,4))</f>
        <v>2018</v>
      </c>
      <c r="G599" s="7" t="n">
        <f aca="false">IF(VALUE(RIGHT(Raw_Nigeria!E599,2))&gt;12,"",VALUE(RIGHT(Raw_Nigeria!E599,2)))</f>
        <v>12</v>
      </c>
      <c r="H599" s="7" t="n">
        <f aca="false">Raw_Nigeria!F599</f>
        <v>2016</v>
      </c>
      <c r="I599" s="7" t="str">
        <f aca="false">UPPER(TRIM(Raw_Nigeria!G599))</f>
        <v>POL1</v>
      </c>
      <c r="J599" s="7" t="str">
        <f aca="false">Raw_Nigeria!H599</f>
        <v>Recall</v>
      </c>
      <c r="K599" s="7" t="str">
        <f aca="false">Raw_Nigeria!L599</f>
        <v>24-35 m</v>
      </c>
      <c r="L599" s="7" t="str">
        <f aca="false">IF(Raw_Nigeria!K599="","n/a",Raw_Nigeria!K599)</f>
        <v>0-35 m</v>
      </c>
      <c r="M599" s="7" t="str">
        <f aca="false">IF(Raw_Nigeria!I599="","",Raw_Nigeria!I599)</f>
        <v/>
      </c>
      <c r="N599" s="7" t="n">
        <f aca="false">Raw_Nigeria!M599</f>
        <v>43.3</v>
      </c>
      <c r="O599" s="7" t="n">
        <f aca="false">IF(Raw_Nigeria!N599="","",Raw_Nigeria!N599)</f>
        <v>4120</v>
      </c>
      <c r="P599" s="7" t="str">
        <f aca="false">IF(K599="CBAW","Women of child-bearing age","Children")</f>
        <v>Children</v>
      </c>
      <c r="Q599" s="7" t="n">
        <f aca="false">IF(J599="NOT USED",1,0)</f>
        <v>0</v>
      </c>
      <c r="R599" s="7" t="n">
        <f aca="false">IF(AND(P599="Children",Q599=0),1,0)</f>
        <v>1</v>
      </c>
      <c r="S599" s="7" t="n">
        <f aca="false">IF(AND(R599=1,J599="Record or Recall",K599="12-23 m"),1,0)</f>
        <v>0</v>
      </c>
      <c r="T599" s="7" t="n">
        <f aca="false">IF(OR(I599="BCG",I599="DTP1",I599="DTP3",I599="POL3",I599="MCV1",I599="FULL"),1,0)</f>
        <v>0</v>
      </c>
      <c r="U599" s="7" t="n">
        <f aca="false">IF(OR(C599="DHS",C599="MICS"),1,0)</f>
        <v>1</v>
      </c>
      <c r="V599" s="7" t="n">
        <f aca="false">IF(O599="",1,0)</f>
        <v>0</v>
      </c>
      <c r="W599" s="7" t="n">
        <f aca="false">IF(M599="",1,0)</f>
        <v>1</v>
      </c>
      <c r="X599" s="7" t="n">
        <f aca="false">COUNTIFS($B$2:$B$1141,B599,$H$2:$H$1141,H599,$I$2:$I$1141,I599,$J$2:$J$1141,J599,$K$2:$K$1141,K599,$L$2:$L$1141,L599)</f>
        <v>1</v>
      </c>
    </row>
    <row r="600" customFormat="false" ht="15" hidden="false" customHeight="false" outlineLevel="0" collapsed="false">
      <c r="A600" s="7" t="n">
        <f aca="false">ROW()-1</f>
        <v>599</v>
      </c>
      <c r="B600" s="7" t="str">
        <f aca="false">IF(Raw_Nigeria!B600="",TRIM(Raw_Nigeria!C600),TRIM(Raw_Nigeria!B600))</f>
        <v>Nigeria Demographic and Health Survey 2018</v>
      </c>
      <c r="C600" s="7" t="str">
        <f aca="false">IF(ISNUMBER(SEARCH("Demographic and Health",B600)),"DHS",IF(OR(ISNUMBER(SEARCH("Multiple Indicator Cluster",B600)),ISNUMBER(SEARCH("MICS",B600))),"MICS",IF(ISNUMBER(SEARCH("Immunization Coverage Survey",B600)),"Coverage survey",IF(ISNUMBER(SEARCH("Nutrition",B600)),"Nutrition survey","Other"))))</f>
        <v>DHS</v>
      </c>
      <c r="D600" s="7" t="n">
        <f aca="false">VALUE(LEFT(Raw_Nigeria!D600,4))</f>
        <v>2018</v>
      </c>
      <c r="E600" s="7" t="n">
        <f aca="false">IF(VALUE(RIGHT(Raw_Nigeria!D600,2))&gt;12,"",VALUE(RIGHT(Raw_Nigeria!D600,2)))</f>
        <v>8</v>
      </c>
      <c r="F600" s="7" t="n">
        <f aca="false">VALUE(LEFT(Raw_Nigeria!E600,4))</f>
        <v>2018</v>
      </c>
      <c r="G600" s="7" t="n">
        <f aca="false">IF(VALUE(RIGHT(Raw_Nigeria!E600,2))&gt;12,"",VALUE(RIGHT(Raw_Nigeria!E600,2)))</f>
        <v>12</v>
      </c>
      <c r="H600" s="7" t="n">
        <f aca="false">Raw_Nigeria!F600</f>
        <v>2016</v>
      </c>
      <c r="I600" s="7" t="str">
        <f aca="false">UPPER(TRIM(Raw_Nigeria!G600))</f>
        <v>POL2</v>
      </c>
      <c r="J600" s="7" t="str">
        <f aca="false">Raw_Nigeria!H600</f>
        <v>Record or Recall&lt;12m</v>
      </c>
      <c r="K600" s="7" t="str">
        <f aca="false">Raw_Nigeria!L600</f>
        <v>24-35 m</v>
      </c>
      <c r="L600" s="7" t="str">
        <f aca="false">IF(Raw_Nigeria!K600="","n/a",Raw_Nigeria!K600)</f>
        <v>0-12 m</v>
      </c>
      <c r="M600" s="7" t="str">
        <f aca="false">IF(Raw_Nigeria!I600="","",Raw_Nigeria!I600)</f>
        <v/>
      </c>
      <c r="N600" s="7" t="n">
        <f aca="false">Raw_Nigeria!M600</f>
        <v>62.9</v>
      </c>
      <c r="O600" s="7" t="n">
        <f aca="false">IF(Raw_Nigeria!N600="","",Raw_Nigeria!N600)</f>
        <v>5835</v>
      </c>
      <c r="P600" s="7" t="str">
        <f aca="false">IF(K600="CBAW","Women of child-bearing age","Children")</f>
        <v>Children</v>
      </c>
      <c r="Q600" s="7" t="n">
        <f aca="false">IF(J600="NOT USED",1,0)</f>
        <v>0</v>
      </c>
      <c r="R600" s="7" t="n">
        <f aca="false">IF(AND(P600="Children",Q600=0),1,0)</f>
        <v>1</v>
      </c>
      <c r="S600" s="7" t="n">
        <f aca="false">IF(AND(R600=1,J600="Record or Recall",K600="12-23 m"),1,0)</f>
        <v>0</v>
      </c>
      <c r="T600" s="7" t="n">
        <f aca="false">IF(OR(I600="BCG",I600="DTP1",I600="DTP3",I600="POL3",I600="MCV1",I600="FULL"),1,0)</f>
        <v>0</v>
      </c>
      <c r="U600" s="7" t="n">
        <f aca="false">IF(OR(C600="DHS",C600="MICS"),1,0)</f>
        <v>1</v>
      </c>
      <c r="V600" s="7" t="n">
        <f aca="false">IF(O600="",1,0)</f>
        <v>0</v>
      </c>
      <c r="W600" s="7" t="n">
        <f aca="false">IF(M600="",1,0)</f>
        <v>1</v>
      </c>
      <c r="X600" s="7" t="n">
        <f aca="false">COUNTIFS($B$2:$B$1141,B600,$H$2:$H$1141,H600,$I$2:$I$1141,I600,$J$2:$J$1141,J600,$K$2:$K$1141,K600,$L$2:$L$1141,L600)</f>
        <v>1</v>
      </c>
    </row>
    <row r="601" customFormat="false" ht="15" hidden="false" customHeight="false" outlineLevel="0" collapsed="false">
      <c r="A601" s="7" t="n">
        <f aca="false">ROW()-1</f>
        <v>600</v>
      </c>
      <c r="B601" s="7" t="str">
        <f aca="false">IF(Raw_Nigeria!B601="",TRIM(Raw_Nigeria!C601),TRIM(Raw_Nigeria!B601))</f>
        <v>Nigeria Demographic and Health Survey 2018</v>
      </c>
      <c r="C601" s="7" t="str">
        <f aca="false">IF(ISNUMBER(SEARCH("Demographic and Health",B601)),"DHS",IF(OR(ISNUMBER(SEARCH("Multiple Indicator Cluster",B601)),ISNUMBER(SEARCH("MICS",B601))),"MICS",IF(ISNUMBER(SEARCH("Immunization Coverage Survey",B601)),"Coverage survey",IF(ISNUMBER(SEARCH("Nutrition",B601)),"Nutrition survey","Other"))))</f>
        <v>DHS</v>
      </c>
      <c r="D601" s="7" t="n">
        <f aca="false">VALUE(LEFT(Raw_Nigeria!D601,4))</f>
        <v>2018</v>
      </c>
      <c r="E601" s="7" t="n">
        <f aca="false">IF(VALUE(RIGHT(Raw_Nigeria!D601,2))&gt;12,"",VALUE(RIGHT(Raw_Nigeria!D601,2)))</f>
        <v>8</v>
      </c>
      <c r="F601" s="7" t="n">
        <f aca="false">VALUE(LEFT(Raw_Nigeria!E601,4))</f>
        <v>2018</v>
      </c>
      <c r="G601" s="7" t="n">
        <f aca="false">IF(VALUE(RIGHT(Raw_Nigeria!E601,2))&gt;12,"",VALUE(RIGHT(Raw_Nigeria!E601,2)))</f>
        <v>12</v>
      </c>
      <c r="H601" s="7" t="n">
        <f aca="false">Raw_Nigeria!F601</f>
        <v>2016</v>
      </c>
      <c r="I601" s="7" t="str">
        <f aca="false">UPPER(TRIM(Raw_Nigeria!G601))</f>
        <v>POL2</v>
      </c>
      <c r="J601" s="7" t="str">
        <f aca="false">Raw_Nigeria!H601</f>
        <v>Record</v>
      </c>
      <c r="K601" s="7" t="str">
        <f aca="false">Raw_Nigeria!L601</f>
        <v>24-35 m</v>
      </c>
      <c r="L601" s="7" t="str">
        <f aca="false">IF(Raw_Nigeria!K601="","n/a",Raw_Nigeria!K601)</f>
        <v>0-35 m</v>
      </c>
      <c r="M601" s="7" t="str">
        <f aca="false">IF(Raw_Nigeria!I601="","",Raw_Nigeria!I601)</f>
        <v/>
      </c>
      <c r="N601" s="7" t="n">
        <f aca="false">Raw_Nigeria!M601</f>
        <v>26.3</v>
      </c>
      <c r="O601" s="7" t="n">
        <f aca="false">IF(Raw_Nigeria!N601="","",Raw_Nigeria!N601)</f>
        <v>1715</v>
      </c>
      <c r="P601" s="7" t="str">
        <f aca="false">IF(K601="CBAW","Women of child-bearing age","Children")</f>
        <v>Children</v>
      </c>
      <c r="Q601" s="7" t="n">
        <f aca="false">IF(J601="NOT USED",1,0)</f>
        <v>0</v>
      </c>
      <c r="R601" s="7" t="n">
        <f aca="false">IF(AND(P601="Children",Q601=0),1,0)</f>
        <v>1</v>
      </c>
      <c r="S601" s="7" t="n">
        <f aca="false">IF(AND(R601=1,J601="Record or Recall",K601="12-23 m"),1,0)</f>
        <v>0</v>
      </c>
      <c r="T601" s="7" t="n">
        <f aca="false">IF(OR(I601="BCG",I601="DTP1",I601="DTP3",I601="POL3",I601="MCV1",I601="FULL"),1,0)</f>
        <v>0</v>
      </c>
      <c r="U601" s="7" t="n">
        <f aca="false">IF(OR(C601="DHS",C601="MICS"),1,0)</f>
        <v>1</v>
      </c>
      <c r="V601" s="7" t="n">
        <f aca="false">IF(O601="",1,0)</f>
        <v>0</v>
      </c>
      <c r="W601" s="7" t="n">
        <f aca="false">IF(M601="",1,0)</f>
        <v>1</v>
      </c>
      <c r="X601" s="7" t="n">
        <f aca="false">COUNTIFS($B$2:$B$1141,B601,$H$2:$H$1141,H601,$I$2:$I$1141,I601,$J$2:$J$1141,J601,$K$2:$K$1141,K601,$L$2:$L$1141,L601)</f>
        <v>1</v>
      </c>
    </row>
    <row r="602" customFormat="false" ht="15" hidden="false" customHeight="false" outlineLevel="0" collapsed="false">
      <c r="A602" s="7" t="n">
        <f aca="false">ROW()-1</f>
        <v>601</v>
      </c>
      <c r="B602" s="7" t="str">
        <f aca="false">IF(Raw_Nigeria!B602="",TRIM(Raw_Nigeria!C602),TRIM(Raw_Nigeria!B602))</f>
        <v>Nigeria Demographic and Health Survey 2018</v>
      </c>
      <c r="C602" s="7" t="str">
        <f aca="false">IF(ISNUMBER(SEARCH("Demographic and Health",B602)),"DHS",IF(OR(ISNUMBER(SEARCH("Multiple Indicator Cluster",B602)),ISNUMBER(SEARCH("MICS",B602))),"MICS",IF(ISNUMBER(SEARCH("Immunization Coverage Survey",B602)),"Coverage survey",IF(ISNUMBER(SEARCH("Nutrition",B602)),"Nutrition survey","Other"))))</f>
        <v>DHS</v>
      </c>
      <c r="D602" s="7" t="n">
        <f aca="false">VALUE(LEFT(Raw_Nigeria!D602,4))</f>
        <v>2018</v>
      </c>
      <c r="E602" s="7" t="n">
        <f aca="false">IF(VALUE(RIGHT(Raw_Nigeria!D602,2))&gt;12,"",VALUE(RIGHT(Raw_Nigeria!D602,2)))</f>
        <v>8</v>
      </c>
      <c r="F602" s="7" t="n">
        <f aca="false">VALUE(LEFT(Raw_Nigeria!E602,4))</f>
        <v>2018</v>
      </c>
      <c r="G602" s="7" t="n">
        <f aca="false">IF(VALUE(RIGHT(Raw_Nigeria!E602,2))&gt;12,"",VALUE(RIGHT(Raw_Nigeria!E602,2)))</f>
        <v>12</v>
      </c>
      <c r="H602" s="7" t="n">
        <f aca="false">Raw_Nigeria!F602</f>
        <v>2016</v>
      </c>
      <c r="I602" s="7" t="str">
        <f aca="false">UPPER(TRIM(Raw_Nigeria!G602))</f>
        <v>POL2</v>
      </c>
      <c r="J602" s="7" t="str">
        <f aca="false">Raw_Nigeria!H602</f>
        <v>Record or Recall</v>
      </c>
      <c r="K602" s="7" t="str">
        <f aca="false">Raw_Nigeria!L602</f>
        <v>24-35 m</v>
      </c>
      <c r="L602" s="7" t="str">
        <f aca="false">IF(Raw_Nigeria!K602="","n/a",Raw_Nigeria!K602)</f>
        <v>0-35 m</v>
      </c>
      <c r="M602" s="7" t="str">
        <f aca="false">IF(Raw_Nigeria!I602="","",Raw_Nigeria!I602)</f>
        <v/>
      </c>
      <c r="N602" s="7" t="n">
        <f aca="false">Raw_Nigeria!M602</f>
        <v>65.3</v>
      </c>
      <c r="O602" s="7" t="n">
        <f aca="false">IF(Raw_Nigeria!N602="","",Raw_Nigeria!N602)</f>
        <v>5835</v>
      </c>
      <c r="P602" s="7" t="str">
        <f aca="false">IF(K602="CBAW","Women of child-bearing age","Children")</f>
        <v>Children</v>
      </c>
      <c r="Q602" s="7" t="n">
        <f aca="false">IF(J602="NOT USED",1,0)</f>
        <v>0</v>
      </c>
      <c r="R602" s="7" t="n">
        <f aca="false">IF(AND(P602="Children",Q602=0),1,0)</f>
        <v>1</v>
      </c>
      <c r="S602" s="7" t="n">
        <f aca="false">IF(AND(R602=1,J602="Record or Recall",K602="12-23 m"),1,0)</f>
        <v>0</v>
      </c>
      <c r="T602" s="7" t="n">
        <f aca="false">IF(OR(I602="BCG",I602="DTP1",I602="DTP3",I602="POL3",I602="MCV1",I602="FULL"),1,0)</f>
        <v>0</v>
      </c>
      <c r="U602" s="7" t="n">
        <f aca="false">IF(OR(C602="DHS",C602="MICS"),1,0)</f>
        <v>1</v>
      </c>
      <c r="V602" s="7" t="n">
        <f aca="false">IF(O602="",1,0)</f>
        <v>0</v>
      </c>
      <c r="W602" s="7" t="n">
        <f aca="false">IF(M602="",1,0)</f>
        <v>1</v>
      </c>
      <c r="X602" s="7" t="n">
        <f aca="false">COUNTIFS($B$2:$B$1141,B602,$H$2:$H$1141,H602,$I$2:$I$1141,I602,$J$2:$J$1141,J602,$K$2:$K$1141,K602,$L$2:$L$1141,L602)</f>
        <v>1</v>
      </c>
    </row>
    <row r="603" customFormat="false" ht="15" hidden="false" customHeight="false" outlineLevel="0" collapsed="false">
      <c r="A603" s="7" t="n">
        <f aca="false">ROW()-1</f>
        <v>602</v>
      </c>
      <c r="B603" s="7" t="str">
        <f aca="false">IF(Raw_Nigeria!B603="",TRIM(Raw_Nigeria!C603),TRIM(Raw_Nigeria!B603))</f>
        <v>Nigeria Demographic and Health Survey 2018</v>
      </c>
      <c r="C603" s="7" t="str">
        <f aca="false">IF(ISNUMBER(SEARCH("Demographic and Health",B603)),"DHS",IF(OR(ISNUMBER(SEARCH("Multiple Indicator Cluster",B603)),ISNUMBER(SEARCH("MICS",B603))),"MICS",IF(ISNUMBER(SEARCH("Immunization Coverage Survey",B603)),"Coverage survey",IF(ISNUMBER(SEARCH("Nutrition",B603)),"Nutrition survey","Other"))))</f>
        <v>DHS</v>
      </c>
      <c r="D603" s="7" t="n">
        <f aca="false">VALUE(LEFT(Raw_Nigeria!D603,4))</f>
        <v>2018</v>
      </c>
      <c r="E603" s="7" t="n">
        <f aca="false">IF(VALUE(RIGHT(Raw_Nigeria!D603,2))&gt;12,"",VALUE(RIGHT(Raw_Nigeria!D603,2)))</f>
        <v>8</v>
      </c>
      <c r="F603" s="7" t="n">
        <f aca="false">VALUE(LEFT(Raw_Nigeria!E603,4))</f>
        <v>2018</v>
      </c>
      <c r="G603" s="7" t="n">
        <f aca="false">IF(VALUE(RIGHT(Raw_Nigeria!E603,2))&gt;12,"",VALUE(RIGHT(Raw_Nigeria!E603,2)))</f>
        <v>12</v>
      </c>
      <c r="H603" s="7" t="n">
        <f aca="false">Raw_Nigeria!F603</f>
        <v>2016</v>
      </c>
      <c r="I603" s="7" t="str">
        <f aca="false">UPPER(TRIM(Raw_Nigeria!G603))</f>
        <v>POL2</v>
      </c>
      <c r="J603" s="7" t="str">
        <f aca="false">Raw_Nigeria!H603</f>
        <v>Recall</v>
      </c>
      <c r="K603" s="7" t="str">
        <f aca="false">Raw_Nigeria!L603</f>
        <v>24-35 m</v>
      </c>
      <c r="L603" s="7" t="str">
        <f aca="false">IF(Raw_Nigeria!K603="","n/a",Raw_Nigeria!K603)</f>
        <v>0-35 m</v>
      </c>
      <c r="M603" s="7" t="str">
        <f aca="false">IF(Raw_Nigeria!I603="","",Raw_Nigeria!I603)</f>
        <v/>
      </c>
      <c r="N603" s="7" t="n">
        <f aca="false">Raw_Nigeria!M603</f>
        <v>38.9</v>
      </c>
      <c r="O603" s="7" t="n">
        <f aca="false">IF(Raw_Nigeria!N603="","",Raw_Nigeria!N603)</f>
        <v>4120</v>
      </c>
      <c r="P603" s="7" t="str">
        <f aca="false">IF(K603="CBAW","Women of child-bearing age","Children")</f>
        <v>Children</v>
      </c>
      <c r="Q603" s="7" t="n">
        <f aca="false">IF(J603="NOT USED",1,0)</f>
        <v>0</v>
      </c>
      <c r="R603" s="7" t="n">
        <f aca="false">IF(AND(P603="Children",Q603=0),1,0)</f>
        <v>1</v>
      </c>
      <c r="S603" s="7" t="n">
        <f aca="false">IF(AND(R603=1,J603="Record or Recall",K603="12-23 m"),1,0)</f>
        <v>0</v>
      </c>
      <c r="T603" s="7" t="n">
        <f aca="false">IF(OR(I603="BCG",I603="DTP1",I603="DTP3",I603="POL3",I603="MCV1",I603="FULL"),1,0)</f>
        <v>0</v>
      </c>
      <c r="U603" s="7" t="n">
        <f aca="false">IF(OR(C603="DHS",C603="MICS"),1,0)</f>
        <v>1</v>
      </c>
      <c r="V603" s="7" t="n">
        <f aca="false">IF(O603="",1,0)</f>
        <v>0</v>
      </c>
      <c r="W603" s="7" t="n">
        <f aca="false">IF(M603="",1,0)</f>
        <v>1</v>
      </c>
      <c r="X603" s="7" t="n">
        <f aca="false">COUNTIFS($B$2:$B$1141,B603,$H$2:$H$1141,H603,$I$2:$I$1141,I603,$J$2:$J$1141,J603,$K$2:$K$1141,K603,$L$2:$L$1141,L603)</f>
        <v>1</v>
      </c>
    </row>
    <row r="604" customFormat="false" ht="15" hidden="false" customHeight="false" outlineLevel="0" collapsed="false">
      <c r="A604" s="7" t="n">
        <f aca="false">ROW()-1</f>
        <v>603</v>
      </c>
      <c r="B604" s="7" t="str">
        <f aca="false">IF(Raw_Nigeria!B604="",TRIM(Raw_Nigeria!C604),TRIM(Raw_Nigeria!B604))</f>
        <v>Nigeria Demographic and Health Survey 2018</v>
      </c>
      <c r="C604" s="7" t="str">
        <f aca="false">IF(ISNUMBER(SEARCH("Demographic and Health",B604)),"DHS",IF(OR(ISNUMBER(SEARCH("Multiple Indicator Cluster",B604)),ISNUMBER(SEARCH("MICS",B604))),"MICS",IF(ISNUMBER(SEARCH("Immunization Coverage Survey",B604)),"Coverage survey",IF(ISNUMBER(SEARCH("Nutrition",B604)),"Nutrition survey","Other"))))</f>
        <v>DHS</v>
      </c>
      <c r="D604" s="7" t="n">
        <f aca="false">VALUE(LEFT(Raw_Nigeria!D604,4))</f>
        <v>2018</v>
      </c>
      <c r="E604" s="7" t="n">
        <f aca="false">IF(VALUE(RIGHT(Raw_Nigeria!D604,2))&gt;12,"",VALUE(RIGHT(Raw_Nigeria!D604,2)))</f>
        <v>8</v>
      </c>
      <c r="F604" s="7" t="n">
        <f aca="false">VALUE(LEFT(Raw_Nigeria!E604,4))</f>
        <v>2018</v>
      </c>
      <c r="G604" s="7" t="n">
        <f aca="false">IF(VALUE(RIGHT(Raw_Nigeria!E604,2))&gt;12,"",VALUE(RIGHT(Raw_Nigeria!E604,2)))</f>
        <v>12</v>
      </c>
      <c r="H604" s="7" t="n">
        <f aca="false">Raw_Nigeria!F604</f>
        <v>2016</v>
      </c>
      <c r="I604" s="7" t="str">
        <f aca="false">UPPER(TRIM(Raw_Nigeria!G604))</f>
        <v>POL3</v>
      </c>
      <c r="J604" s="7" t="str">
        <f aca="false">Raw_Nigeria!H604</f>
        <v>Record or Recall&lt;12m</v>
      </c>
      <c r="K604" s="7" t="str">
        <f aca="false">Raw_Nigeria!L604</f>
        <v>24-35 m</v>
      </c>
      <c r="L604" s="7" t="str">
        <f aca="false">IF(Raw_Nigeria!K604="","n/a",Raw_Nigeria!K604)</f>
        <v>0-12 m</v>
      </c>
      <c r="M604" s="7" t="str">
        <f aca="false">IF(Raw_Nigeria!I604="","",Raw_Nigeria!I604)</f>
        <v/>
      </c>
      <c r="N604" s="7" t="n">
        <f aca="false">Raw_Nigeria!M604</f>
        <v>41.6</v>
      </c>
      <c r="O604" s="7" t="n">
        <f aca="false">IF(Raw_Nigeria!N604="","",Raw_Nigeria!N604)</f>
        <v>5835</v>
      </c>
      <c r="P604" s="7" t="str">
        <f aca="false">IF(K604="CBAW","Women of child-bearing age","Children")</f>
        <v>Children</v>
      </c>
      <c r="Q604" s="7" t="n">
        <f aca="false">IF(J604="NOT USED",1,0)</f>
        <v>0</v>
      </c>
      <c r="R604" s="7" t="n">
        <f aca="false">IF(AND(P604="Children",Q604=0),1,0)</f>
        <v>1</v>
      </c>
      <c r="S604" s="7" t="n">
        <f aca="false">IF(AND(R604=1,J604="Record or Recall",K604="12-23 m"),1,0)</f>
        <v>0</v>
      </c>
      <c r="T604" s="7" t="n">
        <f aca="false">IF(OR(I604="BCG",I604="DTP1",I604="DTP3",I604="POL3",I604="MCV1",I604="FULL"),1,0)</f>
        <v>1</v>
      </c>
      <c r="U604" s="7" t="n">
        <f aca="false">IF(OR(C604="DHS",C604="MICS"),1,0)</f>
        <v>1</v>
      </c>
      <c r="V604" s="7" t="n">
        <f aca="false">IF(O604="",1,0)</f>
        <v>0</v>
      </c>
      <c r="W604" s="7" t="n">
        <f aca="false">IF(M604="",1,0)</f>
        <v>1</v>
      </c>
      <c r="X604" s="7" t="n">
        <f aca="false">COUNTIFS($B$2:$B$1141,B604,$H$2:$H$1141,H604,$I$2:$I$1141,I604,$J$2:$J$1141,J604,$K$2:$K$1141,K604,$L$2:$L$1141,L604)</f>
        <v>1</v>
      </c>
    </row>
    <row r="605" customFormat="false" ht="15" hidden="false" customHeight="false" outlineLevel="0" collapsed="false">
      <c r="A605" s="7" t="n">
        <f aca="false">ROW()-1</f>
        <v>604</v>
      </c>
      <c r="B605" s="7" t="str">
        <f aca="false">IF(Raw_Nigeria!B605="",TRIM(Raw_Nigeria!C605),TRIM(Raw_Nigeria!B605))</f>
        <v>Nigeria Demographic and Health Survey 2018</v>
      </c>
      <c r="C605" s="7" t="str">
        <f aca="false">IF(ISNUMBER(SEARCH("Demographic and Health",B605)),"DHS",IF(OR(ISNUMBER(SEARCH("Multiple Indicator Cluster",B605)),ISNUMBER(SEARCH("MICS",B605))),"MICS",IF(ISNUMBER(SEARCH("Immunization Coverage Survey",B605)),"Coverage survey",IF(ISNUMBER(SEARCH("Nutrition",B605)),"Nutrition survey","Other"))))</f>
        <v>DHS</v>
      </c>
      <c r="D605" s="7" t="n">
        <f aca="false">VALUE(LEFT(Raw_Nigeria!D605,4))</f>
        <v>2018</v>
      </c>
      <c r="E605" s="7" t="n">
        <f aca="false">IF(VALUE(RIGHT(Raw_Nigeria!D605,2))&gt;12,"",VALUE(RIGHT(Raw_Nigeria!D605,2)))</f>
        <v>8</v>
      </c>
      <c r="F605" s="7" t="n">
        <f aca="false">VALUE(LEFT(Raw_Nigeria!E605,4))</f>
        <v>2018</v>
      </c>
      <c r="G605" s="7" t="n">
        <f aca="false">IF(VALUE(RIGHT(Raw_Nigeria!E605,2))&gt;12,"",VALUE(RIGHT(Raw_Nigeria!E605,2)))</f>
        <v>12</v>
      </c>
      <c r="H605" s="7" t="n">
        <f aca="false">Raw_Nigeria!F605</f>
        <v>2016</v>
      </c>
      <c r="I605" s="7" t="str">
        <f aca="false">UPPER(TRIM(Raw_Nigeria!G605))</f>
        <v>POL3</v>
      </c>
      <c r="J605" s="7" t="str">
        <f aca="false">Raw_Nigeria!H605</f>
        <v>Record</v>
      </c>
      <c r="K605" s="7" t="str">
        <f aca="false">Raw_Nigeria!L605</f>
        <v>24-35 m</v>
      </c>
      <c r="L605" s="7" t="str">
        <f aca="false">IF(Raw_Nigeria!K605="","n/a",Raw_Nigeria!K605)</f>
        <v>0-35 m</v>
      </c>
      <c r="M605" s="7" t="str">
        <f aca="false">IF(Raw_Nigeria!I605="","",Raw_Nigeria!I605)</f>
        <v/>
      </c>
      <c r="N605" s="7" t="n">
        <f aca="false">Raw_Nigeria!M605</f>
        <v>23.7</v>
      </c>
      <c r="O605" s="7" t="n">
        <f aca="false">IF(Raw_Nigeria!N605="","",Raw_Nigeria!N605)</f>
        <v>1715</v>
      </c>
      <c r="P605" s="7" t="str">
        <f aca="false">IF(K605="CBAW","Women of child-bearing age","Children")</f>
        <v>Children</v>
      </c>
      <c r="Q605" s="7" t="n">
        <f aca="false">IF(J605="NOT USED",1,0)</f>
        <v>0</v>
      </c>
      <c r="R605" s="7" t="n">
        <f aca="false">IF(AND(P605="Children",Q605=0),1,0)</f>
        <v>1</v>
      </c>
      <c r="S605" s="7" t="n">
        <f aca="false">IF(AND(R605=1,J605="Record or Recall",K605="12-23 m"),1,0)</f>
        <v>0</v>
      </c>
      <c r="T605" s="7" t="n">
        <f aca="false">IF(OR(I605="BCG",I605="DTP1",I605="DTP3",I605="POL3",I605="MCV1",I605="FULL"),1,0)</f>
        <v>1</v>
      </c>
      <c r="U605" s="7" t="n">
        <f aca="false">IF(OR(C605="DHS",C605="MICS"),1,0)</f>
        <v>1</v>
      </c>
      <c r="V605" s="7" t="n">
        <f aca="false">IF(O605="",1,0)</f>
        <v>0</v>
      </c>
      <c r="W605" s="7" t="n">
        <f aca="false">IF(M605="",1,0)</f>
        <v>1</v>
      </c>
      <c r="X605" s="7" t="n">
        <f aca="false">COUNTIFS($B$2:$B$1141,B605,$H$2:$H$1141,H605,$I$2:$I$1141,I605,$J$2:$J$1141,J605,$K$2:$K$1141,K605,$L$2:$L$1141,L605)</f>
        <v>1</v>
      </c>
    </row>
    <row r="606" customFormat="false" ht="15" hidden="false" customHeight="false" outlineLevel="0" collapsed="false">
      <c r="A606" s="7" t="n">
        <f aca="false">ROW()-1</f>
        <v>605</v>
      </c>
      <c r="B606" s="7" t="str">
        <f aca="false">IF(Raw_Nigeria!B606="",TRIM(Raw_Nigeria!C606),TRIM(Raw_Nigeria!B606))</f>
        <v>Nigeria Demographic and Health Survey 2018</v>
      </c>
      <c r="C606" s="7" t="str">
        <f aca="false">IF(ISNUMBER(SEARCH("Demographic and Health",B606)),"DHS",IF(OR(ISNUMBER(SEARCH("Multiple Indicator Cluster",B606)),ISNUMBER(SEARCH("MICS",B606))),"MICS",IF(ISNUMBER(SEARCH("Immunization Coverage Survey",B606)),"Coverage survey",IF(ISNUMBER(SEARCH("Nutrition",B606)),"Nutrition survey","Other"))))</f>
        <v>DHS</v>
      </c>
      <c r="D606" s="7" t="n">
        <f aca="false">VALUE(LEFT(Raw_Nigeria!D606,4))</f>
        <v>2018</v>
      </c>
      <c r="E606" s="7" t="n">
        <f aca="false">IF(VALUE(RIGHT(Raw_Nigeria!D606,2))&gt;12,"",VALUE(RIGHT(Raw_Nigeria!D606,2)))</f>
        <v>8</v>
      </c>
      <c r="F606" s="7" t="n">
        <f aca="false">VALUE(LEFT(Raw_Nigeria!E606,4))</f>
        <v>2018</v>
      </c>
      <c r="G606" s="7" t="n">
        <f aca="false">IF(VALUE(RIGHT(Raw_Nigeria!E606,2))&gt;12,"",VALUE(RIGHT(Raw_Nigeria!E606,2)))</f>
        <v>12</v>
      </c>
      <c r="H606" s="7" t="n">
        <f aca="false">Raw_Nigeria!F606</f>
        <v>2016</v>
      </c>
      <c r="I606" s="7" t="str">
        <f aca="false">UPPER(TRIM(Raw_Nigeria!G606))</f>
        <v>POL3</v>
      </c>
      <c r="J606" s="7" t="str">
        <f aca="false">Raw_Nigeria!H606</f>
        <v>Record or Recall</v>
      </c>
      <c r="K606" s="7" t="str">
        <f aca="false">Raw_Nigeria!L606</f>
        <v>24-35 m</v>
      </c>
      <c r="L606" s="7" t="str">
        <f aca="false">IF(Raw_Nigeria!K606="","n/a",Raw_Nigeria!K606)</f>
        <v>0-35 m</v>
      </c>
      <c r="M606" s="7" t="str">
        <f aca="false">IF(Raw_Nigeria!I606="","",Raw_Nigeria!I606)</f>
        <v/>
      </c>
      <c r="N606" s="7" t="n">
        <f aca="false">Raw_Nigeria!M606</f>
        <v>43.6</v>
      </c>
      <c r="O606" s="7" t="n">
        <f aca="false">IF(Raw_Nigeria!N606="","",Raw_Nigeria!N606)</f>
        <v>5835</v>
      </c>
      <c r="P606" s="7" t="str">
        <f aca="false">IF(K606="CBAW","Women of child-bearing age","Children")</f>
        <v>Children</v>
      </c>
      <c r="Q606" s="7" t="n">
        <f aca="false">IF(J606="NOT USED",1,0)</f>
        <v>0</v>
      </c>
      <c r="R606" s="7" t="n">
        <f aca="false">IF(AND(P606="Children",Q606=0),1,0)</f>
        <v>1</v>
      </c>
      <c r="S606" s="7" t="n">
        <f aca="false">IF(AND(R606=1,J606="Record or Recall",K606="12-23 m"),1,0)</f>
        <v>0</v>
      </c>
      <c r="T606" s="7" t="n">
        <f aca="false">IF(OR(I606="BCG",I606="DTP1",I606="DTP3",I606="POL3",I606="MCV1",I606="FULL"),1,0)</f>
        <v>1</v>
      </c>
      <c r="U606" s="7" t="n">
        <f aca="false">IF(OR(C606="DHS",C606="MICS"),1,0)</f>
        <v>1</v>
      </c>
      <c r="V606" s="7" t="n">
        <f aca="false">IF(O606="",1,0)</f>
        <v>0</v>
      </c>
      <c r="W606" s="7" t="n">
        <f aca="false">IF(M606="",1,0)</f>
        <v>1</v>
      </c>
      <c r="X606" s="7" t="n">
        <f aca="false">COUNTIFS($B$2:$B$1141,B606,$H$2:$H$1141,H606,$I$2:$I$1141,I606,$J$2:$J$1141,J606,$K$2:$K$1141,K606,$L$2:$L$1141,L606)</f>
        <v>1</v>
      </c>
    </row>
    <row r="607" customFormat="false" ht="15" hidden="false" customHeight="false" outlineLevel="0" collapsed="false">
      <c r="A607" s="7" t="n">
        <f aca="false">ROW()-1</f>
        <v>606</v>
      </c>
      <c r="B607" s="7" t="str">
        <f aca="false">IF(Raw_Nigeria!B607="",TRIM(Raw_Nigeria!C607),TRIM(Raw_Nigeria!B607))</f>
        <v>Nigeria Demographic and Health Survey 2018</v>
      </c>
      <c r="C607" s="7" t="str">
        <f aca="false">IF(ISNUMBER(SEARCH("Demographic and Health",B607)),"DHS",IF(OR(ISNUMBER(SEARCH("Multiple Indicator Cluster",B607)),ISNUMBER(SEARCH("MICS",B607))),"MICS",IF(ISNUMBER(SEARCH("Immunization Coverage Survey",B607)),"Coverage survey",IF(ISNUMBER(SEARCH("Nutrition",B607)),"Nutrition survey","Other"))))</f>
        <v>DHS</v>
      </c>
      <c r="D607" s="7" t="n">
        <f aca="false">VALUE(LEFT(Raw_Nigeria!D607,4))</f>
        <v>2018</v>
      </c>
      <c r="E607" s="7" t="n">
        <f aca="false">IF(VALUE(RIGHT(Raw_Nigeria!D607,2))&gt;12,"",VALUE(RIGHT(Raw_Nigeria!D607,2)))</f>
        <v>8</v>
      </c>
      <c r="F607" s="7" t="n">
        <f aca="false">VALUE(LEFT(Raw_Nigeria!E607,4))</f>
        <v>2018</v>
      </c>
      <c r="G607" s="7" t="n">
        <f aca="false">IF(VALUE(RIGHT(Raw_Nigeria!E607,2))&gt;12,"",VALUE(RIGHT(Raw_Nigeria!E607,2)))</f>
        <v>12</v>
      </c>
      <c r="H607" s="7" t="n">
        <f aca="false">Raw_Nigeria!F607</f>
        <v>2016</v>
      </c>
      <c r="I607" s="7" t="str">
        <f aca="false">UPPER(TRIM(Raw_Nigeria!G607))</f>
        <v>POL3</v>
      </c>
      <c r="J607" s="7" t="str">
        <f aca="false">Raw_Nigeria!H607</f>
        <v>Recall</v>
      </c>
      <c r="K607" s="7" t="str">
        <f aca="false">Raw_Nigeria!L607</f>
        <v>24-35 m</v>
      </c>
      <c r="L607" s="7" t="str">
        <f aca="false">IF(Raw_Nigeria!K607="","n/a",Raw_Nigeria!K607)</f>
        <v>0-35 m</v>
      </c>
      <c r="M607" s="7" t="str">
        <f aca="false">IF(Raw_Nigeria!I607="","",Raw_Nigeria!I607)</f>
        <v/>
      </c>
      <c r="N607" s="7" t="n">
        <f aca="false">Raw_Nigeria!M607</f>
        <v>19.9</v>
      </c>
      <c r="O607" s="7" t="n">
        <f aca="false">IF(Raw_Nigeria!N607="","",Raw_Nigeria!N607)</f>
        <v>4120</v>
      </c>
      <c r="P607" s="7" t="str">
        <f aca="false">IF(K607="CBAW","Women of child-bearing age","Children")</f>
        <v>Children</v>
      </c>
      <c r="Q607" s="7" t="n">
        <f aca="false">IF(J607="NOT USED",1,0)</f>
        <v>0</v>
      </c>
      <c r="R607" s="7" t="n">
        <f aca="false">IF(AND(P607="Children",Q607=0),1,0)</f>
        <v>1</v>
      </c>
      <c r="S607" s="7" t="n">
        <f aca="false">IF(AND(R607=1,J607="Record or Recall",K607="12-23 m"),1,0)</f>
        <v>0</v>
      </c>
      <c r="T607" s="7" t="n">
        <f aca="false">IF(OR(I607="BCG",I607="DTP1",I607="DTP3",I607="POL3",I607="MCV1",I607="FULL"),1,0)</f>
        <v>1</v>
      </c>
      <c r="U607" s="7" t="n">
        <f aca="false">IF(OR(C607="DHS",C607="MICS"),1,0)</f>
        <v>1</v>
      </c>
      <c r="V607" s="7" t="n">
        <f aca="false">IF(O607="",1,0)</f>
        <v>0</v>
      </c>
      <c r="W607" s="7" t="n">
        <f aca="false">IF(M607="",1,0)</f>
        <v>1</v>
      </c>
      <c r="X607" s="7" t="n">
        <f aca="false">COUNTIFS($B$2:$B$1141,B607,$H$2:$H$1141,H607,$I$2:$I$1141,I607,$J$2:$J$1141,J607,$K$2:$K$1141,K607,$L$2:$L$1141,L607)</f>
        <v>1</v>
      </c>
    </row>
    <row r="608" customFormat="false" ht="15" hidden="false" customHeight="false" outlineLevel="0" collapsed="false">
      <c r="A608" s="7" t="n">
        <f aca="false">ROW()-1</f>
        <v>607</v>
      </c>
      <c r="B608" s="7" t="str">
        <f aca="false">IF(Raw_Nigeria!B608="",TRIM(Raw_Nigeria!C608),TRIM(Raw_Nigeria!B608))</f>
        <v>Nigeria National Nutrition and Health Survey (NNHS) 2018</v>
      </c>
      <c r="C608" s="7" t="str">
        <f aca="false">IF(ISNUMBER(SEARCH("Demographic and Health",B608)),"DHS",IF(OR(ISNUMBER(SEARCH("Multiple Indicator Cluster",B608)),ISNUMBER(SEARCH("MICS",B608))),"MICS",IF(ISNUMBER(SEARCH("Immunization Coverage Survey",B608)),"Coverage survey",IF(ISNUMBER(SEARCH("Nutrition",B608)),"Nutrition survey","Other"))))</f>
        <v>Nutrition survey</v>
      </c>
      <c r="D608" s="7" t="n">
        <f aca="false">VALUE(LEFT(Raw_Nigeria!D608,4))</f>
        <v>2018</v>
      </c>
      <c r="E608" s="7" t="n">
        <f aca="false">IF(VALUE(RIGHT(Raw_Nigeria!D608,2))&gt;12,"",VALUE(RIGHT(Raw_Nigeria!D608,2)))</f>
        <v>2</v>
      </c>
      <c r="F608" s="7" t="n">
        <f aca="false">VALUE(LEFT(Raw_Nigeria!E608,4))</f>
        <v>2018</v>
      </c>
      <c r="G608" s="7" t="n">
        <f aca="false">IF(VALUE(RIGHT(Raw_Nigeria!E608,2))&gt;12,"",VALUE(RIGHT(Raw_Nigeria!E608,2)))</f>
        <v>5</v>
      </c>
      <c r="H608" s="7" t="n">
        <f aca="false">Raw_Nigeria!F608</f>
        <v>2016</v>
      </c>
      <c r="I608" s="7" t="str">
        <f aca="false">UPPER(TRIM(Raw_Nigeria!G608))</f>
        <v>DTP1</v>
      </c>
      <c r="J608" s="7" t="str">
        <f aca="false">Raw_Nigeria!H608</f>
        <v>Record or Recall</v>
      </c>
      <c r="K608" s="7" t="str">
        <f aca="false">Raw_Nigeria!L608</f>
        <v>12-23 m</v>
      </c>
      <c r="L608" s="7" t="str">
        <f aca="false">IF(Raw_Nigeria!K608="","n/a",Raw_Nigeria!K608)</f>
        <v>0-23 m</v>
      </c>
      <c r="M608" s="7" t="n">
        <f aca="false">IF(Raw_Nigeria!I608="","",Raw_Nigeria!I608)</f>
        <v>39.8</v>
      </c>
      <c r="N608" s="7" t="n">
        <f aca="false">Raw_Nigeria!M608</f>
        <v>69.9</v>
      </c>
      <c r="O608" s="7" t="n">
        <f aca="false">IF(Raw_Nigeria!N608="","",Raw_Nigeria!N608)</f>
        <v>3976</v>
      </c>
      <c r="P608" s="7" t="str">
        <f aca="false">IF(K608="CBAW","Women of child-bearing age","Children")</f>
        <v>Children</v>
      </c>
      <c r="Q608" s="7" t="n">
        <f aca="false">IF(J608="NOT USED",1,0)</f>
        <v>0</v>
      </c>
      <c r="R608" s="7" t="n">
        <f aca="false">IF(AND(P608="Children",Q608=0),1,0)</f>
        <v>1</v>
      </c>
      <c r="S608" s="7" t="n">
        <f aca="false">IF(AND(R608=1,J608="Record or Recall",K608="12-23 m"),1,0)</f>
        <v>1</v>
      </c>
      <c r="T608" s="7" t="n">
        <f aca="false">IF(OR(I608="BCG",I608="DTP1",I608="DTP3",I608="POL3",I608="MCV1",I608="FULL"),1,0)</f>
        <v>1</v>
      </c>
      <c r="U608" s="7" t="n">
        <f aca="false">IF(OR(C608="DHS",C608="MICS"),1,0)</f>
        <v>0</v>
      </c>
      <c r="V608" s="7" t="n">
        <f aca="false">IF(O608="",1,0)</f>
        <v>0</v>
      </c>
      <c r="W608" s="7" t="n">
        <f aca="false">IF(M608="",1,0)</f>
        <v>0</v>
      </c>
      <c r="X608" s="7" t="n">
        <f aca="false">COUNTIFS($B$2:$B$1141,B608,$H$2:$H$1141,H608,$I$2:$I$1141,I608,$J$2:$J$1141,J608,$K$2:$K$1141,K608,$L$2:$L$1141,L608)</f>
        <v>1</v>
      </c>
    </row>
    <row r="609" customFormat="false" ht="15" hidden="false" customHeight="false" outlineLevel="0" collapsed="false">
      <c r="A609" s="7" t="n">
        <f aca="false">ROW()-1</f>
        <v>608</v>
      </c>
      <c r="B609" s="7" t="str">
        <f aca="false">IF(Raw_Nigeria!B609="",TRIM(Raw_Nigeria!C609),TRIM(Raw_Nigeria!B609))</f>
        <v>Nigeria National Nutrition and Health Survey (NNHS) 2018</v>
      </c>
      <c r="C609" s="7" t="str">
        <f aca="false">IF(ISNUMBER(SEARCH("Demographic and Health",B609)),"DHS",IF(OR(ISNUMBER(SEARCH("Multiple Indicator Cluster",B609)),ISNUMBER(SEARCH("MICS",B609))),"MICS",IF(ISNUMBER(SEARCH("Immunization Coverage Survey",B609)),"Coverage survey",IF(ISNUMBER(SEARCH("Nutrition",B609)),"Nutrition survey","Other"))))</f>
        <v>Nutrition survey</v>
      </c>
      <c r="D609" s="7" t="n">
        <f aca="false">VALUE(LEFT(Raw_Nigeria!D609,4))</f>
        <v>2018</v>
      </c>
      <c r="E609" s="7" t="n">
        <f aca="false">IF(VALUE(RIGHT(Raw_Nigeria!D609,2))&gt;12,"",VALUE(RIGHT(Raw_Nigeria!D609,2)))</f>
        <v>2</v>
      </c>
      <c r="F609" s="7" t="n">
        <f aca="false">VALUE(LEFT(Raw_Nigeria!E609,4))</f>
        <v>2018</v>
      </c>
      <c r="G609" s="7" t="n">
        <f aca="false">IF(VALUE(RIGHT(Raw_Nigeria!E609,2))&gt;12,"",VALUE(RIGHT(Raw_Nigeria!E609,2)))</f>
        <v>5</v>
      </c>
      <c r="H609" s="7" t="n">
        <f aca="false">Raw_Nigeria!F609</f>
        <v>2016</v>
      </c>
      <c r="I609" s="7" t="str">
        <f aca="false">UPPER(TRIM(Raw_Nigeria!G609))</f>
        <v>DTP2</v>
      </c>
      <c r="J609" s="7" t="str">
        <f aca="false">Raw_Nigeria!H609</f>
        <v>Record or Recall</v>
      </c>
      <c r="K609" s="7" t="str">
        <f aca="false">Raw_Nigeria!L609</f>
        <v>12-23 m</v>
      </c>
      <c r="L609" s="7" t="str">
        <f aca="false">IF(Raw_Nigeria!K609="","n/a",Raw_Nigeria!K609)</f>
        <v>0-23 m</v>
      </c>
      <c r="M609" s="7" t="n">
        <f aca="false">IF(Raw_Nigeria!I609="","",Raw_Nigeria!I609)</f>
        <v>39.8</v>
      </c>
      <c r="N609" s="7" t="n">
        <f aca="false">Raw_Nigeria!M609</f>
        <v>65.4</v>
      </c>
      <c r="O609" s="7" t="n">
        <f aca="false">IF(Raw_Nigeria!N609="","",Raw_Nigeria!N609)</f>
        <v>3976</v>
      </c>
      <c r="P609" s="7" t="str">
        <f aca="false">IF(K609="CBAW","Women of child-bearing age","Children")</f>
        <v>Children</v>
      </c>
      <c r="Q609" s="7" t="n">
        <f aca="false">IF(J609="NOT USED",1,0)</f>
        <v>0</v>
      </c>
      <c r="R609" s="7" t="n">
        <f aca="false">IF(AND(P609="Children",Q609=0),1,0)</f>
        <v>1</v>
      </c>
      <c r="S609" s="7" t="n">
        <f aca="false">IF(AND(R609=1,J609="Record or Recall",K609="12-23 m"),1,0)</f>
        <v>1</v>
      </c>
      <c r="T609" s="7" t="n">
        <f aca="false">IF(OR(I609="BCG",I609="DTP1",I609="DTP3",I609="POL3",I609="MCV1",I609="FULL"),1,0)</f>
        <v>0</v>
      </c>
      <c r="U609" s="7" t="n">
        <f aca="false">IF(OR(C609="DHS",C609="MICS"),1,0)</f>
        <v>0</v>
      </c>
      <c r="V609" s="7" t="n">
        <f aca="false">IF(O609="",1,0)</f>
        <v>0</v>
      </c>
      <c r="W609" s="7" t="n">
        <f aca="false">IF(M609="",1,0)</f>
        <v>0</v>
      </c>
      <c r="X609" s="7" t="n">
        <f aca="false">COUNTIFS($B$2:$B$1141,B609,$H$2:$H$1141,H609,$I$2:$I$1141,I609,$J$2:$J$1141,J609,$K$2:$K$1141,K609,$L$2:$L$1141,L609)</f>
        <v>1</v>
      </c>
    </row>
    <row r="610" customFormat="false" ht="15" hidden="false" customHeight="false" outlineLevel="0" collapsed="false">
      <c r="A610" s="7" t="n">
        <f aca="false">ROW()-1</f>
        <v>609</v>
      </c>
      <c r="B610" s="7" t="str">
        <f aca="false">IF(Raw_Nigeria!B610="",TRIM(Raw_Nigeria!C610),TRIM(Raw_Nigeria!B610))</f>
        <v>Nigeria National Nutrition and Health Survey (NNHS) 2018</v>
      </c>
      <c r="C610" s="7" t="str">
        <f aca="false">IF(ISNUMBER(SEARCH("Demographic and Health",B610)),"DHS",IF(OR(ISNUMBER(SEARCH("Multiple Indicator Cluster",B610)),ISNUMBER(SEARCH("MICS",B610))),"MICS",IF(ISNUMBER(SEARCH("Immunization Coverage Survey",B610)),"Coverage survey",IF(ISNUMBER(SEARCH("Nutrition",B610)),"Nutrition survey","Other"))))</f>
        <v>Nutrition survey</v>
      </c>
      <c r="D610" s="7" t="n">
        <f aca="false">VALUE(LEFT(Raw_Nigeria!D610,4))</f>
        <v>2018</v>
      </c>
      <c r="E610" s="7" t="n">
        <f aca="false">IF(VALUE(RIGHT(Raw_Nigeria!D610,2))&gt;12,"",VALUE(RIGHT(Raw_Nigeria!D610,2)))</f>
        <v>2</v>
      </c>
      <c r="F610" s="7" t="n">
        <f aca="false">VALUE(LEFT(Raw_Nigeria!E610,4))</f>
        <v>2018</v>
      </c>
      <c r="G610" s="7" t="n">
        <f aca="false">IF(VALUE(RIGHT(Raw_Nigeria!E610,2))&gt;12,"",VALUE(RIGHT(Raw_Nigeria!E610,2)))</f>
        <v>5</v>
      </c>
      <c r="H610" s="7" t="n">
        <f aca="false">Raw_Nigeria!F610</f>
        <v>2016</v>
      </c>
      <c r="I610" s="7" t="str">
        <f aca="false">UPPER(TRIM(Raw_Nigeria!G610))</f>
        <v>DTP3</v>
      </c>
      <c r="J610" s="7" t="str">
        <f aca="false">Raw_Nigeria!H610</f>
        <v>Record or Recall</v>
      </c>
      <c r="K610" s="7" t="str">
        <f aca="false">Raw_Nigeria!L610</f>
        <v>12-23 m</v>
      </c>
      <c r="L610" s="7" t="str">
        <f aca="false">IF(Raw_Nigeria!K610="","n/a",Raw_Nigeria!K610)</f>
        <v>0-23 m</v>
      </c>
      <c r="M610" s="7" t="n">
        <f aca="false">IF(Raw_Nigeria!I610="","",Raw_Nigeria!I610)</f>
        <v>39.8</v>
      </c>
      <c r="N610" s="7" t="n">
        <f aca="false">Raw_Nigeria!M610</f>
        <v>57.2</v>
      </c>
      <c r="O610" s="7" t="n">
        <f aca="false">IF(Raw_Nigeria!N610="","",Raw_Nigeria!N610)</f>
        <v>3976</v>
      </c>
      <c r="P610" s="7" t="str">
        <f aca="false">IF(K610="CBAW","Women of child-bearing age","Children")</f>
        <v>Children</v>
      </c>
      <c r="Q610" s="7" t="n">
        <f aca="false">IF(J610="NOT USED",1,0)</f>
        <v>0</v>
      </c>
      <c r="R610" s="7" t="n">
        <f aca="false">IF(AND(P610="Children",Q610=0),1,0)</f>
        <v>1</v>
      </c>
      <c r="S610" s="7" t="n">
        <f aca="false">IF(AND(R610=1,J610="Record or Recall",K610="12-23 m"),1,0)</f>
        <v>1</v>
      </c>
      <c r="T610" s="7" t="n">
        <f aca="false">IF(OR(I610="BCG",I610="DTP1",I610="DTP3",I610="POL3",I610="MCV1",I610="FULL"),1,0)</f>
        <v>1</v>
      </c>
      <c r="U610" s="7" t="n">
        <f aca="false">IF(OR(C610="DHS",C610="MICS"),1,0)</f>
        <v>0</v>
      </c>
      <c r="V610" s="7" t="n">
        <f aca="false">IF(O610="",1,0)</f>
        <v>0</v>
      </c>
      <c r="W610" s="7" t="n">
        <f aca="false">IF(M610="",1,0)</f>
        <v>0</v>
      </c>
      <c r="X610" s="7" t="n">
        <f aca="false">COUNTIFS($B$2:$B$1141,B610,$H$2:$H$1141,H610,$I$2:$I$1141,I610,$J$2:$J$1141,J610,$K$2:$K$1141,K610,$L$2:$L$1141,L610)</f>
        <v>1</v>
      </c>
    </row>
    <row r="611" customFormat="false" ht="15" hidden="false" customHeight="false" outlineLevel="0" collapsed="false">
      <c r="A611" s="7" t="n">
        <f aca="false">ROW()-1</f>
        <v>610</v>
      </c>
      <c r="B611" s="7" t="str">
        <f aca="false">IF(Raw_Nigeria!B611="",TRIM(Raw_Nigeria!C611),TRIM(Raw_Nigeria!B611))</f>
        <v>Nigeria National Nutrition and Health Survey (NNHS) 2018</v>
      </c>
      <c r="C611" s="7" t="str">
        <f aca="false">IF(ISNUMBER(SEARCH("Demographic and Health",B611)),"DHS",IF(OR(ISNUMBER(SEARCH("Multiple Indicator Cluster",B611)),ISNUMBER(SEARCH("MICS",B611))),"MICS",IF(ISNUMBER(SEARCH("Immunization Coverage Survey",B611)),"Coverage survey",IF(ISNUMBER(SEARCH("Nutrition",B611)),"Nutrition survey","Other"))))</f>
        <v>Nutrition survey</v>
      </c>
      <c r="D611" s="7" t="n">
        <f aca="false">VALUE(LEFT(Raw_Nigeria!D611,4))</f>
        <v>2018</v>
      </c>
      <c r="E611" s="7" t="n">
        <f aca="false">IF(VALUE(RIGHT(Raw_Nigeria!D611,2))&gt;12,"",VALUE(RIGHT(Raw_Nigeria!D611,2)))</f>
        <v>2</v>
      </c>
      <c r="F611" s="7" t="n">
        <f aca="false">VALUE(LEFT(Raw_Nigeria!E611,4))</f>
        <v>2018</v>
      </c>
      <c r="G611" s="7" t="n">
        <f aca="false">IF(VALUE(RIGHT(Raw_Nigeria!E611,2))&gt;12,"",VALUE(RIGHT(Raw_Nigeria!E611,2)))</f>
        <v>5</v>
      </c>
      <c r="H611" s="7" t="n">
        <f aca="false">Raw_Nigeria!F611</f>
        <v>2016</v>
      </c>
      <c r="I611" s="7" t="str">
        <f aca="false">UPPER(TRIM(Raw_Nigeria!G611))</f>
        <v>HEPB1</v>
      </c>
      <c r="J611" s="7" t="str">
        <f aca="false">Raw_Nigeria!H611</f>
        <v>Record or Recall</v>
      </c>
      <c r="K611" s="7" t="str">
        <f aca="false">Raw_Nigeria!L611</f>
        <v>12-23 m</v>
      </c>
      <c r="L611" s="7" t="str">
        <f aca="false">IF(Raw_Nigeria!K611="","n/a",Raw_Nigeria!K611)</f>
        <v>0-23 m</v>
      </c>
      <c r="M611" s="7" t="n">
        <f aca="false">IF(Raw_Nigeria!I611="","",Raw_Nigeria!I611)</f>
        <v>39.8</v>
      </c>
      <c r="N611" s="7" t="n">
        <f aca="false">Raw_Nigeria!M611</f>
        <v>69.9</v>
      </c>
      <c r="O611" s="7" t="n">
        <f aca="false">IF(Raw_Nigeria!N611="","",Raw_Nigeria!N611)</f>
        <v>3976</v>
      </c>
      <c r="P611" s="7" t="str">
        <f aca="false">IF(K611="CBAW","Women of child-bearing age","Children")</f>
        <v>Children</v>
      </c>
      <c r="Q611" s="7" t="n">
        <f aca="false">IF(J611="NOT USED",1,0)</f>
        <v>0</v>
      </c>
      <c r="R611" s="7" t="n">
        <f aca="false">IF(AND(P611="Children",Q611=0),1,0)</f>
        <v>1</v>
      </c>
      <c r="S611" s="7" t="n">
        <f aca="false">IF(AND(R611=1,J611="Record or Recall",K611="12-23 m"),1,0)</f>
        <v>1</v>
      </c>
      <c r="T611" s="7" t="n">
        <f aca="false">IF(OR(I611="BCG",I611="DTP1",I611="DTP3",I611="POL3",I611="MCV1",I611="FULL"),1,0)</f>
        <v>0</v>
      </c>
      <c r="U611" s="7" t="n">
        <f aca="false">IF(OR(C611="DHS",C611="MICS"),1,0)</f>
        <v>0</v>
      </c>
      <c r="V611" s="7" t="n">
        <f aca="false">IF(O611="",1,0)</f>
        <v>0</v>
      </c>
      <c r="W611" s="7" t="n">
        <f aca="false">IF(M611="",1,0)</f>
        <v>0</v>
      </c>
      <c r="X611" s="7" t="n">
        <f aca="false">COUNTIFS($B$2:$B$1141,B611,$H$2:$H$1141,H611,$I$2:$I$1141,I611,$J$2:$J$1141,J611,$K$2:$K$1141,K611,$L$2:$L$1141,L611)</f>
        <v>1</v>
      </c>
    </row>
    <row r="612" customFormat="false" ht="15" hidden="false" customHeight="false" outlineLevel="0" collapsed="false">
      <c r="A612" s="7" t="n">
        <f aca="false">ROW()-1</f>
        <v>611</v>
      </c>
      <c r="B612" s="7" t="str">
        <f aca="false">IF(Raw_Nigeria!B612="",TRIM(Raw_Nigeria!C612),TRIM(Raw_Nigeria!B612))</f>
        <v>Nigeria National Nutrition and Health Survey (NNHS) 2018</v>
      </c>
      <c r="C612" s="7" t="str">
        <f aca="false">IF(ISNUMBER(SEARCH("Demographic and Health",B612)),"DHS",IF(OR(ISNUMBER(SEARCH("Multiple Indicator Cluster",B612)),ISNUMBER(SEARCH("MICS",B612))),"MICS",IF(ISNUMBER(SEARCH("Immunization Coverage Survey",B612)),"Coverage survey",IF(ISNUMBER(SEARCH("Nutrition",B612)),"Nutrition survey","Other"))))</f>
        <v>Nutrition survey</v>
      </c>
      <c r="D612" s="7" t="n">
        <f aca="false">VALUE(LEFT(Raw_Nigeria!D612,4))</f>
        <v>2018</v>
      </c>
      <c r="E612" s="7" t="n">
        <f aca="false">IF(VALUE(RIGHT(Raw_Nigeria!D612,2))&gt;12,"",VALUE(RIGHT(Raw_Nigeria!D612,2)))</f>
        <v>2</v>
      </c>
      <c r="F612" s="7" t="n">
        <f aca="false">VALUE(LEFT(Raw_Nigeria!E612,4))</f>
        <v>2018</v>
      </c>
      <c r="G612" s="7" t="n">
        <f aca="false">IF(VALUE(RIGHT(Raw_Nigeria!E612,2))&gt;12,"",VALUE(RIGHT(Raw_Nigeria!E612,2)))</f>
        <v>5</v>
      </c>
      <c r="H612" s="7" t="n">
        <f aca="false">Raw_Nigeria!F612</f>
        <v>2016</v>
      </c>
      <c r="I612" s="7" t="str">
        <f aca="false">UPPER(TRIM(Raw_Nigeria!G612))</f>
        <v>HEPB2</v>
      </c>
      <c r="J612" s="7" t="str">
        <f aca="false">Raw_Nigeria!H612</f>
        <v>Record or Recall</v>
      </c>
      <c r="K612" s="7" t="str">
        <f aca="false">Raw_Nigeria!L612</f>
        <v>12-23 m</v>
      </c>
      <c r="L612" s="7" t="str">
        <f aca="false">IF(Raw_Nigeria!K612="","n/a",Raw_Nigeria!K612)</f>
        <v>0-23 m</v>
      </c>
      <c r="M612" s="7" t="n">
        <f aca="false">IF(Raw_Nigeria!I612="","",Raw_Nigeria!I612)</f>
        <v>39.8</v>
      </c>
      <c r="N612" s="7" t="n">
        <f aca="false">Raw_Nigeria!M612</f>
        <v>65.4</v>
      </c>
      <c r="O612" s="7" t="n">
        <f aca="false">IF(Raw_Nigeria!N612="","",Raw_Nigeria!N612)</f>
        <v>3976</v>
      </c>
      <c r="P612" s="7" t="str">
        <f aca="false">IF(K612="CBAW","Women of child-bearing age","Children")</f>
        <v>Children</v>
      </c>
      <c r="Q612" s="7" t="n">
        <f aca="false">IF(J612="NOT USED",1,0)</f>
        <v>0</v>
      </c>
      <c r="R612" s="7" t="n">
        <f aca="false">IF(AND(P612="Children",Q612=0),1,0)</f>
        <v>1</v>
      </c>
      <c r="S612" s="7" t="n">
        <f aca="false">IF(AND(R612=1,J612="Record or Recall",K612="12-23 m"),1,0)</f>
        <v>1</v>
      </c>
      <c r="T612" s="7" t="n">
        <f aca="false">IF(OR(I612="BCG",I612="DTP1",I612="DTP3",I612="POL3",I612="MCV1",I612="FULL"),1,0)</f>
        <v>0</v>
      </c>
      <c r="U612" s="7" t="n">
        <f aca="false">IF(OR(C612="DHS",C612="MICS"),1,0)</f>
        <v>0</v>
      </c>
      <c r="V612" s="7" t="n">
        <f aca="false">IF(O612="",1,0)</f>
        <v>0</v>
      </c>
      <c r="W612" s="7" t="n">
        <f aca="false">IF(M612="",1,0)</f>
        <v>0</v>
      </c>
      <c r="X612" s="7" t="n">
        <f aca="false">COUNTIFS($B$2:$B$1141,B612,$H$2:$H$1141,H612,$I$2:$I$1141,I612,$J$2:$J$1141,J612,$K$2:$K$1141,K612,$L$2:$L$1141,L612)</f>
        <v>1</v>
      </c>
    </row>
    <row r="613" customFormat="false" ht="15" hidden="false" customHeight="false" outlineLevel="0" collapsed="false">
      <c r="A613" s="7" t="n">
        <f aca="false">ROW()-1</f>
        <v>612</v>
      </c>
      <c r="B613" s="7" t="str">
        <f aca="false">IF(Raw_Nigeria!B613="",TRIM(Raw_Nigeria!C613),TRIM(Raw_Nigeria!B613))</f>
        <v>Nigeria National Nutrition and Health Survey (NNHS) 2018</v>
      </c>
      <c r="C613" s="7" t="str">
        <f aca="false">IF(ISNUMBER(SEARCH("Demographic and Health",B613)),"DHS",IF(OR(ISNUMBER(SEARCH("Multiple Indicator Cluster",B613)),ISNUMBER(SEARCH("MICS",B613))),"MICS",IF(ISNUMBER(SEARCH("Immunization Coverage Survey",B613)),"Coverage survey",IF(ISNUMBER(SEARCH("Nutrition",B613)),"Nutrition survey","Other"))))</f>
        <v>Nutrition survey</v>
      </c>
      <c r="D613" s="7" t="n">
        <f aca="false">VALUE(LEFT(Raw_Nigeria!D613,4))</f>
        <v>2018</v>
      </c>
      <c r="E613" s="7" t="n">
        <f aca="false">IF(VALUE(RIGHT(Raw_Nigeria!D613,2))&gt;12,"",VALUE(RIGHT(Raw_Nigeria!D613,2)))</f>
        <v>2</v>
      </c>
      <c r="F613" s="7" t="n">
        <f aca="false">VALUE(LEFT(Raw_Nigeria!E613,4))</f>
        <v>2018</v>
      </c>
      <c r="G613" s="7" t="n">
        <f aca="false">IF(VALUE(RIGHT(Raw_Nigeria!E613,2))&gt;12,"",VALUE(RIGHT(Raw_Nigeria!E613,2)))</f>
        <v>5</v>
      </c>
      <c r="H613" s="7" t="n">
        <f aca="false">Raw_Nigeria!F613</f>
        <v>2016</v>
      </c>
      <c r="I613" s="7" t="str">
        <f aca="false">UPPER(TRIM(Raw_Nigeria!G613))</f>
        <v>HEPB3</v>
      </c>
      <c r="J613" s="7" t="str">
        <f aca="false">Raw_Nigeria!H613</f>
        <v>Record or Recall</v>
      </c>
      <c r="K613" s="7" t="str">
        <f aca="false">Raw_Nigeria!L613</f>
        <v>12-23 m</v>
      </c>
      <c r="L613" s="7" t="str">
        <f aca="false">IF(Raw_Nigeria!K613="","n/a",Raw_Nigeria!K613)</f>
        <v>0-23 m</v>
      </c>
      <c r="M613" s="7" t="n">
        <f aca="false">IF(Raw_Nigeria!I613="","",Raw_Nigeria!I613)</f>
        <v>39.8</v>
      </c>
      <c r="N613" s="7" t="n">
        <f aca="false">Raw_Nigeria!M613</f>
        <v>57.2</v>
      </c>
      <c r="O613" s="7" t="n">
        <f aca="false">IF(Raw_Nigeria!N613="","",Raw_Nigeria!N613)</f>
        <v>3976</v>
      </c>
      <c r="P613" s="7" t="str">
        <f aca="false">IF(K613="CBAW","Women of child-bearing age","Children")</f>
        <v>Children</v>
      </c>
      <c r="Q613" s="7" t="n">
        <f aca="false">IF(J613="NOT USED",1,0)</f>
        <v>0</v>
      </c>
      <c r="R613" s="7" t="n">
        <f aca="false">IF(AND(P613="Children",Q613=0),1,0)</f>
        <v>1</v>
      </c>
      <c r="S613" s="7" t="n">
        <f aca="false">IF(AND(R613=1,J613="Record or Recall",K613="12-23 m"),1,0)</f>
        <v>1</v>
      </c>
      <c r="T613" s="7" t="n">
        <f aca="false">IF(OR(I613="BCG",I613="DTP1",I613="DTP3",I613="POL3",I613="MCV1",I613="FULL"),1,0)</f>
        <v>0</v>
      </c>
      <c r="U613" s="7" t="n">
        <f aca="false">IF(OR(C613="DHS",C613="MICS"),1,0)</f>
        <v>0</v>
      </c>
      <c r="V613" s="7" t="n">
        <f aca="false">IF(O613="",1,0)</f>
        <v>0</v>
      </c>
      <c r="W613" s="7" t="n">
        <f aca="false">IF(M613="",1,0)</f>
        <v>0</v>
      </c>
      <c r="X613" s="7" t="n">
        <f aca="false">COUNTIFS($B$2:$B$1141,B613,$H$2:$H$1141,H613,$I$2:$I$1141,I613,$J$2:$J$1141,J613,$K$2:$K$1141,K613,$L$2:$L$1141,L613)</f>
        <v>1</v>
      </c>
    </row>
    <row r="614" customFormat="false" ht="15" hidden="false" customHeight="false" outlineLevel="0" collapsed="false">
      <c r="A614" s="7" t="n">
        <f aca="false">ROW()-1</f>
        <v>613</v>
      </c>
      <c r="B614" s="7" t="str">
        <f aca="false">IF(Raw_Nigeria!B614="",TRIM(Raw_Nigeria!C614),TRIM(Raw_Nigeria!B614))</f>
        <v>Nigeria National Nutrition and Health Survey (NNHS) 2018</v>
      </c>
      <c r="C614" s="7" t="str">
        <f aca="false">IF(ISNUMBER(SEARCH("Demographic and Health",B614)),"DHS",IF(OR(ISNUMBER(SEARCH("Multiple Indicator Cluster",B614)),ISNUMBER(SEARCH("MICS",B614))),"MICS",IF(ISNUMBER(SEARCH("Immunization Coverage Survey",B614)),"Coverage survey",IF(ISNUMBER(SEARCH("Nutrition",B614)),"Nutrition survey","Other"))))</f>
        <v>Nutrition survey</v>
      </c>
      <c r="D614" s="7" t="n">
        <f aca="false">VALUE(LEFT(Raw_Nigeria!D614,4))</f>
        <v>2018</v>
      </c>
      <c r="E614" s="7" t="n">
        <f aca="false">IF(VALUE(RIGHT(Raw_Nigeria!D614,2))&gt;12,"",VALUE(RIGHT(Raw_Nigeria!D614,2)))</f>
        <v>2</v>
      </c>
      <c r="F614" s="7" t="n">
        <f aca="false">VALUE(LEFT(Raw_Nigeria!E614,4))</f>
        <v>2018</v>
      </c>
      <c r="G614" s="7" t="n">
        <f aca="false">IF(VALUE(RIGHT(Raw_Nigeria!E614,2))&gt;12,"",VALUE(RIGHT(Raw_Nigeria!E614,2)))</f>
        <v>5</v>
      </c>
      <c r="H614" s="7" t="n">
        <f aca="false">Raw_Nigeria!F614</f>
        <v>2016</v>
      </c>
      <c r="I614" s="7" t="str">
        <f aca="false">UPPER(TRIM(Raw_Nigeria!G614))</f>
        <v>HIB1</v>
      </c>
      <c r="J614" s="7" t="str">
        <f aca="false">Raw_Nigeria!H614</f>
        <v>Record or Recall</v>
      </c>
      <c r="K614" s="7" t="str">
        <f aca="false">Raw_Nigeria!L614</f>
        <v>12-23 m</v>
      </c>
      <c r="L614" s="7" t="str">
        <f aca="false">IF(Raw_Nigeria!K614="","n/a",Raw_Nigeria!K614)</f>
        <v>0-23 m</v>
      </c>
      <c r="M614" s="7" t="n">
        <f aca="false">IF(Raw_Nigeria!I614="","",Raw_Nigeria!I614)</f>
        <v>39.8</v>
      </c>
      <c r="N614" s="7" t="n">
        <f aca="false">Raw_Nigeria!M614</f>
        <v>69.9</v>
      </c>
      <c r="O614" s="7" t="n">
        <f aca="false">IF(Raw_Nigeria!N614="","",Raw_Nigeria!N614)</f>
        <v>3976</v>
      </c>
      <c r="P614" s="7" t="str">
        <f aca="false">IF(K614="CBAW","Women of child-bearing age","Children")</f>
        <v>Children</v>
      </c>
      <c r="Q614" s="7" t="n">
        <f aca="false">IF(J614="NOT USED",1,0)</f>
        <v>0</v>
      </c>
      <c r="R614" s="7" t="n">
        <f aca="false">IF(AND(P614="Children",Q614=0),1,0)</f>
        <v>1</v>
      </c>
      <c r="S614" s="7" t="n">
        <f aca="false">IF(AND(R614=1,J614="Record or Recall",K614="12-23 m"),1,0)</f>
        <v>1</v>
      </c>
      <c r="T614" s="7" t="n">
        <f aca="false">IF(OR(I614="BCG",I614="DTP1",I614="DTP3",I614="POL3",I614="MCV1",I614="FULL"),1,0)</f>
        <v>0</v>
      </c>
      <c r="U614" s="7" t="n">
        <f aca="false">IF(OR(C614="DHS",C614="MICS"),1,0)</f>
        <v>0</v>
      </c>
      <c r="V614" s="7" t="n">
        <f aca="false">IF(O614="",1,0)</f>
        <v>0</v>
      </c>
      <c r="W614" s="7" t="n">
        <f aca="false">IF(M614="",1,0)</f>
        <v>0</v>
      </c>
      <c r="X614" s="7" t="n">
        <f aca="false">COUNTIFS($B$2:$B$1141,B614,$H$2:$H$1141,H614,$I$2:$I$1141,I614,$J$2:$J$1141,J614,$K$2:$K$1141,K614,$L$2:$L$1141,L614)</f>
        <v>1</v>
      </c>
    </row>
    <row r="615" customFormat="false" ht="15" hidden="false" customHeight="false" outlineLevel="0" collapsed="false">
      <c r="A615" s="7" t="n">
        <f aca="false">ROW()-1</f>
        <v>614</v>
      </c>
      <c r="B615" s="7" t="str">
        <f aca="false">IF(Raw_Nigeria!B615="",TRIM(Raw_Nigeria!C615),TRIM(Raw_Nigeria!B615))</f>
        <v>Nigeria National Nutrition and Health Survey (NNHS) 2018</v>
      </c>
      <c r="C615" s="7" t="str">
        <f aca="false">IF(ISNUMBER(SEARCH("Demographic and Health",B615)),"DHS",IF(OR(ISNUMBER(SEARCH("Multiple Indicator Cluster",B615)),ISNUMBER(SEARCH("MICS",B615))),"MICS",IF(ISNUMBER(SEARCH("Immunization Coverage Survey",B615)),"Coverage survey",IF(ISNUMBER(SEARCH("Nutrition",B615)),"Nutrition survey","Other"))))</f>
        <v>Nutrition survey</v>
      </c>
      <c r="D615" s="7" t="n">
        <f aca="false">VALUE(LEFT(Raw_Nigeria!D615,4))</f>
        <v>2018</v>
      </c>
      <c r="E615" s="7" t="n">
        <f aca="false">IF(VALUE(RIGHT(Raw_Nigeria!D615,2))&gt;12,"",VALUE(RIGHT(Raw_Nigeria!D615,2)))</f>
        <v>2</v>
      </c>
      <c r="F615" s="7" t="n">
        <f aca="false">VALUE(LEFT(Raw_Nigeria!E615,4))</f>
        <v>2018</v>
      </c>
      <c r="G615" s="7" t="n">
        <f aca="false">IF(VALUE(RIGHT(Raw_Nigeria!E615,2))&gt;12,"",VALUE(RIGHT(Raw_Nigeria!E615,2)))</f>
        <v>5</v>
      </c>
      <c r="H615" s="7" t="n">
        <f aca="false">Raw_Nigeria!F615</f>
        <v>2016</v>
      </c>
      <c r="I615" s="7" t="str">
        <f aca="false">UPPER(TRIM(Raw_Nigeria!G615))</f>
        <v>HIB2</v>
      </c>
      <c r="J615" s="7" t="str">
        <f aca="false">Raw_Nigeria!H615</f>
        <v>Record or Recall</v>
      </c>
      <c r="K615" s="7" t="str">
        <f aca="false">Raw_Nigeria!L615</f>
        <v>12-23 m</v>
      </c>
      <c r="L615" s="7" t="str">
        <f aca="false">IF(Raw_Nigeria!K615="","n/a",Raw_Nigeria!K615)</f>
        <v>0-23 m</v>
      </c>
      <c r="M615" s="7" t="n">
        <f aca="false">IF(Raw_Nigeria!I615="","",Raw_Nigeria!I615)</f>
        <v>39.8</v>
      </c>
      <c r="N615" s="7" t="n">
        <f aca="false">Raw_Nigeria!M615</f>
        <v>65.4</v>
      </c>
      <c r="O615" s="7" t="n">
        <f aca="false">IF(Raw_Nigeria!N615="","",Raw_Nigeria!N615)</f>
        <v>3976</v>
      </c>
      <c r="P615" s="7" t="str">
        <f aca="false">IF(K615="CBAW","Women of child-bearing age","Children")</f>
        <v>Children</v>
      </c>
      <c r="Q615" s="7" t="n">
        <f aca="false">IF(J615="NOT USED",1,0)</f>
        <v>0</v>
      </c>
      <c r="R615" s="7" t="n">
        <f aca="false">IF(AND(P615="Children",Q615=0),1,0)</f>
        <v>1</v>
      </c>
      <c r="S615" s="7" t="n">
        <f aca="false">IF(AND(R615=1,J615="Record or Recall",K615="12-23 m"),1,0)</f>
        <v>1</v>
      </c>
      <c r="T615" s="7" t="n">
        <f aca="false">IF(OR(I615="BCG",I615="DTP1",I615="DTP3",I615="POL3",I615="MCV1",I615="FULL"),1,0)</f>
        <v>0</v>
      </c>
      <c r="U615" s="7" t="n">
        <f aca="false">IF(OR(C615="DHS",C615="MICS"),1,0)</f>
        <v>0</v>
      </c>
      <c r="V615" s="7" t="n">
        <f aca="false">IF(O615="",1,0)</f>
        <v>0</v>
      </c>
      <c r="W615" s="7" t="n">
        <f aca="false">IF(M615="",1,0)</f>
        <v>0</v>
      </c>
      <c r="X615" s="7" t="n">
        <f aca="false">COUNTIFS($B$2:$B$1141,B615,$H$2:$H$1141,H615,$I$2:$I$1141,I615,$J$2:$J$1141,J615,$K$2:$K$1141,K615,$L$2:$L$1141,L615)</f>
        <v>1</v>
      </c>
    </row>
    <row r="616" customFormat="false" ht="15" hidden="false" customHeight="false" outlineLevel="0" collapsed="false">
      <c r="A616" s="7" t="n">
        <f aca="false">ROW()-1</f>
        <v>615</v>
      </c>
      <c r="B616" s="7" t="str">
        <f aca="false">IF(Raw_Nigeria!B616="",TRIM(Raw_Nigeria!C616),TRIM(Raw_Nigeria!B616))</f>
        <v>Nigeria National Nutrition and Health Survey (NNHS) 2018</v>
      </c>
      <c r="C616" s="7" t="str">
        <f aca="false">IF(ISNUMBER(SEARCH("Demographic and Health",B616)),"DHS",IF(OR(ISNUMBER(SEARCH("Multiple Indicator Cluster",B616)),ISNUMBER(SEARCH("MICS",B616))),"MICS",IF(ISNUMBER(SEARCH("Immunization Coverage Survey",B616)),"Coverage survey",IF(ISNUMBER(SEARCH("Nutrition",B616)),"Nutrition survey","Other"))))</f>
        <v>Nutrition survey</v>
      </c>
      <c r="D616" s="7" t="n">
        <f aca="false">VALUE(LEFT(Raw_Nigeria!D616,4))</f>
        <v>2018</v>
      </c>
      <c r="E616" s="7" t="n">
        <f aca="false">IF(VALUE(RIGHT(Raw_Nigeria!D616,2))&gt;12,"",VALUE(RIGHT(Raw_Nigeria!D616,2)))</f>
        <v>2</v>
      </c>
      <c r="F616" s="7" t="n">
        <f aca="false">VALUE(LEFT(Raw_Nigeria!E616,4))</f>
        <v>2018</v>
      </c>
      <c r="G616" s="7" t="n">
        <f aca="false">IF(VALUE(RIGHT(Raw_Nigeria!E616,2))&gt;12,"",VALUE(RIGHT(Raw_Nigeria!E616,2)))</f>
        <v>5</v>
      </c>
      <c r="H616" s="7" t="n">
        <f aca="false">Raw_Nigeria!F616</f>
        <v>2016</v>
      </c>
      <c r="I616" s="7" t="str">
        <f aca="false">UPPER(TRIM(Raw_Nigeria!G616))</f>
        <v>HIB3</v>
      </c>
      <c r="J616" s="7" t="str">
        <f aca="false">Raw_Nigeria!H616</f>
        <v>Record or Recall</v>
      </c>
      <c r="K616" s="7" t="str">
        <f aca="false">Raw_Nigeria!L616</f>
        <v>12-23 m</v>
      </c>
      <c r="L616" s="7" t="str">
        <f aca="false">IF(Raw_Nigeria!K616="","n/a",Raw_Nigeria!K616)</f>
        <v>0-23 m</v>
      </c>
      <c r="M616" s="7" t="n">
        <f aca="false">IF(Raw_Nigeria!I616="","",Raw_Nigeria!I616)</f>
        <v>39.8</v>
      </c>
      <c r="N616" s="7" t="n">
        <f aca="false">Raw_Nigeria!M616</f>
        <v>57.2</v>
      </c>
      <c r="O616" s="7" t="n">
        <f aca="false">IF(Raw_Nigeria!N616="","",Raw_Nigeria!N616)</f>
        <v>3976</v>
      </c>
      <c r="P616" s="7" t="str">
        <f aca="false">IF(K616="CBAW","Women of child-bearing age","Children")</f>
        <v>Children</v>
      </c>
      <c r="Q616" s="7" t="n">
        <f aca="false">IF(J616="NOT USED",1,0)</f>
        <v>0</v>
      </c>
      <c r="R616" s="7" t="n">
        <f aca="false">IF(AND(P616="Children",Q616=0),1,0)</f>
        <v>1</v>
      </c>
      <c r="S616" s="7" t="n">
        <f aca="false">IF(AND(R616=1,J616="Record or Recall",K616="12-23 m"),1,0)</f>
        <v>1</v>
      </c>
      <c r="T616" s="7" t="n">
        <f aca="false">IF(OR(I616="BCG",I616="DTP1",I616="DTP3",I616="POL3",I616="MCV1",I616="FULL"),1,0)</f>
        <v>0</v>
      </c>
      <c r="U616" s="7" t="n">
        <f aca="false">IF(OR(C616="DHS",C616="MICS"),1,0)</f>
        <v>0</v>
      </c>
      <c r="V616" s="7" t="n">
        <f aca="false">IF(O616="",1,0)</f>
        <v>0</v>
      </c>
      <c r="W616" s="7" t="n">
        <f aca="false">IF(M616="",1,0)</f>
        <v>0</v>
      </c>
      <c r="X616" s="7" t="n">
        <f aca="false">COUNTIFS($B$2:$B$1141,B616,$H$2:$H$1141,H616,$I$2:$I$1141,I616,$J$2:$J$1141,J616,$K$2:$K$1141,K616,$L$2:$L$1141,L616)</f>
        <v>1</v>
      </c>
    </row>
    <row r="617" customFormat="false" ht="15" hidden="false" customHeight="false" outlineLevel="0" collapsed="false">
      <c r="A617" s="7" t="n">
        <f aca="false">ROW()-1</f>
        <v>616</v>
      </c>
      <c r="B617" s="7" t="str">
        <f aca="false">IF(Raw_Nigeria!B617="",TRIM(Raw_Nigeria!C617),TRIM(Raw_Nigeria!B617))</f>
        <v>Nigeria National Nutrition and Health Survey (NNHS) 2018</v>
      </c>
      <c r="C617" s="7" t="str">
        <f aca="false">IF(ISNUMBER(SEARCH("Demographic and Health",B617)),"DHS",IF(OR(ISNUMBER(SEARCH("Multiple Indicator Cluster",B617)),ISNUMBER(SEARCH("MICS",B617))),"MICS",IF(ISNUMBER(SEARCH("Immunization Coverage Survey",B617)),"Coverage survey",IF(ISNUMBER(SEARCH("Nutrition",B617)),"Nutrition survey","Other"))))</f>
        <v>Nutrition survey</v>
      </c>
      <c r="D617" s="7" t="n">
        <f aca="false">VALUE(LEFT(Raw_Nigeria!D617,4))</f>
        <v>2018</v>
      </c>
      <c r="E617" s="7" t="n">
        <f aca="false">IF(VALUE(RIGHT(Raw_Nigeria!D617,2))&gt;12,"",VALUE(RIGHT(Raw_Nigeria!D617,2)))</f>
        <v>2</v>
      </c>
      <c r="F617" s="7" t="n">
        <f aca="false">VALUE(LEFT(Raw_Nigeria!E617,4))</f>
        <v>2018</v>
      </c>
      <c r="G617" s="7" t="n">
        <f aca="false">IF(VALUE(RIGHT(Raw_Nigeria!E617,2))&gt;12,"",VALUE(RIGHT(Raw_Nigeria!E617,2)))</f>
        <v>5</v>
      </c>
      <c r="H617" s="7" t="n">
        <f aca="false">Raw_Nigeria!F617</f>
        <v>2016</v>
      </c>
      <c r="I617" s="7" t="str">
        <f aca="false">UPPER(TRIM(Raw_Nigeria!G617))</f>
        <v>MCV1</v>
      </c>
      <c r="J617" s="7" t="str">
        <f aca="false">Raw_Nigeria!H617</f>
        <v>Record or Recall</v>
      </c>
      <c r="K617" s="7" t="str">
        <f aca="false">Raw_Nigeria!L617</f>
        <v>12-23 m</v>
      </c>
      <c r="L617" s="7" t="str">
        <f aca="false">IF(Raw_Nigeria!K617="","n/a",Raw_Nigeria!K617)</f>
        <v>0-23 m</v>
      </c>
      <c r="M617" s="7" t="n">
        <f aca="false">IF(Raw_Nigeria!I617="","",Raw_Nigeria!I617)</f>
        <v>39.8</v>
      </c>
      <c r="N617" s="7" t="n">
        <f aca="false">Raw_Nigeria!M617</f>
        <v>64.7</v>
      </c>
      <c r="O617" s="7" t="n">
        <f aca="false">IF(Raw_Nigeria!N617="","",Raw_Nigeria!N617)</f>
        <v>3976</v>
      </c>
      <c r="P617" s="7" t="str">
        <f aca="false">IF(K617="CBAW","Women of child-bearing age","Children")</f>
        <v>Children</v>
      </c>
      <c r="Q617" s="7" t="n">
        <f aca="false">IF(J617="NOT USED",1,0)</f>
        <v>0</v>
      </c>
      <c r="R617" s="7" t="n">
        <f aca="false">IF(AND(P617="Children",Q617=0),1,0)</f>
        <v>1</v>
      </c>
      <c r="S617" s="7" t="n">
        <f aca="false">IF(AND(R617=1,J617="Record or Recall",K617="12-23 m"),1,0)</f>
        <v>1</v>
      </c>
      <c r="T617" s="7" t="n">
        <f aca="false">IF(OR(I617="BCG",I617="DTP1",I617="DTP3",I617="POL3",I617="MCV1",I617="FULL"),1,0)</f>
        <v>1</v>
      </c>
      <c r="U617" s="7" t="n">
        <f aca="false">IF(OR(C617="DHS",C617="MICS"),1,0)</f>
        <v>0</v>
      </c>
      <c r="V617" s="7" t="n">
        <f aca="false">IF(O617="",1,0)</f>
        <v>0</v>
      </c>
      <c r="W617" s="7" t="n">
        <f aca="false">IF(M617="",1,0)</f>
        <v>0</v>
      </c>
      <c r="X617" s="7" t="n">
        <f aca="false">COUNTIFS($B$2:$B$1141,B617,$H$2:$H$1141,H617,$I$2:$I$1141,I617,$J$2:$J$1141,J617,$K$2:$K$1141,K617,$L$2:$L$1141,L617)</f>
        <v>1</v>
      </c>
    </row>
    <row r="618" customFormat="false" ht="15" hidden="false" customHeight="false" outlineLevel="0" collapsed="false">
      <c r="A618" s="7" t="n">
        <f aca="false">ROW()-1</f>
        <v>617</v>
      </c>
      <c r="B618" s="7" t="str">
        <f aca="false">IF(Raw_Nigeria!B618="",TRIM(Raw_Nigeria!C618),TRIM(Raw_Nigeria!B618))</f>
        <v>Nigeria Demographic and Health Survey 2018</v>
      </c>
      <c r="C618" s="7" t="str">
        <f aca="false">IF(ISNUMBER(SEARCH("Demographic and Health",B618)),"DHS",IF(OR(ISNUMBER(SEARCH("Multiple Indicator Cluster",B618)),ISNUMBER(SEARCH("MICS",B618))),"MICS",IF(ISNUMBER(SEARCH("Immunization Coverage Survey",B618)),"Coverage survey",IF(ISNUMBER(SEARCH("Nutrition",B618)),"Nutrition survey","Other"))))</f>
        <v>DHS</v>
      </c>
      <c r="D618" s="7" t="n">
        <f aca="false">VALUE(LEFT(Raw_Nigeria!D618,4))</f>
        <v>2018</v>
      </c>
      <c r="E618" s="7" t="n">
        <f aca="false">IF(VALUE(RIGHT(Raw_Nigeria!D618,2))&gt;12,"",VALUE(RIGHT(Raw_Nigeria!D618,2)))</f>
        <v>8</v>
      </c>
      <c r="F618" s="7" t="n">
        <f aca="false">VALUE(LEFT(Raw_Nigeria!E618,4))</f>
        <v>2018</v>
      </c>
      <c r="G618" s="7" t="n">
        <f aca="false">IF(VALUE(RIGHT(Raw_Nigeria!E618,2))&gt;12,"",VALUE(RIGHT(Raw_Nigeria!E618,2)))</f>
        <v>12</v>
      </c>
      <c r="H618" s="7" t="n">
        <f aca="false">Raw_Nigeria!F618</f>
        <v>2017</v>
      </c>
      <c r="I618" s="7" t="str">
        <f aca="false">UPPER(TRIM(Raw_Nigeria!G618))</f>
        <v>BCG</v>
      </c>
      <c r="J618" s="7" t="str">
        <f aca="false">Raw_Nigeria!H618</f>
        <v>Record or Recall&lt;12m</v>
      </c>
      <c r="K618" s="7" t="str">
        <f aca="false">Raw_Nigeria!L618</f>
        <v>12-23 m</v>
      </c>
      <c r="L618" s="7" t="str">
        <f aca="false">IF(Raw_Nigeria!K618="","n/a",Raw_Nigeria!K618)</f>
        <v>0-12 m</v>
      </c>
      <c r="M618" s="7" t="n">
        <f aca="false">IF(Raw_Nigeria!I618="","",Raw_Nigeria!I618)</f>
        <v>40</v>
      </c>
      <c r="N618" s="7" t="n">
        <f aca="false">Raw_Nigeria!M618</f>
        <v>66</v>
      </c>
      <c r="O618" s="7" t="n">
        <f aca="false">IF(Raw_Nigeria!N618="","",Raw_Nigeria!N618)</f>
        <v>6143</v>
      </c>
      <c r="P618" s="7" t="str">
        <f aca="false">IF(K618="CBAW","Women of child-bearing age","Children")</f>
        <v>Children</v>
      </c>
      <c r="Q618" s="7" t="n">
        <f aca="false">IF(J618="NOT USED",1,0)</f>
        <v>0</v>
      </c>
      <c r="R618" s="7" t="n">
        <f aca="false">IF(AND(P618="Children",Q618=0),1,0)</f>
        <v>1</v>
      </c>
      <c r="S618" s="7" t="n">
        <f aca="false">IF(AND(R618=1,J618="Record or Recall",K618="12-23 m"),1,0)</f>
        <v>0</v>
      </c>
      <c r="T618" s="7" t="n">
        <f aca="false">IF(OR(I618="BCG",I618="DTP1",I618="DTP3",I618="POL3",I618="MCV1",I618="FULL"),1,0)</f>
        <v>1</v>
      </c>
      <c r="U618" s="7" t="n">
        <f aca="false">IF(OR(C618="DHS",C618="MICS"),1,0)</f>
        <v>1</v>
      </c>
      <c r="V618" s="7" t="n">
        <f aca="false">IF(O618="",1,0)</f>
        <v>0</v>
      </c>
      <c r="W618" s="7" t="n">
        <f aca="false">IF(M618="",1,0)</f>
        <v>0</v>
      </c>
      <c r="X618" s="7" t="n">
        <f aca="false">COUNTIFS($B$2:$B$1141,B618,$H$2:$H$1141,H618,$I$2:$I$1141,I618,$J$2:$J$1141,J618,$K$2:$K$1141,K618,$L$2:$L$1141,L618)</f>
        <v>1</v>
      </c>
    </row>
    <row r="619" customFormat="false" ht="15" hidden="false" customHeight="false" outlineLevel="0" collapsed="false">
      <c r="A619" s="7" t="n">
        <f aca="false">ROW()-1</f>
        <v>618</v>
      </c>
      <c r="B619" s="7" t="str">
        <f aca="false">IF(Raw_Nigeria!B619="",TRIM(Raw_Nigeria!C619),TRIM(Raw_Nigeria!B619))</f>
        <v>Nigeria Demographic and Health Survey 2018</v>
      </c>
      <c r="C619" s="7" t="str">
        <f aca="false">IF(ISNUMBER(SEARCH("Demographic and Health",B619)),"DHS",IF(OR(ISNUMBER(SEARCH("Multiple Indicator Cluster",B619)),ISNUMBER(SEARCH("MICS",B619))),"MICS",IF(ISNUMBER(SEARCH("Immunization Coverage Survey",B619)),"Coverage survey",IF(ISNUMBER(SEARCH("Nutrition",B619)),"Nutrition survey","Other"))))</f>
        <v>DHS</v>
      </c>
      <c r="D619" s="7" t="n">
        <f aca="false">VALUE(LEFT(Raw_Nigeria!D619,4))</f>
        <v>2018</v>
      </c>
      <c r="E619" s="7" t="n">
        <f aca="false">IF(VALUE(RIGHT(Raw_Nigeria!D619,2))&gt;12,"",VALUE(RIGHT(Raw_Nigeria!D619,2)))</f>
        <v>8</v>
      </c>
      <c r="F619" s="7" t="n">
        <f aca="false">VALUE(LEFT(Raw_Nigeria!E619,4))</f>
        <v>2018</v>
      </c>
      <c r="G619" s="7" t="n">
        <f aca="false">IF(VALUE(RIGHT(Raw_Nigeria!E619,2))&gt;12,"",VALUE(RIGHT(Raw_Nigeria!E619,2)))</f>
        <v>12</v>
      </c>
      <c r="H619" s="7" t="n">
        <f aca="false">Raw_Nigeria!F619</f>
        <v>2017</v>
      </c>
      <c r="I619" s="7" t="str">
        <f aca="false">UPPER(TRIM(Raw_Nigeria!G619))</f>
        <v>BCG</v>
      </c>
      <c r="J619" s="7" t="str">
        <f aca="false">Raw_Nigeria!H619</f>
        <v>Record</v>
      </c>
      <c r="K619" s="7" t="str">
        <f aca="false">Raw_Nigeria!L619</f>
        <v>12-23 m</v>
      </c>
      <c r="L619" s="7" t="str">
        <f aca="false">IF(Raw_Nigeria!K619="","n/a",Raw_Nigeria!K619)</f>
        <v>0-23 m</v>
      </c>
      <c r="M619" s="7" t="n">
        <f aca="false">IF(Raw_Nigeria!I619="","",Raw_Nigeria!I619)</f>
        <v>40</v>
      </c>
      <c r="N619" s="7" t="n">
        <f aca="false">Raw_Nigeria!M619</f>
        <v>37.7</v>
      </c>
      <c r="O619" s="7" t="n">
        <f aca="false">IF(Raw_Nigeria!N619="","",Raw_Nigeria!N619)</f>
        <v>2459</v>
      </c>
      <c r="P619" s="7" t="str">
        <f aca="false">IF(K619="CBAW","Women of child-bearing age","Children")</f>
        <v>Children</v>
      </c>
      <c r="Q619" s="7" t="n">
        <f aca="false">IF(J619="NOT USED",1,0)</f>
        <v>0</v>
      </c>
      <c r="R619" s="7" t="n">
        <f aca="false">IF(AND(P619="Children",Q619=0),1,0)</f>
        <v>1</v>
      </c>
      <c r="S619" s="7" t="n">
        <f aca="false">IF(AND(R619=1,J619="Record or Recall",K619="12-23 m"),1,0)</f>
        <v>0</v>
      </c>
      <c r="T619" s="7" t="n">
        <f aca="false">IF(OR(I619="BCG",I619="DTP1",I619="DTP3",I619="POL3",I619="MCV1",I619="FULL"),1,0)</f>
        <v>1</v>
      </c>
      <c r="U619" s="7" t="n">
        <f aca="false">IF(OR(C619="DHS",C619="MICS"),1,0)</f>
        <v>1</v>
      </c>
      <c r="V619" s="7" t="n">
        <f aca="false">IF(O619="",1,0)</f>
        <v>0</v>
      </c>
      <c r="W619" s="7" t="n">
        <f aca="false">IF(M619="",1,0)</f>
        <v>0</v>
      </c>
      <c r="X619" s="7" t="n">
        <f aca="false">COUNTIFS($B$2:$B$1141,B619,$H$2:$H$1141,H619,$I$2:$I$1141,I619,$J$2:$J$1141,J619,$K$2:$K$1141,K619,$L$2:$L$1141,L619)</f>
        <v>1</v>
      </c>
    </row>
    <row r="620" customFormat="false" ht="15" hidden="false" customHeight="false" outlineLevel="0" collapsed="false">
      <c r="A620" s="7" t="n">
        <f aca="false">ROW()-1</f>
        <v>619</v>
      </c>
      <c r="B620" s="7" t="str">
        <f aca="false">IF(Raw_Nigeria!B620="",TRIM(Raw_Nigeria!C620),TRIM(Raw_Nigeria!B620))</f>
        <v>Nigeria Demographic and Health Survey 2018</v>
      </c>
      <c r="C620" s="7" t="str">
        <f aca="false">IF(ISNUMBER(SEARCH("Demographic and Health",B620)),"DHS",IF(OR(ISNUMBER(SEARCH("Multiple Indicator Cluster",B620)),ISNUMBER(SEARCH("MICS",B620))),"MICS",IF(ISNUMBER(SEARCH("Immunization Coverage Survey",B620)),"Coverage survey",IF(ISNUMBER(SEARCH("Nutrition",B620)),"Nutrition survey","Other"))))</f>
        <v>DHS</v>
      </c>
      <c r="D620" s="7" t="n">
        <f aca="false">VALUE(LEFT(Raw_Nigeria!D620,4))</f>
        <v>2018</v>
      </c>
      <c r="E620" s="7" t="n">
        <f aca="false">IF(VALUE(RIGHT(Raw_Nigeria!D620,2))&gt;12,"",VALUE(RIGHT(Raw_Nigeria!D620,2)))</f>
        <v>8</v>
      </c>
      <c r="F620" s="7" t="n">
        <f aca="false">VALUE(LEFT(Raw_Nigeria!E620,4))</f>
        <v>2018</v>
      </c>
      <c r="G620" s="7" t="n">
        <f aca="false">IF(VALUE(RIGHT(Raw_Nigeria!E620,2))&gt;12,"",VALUE(RIGHT(Raw_Nigeria!E620,2)))</f>
        <v>12</v>
      </c>
      <c r="H620" s="7" t="n">
        <f aca="false">Raw_Nigeria!F620</f>
        <v>2017</v>
      </c>
      <c r="I620" s="7" t="str">
        <f aca="false">UPPER(TRIM(Raw_Nigeria!G620))</f>
        <v>BCG</v>
      </c>
      <c r="J620" s="7" t="str">
        <f aca="false">Raw_Nigeria!H620</f>
        <v>Record or Recall</v>
      </c>
      <c r="K620" s="7" t="str">
        <f aca="false">Raw_Nigeria!L620</f>
        <v>12-23 m</v>
      </c>
      <c r="L620" s="7" t="str">
        <f aca="false">IF(Raw_Nigeria!K620="","n/a",Raw_Nigeria!K620)</f>
        <v>0-23 m</v>
      </c>
      <c r="M620" s="7" t="n">
        <f aca="false">IF(Raw_Nigeria!I620="","",Raw_Nigeria!I620)</f>
        <v>40</v>
      </c>
      <c r="N620" s="7" t="n">
        <f aca="false">Raw_Nigeria!M620</f>
        <v>66.7</v>
      </c>
      <c r="O620" s="7" t="n">
        <f aca="false">IF(Raw_Nigeria!N620="","",Raw_Nigeria!N620)</f>
        <v>6143</v>
      </c>
      <c r="P620" s="7" t="str">
        <f aca="false">IF(K620="CBAW","Women of child-bearing age","Children")</f>
        <v>Children</v>
      </c>
      <c r="Q620" s="7" t="n">
        <f aca="false">IF(J620="NOT USED",1,0)</f>
        <v>0</v>
      </c>
      <c r="R620" s="7" t="n">
        <f aca="false">IF(AND(P620="Children",Q620=0),1,0)</f>
        <v>1</v>
      </c>
      <c r="S620" s="7" t="n">
        <f aca="false">IF(AND(R620=1,J620="Record or Recall",K620="12-23 m"),1,0)</f>
        <v>1</v>
      </c>
      <c r="T620" s="7" t="n">
        <f aca="false">IF(OR(I620="BCG",I620="DTP1",I620="DTP3",I620="POL3",I620="MCV1",I620="FULL"),1,0)</f>
        <v>1</v>
      </c>
      <c r="U620" s="7" t="n">
        <f aca="false">IF(OR(C620="DHS",C620="MICS"),1,0)</f>
        <v>1</v>
      </c>
      <c r="V620" s="7" t="n">
        <f aca="false">IF(O620="",1,0)</f>
        <v>0</v>
      </c>
      <c r="W620" s="7" t="n">
        <f aca="false">IF(M620="",1,0)</f>
        <v>0</v>
      </c>
      <c r="X620" s="7" t="n">
        <f aca="false">COUNTIFS($B$2:$B$1141,B620,$H$2:$H$1141,H620,$I$2:$I$1141,I620,$J$2:$J$1141,J620,$K$2:$K$1141,K620,$L$2:$L$1141,L620)</f>
        <v>1</v>
      </c>
    </row>
    <row r="621" customFormat="false" ht="15" hidden="false" customHeight="false" outlineLevel="0" collapsed="false">
      <c r="A621" s="7" t="n">
        <f aca="false">ROW()-1</f>
        <v>620</v>
      </c>
      <c r="B621" s="7" t="str">
        <f aca="false">IF(Raw_Nigeria!B621="",TRIM(Raw_Nigeria!C621),TRIM(Raw_Nigeria!B621))</f>
        <v>Nigeria Demographic and Health Survey 2018</v>
      </c>
      <c r="C621" s="7" t="str">
        <f aca="false">IF(ISNUMBER(SEARCH("Demographic and Health",B621)),"DHS",IF(OR(ISNUMBER(SEARCH("Multiple Indicator Cluster",B621)),ISNUMBER(SEARCH("MICS",B621))),"MICS",IF(ISNUMBER(SEARCH("Immunization Coverage Survey",B621)),"Coverage survey",IF(ISNUMBER(SEARCH("Nutrition",B621)),"Nutrition survey","Other"))))</f>
        <v>DHS</v>
      </c>
      <c r="D621" s="7" t="n">
        <f aca="false">VALUE(LEFT(Raw_Nigeria!D621,4))</f>
        <v>2018</v>
      </c>
      <c r="E621" s="7" t="n">
        <f aca="false">IF(VALUE(RIGHT(Raw_Nigeria!D621,2))&gt;12,"",VALUE(RIGHT(Raw_Nigeria!D621,2)))</f>
        <v>8</v>
      </c>
      <c r="F621" s="7" t="n">
        <f aca="false">VALUE(LEFT(Raw_Nigeria!E621,4))</f>
        <v>2018</v>
      </c>
      <c r="G621" s="7" t="n">
        <f aca="false">IF(VALUE(RIGHT(Raw_Nigeria!E621,2))&gt;12,"",VALUE(RIGHT(Raw_Nigeria!E621,2)))</f>
        <v>12</v>
      </c>
      <c r="H621" s="7" t="n">
        <f aca="false">Raw_Nigeria!F621</f>
        <v>2017</v>
      </c>
      <c r="I621" s="7" t="str">
        <f aca="false">UPPER(TRIM(Raw_Nigeria!G621))</f>
        <v>BCG</v>
      </c>
      <c r="J621" s="7" t="str">
        <f aca="false">Raw_Nigeria!H621</f>
        <v>Recall</v>
      </c>
      <c r="K621" s="7" t="str">
        <f aca="false">Raw_Nigeria!L621</f>
        <v>12-23 m</v>
      </c>
      <c r="L621" s="7" t="str">
        <f aca="false">IF(Raw_Nigeria!K621="","n/a",Raw_Nigeria!K621)</f>
        <v>0-23 m</v>
      </c>
      <c r="M621" s="7" t="n">
        <f aca="false">IF(Raw_Nigeria!I621="","",Raw_Nigeria!I621)</f>
        <v>40</v>
      </c>
      <c r="N621" s="7" t="n">
        <f aca="false">Raw_Nigeria!M621</f>
        <v>28.9</v>
      </c>
      <c r="O621" s="7" t="n">
        <f aca="false">IF(Raw_Nigeria!N621="","",Raw_Nigeria!N621)</f>
        <v>3684</v>
      </c>
      <c r="P621" s="7" t="str">
        <f aca="false">IF(K621="CBAW","Women of child-bearing age","Children")</f>
        <v>Children</v>
      </c>
      <c r="Q621" s="7" t="n">
        <f aca="false">IF(J621="NOT USED",1,0)</f>
        <v>0</v>
      </c>
      <c r="R621" s="7" t="n">
        <f aca="false">IF(AND(P621="Children",Q621=0),1,0)</f>
        <v>1</v>
      </c>
      <c r="S621" s="7" t="n">
        <f aca="false">IF(AND(R621=1,J621="Record or Recall",K621="12-23 m"),1,0)</f>
        <v>0</v>
      </c>
      <c r="T621" s="7" t="n">
        <f aca="false">IF(OR(I621="BCG",I621="DTP1",I621="DTP3",I621="POL3",I621="MCV1",I621="FULL"),1,0)</f>
        <v>1</v>
      </c>
      <c r="U621" s="7" t="n">
        <f aca="false">IF(OR(C621="DHS",C621="MICS"),1,0)</f>
        <v>1</v>
      </c>
      <c r="V621" s="7" t="n">
        <f aca="false">IF(O621="",1,0)</f>
        <v>0</v>
      </c>
      <c r="W621" s="7" t="n">
        <f aca="false">IF(M621="",1,0)</f>
        <v>0</v>
      </c>
      <c r="X621" s="7" t="n">
        <f aca="false">COUNTIFS($B$2:$B$1141,B621,$H$2:$H$1141,H621,$I$2:$I$1141,I621,$J$2:$J$1141,J621,$K$2:$K$1141,K621,$L$2:$L$1141,L621)</f>
        <v>1</v>
      </c>
    </row>
    <row r="622" customFormat="false" ht="15" hidden="false" customHeight="false" outlineLevel="0" collapsed="false">
      <c r="A622" s="7" t="n">
        <f aca="false">ROW()-1</f>
        <v>621</v>
      </c>
      <c r="B622" s="7" t="str">
        <f aca="false">IF(Raw_Nigeria!B622="",TRIM(Raw_Nigeria!C622),TRIM(Raw_Nigeria!B622))</f>
        <v>Nigeria Demographic and Health Survey 2018</v>
      </c>
      <c r="C622" s="7" t="str">
        <f aca="false">IF(ISNUMBER(SEARCH("Demographic and Health",B622)),"DHS",IF(OR(ISNUMBER(SEARCH("Multiple Indicator Cluster",B622)),ISNUMBER(SEARCH("MICS",B622))),"MICS",IF(ISNUMBER(SEARCH("Immunization Coverage Survey",B622)),"Coverage survey",IF(ISNUMBER(SEARCH("Nutrition",B622)),"Nutrition survey","Other"))))</f>
        <v>DHS</v>
      </c>
      <c r="D622" s="7" t="n">
        <f aca="false">VALUE(LEFT(Raw_Nigeria!D622,4))</f>
        <v>2018</v>
      </c>
      <c r="E622" s="7" t="n">
        <f aca="false">IF(VALUE(RIGHT(Raw_Nigeria!D622,2))&gt;12,"",VALUE(RIGHT(Raw_Nigeria!D622,2)))</f>
        <v>8</v>
      </c>
      <c r="F622" s="7" t="n">
        <f aca="false">VALUE(LEFT(Raw_Nigeria!E622,4))</f>
        <v>2018</v>
      </c>
      <c r="G622" s="7" t="n">
        <f aca="false">IF(VALUE(RIGHT(Raw_Nigeria!E622,2))&gt;12,"",VALUE(RIGHT(Raw_Nigeria!E622,2)))</f>
        <v>12</v>
      </c>
      <c r="H622" s="7" t="n">
        <f aca="false">Raw_Nigeria!F622</f>
        <v>2017</v>
      </c>
      <c r="I622" s="7" t="str">
        <f aca="false">UPPER(TRIM(Raw_Nigeria!G622))</f>
        <v>DTP1</v>
      </c>
      <c r="J622" s="7" t="str">
        <f aca="false">Raw_Nigeria!H622</f>
        <v>Record or Recall&lt;12m</v>
      </c>
      <c r="K622" s="7" t="str">
        <f aca="false">Raw_Nigeria!L622</f>
        <v>12-23 m</v>
      </c>
      <c r="L622" s="7" t="str">
        <f aca="false">IF(Raw_Nigeria!K622="","n/a",Raw_Nigeria!K622)</f>
        <v>0-12 m</v>
      </c>
      <c r="M622" s="7" t="n">
        <f aca="false">IF(Raw_Nigeria!I622="","",Raw_Nigeria!I622)</f>
        <v>40</v>
      </c>
      <c r="N622" s="7" t="n">
        <f aca="false">Raw_Nigeria!M622</f>
        <v>64.5</v>
      </c>
      <c r="O622" s="7" t="n">
        <f aca="false">IF(Raw_Nigeria!N622="","",Raw_Nigeria!N622)</f>
        <v>6143</v>
      </c>
      <c r="P622" s="7" t="str">
        <f aca="false">IF(K622="CBAW","Women of child-bearing age","Children")</f>
        <v>Children</v>
      </c>
      <c r="Q622" s="7" t="n">
        <f aca="false">IF(J622="NOT USED",1,0)</f>
        <v>0</v>
      </c>
      <c r="R622" s="7" t="n">
        <f aca="false">IF(AND(P622="Children",Q622=0),1,0)</f>
        <v>1</v>
      </c>
      <c r="S622" s="7" t="n">
        <f aca="false">IF(AND(R622=1,J622="Record or Recall",K622="12-23 m"),1,0)</f>
        <v>0</v>
      </c>
      <c r="T622" s="7" t="n">
        <f aca="false">IF(OR(I622="BCG",I622="DTP1",I622="DTP3",I622="POL3",I622="MCV1",I622="FULL"),1,0)</f>
        <v>1</v>
      </c>
      <c r="U622" s="7" t="n">
        <f aca="false">IF(OR(C622="DHS",C622="MICS"),1,0)</f>
        <v>1</v>
      </c>
      <c r="V622" s="7" t="n">
        <f aca="false">IF(O622="",1,0)</f>
        <v>0</v>
      </c>
      <c r="W622" s="7" t="n">
        <f aca="false">IF(M622="",1,0)</f>
        <v>0</v>
      </c>
      <c r="X622" s="7" t="n">
        <f aca="false">COUNTIFS($B$2:$B$1141,B622,$H$2:$H$1141,H622,$I$2:$I$1141,I622,$J$2:$J$1141,J622,$K$2:$K$1141,K622,$L$2:$L$1141,L622)</f>
        <v>1</v>
      </c>
    </row>
    <row r="623" customFormat="false" ht="15" hidden="false" customHeight="false" outlineLevel="0" collapsed="false">
      <c r="A623" s="7" t="n">
        <f aca="false">ROW()-1</f>
        <v>622</v>
      </c>
      <c r="B623" s="7" t="str">
        <f aca="false">IF(Raw_Nigeria!B623="",TRIM(Raw_Nigeria!C623),TRIM(Raw_Nigeria!B623))</f>
        <v>Nigeria Demographic and Health Survey 2018</v>
      </c>
      <c r="C623" s="7" t="str">
        <f aca="false">IF(ISNUMBER(SEARCH("Demographic and Health",B623)),"DHS",IF(OR(ISNUMBER(SEARCH("Multiple Indicator Cluster",B623)),ISNUMBER(SEARCH("MICS",B623))),"MICS",IF(ISNUMBER(SEARCH("Immunization Coverage Survey",B623)),"Coverage survey",IF(ISNUMBER(SEARCH("Nutrition",B623)),"Nutrition survey","Other"))))</f>
        <v>DHS</v>
      </c>
      <c r="D623" s="7" t="n">
        <f aca="false">VALUE(LEFT(Raw_Nigeria!D623,4))</f>
        <v>2018</v>
      </c>
      <c r="E623" s="7" t="n">
        <f aca="false">IF(VALUE(RIGHT(Raw_Nigeria!D623,2))&gt;12,"",VALUE(RIGHT(Raw_Nigeria!D623,2)))</f>
        <v>8</v>
      </c>
      <c r="F623" s="7" t="n">
        <f aca="false">VALUE(LEFT(Raw_Nigeria!E623,4))</f>
        <v>2018</v>
      </c>
      <c r="G623" s="7" t="n">
        <f aca="false">IF(VALUE(RIGHT(Raw_Nigeria!E623,2))&gt;12,"",VALUE(RIGHT(Raw_Nigeria!E623,2)))</f>
        <v>12</v>
      </c>
      <c r="H623" s="7" t="n">
        <f aca="false">Raw_Nigeria!F623</f>
        <v>2017</v>
      </c>
      <c r="I623" s="7" t="str">
        <f aca="false">UPPER(TRIM(Raw_Nigeria!G623))</f>
        <v>DTP1</v>
      </c>
      <c r="J623" s="7" t="str">
        <f aca="false">Raw_Nigeria!H623</f>
        <v>Record</v>
      </c>
      <c r="K623" s="7" t="str">
        <f aca="false">Raw_Nigeria!L623</f>
        <v>12-23 m</v>
      </c>
      <c r="L623" s="7" t="str">
        <f aca="false">IF(Raw_Nigeria!K623="","n/a",Raw_Nigeria!K623)</f>
        <v>0-23 m</v>
      </c>
      <c r="M623" s="7" t="n">
        <f aca="false">IF(Raw_Nigeria!I623="","",Raw_Nigeria!I623)</f>
        <v>40</v>
      </c>
      <c r="N623" s="7" t="n">
        <f aca="false">Raw_Nigeria!M623</f>
        <v>37.9</v>
      </c>
      <c r="O623" s="7" t="n">
        <f aca="false">IF(Raw_Nigeria!N623="","",Raw_Nigeria!N623)</f>
        <v>2459</v>
      </c>
      <c r="P623" s="7" t="str">
        <f aca="false">IF(K623="CBAW","Women of child-bearing age","Children")</f>
        <v>Children</v>
      </c>
      <c r="Q623" s="7" t="n">
        <f aca="false">IF(J623="NOT USED",1,0)</f>
        <v>0</v>
      </c>
      <c r="R623" s="7" t="n">
        <f aca="false">IF(AND(P623="Children",Q623=0),1,0)</f>
        <v>1</v>
      </c>
      <c r="S623" s="7" t="n">
        <f aca="false">IF(AND(R623=1,J623="Record or Recall",K623="12-23 m"),1,0)</f>
        <v>0</v>
      </c>
      <c r="T623" s="7" t="n">
        <f aca="false">IF(OR(I623="BCG",I623="DTP1",I623="DTP3",I623="POL3",I623="MCV1",I623="FULL"),1,0)</f>
        <v>1</v>
      </c>
      <c r="U623" s="7" t="n">
        <f aca="false">IF(OR(C623="DHS",C623="MICS"),1,0)</f>
        <v>1</v>
      </c>
      <c r="V623" s="7" t="n">
        <f aca="false">IF(O623="",1,0)</f>
        <v>0</v>
      </c>
      <c r="W623" s="7" t="n">
        <f aca="false">IF(M623="",1,0)</f>
        <v>0</v>
      </c>
      <c r="X623" s="7" t="n">
        <f aca="false">COUNTIFS($B$2:$B$1141,B623,$H$2:$H$1141,H623,$I$2:$I$1141,I623,$J$2:$J$1141,J623,$K$2:$K$1141,K623,$L$2:$L$1141,L623)</f>
        <v>1</v>
      </c>
    </row>
    <row r="624" customFormat="false" ht="15" hidden="false" customHeight="false" outlineLevel="0" collapsed="false">
      <c r="A624" s="7" t="n">
        <f aca="false">ROW()-1</f>
        <v>623</v>
      </c>
      <c r="B624" s="7" t="str">
        <f aca="false">IF(Raw_Nigeria!B624="",TRIM(Raw_Nigeria!C624),TRIM(Raw_Nigeria!B624))</f>
        <v>Nigeria Demographic and Health Survey 2018</v>
      </c>
      <c r="C624" s="7" t="str">
        <f aca="false">IF(ISNUMBER(SEARCH("Demographic and Health",B624)),"DHS",IF(OR(ISNUMBER(SEARCH("Multiple Indicator Cluster",B624)),ISNUMBER(SEARCH("MICS",B624))),"MICS",IF(ISNUMBER(SEARCH("Immunization Coverage Survey",B624)),"Coverage survey",IF(ISNUMBER(SEARCH("Nutrition",B624)),"Nutrition survey","Other"))))</f>
        <v>DHS</v>
      </c>
      <c r="D624" s="7" t="n">
        <f aca="false">VALUE(LEFT(Raw_Nigeria!D624,4))</f>
        <v>2018</v>
      </c>
      <c r="E624" s="7" t="n">
        <f aca="false">IF(VALUE(RIGHT(Raw_Nigeria!D624,2))&gt;12,"",VALUE(RIGHT(Raw_Nigeria!D624,2)))</f>
        <v>8</v>
      </c>
      <c r="F624" s="7" t="n">
        <f aca="false">VALUE(LEFT(Raw_Nigeria!E624,4))</f>
        <v>2018</v>
      </c>
      <c r="G624" s="7" t="n">
        <f aca="false">IF(VALUE(RIGHT(Raw_Nigeria!E624,2))&gt;12,"",VALUE(RIGHT(Raw_Nigeria!E624,2)))</f>
        <v>12</v>
      </c>
      <c r="H624" s="7" t="n">
        <f aca="false">Raw_Nigeria!F624</f>
        <v>2017</v>
      </c>
      <c r="I624" s="7" t="str">
        <f aca="false">UPPER(TRIM(Raw_Nigeria!G624))</f>
        <v>DTP1</v>
      </c>
      <c r="J624" s="7" t="str">
        <f aca="false">Raw_Nigeria!H624</f>
        <v>Record or Recall</v>
      </c>
      <c r="K624" s="7" t="str">
        <f aca="false">Raw_Nigeria!L624</f>
        <v>12-23 m</v>
      </c>
      <c r="L624" s="7" t="str">
        <f aca="false">IF(Raw_Nigeria!K624="","n/a",Raw_Nigeria!K624)</f>
        <v>0-23 m</v>
      </c>
      <c r="M624" s="7" t="n">
        <f aca="false">IF(Raw_Nigeria!I624="","",Raw_Nigeria!I624)</f>
        <v>40</v>
      </c>
      <c r="N624" s="7" t="n">
        <f aca="false">Raw_Nigeria!M624</f>
        <v>65.3</v>
      </c>
      <c r="O624" s="7" t="n">
        <f aca="false">IF(Raw_Nigeria!N624="","",Raw_Nigeria!N624)</f>
        <v>6143</v>
      </c>
      <c r="P624" s="7" t="str">
        <f aca="false">IF(K624="CBAW","Women of child-bearing age","Children")</f>
        <v>Children</v>
      </c>
      <c r="Q624" s="7" t="n">
        <f aca="false">IF(J624="NOT USED",1,0)</f>
        <v>0</v>
      </c>
      <c r="R624" s="7" t="n">
        <f aca="false">IF(AND(P624="Children",Q624=0),1,0)</f>
        <v>1</v>
      </c>
      <c r="S624" s="7" t="n">
        <f aca="false">IF(AND(R624=1,J624="Record or Recall",K624="12-23 m"),1,0)</f>
        <v>1</v>
      </c>
      <c r="T624" s="7" t="n">
        <f aca="false">IF(OR(I624="BCG",I624="DTP1",I624="DTP3",I624="POL3",I624="MCV1",I624="FULL"),1,0)</f>
        <v>1</v>
      </c>
      <c r="U624" s="7" t="n">
        <f aca="false">IF(OR(C624="DHS",C624="MICS"),1,0)</f>
        <v>1</v>
      </c>
      <c r="V624" s="7" t="n">
        <f aca="false">IF(O624="",1,0)</f>
        <v>0</v>
      </c>
      <c r="W624" s="7" t="n">
        <f aca="false">IF(M624="",1,0)</f>
        <v>0</v>
      </c>
      <c r="X624" s="7" t="n">
        <f aca="false">COUNTIFS($B$2:$B$1141,B624,$H$2:$H$1141,H624,$I$2:$I$1141,I624,$J$2:$J$1141,J624,$K$2:$K$1141,K624,$L$2:$L$1141,L624)</f>
        <v>1</v>
      </c>
    </row>
    <row r="625" customFormat="false" ht="15" hidden="false" customHeight="false" outlineLevel="0" collapsed="false">
      <c r="A625" s="7" t="n">
        <f aca="false">ROW()-1</f>
        <v>624</v>
      </c>
      <c r="B625" s="7" t="str">
        <f aca="false">IF(Raw_Nigeria!B625="",TRIM(Raw_Nigeria!C625),TRIM(Raw_Nigeria!B625))</f>
        <v>Nigeria Demographic and Health Survey 2018</v>
      </c>
      <c r="C625" s="7" t="str">
        <f aca="false">IF(ISNUMBER(SEARCH("Demographic and Health",B625)),"DHS",IF(OR(ISNUMBER(SEARCH("Multiple Indicator Cluster",B625)),ISNUMBER(SEARCH("MICS",B625))),"MICS",IF(ISNUMBER(SEARCH("Immunization Coverage Survey",B625)),"Coverage survey",IF(ISNUMBER(SEARCH("Nutrition",B625)),"Nutrition survey","Other"))))</f>
        <v>DHS</v>
      </c>
      <c r="D625" s="7" t="n">
        <f aca="false">VALUE(LEFT(Raw_Nigeria!D625,4))</f>
        <v>2018</v>
      </c>
      <c r="E625" s="7" t="n">
        <f aca="false">IF(VALUE(RIGHT(Raw_Nigeria!D625,2))&gt;12,"",VALUE(RIGHT(Raw_Nigeria!D625,2)))</f>
        <v>8</v>
      </c>
      <c r="F625" s="7" t="n">
        <f aca="false">VALUE(LEFT(Raw_Nigeria!E625,4))</f>
        <v>2018</v>
      </c>
      <c r="G625" s="7" t="n">
        <f aca="false">IF(VALUE(RIGHT(Raw_Nigeria!E625,2))&gt;12,"",VALUE(RIGHT(Raw_Nigeria!E625,2)))</f>
        <v>12</v>
      </c>
      <c r="H625" s="7" t="n">
        <f aca="false">Raw_Nigeria!F625</f>
        <v>2017</v>
      </c>
      <c r="I625" s="7" t="str">
        <f aca="false">UPPER(TRIM(Raw_Nigeria!G625))</f>
        <v>DTP1</v>
      </c>
      <c r="J625" s="7" t="str">
        <f aca="false">Raw_Nigeria!H625</f>
        <v>Recall</v>
      </c>
      <c r="K625" s="7" t="str">
        <f aca="false">Raw_Nigeria!L625</f>
        <v>12-23 m</v>
      </c>
      <c r="L625" s="7" t="str">
        <f aca="false">IF(Raw_Nigeria!K625="","n/a",Raw_Nigeria!K625)</f>
        <v>0-23 m</v>
      </c>
      <c r="M625" s="7" t="n">
        <f aca="false">IF(Raw_Nigeria!I625="","",Raw_Nigeria!I625)</f>
        <v>40</v>
      </c>
      <c r="N625" s="7" t="n">
        <f aca="false">Raw_Nigeria!M625</f>
        <v>27.4</v>
      </c>
      <c r="O625" s="7" t="n">
        <f aca="false">IF(Raw_Nigeria!N625="","",Raw_Nigeria!N625)</f>
        <v>3684</v>
      </c>
      <c r="P625" s="7" t="str">
        <f aca="false">IF(K625="CBAW","Women of child-bearing age","Children")</f>
        <v>Children</v>
      </c>
      <c r="Q625" s="7" t="n">
        <f aca="false">IF(J625="NOT USED",1,0)</f>
        <v>0</v>
      </c>
      <c r="R625" s="7" t="n">
        <f aca="false">IF(AND(P625="Children",Q625=0),1,0)</f>
        <v>1</v>
      </c>
      <c r="S625" s="7" t="n">
        <f aca="false">IF(AND(R625=1,J625="Record or Recall",K625="12-23 m"),1,0)</f>
        <v>0</v>
      </c>
      <c r="T625" s="7" t="n">
        <f aca="false">IF(OR(I625="BCG",I625="DTP1",I625="DTP3",I625="POL3",I625="MCV1",I625="FULL"),1,0)</f>
        <v>1</v>
      </c>
      <c r="U625" s="7" t="n">
        <f aca="false">IF(OR(C625="DHS",C625="MICS"),1,0)</f>
        <v>1</v>
      </c>
      <c r="V625" s="7" t="n">
        <f aca="false">IF(O625="",1,0)</f>
        <v>0</v>
      </c>
      <c r="W625" s="7" t="n">
        <f aca="false">IF(M625="",1,0)</f>
        <v>0</v>
      </c>
      <c r="X625" s="7" t="n">
        <f aca="false">COUNTIFS($B$2:$B$1141,B625,$H$2:$H$1141,H625,$I$2:$I$1141,I625,$J$2:$J$1141,J625,$K$2:$K$1141,K625,$L$2:$L$1141,L625)</f>
        <v>1</v>
      </c>
    </row>
    <row r="626" customFormat="false" ht="15" hidden="false" customHeight="false" outlineLevel="0" collapsed="false">
      <c r="A626" s="7" t="n">
        <f aca="false">ROW()-1</f>
        <v>625</v>
      </c>
      <c r="B626" s="7" t="str">
        <f aca="false">IF(Raw_Nigeria!B626="",TRIM(Raw_Nigeria!C626),TRIM(Raw_Nigeria!B626))</f>
        <v>Nigeria Demographic and Health Survey 2018</v>
      </c>
      <c r="C626" s="7" t="str">
        <f aca="false">IF(ISNUMBER(SEARCH("Demographic and Health",B626)),"DHS",IF(OR(ISNUMBER(SEARCH("Multiple Indicator Cluster",B626)),ISNUMBER(SEARCH("MICS",B626))),"MICS",IF(ISNUMBER(SEARCH("Immunization Coverage Survey",B626)),"Coverage survey",IF(ISNUMBER(SEARCH("Nutrition",B626)),"Nutrition survey","Other"))))</f>
        <v>DHS</v>
      </c>
      <c r="D626" s="7" t="n">
        <f aca="false">VALUE(LEFT(Raw_Nigeria!D626,4))</f>
        <v>2018</v>
      </c>
      <c r="E626" s="7" t="n">
        <f aca="false">IF(VALUE(RIGHT(Raw_Nigeria!D626,2))&gt;12,"",VALUE(RIGHT(Raw_Nigeria!D626,2)))</f>
        <v>8</v>
      </c>
      <c r="F626" s="7" t="n">
        <f aca="false">VALUE(LEFT(Raw_Nigeria!E626,4))</f>
        <v>2018</v>
      </c>
      <c r="G626" s="7" t="n">
        <f aca="false">IF(VALUE(RIGHT(Raw_Nigeria!E626,2))&gt;12,"",VALUE(RIGHT(Raw_Nigeria!E626,2)))</f>
        <v>12</v>
      </c>
      <c r="H626" s="7" t="n">
        <f aca="false">Raw_Nigeria!F626</f>
        <v>2017</v>
      </c>
      <c r="I626" s="7" t="str">
        <f aca="false">UPPER(TRIM(Raw_Nigeria!G626))</f>
        <v>DTP2</v>
      </c>
      <c r="J626" s="7" t="str">
        <f aca="false">Raw_Nigeria!H626</f>
        <v>Record or Recall&lt;12m</v>
      </c>
      <c r="K626" s="7" t="str">
        <f aca="false">Raw_Nigeria!L626</f>
        <v>12-23 m</v>
      </c>
      <c r="L626" s="7" t="str">
        <f aca="false">IF(Raw_Nigeria!K626="","n/a",Raw_Nigeria!K626)</f>
        <v>0-12 m</v>
      </c>
      <c r="M626" s="7" t="n">
        <f aca="false">IF(Raw_Nigeria!I626="","",Raw_Nigeria!I626)</f>
        <v>40</v>
      </c>
      <c r="N626" s="7" t="n">
        <f aca="false">Raw_Nigeria!M626</f>
        <v>56.6</v>
      </c>
      <c r="O626" s="7" t="n">
        <f aca="false">IF(Raw_Nigeria!N626="","",Raw_Nigeria!N626)</f>
        <v>6143</v>
      </c>
      <c r="P626" s="7" t="str">
        <f aca="false">IF(K626="CBAW","Women of child-bearing age","Children")</f>
        <v>Children</v>
      </c>
      <c r="Q626" s="7" t="n">
        <f aca="false">IF(J626="NOT USED",1,0)</f>
        <v>0</v>
      </c>
      <c r="R626" s="7" t="n">
        <f aca="false">IF(AND(P626="Children",Q626=0),1,0)</f>
        <v>1</v>
      </c>
      <c r="S626" s="7" t="n">
        <f aca="false">IF(AND(R626=1,J626="Record or Recall",K626="12-23 m"),1,0)</f>
        <v>0</v>
      </c>
      <c r="T626" s="7" t="n">
        <f aca="false">IF(OR(I626="BCG",I626="DTP1",I626="DTP3",I626="POL3",I626="MCV1",I626="FULL"),1,0)</f>
        <v>0</v>
      </c>
      <c r="U626" s="7" t="n">
        <f aca="false">IF(OR(C626="DHS",C626="MICS"),1,0)</f>
        <v>1</v>
      </c>
      <c r="V626" s="7" t="n">
        <f aca="false">IF(O626="",1,0)</f>
        <v>0</v>
      </c>
      <c r="W626" s="7" t="n">
        <f aca="false">IF(M626="",1,0)</f>
        <v>0</v>
      </c>
      <c r="X626" s="7" t="n">
        <f aca="false">COUNTIFS($B$2:$B$1141,B626,$H$2:$H$1141,H626,$I$2:$I$1141,I626,$J$2:$J$1141,J626,$K$2:$K$1141,K626,$L$2:$L$1141,L626)</f>
        <v>1</v>
      </c>
    </row>
    <row r="627" customFormat="false" ht="15" hidden="false" customHeight="false" outlineLevel="0" collapsed="false">
      <c r="A627" s="7" t="n">
        <f aca="false">ROW()-1</f>
        <v>626</v>
      </c>
      <c r="B627" s="7" t="str">
        <f aca="false">IF(Raw_Nigeria!B627="",TRIM(Raw_Nigeria!C627),TRIM(Raw_Nigeria!B627))</f>
        <v>Nigeria Demographic and Health Survey 2018</v>
      </c>
      <c r="C627" s="7" t="str">
        <f aca="false">IF(ISNUMBER(SEARCH("Demographic and Health",B627)),"DHS",IF(OR(ISNUMBER(SEARCH("Multiple Indicator Cluster",B627)),ISNUMBER(SEARCH("MICS",B627))),"MICS",IF(ISNUMBER(SEARCH("Immunization Coverage Survey",B627)),"Coverage survey",IF(ISNUMBER(SEARCH("Nutrition",B627)),"Nutrition survey","Other"))))</f>
        <v>DHS</v>
      </c>
      <c r="D627" s="7" t="n">
        <f aca="false">VALUE(LEFT(Raw_Nigeria!D627,4))</f>
        <v>2018</v>
      </c>
      <c r="E627" s="7" t="n">
        <f aca="false">IF(VALUE(RIGHT(Raw_Nigeria!D627,2))&gt;12,"",VALUE(RIGHT(Raw_Nigeria!D627,2)))</f>
        <v>8</v>
      </c>
      <c r="F627" s="7" t="n">
        <f aca="false">VALUE(LEFT(Raw_Nigeria!E627,4))</f>
        <v>2018</v>
      </c>
      <c r="G627" s="7" t="n">
        <f aca="false">IF(VALUE(RIGHT(Raw_Nigeria!E627,2))&gt;12,"",VALUE(RIGHT(Raw_Nigeria!E627,2)))</f>
        <v>12</v>
      </c>
      <c r="H627" s="7" t="n">
        <f aca="false">Raw_Nigeria!F627</f>
        <v>2017</v>
      </c>
      <c r="I627" s="7" t="str">
        <f aca="false">UPPER(TRIM(Raw_Nigeria!G627))</f>
        <v>DTP2</v>
      </c>
      <c r="J627" s="7" t="str">
        <f aca="false">Raw_Nigeria!H627</f>
        <v>Record</v>
      </c>
      <c r="K627" s="7" t="str">
        <f aca="false">Raw_Nigeria!L627</f>
        <v>12-23 m</v>
      </c>
      <c r="L627" s="7" t="str">
        <f aca="false">IF(Raw_Nigeria!K627="","n/a",Raw_Nigeria!K627)</f>
        <v>0-23 m</v>
      </c>
      <c r="M627" s="7" t="n">
        <f aca="false">IF(Raw_Nigeria!I627="","",Raw_Nigeria!I627)</f>
        <v>40</v>
      </c>
      <c r="N627" s="7" t="n">
        <f aca="false">Raw_Nigeria!M627</f>
        <v>35.5</v>
      </c>
      <c r="O627" s="7" t="n">
        <f aca="false">IF(Raw_Nigeria!N627="","",Raw_Nigeria!N627)</f>
        <v>2459</v>
      </c>
      <c r="P627" s="7" t="str">
        <f aca="false">IF(K627="CBAW","Women of child-bearing age","Children")</f>
        <v>Children</v>
      </c>
      <c r="Q627" s="7" t="n">
        <f aca="false">IF(J627="NOT USED",1,0)</f>
        <v>0</v>
      </c>
      <c r="R627" s="7" t="n">
        <f aca="false">IF(AND(P627="Children",Q627=0),1,0)</f>
        <v>1</v>
      </c>
      <c r="S627" s="7" t="n">
        <f aca="false">IF(AND(R627=1,J627="Record or Recall",K627="12-23 m"),1,0)</f>
        <v>0</v>
      </c>
      <c r="T627" s="7" t="n">
        <f aca="false">IF(OR(I627="BCG",I627="DTP1",I627="DTP3",I627="POL3",I627="MCV1",I627="FULL"),1,0)</f>
        <v>0</v>
      </c>
      <c r="U627" s="7" t="n">
        <f aca="false">IF(OR(C627="DHS",C627="MICS"),1,0)</f>
        <v>1</v>
      </c>
      <c r="V627" s="7" t="n">
        <f aca="false">IF(O627="",1,0)</f>
        <v>0</v>
      </c>
      <c r="W627" s="7" t="n">
        <f aca="false">IF(M627="",1,0)</f>
        <v>0</v>
      </c>
      <c r="X627" s="7" t="n">
        <f aca="false">COUNTIFS($B$2:$B$1141,B627,$H$2:$H$1141,H627,$I$2:$I$1141,I627,$J$2:$J$1141,J627,$K$2:$K$1141,K627,$L$2:$L$1141,L627)</f>
        <v>1</v>
      </c>
    </row>
    <row r="628" customFormat="false" ht="15" hidden="false" customHeight="false" outlineLevel="0" collapsed="false">
      <c r="A628" s="7" t="n">
        <f aca="false">ROW()-1</f>
        <v>627</v>
      </c>
      <c r="B628" s="7" t="str">
        <f aca="false">IF(Raw_Nigeria!B628="",TRIM(Raw_Nigeria!C628),TRIM(Raw_Nigeria!B628))</f>
        <v>Nigeria Demographic and Health Survey 2018</v>
      </c>
      <c r="C628" s="7" t="str">
        <f aca="false">IF(ISNUMBER(SEARCH("Demographic and Health",B628)),"DHS",IF(OR(ISNUMBER(SEARCH("Multiple Indicator Cluster",B628)),ISNUMBER(SEARCH("MICS",B628))),"MICS",IF(ISNUMBER(SEARCH("Immunization Coverage Survey",B628)),"Coverage survey",IF(ISNUMBER(SEARCH("Nutrition",B628)),"Nutrition survey","Other"))))</f>
        <v>DHS</v>
      </c>
      <c r="D628" s="7" t="n">
        <f aca="false">VALUE(LEFT(Raw_Nigeria!D628,4))</f>
        <v>2018</v>
      </c>
      <c r="E628" s="7" t="n">
        <f aca="false">IF(VALUE(RIGHT(Raw_Nigeria!D628,2))&gt;12,"",VALUE(RIGHT(Raw_Nigeria!D628,2)))</f>
        <v>8</v>
      </c>
      <c r="F628" s="7" t="n">
        <f aca="false">VALUE(LEFT(Raw_Nigeria!E628,4))</f>
        <v>2018</v>
      </c>
      <c r="G628" s="7" t="n">
        <f aca="false">IF(VALUE(RIGHT(Raw_Nigeria!E628,2))&gt;12,"",VALUE(RIGHT(Raw_Nigeria!E628,2)))</f>
        <v>12</v>
      </c>
      <c r="H628" s="7" t="n">
        <f aca="false">Raw_Nigeria!F628</f>
        <v>2017</v>
      </c>
      <c r="I628" s="7" t="str">
        <f aca="false">UPPER(TRIM(Raw_Nigeria!G628))</f>
        <v>DTP2</v>
      </c>
      <c r="J628" s="7" t="str">
        <f aca="false">Raw_Nigeria!H628</f>
        <v>Record or Recall</v>
      </c>
      <c r="K628" s="7" t="str">
        <f aca="false">Raw_Nigeria!L628</f>
        <v>12-23 m</v>
      </c>
      <c r="L628" s="7" t="str">
        <f aca="false">IF(Raw_Nigeria!K628="","n/a",Raw_Nigeria!K628)</f>
        <v>0-23 m</v>
      </c>
      <c r="M628" s="7" t="n">
        <f aca="false">IF(Raw_Nigeria!I628="","",Raw_Nigeria!I628)</f>
        <v>40</v>
      </c>
      <c r="N628" s="7" t="n">
        <f aca="false">Raw_Nigeria!M628</f>
        <v>57.8</v>
      </c>
      <c r="O628" s="7" t="n">
        <f aca="false">IF(Raw_Nigeria!N628="","",Raw_Nigeria!N628)</f>
        <v>6143</v>
      </c>
      <c r="P628" s="7" t="str">
        <f aca="false">IF(K628="CBAW","Women of child-bearing age","Children")</f>
        <v>Children</v>
      </c>
      <c r="Q628" s="7" t="n">
        <f aca="false">IF(J628="NOT USED",1,0)</f>
        <v>0</v>
      </c>
      <c r="R628" s="7" t="n">
        <f aca="false">IF(AND(P628="Children",Q628=0),1,0)</f>
        <v>1</v>
      </c>
      <c r="S628" s="7" t="n">
        <f aca="false">IF(AND(R628=1,J628="Record or Recall",K628="12-23 m"),1,0)</f>
        <v>1</v>
      </c>
      <c r="T628" s="7" t="n">
        <f aca="false">IF(OR(I628="BCG",I628="DTP1",I628="DTP3",I628="POL3",I628="MCV1",I628="FULL"),1,0)</f>
        <v>0</v>
      </c>
      <c r="U628" s="7" t="n">
        <f aca="false">IF(OR(C628="DHS",C628="MICS"),1,0)</f>
        <v>1</v>
      </c>
      <c r="V628" s="7" t="n">
        <f aca="false">IF(O628="",1,0)</f>
        <v>0</v>
      </c>
      <c r="W628" s="7" t="n">
        <f aca="false">IF(M628="",1,0)</f>
        <v>0</v>
      </c>
      <c r="X628" s="7" t="n">
        <f aca="false">COUNTIFS($B$2:$B$1141,B628,$H$2:$H$1141,H628,$I$2:$I$1141,I628,$J$2:$J$1141,J628,$K$2:$K$1141,K628,$L$2:$L$1141,L628)</f>
        <v>1</v>
      </c>
    </row>
    <row r="629" customFormat="false" ht="15" hidden="false" customHeight="false" outlineLevel="0" collapsed="false">
      <c r="A629" s="7" t="n">
        <f aca="false">ROW()-1</f>
        <v>628</v>
      </c>
      <c r="B629" s="7" t="str">
        <f aca="false">IF(Raw_Nigeria!B629="",TRIM(Raw_Nigeria!C629),TRIM(Raw_Nigeria!B629))</f>
        <v>Nigeria Demographic and Health Survey 2018</v>
      </c>
      <c r="C629" s="7" t="str">
        <f aca="false">IF(ISNUMBER(SEARCH("Demographic and Health",B629)),"DHS",IF(OR(ISNUMBER(SEARCH("Multiple Indicator Cluster",B629)),ISNUMBER(SEARCH("MICS",B629))),"MICS",IF(ISNUMBER(SEARCH("Immunization Coverage Survey",B629)),"Coverage survey",IF(ISNUMBER(SEARCH("Nutrition",B629)),"Nutrition survey","Other"))))</f>
        <v>DHS</v>
      </c>
      <c r="D629" s="7" t="n">
        <f aca="false">VALUE(LEFT(Raw_Nigeria!D629,4))</f>
        <v>2018</v>
      </c>
      <c r="E629" s="7" t="n">
        <f aca="false">IF(VALUE(RIGHT(Raw_Nigeria!D629,2))&gt;12,"",VALUE(RIGHT(Raw_Nigeria!D629,2)))</f>
        <v>8</v>
      </c>
      <c r="F629" s="7" t="n">
        <f aca="false">VALUE(LEFT(Raw_Nigeria!E629,4))</f>
        <v>2018</v>
      </c>
      <c r="G629" s="7" t="n">
        <f aca="false">IF(VALUE(RIGHT(Raw_Nigeria!E629,2))&gt;12,"",VALUE(RIGHT(Raw_Nigeria!E629,2)))</f>
        <v>12</v>
      </c>
      <c r="H629" s="7" t="n">
        <f aca="false">Raw_Nigeria!F629</f>
        <v>2017</v>
      </c>
      <c r="I629" s="7" t="str">
        <f aca="false">UPPER(TRIM(Raw_Nigeria!G629))</f>
        <v>DTP2</v>
      </c>
      <c r="J629" s="7" t="str">
        <f aca="false">Raw_Nigeria!H629</f>
        <v>Recall</v>
      </c>
      <c r="K629" s="7" t="str">
        <f aca="false">Raw_Nigeria!L629</f>
        <v>12-23 m</v>
      </c>
      <c r="L629" s="7" t="str">
        <f aca="false">IF(Raw_Nigeria!K629="","n/a",Raw_Nigeria!K629)</f>
        <v>0-23 m</v>
      </c>
      <c r="M629" s="7" t="n">
        <f aca="false">IF(Raw_Nigeria!I629="","",Raw_Nigeria!I629)</f>
        <v>40</v>
      </c>
      <c r="N629" s="7" t="n">
        <f aca="false">Raw_Nigeria!M629</f>
        <v>22.4</v>
      </c>
      <c r="O629" s="7" t="n">
        <f aca="false">IF(Raw_Nigeria!N629="","",Raw_Nigeria!N629)</f>
        <v>3684</v>
      </c>
      <c r="P629" s="7" t="str">
        <f aca="false">IF(K629="CBAW","Women of child-bearing age","Children")</f>
        <v>Children</v>
      </c>
      <c r="Q629" s="7" t="n">
        <f aca="false">IF(J629="NOT USED",1,0)</f>
        <v>0</v>
      </c>
      <c r="R629" s="7" t="n">
        <f aca="false">IF(AND(P629="Children",Q629=0),1,0)</f>
        <v>1</v>
      </c>
      <c r="S629" s="7" t="n">
        <f aca="false">IF(AND(R629=1,J629="Record or Recall",K629="12-23 m"),1,0)</f>
        <v>0</v>
      </c>
      <c r="T629" s="7" t="n">
        <f aca="false">IF(OR(I629="BCG",I629="DTP1",I629="DTP3",I629="POL3",I629="MCV1",I629="FULL"),1,0)</f>
        <v>0</v>
      </c>
      <c r="U629" s="7" t="n">
        <f aca="false">IF(OR(C629="DHS",C629="MICS"),1,0)</f>
        <v>1</v>
      </c>
      <c r="V629" s="7" t="n">
        <f aca="false">IF(O629="",1,0)</f>
        <v>0</v>
      </c>
      <c r="W629" s="7" t="n">
        <f aca="false">IF(M629="",1,0)</f>
        <v>0</v>
      </c>
      <c r="X629" s="7" t="n">
        <f aca="false">COUNTIFS($B$2:$B$1141,B629,$H$2:$H$1141,H629,$I$2:$I$1141,I629,$J$2:$J$1141,J629,$K$2:$K$1141,K629,$L$2:$L$1141,L629)</f>
        <v>1</v>
      </c>
    </row>
    <row r="630" customFormat="false" ht="15" hidden="false" customHeight="false" outlineLevel="0" collapsed="false">
      <c r="A630" s="7" t="n">
        <f aca="false">ROW()-1</f>
        <v>629</v>
      </c>
      <c r="B630" s="7" t="str">
        <f aca="false">IF(Raw_Nigeria!B630="",TRIM(Raw_Nigeria!C630),TRIM(Raw_Nigeria!B630))</f>
        <v>Nigeria Demographic and Health Survey 2018</v>
      </c>
      <c r="C630" s="7" t="str">
        <f aca="false">IF(ISNUMBER(SEARCH("Demographic and Health",B630)),"DHS",IF(OR(ISNUMBER(SEARCH("Multiple Indicator Cluster",B630)),ISNUMBER(SEARCH("MICS",B630))),"MICS",IF(ISNUMBER(SEARCH("Immunization Coverage Survey",B630)),"Coverage survey",IF(ISNUMBER(SEARCH("Nutrition",B630)),"Nutrition survey","Other"))))</f>
        <v>DHS</v>
      </c>
      <c r="D630" s="7" t="n">
        <f aca="false">VALUE(LEFT(Raw_Nigeria!D630,4))</f>
        <v>2018</v>
      </c>
      <c r="E630" s="7" t="n">
        <f aca="false">IF(VALUE(RIGHT(Raw_Nigeria!D630,2))&gt;12,"",VALUE(RIGHT(Raw_Nigeria!D630,2)))</f>
        <v>8</v>
      </c>
      <c r="F630" s="7" t="n">
        <f aca="false">VALUE(LEFT(Raw_Nigeria!E630,4))</f>
        <v>2018</v>
      </c>
      <c r="G630" s="7" t="n">
        <f aca="false">IF(VALUE(RIGHT(Raw_Nigeria!E630,2))&gt;12,"",VALUE(RIGHT(Raw_Nigeria!E630,2)))</f>
        <v>12</v>
      </c>
      <c r="H630" s="7" t="n">
        <f aca="false">Raw_Nigeria!F630</f>
        <v>2017</v>
      </c>
      <c r="I630" s="7" t="str">
        <f aca="false">UPPER(TRIM(Raw_Nigeria!G630))</f>
        <v>DTP3</v>
      </c>
      <c r="J630" s="7" t="str">
        <f aca="false">Raw_Nigeria!H630</f>
        <v>Record or Recall&lt;12m</v>
      </c>
      <c r="K630" s="7" t="str">
        <f aca="false">Raw_Nigeria!L630</f>
        <v>12-23 m</v>
      </c>
      <c r="L630" s="7" t="str">
        <f aca="false">IF(Raw_Nigeria!K630="","n/a",Raw_Nigeria!K630)</f>
        <v>0-12 m</v>
      </c>
      <c r="M630" s="7" t="n">
        <f aca="false">IF(Raw_Nigeria!I630="","",Raw_Nigeria!I630)</f>
        <v>40</v>
      </c>
      <c r="N630" s="7" t="n">
        <f aca="false">Raw_Nigeria!M630</f>
        <v>48.3</v>
      </c>
      <c r="O630" s="7" t="n">
        <f aca="false">IF(Raw_Nigeria!N630="","",Raw_Nigeria!N630)</f>
        <v>6143</v>
      </c>
      <c r="P630" s="7" t="str">
        <f aca="false">IF(K630="CBAW","Women of child-bearing age","Children")</f>
        <v>Children</v>
      </c>
      <c r="Q630" s="7" t="n">
        <f aca="false">IF(J630="NOT USED",1,0)</f>
        <v>0</v>
      </c>
      <c r="R630" s="7" t="n">
        <f aca="false">IF(AND(P630="Children",Q630=0),1,0)</f>
        <v>1</v>
      </c>
      <c r="S630" s="7" t="n">
        <f aca="false">IF(AND(R630=1,J630="Record or Recall",K630="12-23 m"),1,0)</f>
        <v>0</v>
      </c>
      <c r="T630" s="7" t="n">
        <f aca="false">IF(OR(I630="BCG",I630="DTP1",I630="DTP3",I630="POL3",I630="MCV1",I630="FULL"),1,0)</f>
        <v>1</v>
      </c>
      <c r="U630" s="7" t="n">
        <f aca="false">IF(OR(C630="DHS",C630="MICS"),1,0)</f>
        <v>1</v>
      </c>
      <c r="V630" s="7" t="n">
        <f aca="false">IF(O630="",1,0)</f>
        <v>0</v>
      </c>
      <c r="W630" s="7" t="n">
        <f aca="false">IF(M630="",1,0)</f>
        <v>0</v>
      </c>
      <c r="X630" s="7" t="n">
        <f aca="false">COUNTIFS($B$2:$B$1141,B630,$H$2:$H$1141,H630,$I$2:$I$1141,I630,$J$2:$J$1141,J630,$K$2:$K$1141,K630,$L$2:$L$1141,L630)</f>
        <v>1</v>
      </c>
    </row>
    <row r="631" customFormat="false" ht="15" hidden="false" customHeight="false" outlineLevel="0" collapsed="false">
      <c r="A631" s="7" t="n">
        <f aca="false">ROW()-1</f>
        <v>630</v>
      </c>
      <c r="B631" s="7" t="str">
        <f aca="false">IF(Raw_Nigeria!B631="",TRIM(Raw_Nigeria!C631),TRIM(Raw_Nigeria!B631))</f>
        <v>Nigeria Demographic and Health Survey 2018</v>
      </c>
      <c r="C631" s="7" t="str">
        <f aca="false">IF(ISNUMBER(SEARCH("Demographic and Health",B631)),"DHS",IF(OR(ISNUMBER(SEARCH("Multiple Indicator Cluster",B631)),ISNUMBER(SEARCH("MICS",B631))),"MICS",IF(ISNUMBER(SEARCH("Immunization Coverage Survey",B631)),"Coverage survey",IF(ISNUMBER(SEARCH("Nutrition",B631)),"Nutrition survey","Other"))))</f>
        <v>DHS</v>
      </c>
      <c r="D631" s="7" t="n">
        <f aca="false">VALUE(LEFT(Raw_Nigeria!D631,4))</f>
        <v>2018</v>
      </c>
      <c r="E631" s="7" t="n">
        <f aca="false">IF(VALUE(RIGHT(Raw_Nigeria!D631,2))&gt;12,"",VALUE(RIGHT(Raw_Nigeria!D631,2)))</f>
        <v>8</v>
      </c>
      <c r="F631" s="7" t="n">
        <f aca="false">VALUE(LEFT(Raw_Nigeria!E631,4))</f>
        <v>2018</v>
      </c>
      <c r="G631" s="7" t="n">
        <f aca="false">IF(VALUE(RIGHT(Raw_Nigeria!E631,2))&gt;12,"",VALUE(RIGHT(Raw_Nigeria!E631,2)))</f>
        <v>12</v>
      </c>
      <c r="H631" s="7" t="n">
        <f aca="false">Raw_Nigeria!F631</f>
        <v>2017</v>
      </c>
      <c r="I631" s="7" t="str">
        <f aca="false">UPPER(TRIM(Raw_Nigeria!G631))</f>
        <v>DTP3</v>
      </c>
      <c r="J631" s="7" t="str">
        <f aca="false">Raw_Nigeria!H631</f>
        <v>Record</v>
      </c>
      <c r="K631" s="7" t="str">
        <f aca="false">Raw_Nigeria!L631</f>
        <v>12-23 m</v>
      </c>
      <c r="L631" s="7" t="str">
        <f aca="false">IF(Raw_Nigeria!K631="","n/a",Raw_Nigeria!K631)</f>
        <v>0-23 m</v>
      </c>
      <c r="M631" s="7" t="n">
        <f aca="false">IF(Raw_Nigeria!I631="","",Raw_Nigeria!I631)</f>
        <v>40</v>
      </c>
      <c r="N631" s="7" t="n">
        <f aca="false">Raw_Nigeria!M631</f>
        <v>32.2</v>
      </c>
      <c r="O631" s="7" t="n">
        <f aca="false">IF(Raw_Nigeria!N631="","",Raw_Nigeria!N631)</f>
        <v>2459</v>
      </c>
      <c r="P631" s="7" t="str">
        <f aca="false">IF(K631="CBAW","Women of child-bearing age","Children")</f>
        <v>Children</v>
      </c>
      <c r="Q631" s="7" t="n">
        <f aca="false">IF(J631="NOT USED",1,0)</f>
        <v>0</v>
      </c>
      <c r="R631" s="7" t="n">
        <f aca="false">IF(AND(P631="Children",Q631=0),1,0)</f>
        <v>1</v>
      </c>
      <c r="S631" s="7" t="n">
        <f aca="false">IF(AND(R631=1,J631="Record or Recall",K631="12-23 m"),1,0)</f>
        <v>0</v>
      </c>
      <c r="T631" s="7" t="n">
        <f aca="false">IF(OR(I631="BCG",I631="DTP1",I631="DTP3",I631="POL3",I631="MCV1",I631="FULL"),1,0)</f>
        <v>1</v>
      </c>
      <c r="U631" s="7" t="n">
        <f aca="false">IF(OR(C631="DHS",C631="MICS"),1,0)</f>
        <v>1</v>
      </c>
      <c r="V631" s="7" t="n">
        <f aca="false">IF(O631="",1,0)</f>
        <v>0</v>
      </c>
      <c r="W631" s="7" t="n">
        <f aca="false">IF(M631="",1,0)</f>
        <v>0</v>
      </c>
      <c r="X631" s="7" t="n">
        <f aca="false">COUNTIFS($B$2:$B$1141,B631,$H$2:$H$1141,H631,$I$2:$I$1141,I631,$J$2:$J$1141,J631,$K$2:$K$1141,K631,$L$2:$L$1141,L631)</f>
        <v>1</v>
      </c>
    </row>
    <row r="632" customFormat="false" ht="15" hidden="false" customHeight="false" outlineLevel="0" collapsed="false">
      <c r="A632" s="7" t="n">
        <f aca="false">ROW()-1</f>
        <v>631</v>
      </c>
      <c r="B632" s="7" t="str">
        <f aca="false">IF(Raw_Nigeria!B632="",TRIM(Raw_Nigeria!C632),TRIM(Raw_Nigeria!B632))</f>
        <v>Nigeria Demographic and Health Survey 2018</v>
      </c>
      <c r="C632" s="7" t="str">
        <f aca="false">IF(ISNUMBER(SEARCH("Demographic and Health",B632)),"DHS",IF(OR(ISNUMBER(SEARCH("Multiple Indicator Cluster",B632)),ISNUMBER(SEARCH("MICS",B632))),"MICS",IF(ISNUMBER(SEARCH("Immunization Coverage Survey",B632)),"Coverage survey",IF(ISNUMBER(SEARCH("Nutrition",B632)),"Nutrition survey","Other"))))</f>
        <v>DHS</v>
      </c>
      <c r="D632" s="7" t="n">
        <f aca="false">VALUE(LEFT(Raw_Nigeria!D632,4))</f>
        <v>2018</v>
      </c>
      <c r="E632" s="7" t="n">
        <f aca="false">IF(VALUE(RIGHT(Raw_Nigeria!D632,2))&gt;12,"",VALUE(RIGHT(Raw_Nigeria!D632,2)))</f>
        <v>8</v>
      </c>
      <c r="F632" s="7" t="n">
        <f aca="false">VALUE(LEFT(Raw_Nigeria!E632,4))</f>
        <v>2018</v>
      </c>
      <c r="G632" s="7" t="n">
        <f aca="false">IF(VALUE(RIGHT(Raw_Nigeria!E632,2))&gt;12,"",VALUE(RIGHT(Raw_Nigeria!E632,2)))</f>
        <v>12</v>
      </c>
      <c r="H632" s="7" t="n">
        <f aca="false">Raw_Nigeria!F632</f>
        <v>2017</v>
      </c>
      <c r="I632" s="7" t="str">
        <f aca="false">UPPER(TRIM(Raw_Nigeria!G632))</f>
        <v>DTP3</v>
      </c>
      <c r="J632" s="7" t="str">
        <f aca="false">Raw_Nigeria!H632</f>
        <v>Record or Recall</v>
      </c>
      <c r="K632" s="7" t="str">
        <f aca="false">Raw_Nigeria!L632</f>
        <v>12-23 m</v>
      </c>
      <c r="L632" s="7" t="str">
        <f aca="false">IF(Raw_Nigeria!K632="","n/a",Raw_Nigeria!K632)</f>
        <v>0-23 m</v>
      </c>
      <c r="M632" s="7" t="n">
        <f aca="false">IF(Raw_Nigeria!I632="","",Raw_Nigeria!I632)</f>
        <v>40</v>
      </c>
      <c r="N632" s="7" t="n">
        <f aca="false">Raw_Nigeria!M632</f>
        <v>50.1</v>
      </c>
      <c r="O632" s="7" t="n">
        <f aca="false">IF(Raw_Nigeria!N632="","",Raw_Nigeria!N632)</f>
        <v>6143</v>
      </c>
      <c r="P632" s="7" t="str">
        <f aca="false">IF(K632="CBAW","Women of child-bearing age","Children")</f>
        <v>Children</v>
      </c>
      <c r="Q632" s="7" t="n">
        <f aca="false">IF(J632="NOT USED",1,0)</f>
        <v>0</v>
      </c>
      <c r="R632" s="7" t="n">
        <f aca="false">IF(AND(P632="Children",Q632=0),1,0)</f>
        <v>1</v>
      </c>
      <c r="S632" s="7" t="n">
        <f aca="false">IF(AND(R632=1,J632="Record or Recall",K632="12-23 m"),1,0)</f>
        <v>1</v>
      </c>
      <c r="T632" s="7" t="n">
        <f aca="false">IF(OR(I632="BCG",I632="DTP1",I632="DTP3",I632="POL3",I632="MCV1",I632="FULL"),1,0)</f>
        <v>1</v>
      </c>
      <c r="U632" s="7" t="n">
        <f aca="false">IF(OR(C632="DHS",C632="MICS"),1,0)</f>
        <v>1</v>
      </c>
      <c r="V632" s="7" t="n">
        <f aca="false">IF(O632="",1,0)</f>
        <v>0</v>
      </c>
      <c r="W632" s="7" t="n">
        <f aca="false">IF(M632="",1,0)</f>
        <v>0</v>
      </c>
      <c r="X632" s="7" t="n">
        <f aca="false">COUNTIFS($B$2:$B$1141,B632,$H$2:$H$1141,H632,$I$2:$I$1141,I632,$J$2:$J$1141,J632,$K$2:$K$1141,K632,$L$2:$L$1141,L632)</f>
        <v>1</v>
      </c>
    </row>
    <row r="633" customFormat="false" ht="15" hidden="false" customHeight="false" outlineLevel="0" collapsed="false">
      <c r="A633" s="7" t="n">
        <f aca="false">ROW()-1</f>
        <v>632</v>
      </c>
      <c r="B633" s="7" t="str">
        <f aca="false">IF(Raw_Nigeria!B633="",TRIM(Raw_Nigeria!C633),TRIM(Raw_Nigeria!B633))</f>
        <v>Nigeria Demographic and Health Survey 2018</v>
      </c>
      <c r="C633" s="7" t="str">
        <f aca="false">IF(ISNUMBER(SEARCH("Demographic and Health",B633)),"DHS",IF(OR(ISNUMBER(SEARCH("Multiple Indicator Cluster",B633)),ISNUMBER(SEARCH("MICS",B633))),"MICS",IF(ISNUMBER(SEARCH("Immunization Coverage Survey",B633)),"Coverage survey",IF(ISNUMBER(SEARCH("Nutrition",B633)),"Nutrition survey","Other"))))</f>
        <v>DHS</v>
      </c>
      <c r="D633" s="7" t="n">
        <f aca="false">VALUE(LEFT(Raw_Nigeria!D633,4))</f>
        <v>2018</v>
      </c>
      <c r="E633" s="7" t="n">
        <f aca="false">IF(VALUE(RIGHT(Raw_Nigeria!D633,2))&gt;12,"",VALUE(RIGHT(Raw_Nigeria!D633,2)))</f>
        <v>8</v>
      </c>
      <c r="F633" s="7" t="n">
        <f aca="false">VALUE(LEFT(Raw_Nigeria!E633,4))</f>
        <v>2018</v>
      </c>
      <c r="G633" s="7" t="n">
        <f aca="false">IF(VALUE(RIGHT(Raw_Nigeria!E633,2))&gt;12,"",VALUE(RIGHT(Raw_Nigeria!E633,2)))</f>
        <v>12</v>
      </c>
      <c r="H633" s="7" t="n">
        <f aca="false">Raw_Nigeria!F633</f>
        <v>2017</v>
      </c>
      <c r="I633" s="7" t="str">
        <f aca="false">UPPER(TRIM(Raw_Nigeria!G633))</f>
        <v>DTP3</v>
      </c>
      <c r="J633" s="7" t="str">
        <f aca="false">Raw_Nigeria!H633</f>
        <v>Recall</v>
      </c>
      <c r="K633" s="7" t="str">
        <f aca="false">Raw_Nigeria!L633</f>
        <v>12-23 m</v>
      </c>
      <c r="L633" s="7" t="str">
        <f aca="false">IF(Raw_Nigeria!K633="","n/a",Raw_Nigeria!K633)</f>
        <v>0-23 m</v>
      </c>
      <c r="M633" s="7" t="n">
        <f aca="false">IF(Raw_Nigeria!I633="","",Raw_Nigeria!I633)</f>
        <v>40</v>
      </c>
      <c r="N633" s="7" t="n">
        <f aca="false">Raw_Nigeria!M633</f>
        <v>17.8</v>
      </c>
      <c r="O633" s="7" t="n">
        <f aca="false">IF(Raw_Nigeria!N633="","",Raw_Nigeria!N633)</f>
        <v>3684</v>
      </c>
      <c r="P633" s="7" t="str">
        <f aca="false">IF(K633="CBAW","Women of child-bearing age","Children")</f>
        <v>Children</v>
      </c>
      <c r="Q633" s="7" t="n">
        <f aca="false">IF(J633="NOT USED",1,0)</f>
        <v>0</v>
      </c>
      <c r="R633" s="7" t="n">
        <f aca="false">IF(AND(P633="Children",Q633=0),1,0)</f>
        <v>1</v>
      </c>
      <c r="S633" s="7" t="n">
        <f aca="false">IF(AND(R633=1,J633="Record or Recall",K633="12-23 m"),1,0)</f>
        <v>0</v>
      </c>
      <c r="T633" s="7" t="n">
        <f aca="false">IF(OR(I633="BCG",I633="DTP1",I633="DTP3",I633="POL3",I633="MCV1",I633="FULL"),1,0)</f>
        <v>1</v>
      </c>
      <c r="U633" s="7" t="n">
        <f aca="false">IF(OR(C633="DHS",C633="MICS"),1,0)</f>
        <v>1</v>
      </c>
      <c r="V633" s="7" t="n">
        <f aca="false">IF(O633="",1,0)</f>
        <v>0</v>
      </c>
      <c r="W633" s="7" t="n">
        <f aca="false">IF(M633="",1,0)</f>
        <v>0</v>
      </c>
      <c r="X633" s="7" t="n">
        <f aca="false">COUNTIFS($B$2:$B$1141,B633,$H$2:$H$1141,H633,$I$2:$I$1141,I633,$J$2:$J$1141,J633,$K$2:$K$1141,K633,$L$2:$L$1141,L633)</f>
        <v>1</v>
      </c>
    </row>
    <row r="634" customFormat="false" ht="15" hidden="false" customHeight="false" outlineLevel="0" collapsed="false">
      <c r="A634" s="7" t="n">
        <f aca="false">ROW()-1</f>
        <v>633</v>
      </c>
      <c r="B634" s="7" t="str">
        <f aca="false">IF(Raw_Nigeria!B634="",TRIM(Raw_Nigeria!C634),TRIM(Raw_Nigeria!B634))</f>
        <v>Nigeria Demographic and Health Survey 2018</v>
      </c>
      <c r="C634" s="7" t="str">
        <f aca="false">IF(ISNUMBER(SEARCH("Demographic and Health",B634)),"DHS",IF(OR(ISNUMBER(SEARCH("Multiple Indicator Cluster",B634)),ISNUMBER(SEARCH("MICS",B634))),"MICS",IF(ISNUMBER(SEARCH("Immunization Coverage Survey",B634)),"Coverage survey",IF(ISNUMBER(SEARCH("Nutrition",B634)),"Nutrition survey","Other"))))</f>
        <v>DHS</v>
      </c>
      <c r="D634" s="7" t="n">
        <f aca="false">VALUE(LEFT(Raw_Nigeria!D634,4))</f>
        <v>2018</v>
      </c>
      <c r="E634" s="7" t="n">
        <f aca="false">IF(VALUE(RIGHT(Raw_Nigeria!D634,2))&gt;12,"",VALUE(RIGHT(Raw_Nigeria!D634,2)))</f>
        <v>8</v>
      </c>
      <c r="F634" s="7" t="n">
        <f aca="false">VALUE(LEFT(Raw_Nigeria!E634,4))</f>
        <v>2018</v>
      </c>
      <c r="G634" s="7" t="n">
        <f aca="false">IF(VALUE(RIGHT(Raw_Nigeria!E634,2))&gt;12,"",VALUE(RIGHT(Raw_Nigeria!E634,2)))</f>
        <v>12</v>
      </c>
      <c r="H634" s="7" t="n">
        <f aca="false">Raw_Nigeria!F634</f>
        <v>2017</v>
      </c>
      <c r="I634" s="7" t="str">
        <f aca="false">UPPER(TRIM(Raw_Nigeria!G634))</f>
        <v>FULL</v>
      </c>
      <c r="J634" s="7" t="str">
        <f aca="false">Raw_Nigeria!H634</f>
        <v>Record or Recall&lt;12m</v>
      </c>
      <c r="K634" s="7" t="str">
        <f aca="false">Raw_Nigeria!L634</f>
        <v>12-23 m</v>
      </c>
      <c r="L634" s="7" t="str">
        <f aca="false">IF(Raw_Nigeria!K634="","n/a",Raw_Nigeria!K634)</f>
        <v>0-12 m</v>
      </c>
      <c r="M634" s="7" t="n">
        <f aca="false">IF(Raw_Nigeria!I634="","",Raw_Nigeria!I634)</f>
        <v>40</v>
      </c>
      <c r="N634" s="7" t="n">
        <f aca="false">Raw_Nigeria!M634</f>
        <v>28.3</v>
      </c>
      <c r="O634" s="7" t="n">
        <f aca="false">IF(Raw_Nigeria!N634="","",Raw_Nigeria!N634)</f>
        <v>6143</v>
      </c>
      <c r="P634" s="7" t="str">
        <f aca="false">IF(K634="CBAW","Women of child-bearing age","Children")</f>
        <v>Children</v>
      </c>
      <c r="Q634" s="7" t="n">
        <f aca="false">IF(J634="NOT USED",1,0)</f>
        <v>0</v>
      </c>
      <c r="R634" s="7" t="n">
        <f aca="false">IF(AND(P634="Children",Q634=0),1,0)</f>
        <v>1</v>
      </c>
      <c r="S634" s="7" t="n">
        <f aca="false">IF(AND(R634=1,J634="Record or Recall",K634="12-23 m"),1,0)</f>
        <v>0</v>
      </c>
      <c r="T634" s="7" t="n">
        <f aca="false">IF(OR(I634="BCG",I634="DTP1",I634="DTP3",I634="POL3",I634="MCV1",I634="FULL"),1,0)</f>
        <v>1</v>
      </c>
      <c r="U634" s="7" t="n">
        <f aca="false">IF(OR(C634="DHS",C634="MICS"),1,0)</f>
        <v>1</v>
      </c>
      <c r="V634" s="7" t="n">
        <f aca="false">IF(O634="",1,0)</f>
        <v>0</v>
      </c>
      <c r="W634" s="7" t="n">
        <f aca="false">IF(M634="",1,0)</f>
        <v>0</v>
      </c>
      <c r="X634" s="7" t="n">
        <f aca="false">COUNTIFS($B$2:$B$1141,B634,$H$2:$H$1141,H634,$I$2:$I$1141,I634,$J$2:$J$1141,J634,$K$2:$K$1141,K634,$L$2:$L$1141,L634)</f>
        <v>1</v>
      </c>
    </row>
    <row r="635" customFormat="false" ht="15" hidden="false" customHeight="false" outlineLevel="0" collapsed="false">
      <c r="A635" s="7" t="n">
        <f aca="false">ROW()-1</f>
        <v>634</v>
      </c>
      <c r="B635" s="7" t="str">
        <f aca="false">IF(Raw_Nigeria!B635="",TRIM(Raw_Nigeria!C635),TRIM(Raw_Nigeria!B635))</f>
        <v>Nigeria Demographic and Health Survey 2018</v>
      </c>
      <c r="C635" s="7" t="str">
        <f aca="false">IF(ISNUMBER(SEARCH("Demographic and Health",B635)),"DHS",IF(OR(ISNUMBER(SEARCH("Multiple Indicator Cluster",B635)),ISNUMBER(SEARCH("MICS",B635))),"MICS",IF(ISNUMBER(SEARCH("Immunization Coverage Survey",B635)),"Coverage survey",IF(ISNUMBER(SEARCH("Nutrition",B635)),"Nutrition survey","Other"))))</f>
        <v>DHS</v>
      </c>
      <c r="D635" s="7" t="n">
        <f aca="false">VALUE(LEFT(Raw_Nigeria!D635,4))</f>
        <v>2018</v>
      </c>
      <c r="E635" s="7" t="n">
        <f aca="false">IF(VALUE(RIGHT(Raw_Nigeria!D635,2))&gt;12,"",VALUE(RIGHT(Raw_Nigeria!D635,2)))</f>
        <v>8</v>
      </c>
      <c r="F635" s="7" t="n">
        <f aca="false">VALUE(LEFT(Raw_Nigeria!E635,4))</f>
        <v>2018</v>
      </c>
      <c r="G635" s="7" t="n">
        <f aca="false">IF(VALUE(RIGHT(Raw_Nigeria!E635,2))&gt;12,"",VALUE(RIGHT(Raw_Nigeria!E635,2)))</f>
        <v>12</v>
      </c>
      <c r="H635" s="7" t="n">
        <f aca="false">Raw_Nigeria!F635</f>
        <v>2017</v>
      </c>
      <c r="I635" s="7" t="str">
        <f aca="false">UPPER(TRIM(Raw_Nigeria!G635))</f>
        <v>FULL</v>
      </c>
      <c r="J635" s="7" t="str">
        <f aca="false">Raw_Nigeria!H635</f>
        <v>Record</v>
      </c>
      <c r="K635" s="7" t="str">
        <f aca="false">Raw_Nigeria!L635</f>
        <v>12-23 m</v>
      </c>
      <c r="L635" s="7" t="str">
        <f aca="false">IF(Raw_Nigeria!K635="","n/a",Raw_Nigeria!K635)</f>
        <v>0-23 m</v>
      </c>
      <c r="M635" s="7" t="n">
        <f aca="false">IF(Raw_Nigeria!I635="","",Raw_Nigeria!I635)</f>
        <v>40</v>
      </c>
      <c r="N635" s="7" t="n">
        <f aca="false">Raw_Nigeria!M635</f>
        <v>25.6</v>
      </c>
      <c r="O635" s="7" t="n">
        <f aca="false">IF(Raw_Nigeria!N635="","",Raw_Nigeria!N635)</f>
        <v>2459</v>
      </c>
      <c r="P635" s="7" t="str">
        <f aca="false">IF(K635="CBAW","Women of child-bearing age","Children")</f>
        <v>Children</v>
      </c>
      <c r="Q635" s="7" t="n">
        <f aca="false">IF(J635="NOT USED",1,0)</f>
        <v>0</v>
      </c>
      <c r="R635" s="7" t="n">
        <f aca="false">IF(AND(P635="Children",Q635=0),1,0)</f>
        <v>1</v>
      </c>
      <c r="S635" s="7" t="n">
        <f aca="false">IF(AND(R635=1,J635="Record or Recall",K635="12-23 m"),1,0)</f>
        <v>0</v>
      </c>
      <c r="T635" s="7" t="n">
        <f aca="false">IF(OR(I635="BCG",I635="DTP1",I635="DTP3",I635="POL3",I635="MCV1",I635="FULL"),1,0)</f>
        <v>1</v>
      </c>
      <c r="U635" s="7" t="n">
        <f aca="false">IF(OR(C635="DHS",C635="MICS"),1,0)</f>
        <v>1</v>
      </c>
      <c r="V635" s="7" t="n">
        <f aca="false">IF(O635="",1,0)</f>
        <v>0</v>
      </c>
      <c r="W635" s="7" t="n">
        <f aca="false">IF(M635="",1,0)</f>
        <v>0</v>
      </c>
      <c r="X635" s="7" t="n">
        <f aca="false">COUNTIFS($B$2:$B$1141,B635,$H$2:$H$1141,H635,$I$2:$I$1141,I635,$J$2:$J$1141,J635,$K$2:$K$1141,K635,$L$2:$L$1141,L635)</f>
        <v>1</v>
      </c>
    </row>
    <row r="636" customFormat="false" ht="15" hidden="false" customHeight="false" outlineLevel="0" collapsed="false">
      <c r="A636" s="7" t="n">
        <f aca="false">ROW()-1</f>
        <v>635</v>
      </c>
      <c r="B636" s="7" t="str">
        <f aca="false">IF(Raw_Nigeria!B636="",TRIM(Raw_Nigeria!C636),TRIM(Raw_Nigeria!B636))</f>
        <v>Nigeria Demographic and Health Survey 2018</v>
      </c>
      <c r="C636" s="7" t="str">
        <f aca="false">IF(ISNUMBER(SEARCH("Demographic and Health",B636)),"DHS",IF(OR(ISNUMBER(SEARCH("Multiple Indicator Cluster",B636)),ISNUMBER(SEARCH("MICS",B636))),"MICS",IF(ISNUMBER(SEARCH("Immunization Coverage Survey",B636)),"Coverage survey",IF(ISNUMBER(SEARCH("Nutrition",B636)),"Nutrition survey","Other"))))</f>
        <v>DHS</v>
      </c>
      <c r="D636" s="7" t="n">
        <f aca="false">VALUE(LEFT(Raw_Nigeria!D636,4))</f>
        <v>2018</v>
      </c>
      <c r="E636" s="7" t="n">
        <f aca="false">IF(VALUE(RIGHT(Raw_Nigeria!D636,2))&gt;12,"",VALUE(RIGHT(Raw_Nigeria!D636,2)))</f>
        <v>8</v>
      </c>
      <c r="F636" s="7" t="n">
        <f aca="false">VALUE(LEFT(Raw_Nigeria!E636,4))</f>
        <v>2018</v>
      </c>
      <c r="G636" s="7" t="n">
        <f aca="false">IF(VALUE(RIGHT(Raw_Nigeria!E636,2))&gt;12,"",VALUE(RIGHT(Raw_Nigeria!E636,2)))</f>
        <v>12</v>
      </c>
      <c r="H636" s="7" t="n">
        <f aca="false">Raw_Nigeria!F636</f>
        <v>2017</v>
      </c>
      <c r="I636" s="7" t="str">
        <f aca="false">UPPER(TRIM(Raw_Nigeria!G636))</f>
        <v>FULL</v>
      </c>
      <c r="J636" s="7" t="str">
        <f aca="false">Raw_Nigeria!H636</f>
        <v>Record or Recall</v>
      </c>
      <c r="K636" s="7" t="str">
        <f aca="false">Raw_Nigeria!L636</f>
        <v>12-23 m</v>
      </c>
      <c r="L636" s="7" t="str">
        <f aca="false">IF(Raw_Nigeria!K636="","n/a",Raw_Nigeria!K636)</f>
        <v>0-23 m</v>
      </c>
      <c r="M636" s="7" t="n">
        <f aca="false">IF(Raw_Nigeria!I636="","",Raw_Nigeria!I636)</f>
        <v>40</v>
      </c>
      <c r="N636" s="7" t="n">
        <f aca="false">Raw_Nigeria!M636</f>
        <v>31.3</v>
      </c>
      <c r="O636" s="7" t="n">
        <f aca="false">IF(Raw_Nigeria!N636="","",Raw_Nigeria!N636)</f>
        <v>6143</v>
      </c>
      <c r="P636" s="7" t="str">
        <f aca="false">IF(K636="CBAW","Women of child-bearing age","Children")</f>
        <v>Children</v>
      </c>
      <c r="Q636" s="7" t="n">
        <f aca="false">IF(J636="NOT USED",1,0)</f>
        <v>0</v>
      </c>
      <c r="R636" s="7" t="n">
        <f aca="false">IF(AND(P636="Children",Q636=0),1,0)</f>
        <v>1</v>
      </c>
      <c r="S636" s="7" t="n">
        <f aca="false">IF(AND(R636=1,J636="Record or Recall",K636="12-23 m"),1,0)</f>
        <v>1</v>
      </c>
      <c r="T636" s="7" t="n">
        <f aca="false">IF(OR(I636="BCG",I636="DTP1",I636="DTP3",I636="POL3",I636="MCV1",I636="FULL"),1,0)</f>
        <v>1</v>
      </c>
      <c r="U636" s="7" t="n">
        <f aca="false">IF(OR(C636="DHS",C636="MICS"),1,0)</f>
        <v>1</v>
      </c>
      <c r="V636" s="7" t="n">
        <f aca="false">IF(O636="",1,0)</f>
        <v>0</v>
      </c>
      <c r="W636" s="7" t="n">
        <f aca="false">IF(M636="",1,0)</f>
        <v>0</v>
      </c>
      <c r="X636" s="7" t="n">
        <f aca="false">COUNTIFS($B$2:$B$1141,B636,$H$2:$H$1141,H636,$I$2:$I$1141,I636,$J$2:$J$1141,J636,$K$2:$K$1141,K636,$L$2:$L$1141,L636)</f>
        <v>1</v>
      </c>
    </row>
    <row r="637" customFormat="false" ht="15" hidden="false" customHeight="false" outlineLevel="0" collapsed="false">
      <c r="A637" s="7" t="n">
        <f aca="false">ROW()-1</f>
        <v>636</v>
      </c>
      <c r="B637" s="7" t="str">
        <f aca="false">IF(Raw_Nigeria!B637="",TRIM(Raw_Nigeria!C637),TRIM(Raw_Nigeria!B637))</f>
        <v>Nigeria Demographic and Health Survey 2018</v>
      </c>
      <c r="C637" s="7" t="str">
        <f aca="false">IF(ISNUMBER(SEARCH("Demographic and Health",B637)),"DHS",IF(OR(ISNUMBER(SEARCH("Multiple Indicator Cluster",B637)),ISNUMBER(SEARCH("MICS",B637))),"MICS",IF(ISNUMBER(SEARCH("Immunization Coverage Survey",B637)),"Coverage survey",IF(ISNUMBER(SEARCH("Nutrition",B637)),"Nutrition survey","Other"))))</f>
        <v>DHS</v>
      </c>
      <c r="D637" s="7" t="n">
        <f aca="false">VALUE(LEFT(Raw_Nigeria!D637,4))</f>
        <v>2018</v>
      </c>
      <c r="E637" s="7" t="n">
        <f aca="false">IF(VALUE(RIGHT(Raw_Nigeria!D637,2))&gt;12,"",VALUE(RIGHT(Raw_Nigeria!D637,2)))</f>
        <v>8</v>
      </c>
      <c r="F637" s="7" t="n">
        <f aca="false">VALUE(LEFT(Raw_Nigeria!E637,4))</f>
        <v>2018</v>
      </c>
      <c r="G637" s="7" t="n">
        <f aca="false">IF(VALUE(RIGHT(Raw_Nigeria!E637,2))&gt;12,"",VALUE(RIGHT(Raw_Nigeria!E637,2)))</f>
        <v>12</v>
      </c>
      <c r="H637" s="7" t="n">
        <f aca="false">Raw_Nigeria!F637</f>
        <v>2017</v>
      </c>
      <c r="I637" s="7" t="str">
        <f aca="false">UPPER(TRIM(Raw_Nigeria!G637))</f>
        <v>FULL</v>
      </c>
      <c r="J637" s="7" t="str">
        <f aca="false">Raw_Nigeria!H637</f>
        <v>Recall</v>
      </c>
      <c r="K637" s="7" t="str">
        <f aca="false">Raw_Nigeria!L637</f>
        <v>12-23 m</v>
      </c>
      <c r="L637" s="7" t="str">
        <f aca="false">IF(Raw_Nigeria!K637="","n/a",Raw_Nigeria!K637)</f>
        <v>0-23 m</v>
      </c>
      <c r="M637" s="7" t="n">
        <f aca="false">IF(Raw_Nigeria!I637="","",Raw_Nigeria!I637)</f>
        <v>40</v>
      </c>
      <c r="N637" s="7" t="n">
        <f aca="false">Raw_Nigeria!M637</f>
        <v>5.7</v>
      </c>
      <c r="O637" s="7" t="n">
        <f aca="false">IF(Raw_Nigeria!N637="","",Raw_Nigeria!N637)</f>
        <v>3684</v>
      </c>
      <c r="P637" s="7" t="str">
        <f aca="false">IF(K637="CBAW","Women of child-bearing age","Children")</f>
        <v>Children</v>
      </c>
      <c r="Q637" s="7" t="n">
        <f aca="false">IF(J637="NOT USED",1,0)</f>
        <v>0</v>
      </c>
      <c r="R637" s="7" t="n">
        <f aca="false">IF(AND(P637="Children",Q637=0),1,0)</f>
        <v>1</v>
      </c>
      <c r="S637" s="7" t="n">
        <f aca="false">IF(AND(R637=1,J637="Record or Recall",K637="12-23 m"),1,0)</f>
        <v>0</v>
      </c>
      <c r="T637" s="7" t="n">
        <f aca="false">IF(OR(I637="BCG",I637="DTP1",I637="DTP3",I637="POL3",I637="MCV1",I637="FULL"),1,0)</f>
        <v>1</v>
      </c>
      <c r="U637" s="7" t="n">
        <f aca="false">IF(OR(C637="DHS",C637="MICS"),1,0)</f>
        <v>1</v>
      </c>
      <c r="V637" s="7" t="n">
        <f aca="false">IF(O637="",1,0)</f>
        <v>0</v>
      </c>
      <c r="W637" s="7" t="n">
        <f aca="false">IF(M637="",1,0)</f>
        <v>0</v>
      </c>
      <c r="X637" s="7" t="n">
        <f aca="false">COUNTIFS($B$2:$B$1141,B637,$H$2:$H$1141,H637,$I$2:$I$1141,I637,$J$2:$J$1141,J637,$K$2:$K$1141,K637,$L$2:$L$1141,L637)</f>
        <v>1</v>
      </c>
    </row>
    <row r="638" customFormat="false" ht="15" hidden="false" customHeight="false" outlineLevel="0" collapsed="false">
      <c r="A638" s="7" t="n">
        <f aca="false">ROW()-1</f>
        <v>637</v>
      </c>
      <c r="B638" s="7" t="str">
        <f aca="false">IF(Raw_Nigeria!B638="",TRIM(Raw_Nigeria!C638),TRIM(Raw_Nigeria!B638))</f>
        <v>Nigeria Demographic and Health Survey 2018</v>
      </c>
      <c r="C638" s="7" t="str">
        <f aca="false">IF(ISNUMBER(SEARCH("Demographic and Health",B638)),"DHS",IF(OR(ISNUMBER(SEARCH("Multiple Indicator Cluster",B638)),ISNUMBER(SEARCH("MICS",B638))),"MICS",IF(ISNUMBER(SEARCH("Immunization Coverage Survey",B638)),"Coverage survey",IF(ISNUMBER(SEARCH("Nutrition",B638)),"Nutrition survey","Other"))))</f>
        <v>DHS</v>
      </c>
      <c r="D638" s="7" t="n">
        <f aca="false">VALUE(LEFT(Raw_Nigeria!D638,4))</f>
        <v>2018</v>
      </c>
      <c r="E638" s="7" t="n">
        <f aca="false">IF(VALUE(RIGHT(Raw_Nigeria!D638,2))&gt;12,"",VALUE(RIGHT(Raw_Nigeria!D638,2)))</f>
        <v>8</v>
      </c>
      <c r="F638" s="7" t="n">
        <f aca="false">VALUE(LEFT(Raw_Nigeria!E638,4))</f>
        <v>2018</v>
      </c>
      <c r="G638" s="7" t="n">
        <f aca="false">IF(VALUE(RIGHT(Raw_Nigeria!E638,2))&gt;12,"",VALUE(RIGHT(Raw_Nigeria!E638,2)))</f>
        <v>12</v>
      </c>
      <c r="H638" s="7" t="n">
        <f aca="false">Raw_Nigeria!F638</f>
        <v>2017</v>
      </c>
      <c r="I638" s="7" t="str">
        <f aca="false">UPPER(TRIM(Raw_Nigeria!G638))</f>
        <v>FULL &lt;1 YEAR</v>
      </c>
      <c r="J638" s="7" t="str">
        <f aca="false">Raw_Nigeria!H638</f>
        <v>Record or Recall&lt;12m</v>
      </c>
      <c r="K638" s="7" t="str">
        <f aca="false">Raw_Nigeria!L638</f>
        <v>12-23 m</v>
      </c>
      <c r="L638" s="7" t="str">
        <f aca="false">IF(Raw_Nigeria!K638="","n/a",Raw_Nigeria!K638)</f>
        <v>0-12 m</v>
      </c>
      <c r="M638" s="7" t="n">
        <f aca="false">IF(Raw_Nigeria!I638="","",Raw_Nigeria!I638)</f>
        <v>40</v>
      </c>
      <c r="N638" s="7" t="n">
        <f aca="false">Raw_Nigeria!M638</f>
        <v>19.1</v>
      </c>
      <c r="O638" s="7" t="n">
        <f aca="false">IF(Raw_Nigeria!N638="","",Raw_Nigeria!N638)</f>
        <v>6143</v>
      </c>
      <c r="P638" s="7" t="str">
        <f aca="false">IF(K638="CBAW","Women of child-bearing age","Children")</f>
        <v>Children</v>
      </c>
      <c r="Q638" s="7" t="n">
        <f aca="false">IF(J638="NOT USED",1,0)</f>
        <v>0</v>
      </c>
      <c r="R638" s="7" t="n">
        <f aca="false">IF(AND(P638="Children",Q638=0),1,0)</f>
        <v>1</v>
      </c>
      <c r="S638" s="7" t="n">
        <f aca="false">IF(AND(R638=1,J638="Record or Recall",K638="12-23 m"),1,0)</f>
        <v>0</v>
      </c>
      <c r="T638" s="7" t="n">
        <f aca="false">IF(OR(I638="BCG",I638="DTP1",I638="DTP3",I638="POL3",I638="MCV1",I638="FULL"),1,0)</f>
        <v>0</v>
      </c>
      <c r="U638" s="7" t="n">
        <f aca="false">IF(OR(C638="DHS",C638="MICS"),1,0)</f>
        <v>1</v>
      </c>
      <c r="V638" s="7" t="n">
        <f aca="false">IF(O638="",1,0)</f>
        <v>0</v>
      </c>
      <c r="W638" s="7" t="n">
        <f aca="false">IF(M638="",1,0)</f>
        <v>0</v>
      </c>
      <c r="X638" s="7" t="n">
        <f aca="false">COUNTIFS($B$2:$B$1141,B638,$H$2:$H$1141,H638,$I$2:$I$1141,I638,$J$2:$J$1141,J638,$K$2:$K$1141,K638,$L$2:$L$1141,L638)</f>
        <v>1</v>
      </c>
    </row>
    <row r="639" customFormat="false" ht="15" hidden="false" customHeight="false" outlineLevel="0" collapsed="false">
      <c r="A639" s="7" t="n">
        <f aca="false">ROW()-1</f>
        <v>638</v>
      </c>
      <c r="B639" s="7" t="str">
        <f aca="false">IF(Raw_Nigeria!B639="",TRIM(Raw_Nigeria!C639),TRIM(Raw_Nigeria!B639))</f>
        <v>Nigeria Demographic and Health Survey 2018</v>
      </c>
      <c r="C639" s="7" t="str">
        <f aca="false">IF(ISNUMBER(SEARCH("Demographic and Health",B639)),"DHS",IF(OR(ISNUMBER(SEARCH("Multiple Indicator Cluster",B639)),ISNUMBER(SEARCH("MICS",B639))),"MICS",IF(ISNUMBER(SEARCH("Immunization Coverage Survey",B639)),"Coverage survey",IF(ISNUMBER(SEARCH("Nutrition",B639)),"Nutrition survey","Other"))))</f>
        <v>DHS</v>
      </c>
      <c r="D639" s="7" t="n">
        <f aca="false">VALUE(LEFT(Raw_Nigeria!D639,4))</f>
        <v>2018</v>
      </c>
      <c r="E639" s="7" t="n">
        <f aca="false">IF(VALUE(RIGHT(Raw_Nigeria!D639,2))&gt;12,"",VALUE(RIGHT(Raw_Nigeria!D639,2)))</f>
        <v>8</v>
      </c>
      <c r="F639" s="7" t="n">
        <f aca="false">VALUE(LEFT(Raw_Nigeria!E639,4))</f>
        <v>2018</v>
      </c>
      <c r="G639" s="7" t="n">
        <f aca="false">IF(VALUE(RIGHT(Raw_Nigeria!E639,2))&gt;12,"",VALUE(RIGHT(Raw_Nigeria!E639,2)))</f>
        <v>12</v>
      </c>
      <c r="H639" s="7" t="n">
        <f aca="false">Raw_Nigeria!F639</f>
        <v>2017</v>
      </c>
      <c r="I639" s="7" t="str">
        <f aca="false">UPPER(TRIM(Raw_Nigeria!G639))</f>
        <v>FULL &lt;1 YEAR</v>
      </c>
      <c r="J639" s="7" t="str">
        <f aca="false">Raw_Nigeria!H639</f>
        <v>Record</v>
      </c>
      <c r="K639" s="7" t="str">
        <f aca="false">Raw_Nigeria!L639</f>
        <v>12-23 m</v>
      </c>
      <c r="L639" s="7" t="str">
        <f aca="false">IF(Raw_Nigeria!K639="","n/a",Raw_Nigeria!K639)</f>
        <v>0-23 m</v>
      </c>
      <c r="M639" s="7" t="n">
        <f aca="false">IF(Raw_Nigeria!I639="","",Raw_Nigeria!I639)</f>
        <v>40</v>
      </c>
      <c r="N639" s="7" t="n">
        <f aca="false">Raw_Nigeria!M639</f>
        <v>18.5</v>
      </c>
      <c r="O639" s="7" t="n">
        <f aca="false">IF(Raw_Nigeria!N639="","",Raw_Nigeria!N639)</f>
        <v>2459</v>
      </c>
      <c r="P639" s="7" t="str">
        <f aca="false">IF(K639="CBAW","Women of child-bearing age","Children")</f>
        <v>Children</v>
      </c>
      <c r="Q639" s="7" t="n">
        <f aca="false">IF(J639="NOT USED",1,0)</f>
        <v>0</v>
      </c>
      <c r="R639" s="7" t="n">
        <f aca="false">IF(AND(P639="Children",Q639=0),1,0)</f>
        <v>1</v>
      </c>
      <c r="S639" s="7" t="n">
        <f aca="false">IF(AND(R639=1,J639="Record or Recall",K639="12-23 m"),1,0)</f>
        <v>0</v>
      </c>
      <c r="T639" s="7" t="n">
        <f aca="false">IF(OR(I639="BCG",I639="DTP1",I639="DTP3",I639="POL3",I639="MCV1",I639="FULL"),1,0)</f>
        <v>0</v>
      </c>
      <c r="U639" s="7" t="n">
        <f aca="false">IF(OR(C639="DHS",C639="MICS"),1,0)</f>
        <v>1</v>
      </c>
      <c r="V639" s="7" t="n">
        <f aca="false">IF(O639="",1,0)</f>
        <v>0</v>
      </c>
      <c r="W639" s="7" t="n">
        <f aca="false">IF(M639="",1,0)</f>
        <v>0</v>
      </c>
      <c r="X639" s="7" t="n">
        <f aca="false">COUNTIFS($B$2:$B$1141,B639,$H$2:$H$1141,H639,$I$2:$I$1141,I639,$J$2:$J$1141,J639,$K$2:$K$1141,K639,$L$2:$L$1141,L639)</f>
        <v>1</v>
      </c>
    </row>
    <row r="640" customFormat="false" ht="15" hidden="false" customHeight="false" outlineLevel="0" collapsed="false">
      <c r="A640" s="7" t="n">
        <f aca="false">ROW()-1</f>
        <v>639</v>
      </c>
      <c r="B640" s="7" t="str">
        <f aca="false">IF(Raw_Nigeria!B640="",TRIM(Raw_Nigeria!C640),TRIM(Raw_Nigeria!B640))</f>
        <v>Nigeria Demographic and Health Survey 2018</v>
      </c>
      <c r="C640" s="7" t="str">
        <f aca="false">IF(ISNUMBER(SEARCH("Demographic and Health",B640)),"DHS",IF(OR(ISNUMBER(SEARCH("Multiple Indicator Cluster",B640)),ISNUMBER(SEARCH("MICS",B640))),"MICS",IF(ISNUMBER(SEARCH("Immunization Coverage Survey",B640)),"Coverage survey",IF(ISNUMBER(SEARCH("Nutrition",B640)),"Nutrition survey","Other"))))</f>
        <v>DHS</v>
      </c>
      <c r="D640" s="7" t="n">
        <f aca="false">VALUE(LEFT(Raw_Nigeria!D640,4))</f>
        <v>2018</v>
      </c>
      <c r="E640" s="7" t="n">
        <f aca="false">IF(VALUE(RIGHT(Raw_Nigeria!D640,2))&gt;12,"",VALUE(RIGHT(Raw_Nigeria!D640,2)))</f>
        <v>8</v>
      </c>
      <c r="F640" s="7" t="n">
        <f aca="false">VALUE(LEFT(Raw_Nigeria!E640,4))</f>
        <v>2018</v>
      </c>
      <c r="G640" s="7" t="n">
        <f aca="false">IF(VALUE(RIGHT(Raw_Nigeria!E640,2))&gt;12,"",VALUE(RIGHT(Raw_Nigeria!E640,2)))</f>
        <v>12</v>
      </c>
      <c r="H640" s="7" t="n">
        <f aca="false">Raw_Nigeria!F640</f>
        <v>2017</v>
      </c>
      <c r="I640" s="7" t="str">
        <f aca="false">UPPER(TRIM(Raw_Nigeria!G640))</f>
        <v>FULL &lt;1 YEAR</v>
      </c>
      <c r="J640" s="7" t="str">
        <f aca="false">Raw_Nigeria!H640</f>
        <v>Record or Recall</v>
      </c>
      <c r="K640" s="7" t="str">
        <f aca="false">Raw_Nigeria!L640</f>
        <v>12-23 m</v>
      </c>
      <c r="L640" s="7" t="str">
        <f aca="false">IF(Raw_Nigeria!K640="","n/a",Raw_Nigeria!K640)</f>
        <v>0-23 m</v>
      </c>
      <c r="M640" s="7" t="n">
        <f aca="false">IF(Raw_Nigeria!I640="","",Raw_Nigeria!I640)</f>
        <v>40</v>
      </c>
      <c r="N640" s="7" t="n">
        <f aca="false">Raw_Nigeria!M640</f>
        <v>21</v>
      </c>
      <c r="O640" s="7" t="n">
        <f aca="false">IF(Raw_Nigeria!N640="","",Raw_Nigeria!N640)</f>
        <v>6143</v>
      </c>
      <c r="P640" s="7" t="str">
        <f aca="false">IF(K640="CBAW","Women of child-bearing age","Children")</f>
        <v>Children</v>
      </c>
      <c r="Q640" s="7" t="n">
        <f aca="false">IF(J640="NOT USED",1,0)</f>
        <v>0</v>
      </c>
      <c r="R640" s="7" t="n">
        <f aca="false">IF(AND(P640="Children",Q640=0),1,0)</f>
        <v>1</v>
      </c>
      <c r="S640" s="7" t="n">
        <f aca="false">IF(AND(R640=1,J640="Record or Recall",K640="12-23 m"),1,0)</f>
        <v>1</v>
      </c>
      <c r="T640" s="7" t="n">
        <f aca="false">IF(OR(I640="BCG",I640="DTP1",I640="DTP3",I640="POL3",I640="MCV1",I640="FULL"),1,0)</f>
        <v>0</v>
      </c>
      <c r="U640" s="7" t="n">
        <f aca="false">IF(OR(C640="DHS",C640="MICS"),1,0)</f>
        <v>1</v>
      </c>
      <c r="V640" s="7" t="n">
        <f aca="false">IF(O640="",1,0)</f>
        <v>0</v>
      </c>
      <c r="W640" s="7" t="n">
        <f aca="false">IF(M640="",1,0)</f>
        <v>0</v>
      </c>
      <c r="X640" s="7" t="n">
        <f aca="false">COUNTIFS($B$2:$B$1141,B640,$H$2:$H$1141,H640,$I$2:$I$1141,I640,$J$2:$J$1141,J640,$K$2:$K$1141,K640,$L$2:$L$1141,L640)</f>
        <v>1</v>
      </c>
    </row>
    <row r="641" customFormat="false" ht="15" hidden="false" customHeight="false" outlineLevel="0" collapsed="false">
      <c r="A641" s="7" t="n">
        <f aca="false">ROW()-1</f>
        <v>640</v>
      </c>
      <c r="B641" s="7" t="str">
        <f aca="false">IF(Raw_Nigeria!B641="",TRIM(Raw_Nigeria!C641),TRIM(Raw_Nigeria!B641))</f>
        <v>Nigeria Demographic and Health Survey 2018</v>
      </c>
      <c r="C641" s="7" t="str">
        <f aca="false">IF(ISNUMBER(SEARCH("Demographic and Health",B641)),"DHS",IF(OR(ISNUMBER(SEARCH("Multiple Indicator Cluster",B641)),ISNUMBER(SEARCH("MICS",B641))),"MICS",IF(ISNUMBER(SEARCH("Immunization Coverage Survey",B641)),"Coverage survey",IF(ISNUMBER(SEARCH("Nutrition",B641)),"Nutrition survey","Other"))))</f>
        <v>DHS</v>
      </c>
      <c r="D641" s="7" t="n">
        <f aca="false">VALUE(LEFT(Raw_Nigeria!D641,4))</f>
        <v>2018</v>
      </c>
      <c r="E641" s="7" t="n">
        <f aca="false">IF(VALUE(RIGHT(Raw_Nigeria!D641,2))&gt;12,"",VALUE(RIGHT(Raw_Nigeria!D641,2)))</f>
        <v>8</v>
      </c>
      <c r="F641" s="7" t="n">
        <f aca="false">VALUE(LEFT(Raw_Nigeria!E641,4))</f>
        <v>2018</v>
      </c>
      <c r="G641" s="7" t="n">
        <f aca="false">IF(VALUE(RIGHT(Raw_Nigeria!E641,2))&gt;12,"",VALUE(RIGHT(Raw_Nigeria!E641,2)))</f>
        <v>12</v>
      </c>
      <c r="H641" s="7" t="n">
        <f aca="false">Raw_Nigeria!F641</f>
        <v>2017</v>
      </c>
      <c r="I641" s="7" t="str">
        <f aca="false">UPPER(TRIM(Raw_Nigeria!G641))</f>
        <v>FULL &lt;1 YEAR</v>
      </c>
      <c r="J641" s="7" t="str">
        <f aca="false">Raw_Nigeria!H641</f>
        <v>Recall</v>
      </c>
      <c r="K641" s="7" t="str">
        <f aca="false">Raw_Nigeria!L641</f>
        <v>12-23 m</v>
      </c>
      <c r="L641" s="7" t="str">
        <f aca="false">IF(Raw_Nigeria!K641="","n/a",Raw_Nigeria!K641)</f>
        <v>0-23 m</v>
      </c>
      <c r="M641" s="7" t="n">
        <f aca="false">IF(Raw_Nigeria!I641="","",Raw_Nigeria!I641)</f>
        <v>40</v>
      </c>
      <c r="N641" s="7" t="n">
        <f aca="false">Raw_Nigeria!M641</f>
        <v>2.5</v>
      </c>
      <c r="O641" s="7" t="n">
        <f aca="false">IF(Raw_Nigeria!N641="","",Raw_Nigeria!N641)</f>
        <v>3684</v>
      </c>
      <c r="P641" s="7" t="str">
        <f aca="false">IF(K641="CBAW","Women of child-bearing age","Children")</f>
        <v>Children</v>
      </c>
      <c r="Q641" s="7" t="n">
        <f aca="false">IF(J641="NOT USED",1,0)</f>
        <v>0</v>
      </c>
      <c r="R641" s="7" t="n">
        <f aca="false">IF(AND(P641="Children",Q641=0),1,0)</f>
        <v>1</v>
      </c>
      <c r="S641" s="7" t="n">
        <f aca="false">IF(AND(R641=1,J641="Record or Recall",K641="12-23 m"),1,0)</f>
        <v>0</v>
      </c>
      <c r="T641" s="7" t="n">
        <f aca="false">IF(OR(I641="BCG",I641="DTP1",I641="DTP3",I641="POL3",I641="MCV1",I641="FULL"),1,0)</f>
        <v>0</v>
      </c>
      <c r="U641" s="7" t="n">
        <f aca="false">IF(OR(C641="DHS",C641="MICS"),1,0)</f>
        <v>1</v>
      </c>
      <c r="V641" s="7" t="n">
        <f aca="false">IF(O641="",1,0)</f>
        <v>0</v>
      </c>
      <c r="W641" s="7" t="n">
        <f aca="false">IF(M641="",1,0)</f>
        <v>0</v>
      </c>
      <c r="X641" s="7" t="n">
        <f aca="false">COUNTIFS($B$2:$B$1141,B641,$H$2:$H$1141,H641,$I$2:$I$1141,I641,$J$2:$J$1141,J641,$K$2:$K$1141,K641,$L$2:$L$1141,L641)</f>
        <v>1</v>
      </c>
    </row>
    <row r="642" customFormat="false" ht="15" hidden="false" customHeight="false" outlineLevel="0" collapsed="false">
      <c r="A642" s="7" t="n">
        <f aca="false">ROW()-1</f>
        <v>641</v>
      </c>
      <c r="B642" s="7" t="str">
        <f aca="false">IF(Raw_Nigeria!B642="",TRIM(Raw_Nigeria!C642),TRIM(Raw_Nigeria!B642))</f>
        <v>Nigeria Demographic and Health Survey 2018</v>
      </c>
      <c r="C642" s="7" t="str">
        <f aca="false">IF(ISNUMBER(SEARCH("Demographic and Health",B642)),"DHS",IF(OR(ISNUMBER(SEARCH("Multiple Indicator Cluster",B642)),ISNUMBER(SEARCH("MICS",B642))),"MICS",IF(ISNUMBER(SEARCH("Immunization Coverage Survey",B642)),"Coverage survey",IF(ISNUMBER(SEARCH("Nutrition",B642)),"Nutrition survey","Other"))))</f>
        <v>DHS</v>
      </c>
      <c r="D642" s="7" t="n">
        <f aca="false">VALUE(LEFT(Raw_Nigeria!D642,4))</f>
        <v>2018</v>
      </c>
      <c r="E642" s="7" t="n">
        <f aca="false">IF(VALUE(RIGHT(Raw_Nigeria!D642,2))&gt;12,"",VALUE(RIGHT(Raw_Nigeria!D642,2)))</f>
        <v>8</v>
      </c>
      <c r="F642" s="7" t="n">
        <f aca="false">VALUE(LEFT(Raw_Nigeria!E642,4))</f>
        <v>2018</v>
      </c>
      <c r="G642" s="7" t="n">
        <f aca="false">IF(VALUE(RIGHT(Raw_Nigeria!E642,2))&gt;12,"",VALUE(RIGHT(Raw_Nigeria!E642,2)))</f>
        <v>12</v>
      </c>
      <c r="H642" s="7" t="n">
        <f aca="false">Raw_Nigeria!F642</f>
        <v>2017</v>
      </c>
      <c r="I642" s="7" t="str">
        <f aca="false">UPPER(TRIM(Raw_Nigeria!G642))</f>
        <v>HEPB1</v>
      </c>
      <c r="J642" s="7" t="str">
        <f aca="false">Raw_Nigeria!H642</f>
        <v>Record or Recall&lt;12m</v>
      </c>
      <c r="K642" s="7" t="str">
        <f aca="false">Raw_Nigeria!L642</f>
        <v>12-23 m</v>
      </c>
      <c r="L642" s="7" t="str">
        <f aca="false">IF(Raw_Nigeria!K642="","n/a",Raw_Nigeria!K642)</f>
        <v>0-12 m</v>
      </c>
      <c r="M642" s="7" t="n">
        <f aca="false">IF(Raw_Nigeria!I642="","",Raw_Nigeria!I642)</f>
        <v>40</v>
      </c>
      <c r="N642" s="7" t="n">
        <f aca="false">Raw_Nigeria!M642</f>
        <v>64.5</v>
      </c>
      <c r="O642" s="7" t="n">
        <f aca="false">IF(Raw_Nigeria!N642="","",Raw_Nigeria!N642)</f>
        <v>6143</v>
      </c>
      <c r="P642" s="7" t="str">
        <f aca="false">IF(K642="CBAW","Women of child-bearing age","Children")</f>
        <v>Children</v>
      </c>
      <c r="Q642" s="7" t="n">
        <f aca="false">IF(J642="NOT USED",1,0)</f>
        <v>0</v>
      </c>
      <c r="R642" s="7" t="n">
        <f aca="false">IF(AND(P642="Children",Q642=0),1,0)</f>
        <v>1</v>
      </c>
      <c r="S642" s="7" t="n">
        <f aca="false">IF(AND(R642=1,J642="Record or Recall",K642="12-23 m"),1,0)</f>
        <v>0</v>
      </c>
      <c r="T642" s="7" t="n">
        <f aca="false">IF(OR(I642="BCG",I642="DTP1",I642="DTP3",I642="POL3",I642="MCV1",I642="FULL"),1,0)</f>
        <v>0</v>
      </c>
      <c r="U642" s="7" t="n">
        <f aca="false">IF(OR(C642="DHS",C642="MICS"),1,0)</f>
        <v>1</v>
      </c>
      <c r="V642" s="7" t="n">
        <f aca="false">IF(O642="",1,0)</f>
        <v>0</v>
      </c>
      <c r="W642" s="7" t="n">
        <f aca="false">IF(M642="",1,0)</f>
        <v>0</v>
      </c>
      <c r="X642" s="7" t="n">
        <f aca="false">COUNTIFS($B$2:$B$1141,B642,$H$2:$H$1141,H642,$I$2:$I$1141,I642,$J$2:$J$1141,J642,$K$2:$K$1141,K642,$L$2:$L$1141,L642)</f>
        <v>1</v>
      </c>
    </row>
    <row r="643" customFormat="false" ht="15" hidden="false" customHeight="false" outlineLevel="0" collapsed="false">
      <c r="A643" s="7" t="n">
        <f aca="false">ROW()-1</f>
        <v>642</v>
      </c>
      <c r="B643" s="7" t="str">
        <f aca="false">IF(Raw_Nigeria!B643="",TRIM(Raw_Nigeria!C643),TRIM(Raw_Nigeria!B643))</f>
        <v>Nigeria Demographic and Health Survey 2018</v>
      </c>
      <c r="C643" s="7" t="str">
        <f aca="false">IF(ISNUMBER(SEARCH("Demographic and Health",B643)),"DHS",IF(OR(ISNUMBER(SEARCH("Multiple Indicator Cluster",B643)),ISNUMBER(SEARCH("MICS",B643))),"MICS",IF(ISNUMBER(SEARCH("Immunization Coverage Survey",B643)),"Coverage survey",IF(ISNUMBER(SEARCH("Nutrition",B643)),"Nutrition survey","Other"))))</f>
        <v>DHS</v>
      </c>
      <c r="D643" s="7" t="n">
        <f aca="false">VALUE(LEFT(Raw_Nigeria!D643,4))</f>
        <v>2018</v>
      </c>
      <c r="E643" s="7" t="n">
        <f aca="false">IF(VALUE(RIGHT(Raw_Nigeria!D643,2))&gt;12,"",VALUE(RIGHT(Raw_Nigeria!D643,2)))</f>
        <v>8</v>
      </c>
      <c r="F643" s="7" t="n">
        <f aca="false">VALUE(LEFT(Raw_Nigeria!E643,4))</f>
        <v>2018</v>
      </c>
      <c r="G643" s="7" t="n">
        <f aca="false">IF(VALUE(RIGHT(Raw_Nigeria!E643,2))&gt;12,"",VALUE(RIGHT(Raw_Nigeria!E643,2)))</f>
        <v>12</v>
      </c>
      <c r="H643" s="7" t="n">
        <f aca="false">Raw_Nigeria!F643</f>
        <v>2017</v>
      </c>
      <c r="I643" s="7" t="str">
        <f aca="false">UPPER(TRIM(Raw_Nigeria!G643))</f>
        <v>HEPB1</v>
      </c>
      <c r="J643" s="7" t="str">
        <f aca="false">Raw_Nigeria!H643</f>
        <v>Record</v>
      </c>
      <c r="K643" s="7" t="str">
        <f aca="false">Raw_Nigeria!L643</f>
        <v>12-23 m</v>
      </c>
      <c r="L643" s="7" t="str">
        <f aca="false">IF(Raw_Nigeria!K643="","n/a",Raw_Nigeria!K643)</f>
        <v>0-23 m</v>
      </c>
      <c r="M643" s="7" t="n">
        <f aca="false">IF(Raw_Nigeria!I643="","",Raw_Nigeria!I643)</f>
        <v>40</v>
      </c>
      <c r="N643" s="7" t="n">
        <f aca="false">Raw_Nigeria!M643</f>
        <v>37.9</v>
      </c>
      <c r="O643" s="7" t="n">
        <f aca="false">IF(Raw_Nigeria!N643="","",Raw_Nigeria!N643)</f>
        <v>2459</v>
      </c>
      <c r="P643" s="7" t="str">
        <f aca="false">IF(K643="CBAW","Women of child-bearing age","Children")</f>
        <v>Children</v>
      </c>
      <c r="Q643" s="7" t="n">
        <f aca="false">IF(J643="NOT USED",1,0)</f>
        <v>0</v>
      </c>
      <c r="R643" s="7" t="n">
        <f aca="false">IF(AND(P643="Children",Q643=0),1,0)</f>
        <v>1</v>
      </c>
      <c r="S643" s="7" t="n">
        <f aca="false">IF(AND(R643=1,J643="Record or Recall",K643="12-23 m"),1,0)</f>
        <v>0</v>
      </c>
      <c r="T643" s="7" t="n">
        <f aca="false">IF(OR(I643="BCG",I643="DTP1",I643="DTP3",I643="POL3",I643="MCV1",I643="FULL"),1,0)</f>
        <v>0</v>
      </c>
      <c r="U643" s="7" t="n">
        <f aca="false">IF(OR(C643="DHS",C643="MICS"),1,0)</f>
        <v>1</v>
      </c>
      <c r="V643" s="7" t="n">
        <f aca="false">IF(O643="",1,0)</f>
        <v>0</v>
      </c>
      <c r="W643" s="7" t="n">
        <f aca="false">IF(M643="",1,0)</f>
        <v>0</v>
      </c>
      <c r="X643" s="7" t="n">
        <f aca="false">COUNTIFS($B$2:$B$1141,B643,$H$2:$H$1141,H643,$I$2:$I$1141,I643,$J$2:$J$1141,J643,$K$2:$K$1141,K643,$L$2:$L$1141,L643)</f>
        <v>1</v>
      </c>
    </row>
    <row r="644" customFormat="false" ht="15" hidden="false" customHeight="false" outlineLevel="0" collapsed="false">
      <c r="A644" s="7" t="n">
        <f aca="false">ROW()-1</f>
        <v>643</v>
      </c>
      <c r="B644" s="7" t="str">
        <f aca="false">IF(Raw_Nigeria!B644="",TRIM(Raw_Nigeria!C644),TRIM(Raw_Nigeria!B644))</f>
        <v>Nigeria Demographic and Health Survey 2018</v>
      </c>
      <c r="C644" s="7" t="str">
        <f aca="false">IF(ISNUMBER(SEARCH("Demographic and Health",B644)),"DHS",IF(OR(ISNUMBER(SEARCH("Multiple Indicator Cluster",B644)),ISNUMBER(SEARCH("MICS",B644))),"MICS",IF(ISNUMBER(SEARCH("Immunization Coverage Survey",B644)),"Coverage survey",IF(ISNUMBER(SEARCH("Nutrition",B644)),"Nutrition survey","Other"))))</f>
        <v>DHS</v>
      </c>
      <c r="D644" s="7" t="n">
        <f aca="false">VALUE(LEFT(Raw_Nigeria!D644,4))</f>
        <v>2018</v>
      </c>
      <c r="E644" s="7" t="n">
        <f aca="false">IF(VALUE(RIGHT(Raw_Nigeria!D644,2))&gt;12,"",VALUE(RIGHT(Raw_Nigeria!D644,2)))</f>
        <v>8</v>
      </c>
      <c r="F644" s="7" t="n">
        <f aca="false">VALUE(LEFT(Raw_Nigeria!E644,4))</f>
        <v>2018</v>
      </c>
      <c r="G644" s="7" t="n">
        <f aca="false">IF(VALUE(RIGHT(Raw_Nigeria!E644,2))&gt;12,"",VALUE(RIGHT(Raw_Nigeria!E644,2)))</f>
        <v>12</v>
      </c>
      <c r="H644" s="7" t="n">
        <f aca="false">Raw_Nigeria!F644</f>
        <v>2017</v>
      </c>
      <c r="I644" s="7" t="str">
        <f aca="false">UPPER(TRIM(Raw_Nigeria!G644))</f>
        <v>HEPB1</v>
      </c>
      <c r="J644" s="7" t="str">
        <f aca="false">Raw_Nigeria!H644</f>
        <v>Record or Recall</v>
      </c>
      <c r="K644" s="7" t="str">
        <f aca="false">Raw_Nigeria!L644</f>
        <v>12-23 m</v>
      </c>
      <c r="L644" s="7" t="str">
        <f aca="false">IF(Raw_Nigeria!K644="","n/a",Raw_Nigeria!K644)</f>
        <v>0-23 m</v>
      </c>
      <c r="M644" s="7" t="n">
        <f aca="false">IF(Raw_Nigeria!I644="","",Raw_Nigeria!I644)</f>
        <v>40</v>
      </c>
      <c r="N644" s="7" t="n">
        <f aca="false">Raw_Nigeria!M644</f>
        <v>65.3</v>
      </c>
      <c r="O644" s="7" t="n">
        <f aca="false">IF(Raw_Nigeria!N644="","",Raw_Nigeria!N644)</f>
        <v>6143</v>
      </c>
      <c r="P644" s="7" t="str">
        <f aca="false">IF(K644="CBAW","Women of child-bearing age","Children")</f>
        <v>Children</v>
      </c>
      <c r="Q644" s="7" t="n">
        <f aca="false">IF(J644="NOT USED",1,0)</f>
        <v>0</v>
      </c>
      <c r="R644" s="7" t="n">
        <f aca="false">IF(AND(P644="Children",Q644=0),1,0)</f>
        <v>1</v>
      </c>
      <c r="S644" s="7" t="n">
        <f aca="false">IF(AND(R644=1,J644="Record or Recall",K644="12-23 m"),1,0)</f>
        <v>1</v>
      </c>
      <c r="T644" s="7" t="n">
        <f aca="false">IF(OR(I644="BCG",I644="DTP1",I644="DTP3",I644="POL3",I644="MCV1",I644="FULL"),1,0)</f>
        <v>0</v>
      </c>
      <c r="U644" s="7" t="n">
        <f aca="false">IF(OR(C644="DHS",C644="MICS"),1,0)</f>
        <v>1</v>
      </c>
      <c r="V644" s="7" t="n">
        <f aca="false">IF(O644="",1,0)</f>
        <v>0</v>
      </c>
      <c r="W644" s="7" t="n">
        <f aca="false">IF(M644="",1,0)</f>
        <v>0</v>
      </c>
      <c r="X644" s="7" t="n">
        <f aca="false">COUNTIFS($B$2:$B$1141,B644,$H$2:$H$1141,H644,$I$2:$I$1141,I644,$J$2:$J$1141,J644,$K$2:$K$1141,K644,$L$2:$L$1141,L644)</f>
        <v>1</v>
      </c>
    </row>
    <row r="645" customFormat="false" ht="15" hidden="false" customHeight="false" outlineLevel="0" collapsed="false">
      <c r="A645" s="7" t="n">
        <f aca="false">ROW()-1</f>
        <v>644</v>
      </c>
      <c r="B645" s="7" t="str">
        <f aca="false">IF(Raw_Nigeria!B645="",TRIM(Raw_Nigeria!C645),TRIM(Raw_Nigeria!B645))</f>
        <v>Nigeria Demographic and Health Survey 2018</v>
      </c>
      <c r="C645" s="7" t="str">
        <f aca="false">IF(ISNUMBER(SEARCH("Demographic and Health",B645)),"DHS",IF(OR(ISNUMBER(SEARCH("Multiple Indicator Cluster",B645)),ISNUMBER(SEARCH("MICS",B645))),"MICS",IF(ISNUMBER(SEARCH("Immunization Coverage Survey",B645)),"Coverage survey",IF(ISNUMBER(SEARCH("Nutrition",B645)),"Nutrition survey","Other"))))</f>
        <v>DHS</v>
      </c>
      <c r="D645" s="7" t="n">
        <f aca="false">VALUE(LEFT(Raw_Nigeria!D645,4))</f>
        <v>2018</v>
      </c>
      <c r="E645" s="7" t="n">
        <f aca="false">IF(VALUE(RIGHT(Raw_Nigeria!D645,2))&gt;12,"",VALUE(RIGHT(Raw_Nigeria!D645,2)))</f>
        <v>8</v>
      </c>
      <c r="F645" s="7" t="n">
        <f aca="false">VALUE(LEFT(Raw_Nigeria!E645,4))</f>
        <v>2018</v>
      </c>
      <c r="G645" s="7" t="n">
        <f aca="false">IF(VALUE(RIGHT(Raw_Nigeria!E645,2))&gt;12,"",VALUE(RIGHT(Raw_Nigeria!E645,2)))</f>
        <v>12</v>
      </c>
      <c r="H645" s="7" t="n">
        <f aca="false">Raw_Nigeria!F645</f>
        <v>2017</v>
      </c>
      <c r="I645" s="7" t="str">
        <f aca="false">UPPER(TRIM(Raw_Nigeria!G645))</f>
        <v>HEPB1</v>
      </c>
      <c r="J645" s="7" t="str">
        <f aca="false">Raw_Nigeria!H645</f>
        <v>Recall</v>
      </c>
      <c r="K645" s="7" t="str">
        <f aca="false">Raw_Nigeria!L645</f>
        <v>12-23 m</v>
      </c>
      <c r="L645" s="7" t="str">
        <f aca="false">IF(Raw_Nigeria!K645="","n/a",Raw_Nigeria!K645)</f>
        <v>0-23 m</v>
      </c>
      <c r="M645" s="7" t="n">
        <f aca="false">IF(Raw_Nigeria!I645="","",Raw_Nigeria!I645)</f>
        <v>40</v>
      </c>
      <c r="N645" s="7" t="n">
        <f aca="false">Raw_Nigeria!M645</f>
        <v>27.4</v>
      </c>
      <c r="O645" s="7" t="n">
        <f aca="false">IF(Raw_Nigeria!N645="","",Raw_Nigeria!N645)</f>
        <v>3684</v>
      </c>
      <c r="P645" s="7" t="str">
        <f aca="false">IF(K645="CBAW","Women of child-bearing age","Children")</f>
        <v>Children</v>
      </c>
      <c r="Q645" s="7" t="n">
        <f aca="false">IF(J645="NOT USED",1,0)</f>
        <v>0</v>
      </c>
      <c r="R645" s="7" t="n">
        <f aca="false">IF(AND(P645="Children",Q645=0),1,0)</f>
        <v>1</v>
      </c>
      <c r="S645" s="7" t="n">
        <f aca="false">IF(AND(R645=1,J645="Record or Recall",K645="12-23 m"),1,0)</f>
        <v>0</v>
      </c>
      <c r="T645" s="7" t="n">
        <f aca="false">IF(OR(I645="BCG",I645="DTP1",I645="DTP3",I645="POL3",I645="MCV1",I645="FULL"),1,0)</f>
        <v>0</v>
      </c>
      <c r="U645" s="7" t="n">
        <f aca="false">IF(OR(C645="DHS",C645="MICS"),1,0)</f>
        <v>1</v>
      </c>
      <c r="V645" s="7" t="n">
        <f aca="false">IF(O645="",1,0)</f>
        <v>0</v>
      </c>
      <c r="W645" s="7" t="n">
        <f aca="false">IF(M645="",1,0)</f>
        <v>0</v>
      </c>
      <c r="X645" s="7" t="n">
        <f aca="false">COUNTIFS($B$2:$B$1141,B645,$H$2:$H$1141,H645,$I$2:$I$1141,I645,$J$2:$J$1141,J645,$K$2:$K$1141,K645,$L$2:$L$1141,L645)</f>
        <v>1</v>
      </c>
    </row>
    <row r="646" customFormat="false" ht="15" hidden="false" customHeight="false" outlineLevel="0" collapsed="false">
      <c r="A646" s="7" t="n">
        <f aca="false">ROW()-1</f>
        <v>645</v>
      </c>
      <c r="B646" s="7" t="str">
        <f aca="false">IF(Raw_Nigeria!B646="",TRIM(Raw_Nigeria!C646),TRIM(Raw_Nigeria!B646))</f>
        <v>Nigeria Demographic and Health Survey 2018</v>
      </c>
      <c r="C646" s="7" t="str">
        <f aca="false">IF(ISNUMBER(SEARCH("Demographic and Health",B646)),"DHS",IF(OR(ISNUMBER(SEARCH("Multiple Indicator Cluster",B646)),ISNUMBER(SEARCH("MICS",B646))),"MICS",IF(ISNUMBER(SEARCH("Immunization Coverage Survey",B646)),"Coverage survey",IF(ISNUMBER(SEARCH("Nutrition",B646)),"Nutrition survey","Other"))))</f>
        <v>DHS</v>
      </c>
      <c r="D646" s="7" t="n">
        <f aca="false">VALUE(LEFT(Raw_Nigeria!D646,4))</f>
        <v>2018</v>
      </c>
      <c r="E646" s="7" t="n">
        <f aca="false">IF(VALUE(RIGHT(Raw_Nigeria!D646,2))&gt;12,"",VALUE(RIGHT(Raw_Nigeria!D646,2)))</f>
        <v>8</v>
      </c>
      <c r="F646" s="7" t="n">
        <f aca="false">VALUE(LEFT(Raw_Nigeria!E646,4))</f>
        <v>2018</v>
      </c>
      <c r="G646" s="7" t="n">
        <f aca="false">IF(VALUE(RIGHT(Raw_Nigeria!E646,2))&gt;12,"",VALUE(RIGHT(Raw_Nigeria!E646,2)))</f>
        <v>12</v>
      </c>
      <c r="H646" s="7" t="n">
        <f aca="false">Raw_Nigeria!F646</f>
        <v>2017</v>
      </c>
      <c r="I646" s="7" t="str">
        <f aca="false">UPPER(TRIM(Raw_Nigeria!G646))</f>
        <v>HEPB2</v>
      </c>
      <c r="J646" s="7" t="str">
        <f aca="false">Raw_Nigeria!H646</f>
        <v>Record or Recall&lt;12m</v>
      </c>
      <c r="K646" s="7" t="str">
        <f aca="false">Raw_Nigeria!L646</f>
        <v>12-23 m</v>
      </c>
      <c r="L646" s="7" t="str">
        <f aca="false">IF(Raw_Nigeria!K646="","n/a",Raw_Nigeria!K646)</f>
        <v>0-12 m</v>
      </c>
      <c r="M646" s="7" t="n">
        <f aca="false">IF(Raw_Nigeria!I646="","",Raw_Nigeria!I646)</f>
        <v>40</v>
      </c>
      <c r="N646" s="7" t="n">
        <f aca="false">Raw_Nigeria!M646</f>
        <v>56.6</v>
      </c>
      <c r="O646" s="7" t="n">
        <f aca="false">IF(Raw_Nigeria!N646="","",Raw_Nigeria!N646)</f>
        <v>6143</v>
      </c>
      <c r="P646" s="7" t="str">
        <f aca="false">IF(K646="CBAW","Women of child-bearing age","Children")</f>
        <v>Children</v>
      </c>
      <c r="Q646" s="7" t="n">
        <f aca="false">IF(J646="NOT USED",1,0)</f>
        <v>0</v>
      </c>
      <c r="R646" s="7" t="n">
        <f aca="false">IF(AND(P646="Children",Q646=0),1,0)</f>
        <v>1</v>
      </c>
      <c r="S646" s="7" t="n">
        <f aca="false">IF(AND(R646=1,J646="Record or Recall",K646="12-23 m"),1,0)</f>
        <v>0</v>
      </c>
      <c r="T646" s="7" t="n">
        <f aca="false">IF(OR(I646="BCG",I646="DTP1",I646="DTP3",I646="POL3",I646="MCV1",I646="FULL"),1,0)</f>
        <v>0</v>
      </c>
      <c r="U646" s="7" t="n">
        <f aca="false">IF(OR(C646="DHS",C646="MICS"),1,0)</f>
        <v>1</v>
      </c>
      <c r="V646" s="7" t="n">
        <f aca="false">IF(O646="",1,0)</f>
        <v>0</v>
      </c>
      <c r="W646" s="7" t="n">
        <f aca="false">IF(M646="",1,0)</f>
        <v>0</v>
      </c>
      <c r="X646" s="7" t="n">
        <f aca="false">COUNTIFS($B$2:$B$1141,B646,$H$2:$H$1141,H646,$I$2:$I$1141,I646,$J$2:$J$1141,J646,$K$2:$K$1141,K646,$L$2:$L$1141,L646)</f>
        <v>1</v>
      </c>
    </row>
    <row r="647" customFormat="false" ht="15" hidden="false" customHeight="false" outlineLevel="0" collapsed="false">
      <c r="A647" s="7" t="n">
        <f aca="false">ROW()-1</f>
        <v>646</v>
      </c>
      <c r="B647" s="7" t="str">
        <f aca="false">IF(Raw_Nigeria!B647="",TRIM(Raw_Nigeria!C647),TRIM(Raw_Nigeria!B647))</f>
        <v>Nigeria Demographic and Health Survey 2018</v>
      </c>
      <c r="C647" s="7" t="str">
        <f aca="false">IF(ISNUMBER(SEARCH("Demographic and Health",B647)),"DHS",IF(OR(ISNUMBER(SEARCH("Multiple Indicator Cluster",B647)),ISNUMBER(SEARCH("MICS",B647))),"MICS",IF(ISNUMBER(SEARCH("Immunization Coverage Survey",B647)),"Coverage survey",IF(ISNUMBER(SEARCH("Nutrition",B647)),"Nutrition survey","Other"))))</f>
        <v>DHS</v>
      </c>
      <c r="D647" s="7" t="n">
        <f aca="false">VALUE(LEFT(Raw_Nigeria!D647,4))</f>
        <v>2018</v>
      </c>
      <c r="E647" s="7" t="n">
        <f aca="false">IF(VALUE(RIGHT(Raw_Nigeria!D647,2))&gt;12,"",VALUE(RIGHT(Raw_Nigeria!D647,2)))</f>
        <v>8</v>
      </c>
      <c r="F647" s="7" t="n">
        <f aca="false">VALUE(LEFT(Raw_Nigeria!E647,4))</f>
        <v>2018</v>
      </c>
      <c r="G647" s="7" t="n">
        <f aca="false">IF(VALUE(RIGHT(Raw_Nigeria!E647,2))&gt;12,"",VALUE(RIGHT(Raw_Nigeria!E647,2)))</f>
        <v>12</v>
      </c>
      <c r="H647" s="7" t="n">
        <f aca="false">Raw_Nigeria!F647</f>
        <v>2017</v>
      </c>
      <c r="I647" s="7" t="str">
        <f aca="false">UPPER(TRIM(Raw_Nigeria!G647))</f>
        <v>HEPB2</v>
      </c>
      <c r="J647" s="7" t="str">
        <f aca="false">Raw_Nigeria!H647</f>
        <v>Record</v>
      </c>
      <c r="K647" s="7" t="str">
        <f aca="false">Raw_Nigeria!L647</f>
        <v>12-23 m</v>
      </c>
      <c r="L647" s="7" t="str">
        <f aca="false">IF(Raw_Nigeria!K647="","n/a",Raw_Nigeria!K647)</f>
        <v>0-23 m</v>
      </c>
      <c r="M647" s="7" t="n">
        <f aca="false">IF(Raw_Nigeria!I647="","",Raw_Nigeria!I647)</f>
        <v>40</v>
      </c>
      <c r="N647" s="7" t="n">
        <f aca="false">Raw_Nigeria!M647</f>
        <v>35.5</v>
      </c>
      <c r="O647" s="7" t="n">
        <f aca="false">IF(Raw_Nigeria!N647="","",Raw_Nigeria!N647)</f>
        <v>2459</v>
      </c>
      <c r="P647" s="7" t="str">
        <f aca="false">IF(K647="CBAW","Women of child-bearing age","Children")</f>
        <v>Children</v>
      </c>
      <c r="Q647" s="7" t="n">
        <f aca="false">IF(J647="NOT USED",1,0)</f>
        <v>0</v>
      </c>
      <c r="R647" s="7" t="n">
        <f aca="false">IF(AND(P647="Children",Q647=0),1,0)</f>
        <v>1</v>
      </c>
      <c r="S647" s="7" t="n">
        <f aca="false">IF(AND(R647=1,J647="Record or Recall",K647="12-23 m"),1,0)</f>
        <v>0</v>
      </c>
      <c r="T647" s="7" t="n">
        <f aca="false">IF(OR(I647="BCG",I647="DTP1",I647="DTP3",I647="POL3",I647="MCV1",I647="FULL"),1,0)</f>
        <v>0</v>
      </c>
      <c r="U647" s="7" t="n">
        <f aca="false">IF(OR(C647="DHS",C647="MICS"),1,0)</f>
        <v>1</v>
      </c>
      <c r="V647" s="7" t="n">
        <f aca="false">IF(O647="",1,0)</f>
        <v>0</v>
      </c>
      <c r="W647" s="7" t="n">
        <f aca="false">IF(M647="",1,0)</f>
        <v>0</v>
      </c>
      <c r="X647" s="7" t="n">
        <f aca="false">COUNTIFS($B$2:$B$1141,B647,$H$2:$H$1141,H647,$I$2:$I$1141,I647,$J$2:$J$1141,J647,$K$2:$K$1141,K647,$L$2:$L$1141,L647)</f>
        <v>1</v>
      </c>
    </row>
    <row r="648" customFormat="false" ht="15" hidden="false" customHeight="false" outlineLevel="0" collapsed="false">
      <c r="A648" s="7" t="n">
        <f aca="false">ROW()-1</f>
        <v>647</v>
      </c>
      <c r="B648" s="7" t="str">
        <f aca="false">IF(Raw_Nigeria!B648="",TRIM(Raw_Nigeria!C648),TRIM(Raw_Nigeria!B648))</f>
        <v>Nigeria Demographic and Health Survey 2018</v>
      </c>
      <c r="C648" s="7" t="str">
        <f aca="false">IF(ISNUMBER(SEARCH("Demographic and Health",B648)),"DHS",IF(OR(ISNUMBER(SEARCH("Multiple Indicator Cluster",B648)),ISNUMBER(SEARCH("MICS",B648))),"MICS",IF(ISNUMBER(SEARCH("Immunization Coverage Survey",B648)),"Coverage survey",IF(ISNUMBER(SEARCH("Nutrition",B648)),"Nutrition survey","Other"))))</f>
        <v>DHS</v>
      </c>
      <c r="D648" s="7" t="n">
        <f aca="false">VALUE(LEFT(Raw_Nigeria!D648,4))</f>
        <v>2018</v>
      </c>
      <c r="E648" s="7" t="n">
        <f aca="false">IF(VALUE(RIGHT(Raw_Nigeria!D648,2))&gt;12,"",VALUE(RIGHT(Raw_Nigeria!D648,2)))</f>
        <v>8</v>
      </c>
      <c r="F648" s="7" t="n">
        <f aca="false">VALUE(LEFT(Raw_Nigeria!E648,4))</f>
        <v>2018</v>
      </c>
      <c r="G648" s="7" t="n">
        <f aca="false">IF(VALUE(RIGHT(Raw_Nigeria!E648,2))&gt;12,"",VALUE(RIGHT(Raw_Nigeria!E648,2)))</f>
        <v>12</v>
      </c>
      <c r="H648" s="7" t="n">
        <f aca="false">Raw_Nigeria!F648</f>
        <v>2017</v>
      </c>
      <c r="I648" s="7" t="str">
        <f aca="false">UPPER(TRIM(Raw_Nigeria!G648))</f>
        <v>HEPB2</v>
      </c>
      <c r="J648" s="7" t="str">
        <f aca="false">Raw_Nigeria!H648</f>
        <v>Record or Recall</v>
      </c>
      <c r="K648" s="7" t="str">
        <f aca="false">Raw_Nigeria!L648</f>
        <v>12-23 m</v>
      </c>
      <c r="L648" s="7" t="str">
        <f aca="false">IF(Raw_Nigeria!K648="","n/a",Raw_Nigeria!K648)</f>
        <v>0-23 m</v>
      </c>
      <c r="M648" s="7" t="n">
        <f aca="false">IF(Raw_Nigeria!I648="","",Raw_Nigeria!I648)</f>
        <v>40</v>
      </c>
      <c r="N648" s="7" t="n">
        <f aca="false">Raw_Nigeria!M648</f>
        <v>57.8</v>
      </c>
      <c r="O648" s="7" t="n">
        <f aca="false">IF(Raw_Nigeria!N648="","",Raw_Nigeria!N648)</f>
        <v>6143</v>
      </c>
      <c r="P648" s="7" t="str">
        <f aca="false">IF(K648="CBAW","Women of child-bearing age","Children")</f>
        <v>Children</v>
      </c>
      <c r="Q648" s="7" t="n">
        <f aca="false">IF(J648="NOT USED",1,0)</f>
        <v>0</v>
      </c>
      <c r="R648" s="7" t="n">
        <f aca="false">IF(AND(P648="Children",Q648=0),1,0)</f>
        <v>1</v>
      </c>
      <c r="S648" s="7" t="n">
        <f aca="false">IF(AND(R648=1,J648="Record or Recall",K648="12-23 m"),1,0)</f>
        <v>1</v>
      </c>
      <c r="T648" s="7" t="n">
        <f aca="false">IF(OR(I648="BCG",I648="DTP1",I648="DTP3",I648="POL3",I648="MCV1",I648="FULL"),1,0)</f>
        <v>0</v>
      </c>
      <c r="U648" s="7" t="n">
        <f aca="false">IF(OR(C648="DHS",C648="MICS"),1,0)</f>
        <v>1</v>
      </c>
      <c r="V648" s="7" t="n">
        <f aca="false">IF(O648="",1,0)</f>
        <v>0</v>
      </c>
      <c r="W648" s="7" t="n">
        <f aca="false">IF(M648="",1,0)</f>
        <v>0</v>
      </c>
      <c r="X648" s="7" t="n">
        <f aca="false">COUNTIFS($B$2:$B$1141,B648,$H$2:$H$1141,H648,$I$2:$I$1141,I648,$J$2:$J$1141,J648,$K$2:$K$1141,K648,$L$2:$L$1141,L648)</f>
        <v>1</v>
      </c>
    </row>
    <row r="649" customFormat="false" ht="15" hidden="false" customHeight="false" outlineLevel="0" collapsed="false">
      <c r="A649" s="7" t="n">
        <f aca="false">ROW()-1</f>
        <v>648</v>
      </c>
      <c r="B649" s="7" t="str">
        <f aca="false">IF(Raw_Nigeria!B649="",TRIM(Raw_Nigeria!C649),TRIM(Raw_Nigeria!B649))</f>
        <v>Nigeria Demographic and Health Survey 2018</v>
      </c>
      <c r="C649" s="7" t="str">
        <f aca="false">IF(ISNUMBER(SEARCH("Demographic and Health",B649)),"DHS",IF(OR(ISNUMBER(SEARCH("Multiple Indicator Cluster",B649)),ISNUMBER(SEARCH("MICS",B649))),"MICS",IF(ISNUMBER(SEARCH("Immunization Coverage Survey",B649)),"Coverage survey",IF(ISNUMBER(SEARCH("Nutrition",B649)),"Nutrition survey","Other"))))</f>
        <v>DHS</v>
      </c>
      <c r="D649" s="7" t="n">
        <f aca="false">VALUE(LEFT(Raw_Nigeria!D649,4))</f>
        <v>2018</v>
      </c>
      <c r="E649" s="7" t="n">
        <f aca="false">IF(VALUE(RIGHT(Raw_Nigeria!D649,2))&gt;12,"",VALUE(RIGHT(Raw_Nigeria!D649,2)))</f>
        <v>8</v>
      </c>
      <c r="F649" s="7" t="n">
        <f aca="false">VALUE(LEFT(Raw_Nigeria!E649,4))</f>
        <v>2018</v>
      </c>
      <c r="G649" s="7" t="n">
        <f aca="false">IF(VALUE(RIGHT(Raw_Nigeria!E649,2))&gt;12,"",VALUE(RIGHT(Raw_Nigeria!E649,2)))</f>
        <v>12</v>
      </c>
      <c r="H649" s="7" t="n">
        <f aca="false">Raw_Nigeria!F649</f>
        <v>2017</v>
      </c>
      <c r="I649" s="7" t="str">
        <f aca="false">UPPER(TRIM(Raw_Nigeria!G649))</f>
        <v>HEPB2</v>
      </c>
      <c r="J649" s="7" t="str">
        <f aca="false">Raw_Nigeria!H649</f>
        <v>Recall</v>
      </c>
      <c r="K649" s="7" t="str">
        <f aca="false">Raw_Nigeria!L649</f>
        <v>12-23 m</v>
      </c>
      <c r="L649" s="7" t="str">
        <f aca="false">IF(Raw_Nigeria!K649="","n/a",Raw_Nigeria!K649)</f>
        <v>0-23 m</v>
      </c>
      <c r="M649" s="7" t="n">
        <f aca="false">IF(Raw_Nigeria!I649="","",Raw_Nigeria!I649)</f>
        <v>40</v>
      </c>
      <c r="N649" s="7" t="n">
        <f aca="false">Raw_Nigeria!M649</f>
        <v>22.4</v>
      </c>
      <c r="O649" s="7" t="n">
        <f aca="false">IF(Raw_Nigeria!N649="","",Raw_Nigeria!N649)</f>
        <v>3684</v>
      </c>
      <c r="P649" s="7" t="str">
        <f aca="false">IF(K649="CBAW","Women of child-bearing age","Children")</f>
        <v>Children</v>
      </c>
      <c r="Q649" s="7" t="n">
        <f aca="false">IF(J649="NOT USED",1,0)</f>
        <v>0</v>
      </c>
      <c r="R649" s="7" t="n">
        <f aca="false">IF(AND(P649="Children",Q649=0),1,0)</f>
        <v>1</v>
      </c>
      <c r="S649" s="7" t="n">
        <f aca="false">IF(AND(R649=1,J649="Record or Recall",K649="12-23 m"),1,0)</f>
        <v>0</v>
      </c>
      <c r="T649" s="7" t="n">
        <f aca="false">IF(OR(I649="BCG",I649="DTP1",I649="DTP3",I649="POL3",I649="MCV1",I649="FULL"),1,0)</f>
        <v>0</v>
      </c>
      <c r="U649" s="7" t="n">
        <f aca="false">IF(OR(C649="DHS",C649="MICS"),1,0)</f>
        <v>1</v>
      </c>
      <c r="V649" s="7" t="n">
        <f aca="false">IF(O649="",1,0)</f>
        <v>0</v>
      </c>
      <c r="W649" s="7" t="n">
        <f aca="false">IF(M649="",1,0)</f>
        <v>0</v>
      </c>
      <c r="X649" s="7" t="n">
        <f aca="false">COUNTIFS($B$2:$B$1141,B649,$H$2:$H$1141,H649,$I$2:$I$1141,I649,$J$2:$J$1141,J649,$K$2:$K$1141,K649,$L$2:$L$1141,L649)</f>
        <v>1</v>
      </c>
    </row>
    <row r="650" customFormat="false" ht="15" hidden="false" customHeight="false" outlineLevel="0" collapsed="false">
      <c r="A650" s="7" t="n">
        <f aca="false">ROW()-1</f>
        <v>649</v>
      </c>
      <c r="B650" s="7" t="str">
        <f aca="false">IF(Raw_Nigeria!B650="",TRIM(Raw_Nigeria!C650),TRIM(Raw_Nigeria!B650))</f>
        <v>Nigeria Demographic and Health Survey 2018</v>
      </c>
      <c r="C650" s="7" t="str">
        <f aca="false">IF(ISNUMBER(SEARCH("Demographic and Health",B650)),"DHS",IF(OR(ISNUMBER(SEARCH("Multiple Indicator Cluster",B650)),ISNUMBER(SEARCH("MICS",B650))),"MICS",IF(ISNUMBER(SEARCH("Immunization Coverage Survey",B650)),"Coverage survey",IF(ISNUMBER(SEARCH("Nutrition",B650)),"Nutrition survey","Other"))))</f>
        <v>DHS</v>
      </c>
      <c r="D650" s="7" t="n">
        <f aca="false">VALUE(LEFT(Raw_Nigeria!D650,4))</f>
        <v>2018</v>
      </c>
      <c r="E650" s="7" t="n">
        <f aca="false">IF(VALUE(RIGHT(Raw_Nigeria!D650,2))&gt;12,"",VALUE(RIGHT(Raw_Nigeria!D650,2)))</f>
        <v>8</v>
      </c>
      <c r="F650" s="7" t="n">
        <f aca="false">VALUE(LEFT(Raw_Nigeria!E650,4))</f>
        <v>2018</v>
      </c>
      <c r="G650" s="7" t="n">
        <f aca="false">IF(VALUE(RIGHT(Raw_Nigeria!E650,2))&gt;12,"",VALUE(RIGHT(Raw_Nigeria!E650,2)))</f>
        <v>12</v>
      </c>
      <c r="H650" s="7" t="n">
        <f aca="false">Raw_Nigeria!F650</f>
        <v>2017</v>
      </c>
      <c r="I650" s="7" t="str">
        <f aca="false">UPPER(TRIM(Raw_Nigeria!G650))</f>
        <v>HEPB3</v>
      </c>
      <c r="J650" s="7" t="str">
        <f aca="false">Raw_Nigeria!H650</f>
        <v>Record or Recall&lt;12m</v>
      </c>
      <c r="K650" s="7" t="str">
        <f aca="false">Raw_Nigeria!L650</f>
        <v>12-23 m</v>
      </c>
      <c r="L650" s="7" t="str">
        <f aca="false">IF(Raw_Nigeria!K650="","n/a",Raw_Nigeria!K650)</f>
        <v>0-12 m</v>
      </c>
      <c r="M650" s="7" t="n">
        <f aca="false">IF(Raw_Nigeria!I650="","",Raw_Nigeria!I650)</f>
        <v>40</v>
      </c>
      <c r="N650" s="7" t="n">
        <f aca="false">Raw_Nigeria!M650</f>
        <v>48.3</v>
      </c>
      <c r="O650" s="7" t="n">
        <f aca="false">IF(Raw_Nigeria!N650="","",Raw_Nigeria!N650)</f>
        <v>6143</v>
      </c>
      <c r="P650" s="7" t="str">
        <f aca="false">IF(K650="CBAW","Women of child-bearing age","Children")</f>
        <v>Children</v>
      </c>
      <c r="Q650" s="7" t="n">
        <f aca="false">IF(J650="NOT USED",1,0)</f>
        <v>0</v>
      </c>
      <c r="R650" s="7" t="n">
        <f aca="false">IF(AND(P650="Children",Q650=0),1,0)</f>
        <v>1</v>
      </c>
      <c r="S650" s="7" t="n">
        <f aca="false">IF(AND(R650=1,J650="Record or Recall",K650="12-23 m"),1,0)</f>
        <v>0</v>
      </c>
      <c r="T650" s="7" t="n">
        <f aca="false">IF(OR(I650="BCG",I650="DTP1",I650="DTP3",I650="POL3",I650="MCV1",I650="FULL"),1,0)</f>
        <v>0</v>
      </c>
      <c r="U650" s="7" t="n">
        <f aca="false">IF(OR(C650="DHS",C650="MICS"),1,0)</f>
        <v>1</v>
      </c>
      <c r="V650" s="7" t="n">
        <f aca="false">IF(O650="",1,0)</f>
        <v>0</v>
      </c>
      <c r="W650" s="7" t="n">
        <f aca="false">IF(M650="",1,0)</f>
        <v>0</v>
      </c>
      <c r="X650" s="7" t="n">
        <f aca="false">COUNTIFS($B$2:$B$1141,B650,$H$2:$H$1141,H650,$I$2:$I$1141,I650,$J$2:$J$1141,J650,$K$2:$K$1141,K650,$L$2:$L$1141,L650)</f>
        <v>1</v>
      </c>
    </row>
    <row r="651" customFormat="false" ht="15" hidden="false" customHeight="false" outlineLevel="0" collapsed="false">
      <c r="A651" s="7" t="n">
        <f aca="false">ROW()-1</f>
        <v>650</v>
      </c>
      <c r="B651" s="7" t="str">
        <f aca="false">IF(Raw_Nigeria!B651="",TRIM(Raw_Nigeria!C651),TRIM(Raw_Nigeria!B651))</f>
        <v>Nigeria Demographic and Health Survey 2018</v>
      </c>
      <c r="C651" s="7" t="str">
        <f aca="false">IF(ISNUMBER(SEARCH("Demographic and Health",B651)),"DHS",IF(OR(ISNUMBER(SEARCH("Multiple Indicator Cluster",B651)),ISNUMBER(SEARCH("MICS",B651))),"MICS",IF(ISNUMBER(SEARCH("Immunization Coverage Survey",B651)),"Coverage survey",IF(ISNUMBER(SEARCH("Nutrition",B651)),"Nutrition survey","Other"))))</f>
        <v>DHS</v>
      </c>
      <c r="D651" s="7" t="n">
        <f aca="false">VALUE(LEFT(Raw_Nigeria!D651,4))</f>
        <v>2018</v>
      </c>
      <c r="E651" s="7" t="n">
        <f aca="false">IF(VALUE(RIGHT(Raw_Nigeria!D651,2))&gt;12,"",VALUE(RIGHT(Raw_Nigeria!D651,2)))</f>
        <v>8</v>
      </c>
      <c r="F651" s="7" t="n">
        <f aca="false">VALUE(LEFT(Raw_Nigeria!E651,4))</f>
        <v>2018</v>
      </c>
      <c r="G651" s="7" t="n">
        <f aca="false">IF(VALUE(RIGHT(Raw_Nigeria!E651,2))&gt;12,"",VALUE(RIGHT(Raw_Nigeria!E651,2)))</f>
        <v>12</v>
      </c>
      <c r="H651" s="7" t="n">
        <f aca="false">Raw_Nigeria!F651</f>
        <v>2017</v>
      </c>
      <c r="I651" s="7" t="str">
        <f aca="false">UPPER(TRIM(Raw_Nigeria!G651))</f>
        <v>HEPB3</v>
      </c>
      <c r="J651" s="7" t="str">
        <f aca="false">Raw_Nigeria!H651</f>
        <v>Record</v>
      </c>
      <c r="K651" s="7" t="str">
        <f aca="false">Raw_Nigeria!L651</f>
        <v>12-23 m</v>
      </c>
      <c r="L651" s="7" t="str">
        <f aca="false">IF(Raw_Nigeria!K651="","n/a",Raw_Nigeria!K651)</f>
        <v>0-23 m</v>
      </c>
      <c r="M651" s="7" t="n">
        <f aca="false">IF(Raw_Nigeria!I651="","",Raw_Nigeria!I651)</f>
        <v>40</v>
      </c>
      <c r="N651" s="7" t="n">
        <f aca="false">Raw_Nigeria!M651</f>
        <v>32.2</v>
      </c>
      <c r="O651" s="7" t="n">
        <f aca="false">IF(Raw_Nigeria!N651="","",Raw_Nigeria!N651)</f>
        <v>2459</v>
      </c>
      <c r="P651" s="7" t="str">
        <f aca="false">IF(K651="CBAW","Women of child-bearing age","Children")</f>
        <v>Children</v>
      </c>
      <c r="Q651" s="7" t="n">
        <f aca="false">IF(J651="NOT USED",1,0)</f>
        <v>0</v>
      </c>
      <c r="R651" s="7" t="n">
        <f aca="false">IF(AND(P651="Children",Q651=0),1,0)</f>
        <v>1</v>
      </c>
      <c r="S651" s="7" t="n">
        <f aca="false">IF(AND(R651=1,J651="Record or Recall",K651="12-23 m"),1,0)</f>
        <v>0</v>
      </c>
      <c r="T651" s="7" t="n">
        <f aca="false">IF(OR(I651="BCG",I651="DTP1",I651="DTP3",I651="POL3",I651="MCV1",I651="FULL"),1,0)</f>
        <v>0</v>
      </c>
      <c r="U651" s="7" t="n">
        <f aca="false">IF(OR(C651="DHS",C651="MICS"),1,0)</f>
        <v>1</v>
      </c>
      <c r="V651" s="7" t="n">
        <f aca="false">IF(O651="",1,0)</f>
        <v>0</v>
      </c>
      <c r="W651" s="7" t="n">
        <f aca="false">IF(M651="",1,0)</f>
        <v>0</v>
      </c>
      <c r="X651" s="7" t="n">
        <f aca="false">COUNTIFS($B$2:$B$1141,B651,$H$2:$H$1141,H651,$I$2:$I$1141,I651,$J$2:$J$1141,J651,$K$2:$K$1141,K651,$L$2:$L$1141,L651)</f>
        <v>1</v>
      </c>
    </row>
    <row r="652" customFormat="false" ht="15" hidden="false" customHeight="false" outlineLevel="0" collapsed="false">
      <c r="A652" s="7" t="n">
        <f aca="false">ROW()-1</f>
        <v>651</v>
      </c>
      <c r="B652" s="7" t="str">
        <f aca="false">IF(Raw_Nigeria!B652="",TRIM(Raw_Nigeria!C652),TRIM(Raw_Nigeria!B652))</f>
        <v>Nigeria Demographic and Health Survey 2018</v>
      </c>
      <c r="C652" s="7" t="str">
        <f aca="false">IF(ISNUMBER(SEARCH("Demographic and Health",B652)),"DHS",IF(OR(ISNUMBER(SEARCH("Multiple Indicator Cluster",B652)),ISNUMBER(SEARCH("MICS",B652))),"MICS",IF(ISNUMBER(SEARCH("Immunization Coverage Survey",B652)),"Coverage survey",IF(ISNUMBER(SEARCH("Nutrition",B652)),"Nutrition survey","Other"))))</f>
        <v>DHS</v>
      </c>
      <c r="D652" s="7" t="n">
        <f aca="false">VALUE(LEFT(Raw_Nigeria!D652,4))</f>
        <v>2018</v>
      </c>
      <c r="E652" s="7" t="n">
        <f aca="false">IF(VALUE(RIGHT(Raw_Nigeria!D652,2))&gt;12,"",VALUE(RIGHT(Raw_Nigeria!D652,2)))</f>
        <v>8</v>
      </c>
      <c r="F652" s="7" t="n">
        <f aca="false">VALUE(LEFT(Raw_Nigeria!E652,4))</f>
        <v>2018</v>
      </c>
      <c r="G652" s="7" t="n">
        <f aca="false">IF(VALUE(RIGHT(Raw_Nigeria!E652,2))&gt;12,"",VALUE(RIGHT(Raw_Nigeria!E652,2)))</f>
        <v>12</v>
      </c>
      <c r="H652" s="7" t="n">
        <f aca="false">Raw_Nigeria!F652</f>
        <v>2017</v>
      </c>
      <c r="I652" s="7" t="str">
        <f aca="false">UPPER(TRIM(Raw_Nigeria!G652))</f>
        <v>HEPB3</v>
      </c>
      <c r="J652" s="7" t="str">
        <f aca="false">Raw_Nigeria!H652</f>
        <v>Record or Recall</v>
      </c>
      <c r="K652" s="7" t="str">
        <f aca="false">Raw_Nigeria!L652</f>
        <v>12-23 m</v>
      </c>
      <c r="L652" s="7" t="str">
        <f aca="false">IF(Raw_Nigeria!K652="","n/a",Raw_Nigeria!K652)</f>
        <v>0-23 m</v>
      </c>
      <c r="M652" s="7" t="n">
        <f aca="false">IF(Raw_Nigeria!I652="","",Raw_Nigeria!I652)</f>
        <v>40</v>
      </c>
      <c r="N652" s="7" t="n">
        <f aca="false">Raw_Nigeria!M652</f>
        <v>50.1</v>
      </c>
      <c r="O652" s="7" t="n">
        <f aca="false">IF(Raw_Nigeria!N652="","",Raw_Nigeria!N652)</f>
        <v>6143</v>
      </c>
      <c r="P652" s="7" t="str">
        <f aca="false">IF(K652="CBAW","Women of child-bearing age","Children")</f>
        <v>Children</v>
      </c>
      <c r="Q652" s="7" t="n">
        <f aca="false">IF(J652="NOT USED",1,0)</f>
        <v>0</v>
      </c>
      <c r="R652" s="7" t="n">
        <f aca="false">IF(AND(P652="Children",Q652=0),1,0)</f>
        <v>1</v>
      </c>
      <c r="S652" s="7" t="n">
        <f aca="false">IF(AND(R652=1,J652="Record or Recall",K652="12-23 m"),1,0)</f>
        <v>1</v>
      </c>
      <c r="T652" s="7" t="n">
        <f aca="false">IF(OR(I652="BCG",I652="DTP1",I652="DTP3",I652="POL3",I652="MCV1",I652="FULL"),1,0)</f>
        <v>0</v>
      </c>
      <c r="U652" s="7" t="n">
        <f aca="false">IF(OR(C652="DHS",C652="MICS"),1,0)</f>
        <v>1</v>
      </c>
      <c r="V652" s="7" t="n">
        <f aca="false">IF(O652="",1,0)</f>
        <v>0</v>
      </c>
      <c r="W652" s="7" t="n">
        <f aca="false">IF(M652="",1,0)</f>
        <v>0</v>
      </c>
      <c r="X652" s="7" t="n">
        <f aca="false">COUNTIFS($B$2:$B$1141,B652,$H$2:$H$1141,H652,$I$2:$I$1141,I652,$J$2:$J$1141,J652,$K$2:$K$1141,K652,$L$2:$L$1141,L652)</f>
        <v>1</v>
      </c>
    </row>
    <row r="653" customFormat="false" ht="15" hidden="false" customHeight="false" outlineLevel="0" collapsed="false">
      <c r="A653" s="7" t="n">
        <f aca="false">ROW()-1</f>
        <v>652</v>
      </c>
      <c r="B653" s="7" t="str">
        <f aca="false">IF(Raw_Nigeria!B653="",TRIM(Raw_Nigeria!C653),TRIM(Raw_Nigeria!B653))</f>
        <v>Nigeria Demographic and Health Survey 2018</v>
      </c>
      <c r="C653" s="7" t="str">
        <f aca="false">IF(ISNUMBER(SEARCH("Demographic and Health",B653)),"DHS",IF(OR(ISNUMBER(SEARCH("Multiple Indicator Cluster",B653)),ISNUMBER(SEARCH("MICS",B653))),"MICS",IF(ISNUMBER(SEARCH("Immunization Coverage Survey",B653)),"Coverage survey",IF(ISNUMBER(SEARCH("Nutrition",B653)),"Nutrition survey","Other"))))</f>
        <v>DHS</v>
      </c>
      <c r="D653" s="7" t="n">
        <f aca="false">VALUE(LEFT(Raw_Nigeria!D653,4))</f>
        <v>2018</v>
      </c>
      <c r="E653" s="7" t="n">
        <f aca="false">IF(VALUE(RIGHT(Raw_Nigeria!D653,2))&gt;12,"",VALUE(RIGHT(Raw_Nigeria!D653,2)))</f>
        <v>8</v>
      </c>
      <c r="F653" s="7" t="n">
        <f aca="false">VALUE(LEFT(Raw_Nigeria!E653,4))</f>
        <v>2018</v>
      </c>
      <c r="G653" s="7" t="n">
        <f aca="false">IF(VALUE(RIGHT(Raw_Nigeria!E653,2))&gt;12,"",VALUE(RIGHT(Raw_Nigeria!E653,2)))</f>
        <v>12</v>
      </c>
      <c r="H653" s="7" t="n">
        <f aca="false">Raw_Nigeria!F653</f>
        <v>2017</v>
      </c>
      <c r="I653" s="7" t="str">
        <f aca="false">UPPER(TRIM(Raw_Nigeria!G653))</f>
        <v>HEPB3</v>
      </c>
      <c r="J653" s="7" t="str">
        <f aca="false">Raw_Nigeria!H653</f>
        <v>Recall</v>
      </c>
      <c r="K653" s="7" t="str">
        <f aca="false">Raw_Nigeria!L653</f>
        <v>12-23 m</v>
      </c>
      <c r="L653" s="7" t="str">
        <f aca="false">IF(Raw_Nigeria!K653="","n/a",Raw_Nigeria!K653)</f>
        <v>0-23 m</v>
      </c>
      <c r="M653" s="7" t="n">
        <f aca="false">IF(Raw_Nigeria!I653="","",Raw_Nigeria!I653)</f>
        <v>40</v>
      </c>
      <c r="N653" s="7" t="n">
        <f aca="false">Raw_Nigeria!M653</f>
        <v>17.8</v>
      </c>
      <c r="O653" s="7" t="n">
        <f aca="false">IF(Raw_Nigeria!N653="","",Raw_Nigeria!N653)</f>
        <v>3684</v>
      </c>
      <c r="P653" s="7" t="str">
        <f aca="false">IF(K653="CBAW","Women of child-bearing age","Children")</f>
        <v>Children</v>
      </c>
      <c r="Q653" s="7" t="n">
        <f aca="false">IF(J653="NOT USED",1,0)</f>
        <v>0</v>
      </c>
      <c r="R653" s="7" t="n">
        <f aca="false">IF(AND(P653="Children",Q653=0),1,0)</f>
        <v>1</v>
      </c>
      <c r="S653" s="7" t="n">
        <f aca="false">IF(AND(R653=1,J653="Record or Recall",K653="12-23 m"),1,0)</f>
        <v>0</v>
      </c>
      <c r="T653" s="7" t="n">
        <f aca="false">IF(OR(I653="BCG",I653="DTP1",I653="DTP3",I653="POL3",I653="MCV1",I653="FULL"),1,0)</f>
        <v>0</v>
      </c>
      <c r="U653" s="7" t="n">
        <f aca="false">IF(OR(C653="DHS",C653="MICS"),1,0)</f>
        <v>1</v>
      </c>
      <c r="V653" s="7" t="n">
        <f aca="false">IF(O653="",1,0)</f>
        <v>0</v>
      </c>
      <c r="W653" s="7" t="n">
        <f aca="false">IF(M653="",1,0)</f>
        <v>0</v>
      </c>
      <c r="X653" s="7" t="n">
        <f aca="false">COUNTIFS($B$2:$B$1141,B653,$H$2:$H$1141,H653,$I$2:$I$1141,I653,$J$2:$J$1141,J653,$K$2:$K$1141,K653,$L$2:$L$1141,L653)</f>
        <v>1</v>
      </c>
    </row>
    <row r="654" customFormat="false" ht="15" hidden="false" customHeight="false" outlineLevel="0" collapsed="false">
      <c r="A654" s="7" t="n">
        <f aca="false">ROW()-1</f>
        <v>653</v>
      </c>
      <c r="B654" s="7" t="str">
        <f aca="false">IF(Raw_Nigeria!B654="",TRIM(Raw_Nigeria!C654),TRIM(Raw_Nigeria!B654))</f>
        <v>Nigeria Demographic and Health Survey 2018</v>
      </c>
      <c r="C654" s="7" t="str">
        <f aca="false">IF(ISNUMBER(SEARCH("Demographic and Health",B654)),"DHS",IF(OR(ISNUMBER(SEARCH("Multiple Indicator Cluster",B654)),ISNUMBER(SEARCH("MICS",B654))),"MICS",IF(ISNUMBER(SEARCH("Immunization Coverage Survey",B654)),"Coverage survey",IF(ISNUMBER(SEARCH("Nutrition",B654)),"Nutrition survey","Other"))))</f>
        <v>DHS</v>
      </c>
      <c r="D654" s="7" t="n">
        <f aca="false">VALUE(LEFT(Raw_Nigeria!D654,4))</f>
        <v>2018</v>
      </c>
      <c r="E654" s="7" t="n">
        <f aca="false">IF(VALUE(RIGHT(Raw_Nigeria!D654,2))&gt;12,"",VALUE(RIGHT(Raw_Nigeria!D654,2)))</f>
        <v>8</v>
      </c>
      <c r="F654" s="7" t="n">
        <f aca="false">VALUE(LEFT(Raw_Nigeria!E654,4))</f>
        <v>2018</v>
      </c>
      <c r="G654" s="7" t="n">
        <f aca="false">IF(VALUE(RIGHT(Raw_Nigeria!E654,2))&gt;12,"",VALUE(RIGHT(Raw_Nigeria!E654,2)))</f>
        <v>12</v>
      </c>
      <c r="H654" s="7" t="n">
        <f aca="false">Raw_Nigeria!F654</f>
        <v>2017</v>
      </c>
      <c r="I654" s="7" t="str">
        <f aca="false">UPPER(TRIM(Raw_Nigeria!G654))</f>
        <v>HEPBB</v>
      </c>
      <c r="J654" s="7" t="str">
        <f aca="false">Raw_Nigeria!H654</f>
        <v>Record or Recall&lt;12m</v>
      </c>
      <c r="K654" s="7" t="str">
        <f aca="false">Raw_Nigeria!L654</f>
        <v>12-23 m</v>
      </c>
      <c r="L654" s="7" t="str">
        <f aca="false">IF(Raw_Nigeria!K654="","n/a",Raw_Nigeria!K654)</f>
        <v>0-12 m</v>
      </c>
      <c r="M654" s="7" t="n">
        <f aca="false">IF(Raw_Nigeria!I654="","",Raw_Nigeria!I654)</f>
        <v>40</v>
      </c>
      <c r="N654" s="7" t="n">
        <f aca="false">Raw_Nigeria!M654</f>
        <v>52.2</v>
      </c>
      <c r="O654" s="7" t="n">
        <f aca="false">IF(Raw_Nigeria!N654="","",Raw_Nigeria!N654)</f>
        <v>6143</v>
      </c>
      <c r="P654" s="7" t="str">
        <f aca="false">IF(K654="CBAW","Women of child-bearing age","Children")</f>
        <v>Children</v>
      </c>
      <c r="Q654" s="7" t="n">
        <f aca="false">IF(J654="NOT USED",1,0)</f>
        <v>0</v>
      </c>
      <c r="R654" s="7" t="n">
        <f aca="false">IF(AND(P654="Children",Q654=0),1,0)</f>
        <v>1</v>
      </c>
      <c r="S654" s="7" t="n">
        <f aca="false">IF(AND(R654=1,J654="Record or Recall",K654="12-23 m"),1,0)</f>
        <v>0</v>
      </c>
      <c r="T654" s="7" t="n">
        <f aca="false">IF(OR(I654="BCG",I654="DTP1",I654="DTP3",I654="POL3",I654="MCV1",I654="FULL"),1,0)</f>
        <v>0</v>
      </c>
      <c r="U654" s="7" t="n">
        <f aca="false">IF(OR(C654="DHS",C654="MICS"),1,0)</f>
        <v>1</v>
      </c>
      <c r="V654" s="7" t="n">
        <f aca="false">IF(O654="",1,0)</f>
        <v>0</v>
      </c>
      <c r="W654" s="7" t="n">
        <f aca="false">IF(M654="",1,0)</f>
        <v>0</v>
      </c>
      <c r="X654" s="7" t="n">
        <f aca="false">COUNTIFS($B$2:$B$1141,B654,$H$2:$H$1141,H654,$I$2:$I$1141,I654,$J$2:$J$1141,J654,$K$2:$K$1141,K654,$L$2:$L$1141,L654)</f>
        <v>1</v>
      </c>
    </row>
    <row r="655" customFormat="false" ht="15" hidden="false" customHeight="false" outlineLevel="0" collapsed="false">
      <c r="A655" s="7" t="n">
        <f aca="false">ROW()-1</f>
        <v>654</v>
      </c>
      <c r="B655" s="7" t="str">
        <f aca="false">IF(Raw_Nigeria!B655="",TRIM(Raw_Nigeria!C655),TRIM(Raw_Nigeria!B655))</f>
        <v>Nigeria Demographic and Health Survey 2018</v>
      </c>
      <c r="C655" s="7" t="str">
        <f aca="false">IF(ISNUMBER(SEARCH("Demographic and Health",B655)),"DHS",IF(OR(ISNUMBER(SEARCH("Multiple Indicator Cluster",B655)),ISNUMBER(SEARCH("MICS",B655))),"MICS",IF(ISNUMBER(SEARCH("Immunization Coverage Survey",B655)),"Coverage survey",IF(ISNUMBER(SEARCH("Nutrition",B655)),"Nutrition survey","Other"))))</f>
        <v>DHS</v>
      </c>
      <c r="D655" s="7" t="n">
        <f aca="false">VALUE(LEFT(Raw_Nigeria!D655,4))</f>
        <v>2018</v>
      </c>
      <c r="E655" s="7" t="n">
        <f aca="false">IF(VALUE(RIGHT(Raw_Nigeria!D655,2))&gt;12,"",VALUE(RIGHT(Raw_Nigeria!D655,2)))</f>
        <v>8</v>
      </c>
      <c r="F655" s="7" t="n">
        <f aca="false">VALUE(LEFT(Raw_Nigeria!E655,4))</f>
        <v>2018</v>
      </c>
      <c r="G655" s="7" t="n">
        <f aca="false">IF(VALUE(RIGHT(Raw_Nigeria!E655,2))&gt;12,"",VALUE(RIGHT(Raw_Nigeria!E655,2)))</f>
        <v>12</v>
      </c>
      <c r="H655" s="7" t="n">
        <f aca="false">Raw_Nigeria!F655</f>
        <v>2017</v>
      </c>
      <c r="I655" s="7" t="str">
        <f aca="false">UPPER(TRIM(Raw_Nigeria!G655))</f>
        <v>HEPBB</v>
      </c>
      <c r="J655" s="7" t="str">
        <f aca="false">Raw_Nigeria!H655</f>
        <v>Record</v>
      </c>
      <c r="K655" s="7" t="str">
        <f aca="false">Raw_Nigeria!L655</f>
        <v>12-23 m</v>
      </c>
      <c r="L655" s="7" t="str">
        <f aca="false">IF(Raw_Nigeria!K655="","n/a",Raw_Nigeria!K655)</f>
        <v>0-23 m</v>
      </c>
      <c r="M655" s="7" t="n">
        <f aca="false">IF(Raw_Nigeria!I655="","",Raw_Nigeria!I655)</f>
        <v>40</v>
      </c>
      <c r="N655" s="7" t="n">
        <f aca="false">Raw_Nigeria!M655</f>
        <v>29.8</v>
      </c>
      <c r="O655" s="7" t="n">
        <f aca="false">IF(Raw_Nigeria!N655="","",Raw_Nigeria!N655)</f>
        <v>2459</v>
      </c>
      <c r="P655" s="7" t="str">
        <f aca="false">IF(K655="CBAW","Women of child-bearing age","Children")</f>
        <v>Children</v>
      </c>
      <c r="Q655" s="7" t="n">
        <f aca="false">IF(J655="NOT USED",1,0)</f>
        <v>0</v>
      </c>
      <c r="R655" s="7" t="n">
        <f aca="false">IF(AND(P655="Children",Q655=0),1,0)</f>
        <v>1</v>
      </c>
      <c r="S655" s="7" t="n">
        <f aca="false">IF(AND(R655=1,J655="Record or Recall",K655="12-23 m"),1,0)</f>
        <v>0</v>
      </c>
      <c r="T655" s="7" t="n">
        <f aca="false">IF(OR(I655="BCG",I655="DTP1",I655="DTP3",I655="POL3",I655="MCV1",I655="FULL"),1,0)</f>
        <v>0</v>
      </c>
      <c r="U655" s="7" t="n">
        <f aca="false">IF(OR(C655="DHS",C655="MICS"),1,0)</f>
        <v>1</v>
      </c>
      <c r="V655" s="7" t="n">
        <f aca="false">IF(O655="",1,0)</f>
        <v>0</v>
      </c>
      <c r="W655" s="7" t="n">
        <f aca="false">IF(M655="",1,0)</f>
        <v>0</v>
      </c>
      <c r="X655" s="7" t="n">
        <f aca="false">COUNTIFS($B$2:$B$1141,B655,$H$2:$H$1141,H655,$I$2:$I$1141,I655,$J$2:$J$1141,J655,$K$2:$K$1141,K655,$L$2:$L$1141,L655)</f>
        <v>1</v>
      </c>
    </row>
    <row r="656" customFormat="false" ht="15" hidden="false" customHeight="false" outlineLevel="0" collapsed="false">
      <c r="A656" s="7" t="n">
        <f aca="false">ROW()-1</f>
        <v>655</v>
      </c>
      <c r="B656" s="7" t="str">
        <f aca="false">IF(Raw_Nigeria!B656="",TRIM(Raw_Nigeria!C656),TRIM(Raw_Nigeria!B656))</f>
        <v>Nigeria Demographic and Health Survey 2018</v>
      </c>
      <c r="C656" s="7" t="str">
        <f aca="false">IF(ISNUMBER(SEARCH("Demographic and Health",B656)),"DHS",IF(OR(ISNUMBER(SEARCH("Multiple Indicator Cluster",B656)),ISNUMBER(SEARCH("MICS",B656))),"MICS",IF(ISNUMBER(SEARCH("Immunization Coverage Survey",B656)),"Coverage survey",IF(ISNUMBER(SEARCH("Nutrition",B656)),"Nutrition survey","Other"))))</f>
        <v>DHS</v>
      </c>
      <c r="D656" s="7" t="n">
        <f aca="false">VALUE(LEFT(Raw_Nigeria!D656,4))</f>
        <v>2018</v>
      </c>
      <c r="E656" s="7" t="n">
        <f aca="false">IF(VALUE(RIGHT(Raw_Nigeria!D656,2))&gt;12,"",VALUE(RIGHT(Raw_Nigeria!D656,2)))</f>
        <v>8</v>
      </c>
      <c r="F656" s="7" t="n">
        <f aca="false">VALUE(LEFT(Raw_Nigeria!E656,4))</f>
        <v>2018</v>
      </c>
      <c r="G656" s="7" t="n">
        <f aca="false">IF(VALUE(RIGHT(Raw_Nigeria!E656,2))&gt;12,"",VALUE(RIGHT(Raw_Nigeria!E656,2)))</f>
        <v>12</v>
      </c>
      <c r="H656" s="7" t="n">
        <f aca="false">Raw_Nigeria!F656</f>
        <v>2017</v>
      </c>
      <c r="I656" s="7" t="str">
        <f aca="false">UPPER(TRIM(Raw_Nigeria!G656))</f>
        <v>HEPBB</v>
      </c>
      <c r="J656" s="7" t="str">
        <f aca="false">Raw_Nigeria!H656</f>
        <v>Record or Recall</v>
      </c>
      <c r="K656" s="7" t="str">
        <f aca="false">Raw_Nigeria!L656</f>
        <v>12-23 m</v>
      </c>
      <c r="L656" s="7" t="str">
        <f aca="false">IF(Raw_Nigeria!K656="","n/a",Raw_Nigeria!K656)</f>
        <v>0-23 m</v>
      </c>
      <c r="M656" s="7" t="n">
        <f aca="false">IF(Raw_Nigeria!I656="","",Raw_Nigeria!I656)</f>
        <v>40</v>
      </c>
      <c r="N656" s="7" t="n">
        <f aca="false">Raw_Nigeria!M656</f>
        <v>52.4</v>
      </c>
      <c r="O656" s="7" t="n">
        <f aca="false">IF(Raw_Nigeria!N656="","",Raw_Nigeria!N656)</f>
        <v>6143</v>
      </c>
      <c r="P656" s="7" t="str">
        <f aca="false">IF(K656="CBAW","Women of child-bearing age","Children")</f>
        <v>Children</v>
      </c>
      <c r="Q656" s="7" t="n">
        <f aca="false">IF(J656="NOT USED",1,0)</f>
        <v>0</v>
      </c>
      <c r="R656" s="7" t="n">
        <f aca="false">IF(AND(P656="Children",Q656=0),1,0)</f>
        <v>1</v>
      </c>
      <c r="S656" s="7" t="n">
        <f aca="false">IF(AND(R656=1,J656="Record or Recall",K656="12-23 m"),1,0)</f>
        <v>1</v>
      </c>
      <c r="T656" s="7" t="n">
        <f aca="false">IF(OR(I656="BCG",I656="DTP1",I656="DTP3",I656="POL3",I656="MCV1",I656="FULL"),1,0)</f>
        <v>0</v>
      </c>
      <c r="U656" s="7" t="n">
        <f aca="false">IF(OR(C656="DHS",C656="MICS"),1,0)</f>
        <v>1</v>
      </c>
      <c r="V656" s="7" t="n">
        <f aca="false">IF(O656="",1,0)</f>
        <v>0</v>
      </c>
      <c r="W656" s="7" t="n">
        <f aca="false">IF(M656="",1,0)</f>
        <v>0</v>
      </c>
      <c r="X656" s="7" t="n">
        <f aca="false">COUNTIFS($B$2:$B$1141,B656,$H$2:$H$1141,H656,$I$2:$I$1141,I656,$J$2:$J$1141,J656,$K$2:$K$1141,K656,$L$2:$L$1141,L656)</f>
        <v>1</v>
      </c>
    </row>
    <row r="657" customFormat="false" ht="15" hidden="false" customHeight="false" outlineLevel="0" collapsed="false">
      <c r="A657" s="7" t="n">
        <f aca="false">ROW()-1</f>
        <v>656</v>
      </c>
      <c r="B657" s="7" t="str">
        <f aca="false">IF(Raw_Nigeria!B657="",TRIM(Raw_Nigeria!C657),TRIM(Raw_Nigeria!B657))</f>
        <v>Nigeria Demographic and Health Survey 2018</v>
      </c>
      <c r="C657" s="7" t="str">
        <f aca="false">IF(ISNUMBER(SEARCH("Demographic and Health",B657)),"DHS",IF(OR(ISNUMBER(SEARCH("Multiple Indicator Cluster",B657)),ISNUMBER(SEARCH("MICS",B657))),"MICS",IF(ISNUMBER(SEARCH("Immunization Coverage Survey",B657)),"Coverage survey",IF(ISNUMBER(SEARCH("Nutrition",B657)),"Nutrition survey","Other"))))</f>
        <v>DHS</v>
      </c>
      <c r="D657" s="7" t="n">
        <f aca="false">VALUE(LEFT(Raw_Nigeria!D657,4))</f>
        <v>2018</v>
      </c>
      <c r="E657" s="7" t="n">
        <f aca="false">IF(VALUE(RIGHT(Raw_Nigeria!D657,2))&gt;12,"",VALUE(RIGHT(Raw_Nigeria!D657,2)))</f>
        <v>8</v>
      </c>
      <c r="F657" s="7" t="n">
        <f aca="false">VALUE(LEFT(Raw_Nigeria!E657,4))</f>
        <v>2018</v>
      </c>
      <c r="G657" s="7" t="n">
        <f aca="false">IF(VALUE(RIGHT(Raw_Nigeria!E657,2))&gt;12,"",VALUE(RIGHT(Raw_Nigeria!E657,2)))</f>
        <v>12</v>
      </c>
      <c r="H657" s="7" t="n">
        <f aca="false">Raw_Nigeria!F657</f>
        <v>2017</v>
      </c>
      <c r="I657" s="7" t="str">
        <f aca="false">UPPER(TRIM(Raw_Nigeria!G657))</f>
        <v>HEPBB</v>
      </c>
      <c r="J657" s="7" t="str">
        <f aca="false">Raw_Nigeria!H657</f>
        <v>Recall</v>
      </c>
      <c r="K657" s="7" t="str">
        <f aca="false">Raw_Nigeria!L657</f>
        <v>12-23 m</v>
      </c>
      <c r="L657" s="7" t="str">
        <f aca="false">IF(Raw_Nigeria!K657="","n/a",Raw_Nigeria!K657)</f>
        <v>0-23 m</v>
      </c>
      <c r="M657" s="7" t="n">
        <f aca="false">IF(Raw_Nigeria!I657="","",Raw_Nigeria!I657)</f>
        <v>40</v>
      </c>
      <c r="N657" s="7" t="n">
        <f aca="false">Raw_Nigeria!M657</f>
        <v>22.6</v>
      </c>
      <c r="O657" s="7" t="n">
        <f aca="false">IF(Raw_Nigeria!N657="","",Raw_Nigeria!N657)</f>
        <v>3684</v>
      </c>
      <c r="P657" s="7" t="str">
        <f aca="false">IF(K657="CBAW","Women of child-bearing age","Children")</f>
        <v>Children</v>
      </c>
      <c r="Q657" s="7" t="n">
        <f aca="false">IF(J657="NOT USED",1,0)</f>
        <v>0</v>
      </c>
      <c r="R657" s="7" t="n">
        <f aca="false">IF(AND(P657="Children",Q657=0),1,0)</f>
        <v>1</v>
      </c>
      <c r="S657" s="7" t="n">
        <f aca="false">IF(AND(R657=1,J657="Record or Recall",K657="12-23 m"),1,0)</f>
        <v>0</v>
      </c>
      <c r="T657" s="7" t="n">
        <f aca="false">IF(OR(I657="BCG",I657="DTP1",I657="DTP3",I657="POL3",I657="MCV1",I657="FULL"),1,0)</f>
        <v>0</v>
      </c>
      <c r="U657" s="7" t="n">
        <f aca="false">IF(OR(C657="DHS",C657="MICS"),1,0)</f>
        <v>1</v>
      </c>
      <c r="V657" s="7" t="n">
        <f aca="false">IF(O657="",1,0)</f>
        <v>0</v>
      </c>
      <c r="W657" s="7" t="n">
        <f aca="false">IF(M657="",1,0)</f>
        <v>0</v>
      </c>
      <c r="X657" s="7" t="n">
        <f aca="false">COUNTIFS($B$2:$B$1141,B657,$H$2:$H$1141,H657,$I$2:$I$1141,I657,$J$2:$J$1141,J657,$K$2:$K$1141,K657,$L$2:$L$1141,L657)</f>
        <v>1</v>
      </c>
    </row>
    <row r="658" customFormat="false" ht="15" hidden="false" customHeight="false" outlineLevel="0" collapsed="false">
      <c r="A658" s="7" t="n">
        <f aca="false">ROW()-1</f>
        <v>657</v>
      </c>
      <c r="B658" s="7" t="str">
        <f aca="false">IF(Raw_Nigeria!B658="",TRIM(Raw_Nigeria!C658),TRIM(Raw_Nigeria!B658))</f>
        <v>Nigeria Demographic and Health Survey 2018</v>
      </c>
      <c r="C658" s="7" t="str">
        <f aca="false">IF(ISNUMBER(SEARCH("Demographic and Health",B658)),"DHS",IF(OR(ISNUMBER(SEARCH("Multiple Indicator Cluster",B658)),ISNUMBER(SEARCH("MICS",B658))),"MICS",IF(ISNUMBER(SEARCH("Immunization Coverage Survey",B658)),"Coverage survey",IF(ISNUMBER(SEARCH("Nutrition",B658)),"Nutrition survey","Other"))))</f>
        <v>DHS</v>
      </c>
      <c r="D658" s="7" t="n">
        <f aca="false">VALUE(LEFT(Raw_Nigeria!D658,4))</f>
        <v>2018</v>
      </c>
      <c r="E658" s="7" t="n">
        <f aca="false">IF(VALUE(RIGHT(Raw_Nigeria!D658,2))&gt;12,"",VALUE(RIGHT(Raw_Nigeria!D658,2)))</f>
        <v>8</v>
      </c>
      <c r="F658" s="7" t="n">
        <f aca="false">VALUE(LEFT(Raw_Nigeria!E658,4))</f>
        <v>2018</v>
      </c>
      <c r="G658" s="7" t="n">
        <f aca="false">IF(VALUE(RIGHT(Raw_Nigeria!E658,2))&gt;12,"",VALUE(RIGHT(Raw_Nigeria!E658,2)))</f>
        <v>12</v>
      </c>
      <c r="H658" s="7" t="n">
        <f aca="false">Raw_Nigeria!F658</f>
        <v>2017</v>
      </c>
      <c r="I658" s="7" t="str">
        <f aca="false">UPPER(TRIM(Raw_Nigeria!G658))</f>
        <v>HIB1</v>
      </c>
      <c r="J658" s="7" t="str">
        <f aca="false">Raw_Nigeria!H658</f>
        <v>Record or Recall&lt;12m</v>
      </c>
      <c r="K658" s="7" t="str">
        <f aca="false">Raw_Nigeria!L658</f>
        <v>12-23 m</v>
      </c>
      <c r="L658" s="7" t="str">
        <f aca="false">IF(Raw_Nigeria!K658="","n/a",Raw_Nigeria!K658)</f>
        <v>0-12 m</v>
      </c>
      <c r="M658" s="7" t="n">
        <f aca="false">IF(Raw_Nigeria!I658="","",Raw_Nigeria!I658)</f>
        <v>40</v>
      </c>
      <c r="N658" s="7" t="n">
        <f aca="false">Raw_Nigeria!M658</f>
        <v>64.5</v>
      </c>
      <c r="O658" s="7" t="n">
        <f aca="false">IF(Raw_Nigeria!N658="","",Raw_Nigeria!N658)</f>
        <v>6143</v>
      </c>
      <c r="P658" s="7" t="str">
        <f aca="false">IF(K658="CBAW","Women of child-bearing age","Children")</f>
        <v>Children</v>
      </c>
      <c r="Q658" s="7" t="n">
        <f aca="false">IF(J658="NOT USED",1,0)</f>
        <v>0</v>
      </c>
      <c r="R658" s="7" t="n">
        <f aca="false">IF(AND(P658="Children",Q658=0),1,0)</f>
        <v>1</v>
      </c>
      <c r="S658" s="7" t="n">
        <f aca="false">IF(AND(R658=1,J658="Record or Recall",K658="12-23 m"),1,0)</f>
        <v>0</v>
      </c>
      <c r="T658" s="7" t="n">
        <f aca="false">IF(OR(I658="BCG",I658="DTP1",I658="DTP3",I658="POL3",I658="MCV1",I658="FULL"),1,0)</f>
        <v>0</v>
      </c>
      <c r="U658" s="7" t="n">
        <f aca="false">IF(OR(C658="DHS",C658="MICS"),1,0)</f>
        <v>1</v>
      </c>
      <c r="V658" s="7" t="n">
        <f aca="false">IF(O658="",1,0)</f>
        <v>0</v>
      </c>
      <c r="W658" s="7" t="n">
        <f aca="false">IF(M658="",1,0)</f>
        <v>0</v>
      </c>
      <c r="X658" s="7" t="n">
        <f aca="false">COUNTIFS($B$2:$B$1141,B658,$H$2:$H$1141,H658,$I$2:$I$1141,I658,$J$2:$J$1141,J658,$K$2:$K$1141,K658,$L$2:$L$1141,L658)</f>
        <v>1</v>
      </c>
    </row>
    <row r="659" customFormat="false" ht="15" hidden="false" customHeight="false" outlineLevel="0" collapsed="false">
      <c r="A659" s="7" t="n">
        <f aca="false">ROW()-1</f>
        <v>658</v>
      </c>
      <c r="B659" s="7" t="str">
        <f aca="false">IF(Raw_Nigeria!B659="",TRIM(Raw_Nigeria!C659),TRIM(Raw_Nigeria!B659))</f>
        <v>Nigeria Demographic and Health Survey 2018</v>
      </c>
      <c r="C659" s="7" t="str">
        <f aca="false">IF(ISNUMBER(SEARCH("Demographic and Health",B659)),"DHS",IF(OR(ISNUMBER(SEARCH("Multiple Indicator Cluster",B659)),ISNUMBER(SEARCH("MICS",B659))),"MICS",IF(ISNUMBER(SEARCH("Immunization Coverage Survey",B659)),"Coverage survey",IF(ISNUMBER(SEARCH("Nutrition",B659)),"Nutrition survey","Other"))))</f>
        <v>DHS</v>
      </c>
      <c r="D659" s="7" t="n">
        <f aca="false">VALUE(LEFT(Raw_Nigeria!D659,4))</f>
        <v>2018</v>
      </c>
      <c r="E659" s="7" t="n">
        <f aca="false">IF(VALUE(RIGHT(Raw_Nigeria!D659,2))&gt;12,"",VALUE(RIGHT(Raw_Nigeria!D659,2)))</f>
        <v>8</v>
      </c>
      <c r="F659" s="7" t="n">
        <f aca="false">VALUE(LEFT(Raw_Nigeria!E659,4))</f>
        <v>2018</v>
      </c>
      <c r="G659" s="7" t="n">
        <f aca="false">IF(VALUE(RIGHT(Raw_Nigeria!E659,2))&gt;12,"",VALUE(RIGHT(Raw_Nigeria!E659,2)))</f>
        <v>12</v>
      </c>
      <c r="H659" s="7" t="n">
        <f aca="false">Raw_Nigeria!F659</f>
        <v>2017</v>
      </c>
      <c r="I659" s="7" t="str">
        <f aca="false">UPPER(TRIM(Raw_Nigeria!G659))</f>
        <v>HIB1</v>
      </c>
      <c r="J659" s="7" t="str">
        <f aca="false">Raw_Nigeria!H659</f>
        <v>Record</v>
      </c>
      <c r="K659" s="7" t="str">
        <f aca="false">Raw_Nigeria!L659</f>
        <v>12-23 m</v>
      </c>
      <c r="L659" s="7" t="str">
        <f aca="false">IF(Raw_Nigeria!K659="","n/a",Raw_Nigeria!K659)</f>
        <v>0-23 m</v>
      </c>
      <c r="M659" s="7" t="n">
        <f aca="false">IF(Raw_Nigeria!I659="","",Raw_Nigeria!I659)</f>
        <v>40</v>
      </c>
      <c r="N659" s="7" t="n">
        <f aca="false">Raw_Nigeria!M659</f>
        <v>37.9</v>
      </c>
      <c r="O659" s="7" t="n">
        <f aca="false">IF(Raw_Nigeria!N659="","",Raw_Nigeria!N659)</f>
        <v>2459</v>
      </c>
      <c r="P659" s="7" t="str">
        <f aca="false">IF(K659="CBAW","Women of child-bearing age","Children")</f>
        <v>Children</v>
      </c>
      <c r="Q659" s="7" t="n">
        <f aca="false">IF(J659="NOT USED",1,0)</f>
        <v>0</v>
      </c>
      <c r="R659" s="7" t="n">
        <f aca="false">IF(AND(P659="Children",Q659=0),1,0)</f>
        <v>1</v>
      </c>
      <c r="S659" s="7" t="n">
        <f aca="false">IF(AND(R659=1,J659="Record or Recall",K659="12-23 m"),1,0)</f>
        <v>0</v>
      </c>
      <c r="T659" s="7" t="n">
        <f aca="false">IF(OR(I659="BCG",I659="DTP1",I659="DTP3",I659="POL3",I659="MCV1",I659="FULL"),1,0)</f>
        <v>0</v>
      </c>
      <c r="U659" s="7" t="n">
        <f aca="false">IF(OR(C659="DHS",C659="MICS"),1,0)</f>
        <v>1</v>
      </c>
      <c r="V659" s="7" t="n">
        <f aca="false">IF(O659="",1,0)</f>
        <v>0</v>
      </c>
      <c r="W659" s="7" t="n">
        <f aca="false">IF(M659="",1,0)</f>
        <v>0</v>
      </c>
      <c r="X659" s="7" t="n">
        <f aca="false">COUNTIFS($B$2:$B$1141,B659,$H$2:$H$1141,H659,$I$2:$I$1141,I659,$J$2:$J$1141,J659,$K$2:$K$1141,K659,$L$2:$L$1141,L659)</f>
        <v>1</v>
      </c>
    </row>
    <row r="660" customFormat="false" ht="15" hidden="false" customHeight="false" outlineLevel="0" collapsed="false">
      <c r="A660" s="7" t="n">
        <f aca="false">ROW()-1</f>
        <v>659</v>
      </c>
      <c r="B660" s="7" t="str">
        <f aca="false">IF(Raw_Nigeria!B660="",TRIM(Raw_Nigeria!C660),TRIM(Raw_Nigeria!B660))</f>
        <v>Nigeria Demographic and Health Survey 2018</v>
      </c>
      <c r="C660" s="7" t="str">
        <f aca="false">IF(ISNUMBER(SEARCH("Demographic and Health",B660)),"DHS",IF(OR(ISNUMBER(SEARCH("Multiple Indicator Cluster",B660)),ISNUMBER(SEARCH("MICS",B660))),"MICS",IF(ISNUMBER(SEARCH("Immunization Coverage Survey",B660)),"Coverage survey",IF(ISNUMBER(SEARCH("Nutrition",B660)),"Nutrition survey","Other"))))</f>
        <v>DHS</v>
      </c>
      <c r="D660" s="7" t="n">
        <f aca="false">VALUE(LEFT(Raw_Nigeria!D660,4))</f>
        <v>2018</v>
      </c>
      <c r="E660" s="7" t="n">
        <f aca="false">IF(VALUE(RIGHT(Raw_Nigeria!D660,2))&gt;12,"",VALUE(RIGHT(Raw_Nigeria!D660,2)))</f>
        <v>8</v>
      </c>
      <c r="F660" s="7" t="n">
        <f aca="false">VALUE(LEFT(Raw_Nigeria!E660,4))</f>
        <v>2018</v>
      </c>
      <c r="G660" s="7" t="n">
        <f aca="false">IF(VALUE(RIGHT(Raw_Nigeria!E660,2))&gt;12,"",VALUE(RIGHT(Raw_Nigeria!E660,2)))</f>
        <v>12</v>
      </c>
      <c r="H660" s="7" t="n">
        <f aca="false">Raw_Nigeria!F660</f>
        <v>2017</v>
      </c>
      <c r="I660" s="7" t="str">
        <f aca="false">UPPER(TRIM(Raw_Nigeria!G660))</f>
        <v>HIB1</v>
      </c>
      <c r="J660" s="7" t="str">
        <f aca="false">Raw_Nigeria!H660</f>
        <v>Record or Recall</v>
      </c>
      <c r="K660" s="7" t="str">
        <f aca="false">Raw_Nigeria!L660</f>
        <v>12-23 m</v>
      </c>
      <c r="L660" s="7" t="str">
        <f aca="false">IF(Raw_Nigeria!K660="","n/a",Raw_Nigeria!K660)</f>
        <v>0-23 m</v>
      </c>
      <c r="M660" s="7" t="n">
        <f aca="false">IF(Raw_Nigeria!I660="","",Raw_Nigeria!I660)</f>
        <v>40</v>
      </c>
      <c r="N660" s="7" t="n">
        <f aca="false">Raw_Nigeria!M660</f>
        <v>65.3</v>
      </c>
      <c r="O660" s="7" t="n">
        <f aca="false">IF(Raw_Nigeria!N660="","",Raw_Nigeria!N660)</f>
        <v>6143</v>
      </c>
      <c r="P660" s="7" t="str">
        <f aca="false">IF(K660="CBAW","Women of child-bearing age","Children")</f>
        <v>Children</v>
      </c>
      <c r="Q660" s="7" t="n">
        <f aca="false">IF(J660="NOT USED",1,0)</f>
        <v>0</v>
      </c>
      <c r="R660" s="7" t="n">
        <f aca="false">IF(AND(P660="Children",Q660=0),1,0)</f>
        <v>1</v>
      </c>
      <c r="S660" s="7" t="n">
        <f aca="false">IF(AND(R660=1,J660="Record or Recall",K660="12-23 m"),1,0)</f>
        <v>1</v>
      </c>
      <c r="T660" s="7" t="n">
        <f aca="false">IF(OR(I660="BCG",I660="DTP1",I660="DTP3",I660="POL3",I660="MCV1",I660="FULL"),1,0)</f>
        <v>0</v>
      </c>
      <c r="U660" s="7" t="n">
        <f aca="false">IF(OR(C660="DHS",C660="MICS"),1,0)</f>
        <v>1</v>
      </c>
      <c r="V660" s="7" t="n">
        <f aca="false">IF(O660="",1,0)</f>
        <v>0</v>
      </c>
      <c r="W660" s="7" t="n">
        <f aca="false">IF(M660="",1,0)</f>
        <v>0</v>
      </c>
      <c r="X660" s="7" t="n">
        <f aca="false">COUNTIFS($B$2:$B$1141,B660,$H$2:$H$1141,H660,$I$2:$I$1141,I660,$J$2:$J$1141,J660,$K$2:$K$1141,K660,$L$2:$L$1141,L660)</f>
        <v>1</v>
      </c>
    </row>
    <row r="661" customFormat="false" ht="15" hidden="false" customHeight="false" outlineLevel="0" collapsed="false">
      <c r="A661" s="7" t="n">
        <f aca="false">ROW()-1</f>
        <v>660</v>
      </c>
      <c r="B661" s="7" t="str">
        <f aca="false">IF(Raw_Nigeria!B661="",TRIM(Raw_Nigeria!C661),TRIM(Raw_Nigeria!B661))</f>
        <v>Nigeria Demographic and Health Survey 2018</v>
      </c>
      <c r="C661" s="7" t="str">
        <f aca="false">IF(ISNUMBER(SEARCH("Demographic and Health",B661)),"DHS",IF(OR(ISNUMBER(SEARCH("Multiple Indicator Cluster",B661)),ISNUMBER(SEARCH("MICS",B661))),"MICS",IF(ISNUMBER(SEARCH("Immunization Coverage Survey",B661)),"Coverage survey",IF(ISNUMBER(SEARCH("Nutrition",B661)),"Nutrition survey","Other"))))</f>
        <v>DHS</v>
      </c>
      <c r="D661" s="7" t="n">
        <f aca="false">VALUE(LEFT(Raw_Nigeria!D661,4))</f>
        <v>2018</v>
      </c>
      <c r="E661" s="7" t="n">
        <f aca="false">IF(VALUE(RIGHT(Raw_Nigeria!D661,2))&gt;12,"",VALUE(RIGHT(Raw_Nigeria!D661,2)))</f>
        <v>8</v>
      </c>
      <c r="F661" s="7" t="n">
        <f aca="false">VALUE(LEFT(Raw_Nigeria!E661,4))</f>
        <v>2018</v>
      </c>
      <c r="G661" s="7" t="n">
        <f aca="false">IF(VALUE(RIGHT(Raw_Nigeria!E661,2))&gt;12,"",VALUE(RIGHT(Raw_Nigeria!E661,2)))</f>
        <v>12</v>
      </c>
      <c r="H661" s="7" t="n">
        <f aca="false">Raw_Nigeria!F661</f>
        <v>2017</v>
      </c>
      <c r="I661" s="7" t="str">
        <f aca="false">UPPER(TRIM(Raw_Nigeria!G661))</f>
        <v>HIB1</v>
      </c>
      <c r="J661" s="7" t="str">
        <f aca="false">Raw_Nigeria!H661</f>
        <v>Recall</v>
      </c>
      <c r="K661" s="7" t="str">
        <f aca="false">Raw_Nigeria!L661</f>
        <v>12-23 m</v>
      </c>
      <c r="L661" s="7" t="str">
        <f aca="false">IF(Raw_Nigeria!K661="","n/a",Raw_Nigeria!K661)</f>
        <v>0-23 m</v>
      </c>
      <c r="M661" s="7" t="n">
        <f aca="false">IF(Raw_Nigeria!I661="","",Raw_Nigeria!I661)</f>
        <v>40</v>
      </c>
      <c r="N661" s="7" t="n">
        <f aca="false">Raw_Nigeria!M661</f>
        <v>27.4</v>
      </c>
      <c r="O661" s="7" t="n">
        <f aca="false">IF(Raw_Nigeria!N661="","",Raw_Nigeria!N661)</f>
        <v>3684</v>
      </c>
      <c r="P661" s="7" t="str">
        <f aca="false">IF(K661="CBAW","Women of child-bearing age","Children")</f>
        <v>Children</v>
      </c>
      <c r="Q661" s="7" t="n">
        <f aca="false">IF(J661="NOT USED",1,0)</f>
        <v>0</v>
      </c>
      <c r="R661" s="7" t="n">
        <f aca="false">IF(AND(P661="Children",Q661=0),1,0)</f>
        <v>1</v>
      </c>
      <c r="S661" s="7" t="n">
        <f aca="false">IF(AND(R661=1,J661="Record or Recall",K661="12-23 m"),1,0)</f>
        <v>0</v>
      </c>
      <c r="T661" s="7" t="n">
        <f aca="false">IF(OR(I661="BCG",I661="DTP1",I661="DTP3",I661="POL3",I661="MCV1",I661="FULL"),1,0)</f>
        <v>0</v>
      </c>
      <c r="U661" s="7" t="n">
        <f aca="false">IF(OR(C661="DHS",C661="MICS"),1,0)</f>
        <v>1</v>
      </c>
      <c r="V661" s="7" t="n">
        <f aca="false">IF(O661="",1,0)</f>
        <v>0</v>
      </c>
      <c r="W661" s="7" t="n">
        <f aca="false">IF(M661="",1,0)</f>
        <v>0</v>
      </c>
      <c r="X661" s="7" t="n">
        <f aca="false">COUNTIFS($B$2:$B$1141,B661,$H$2:$H$1141,H661,$I$2:$I$1141,I661,$J$2:$J$1141,J661,$K$2:$K$1141,K661,$L$2:$L$1141,L661)</f>
        <v>1</v>
      </c>
    </row>
    <row r="662" customFormat="false" ht="15" hidden="false" customHeight="false" outlineLevel="0" collapsed="false">
      <c r="A662" s="7" t="n">
        <f aca="false">ROW()-1</f>
        <v>661</v>
      </c>
      <c r="B662" s="7" t="str">
        <f aca="false">IF(Raw_Nigeria!B662="",TRIM(Raw_Nigeria!C662),TRIM(Raw_Nigeria!B662))</f>
        <v>Nigeria Demographic and Health Survey 2018</v>
      </c>
      <c r="C662" s="7" t="str">
        <f aca="false">IF(ISNUMBER(SEARCH("Demographic and Health",B662)),"DHS",IF(OR(ISNUMBER(SEARCH("Multiple Indicator Cluster",B662)),ISNUMBER(SEARCH("MICS",B662))),"MICS",IF(ISNUMBER(SEARCH("Immunization Coverage Survey",B662)),"Coverage survey",IF(ISNUMBER(SEARCH("Nutrition",B662)),"Nutrition survey","Other"))))</f>
        <v>DHS</v>
      </c>
      <c r="D662" s="7" t="n">
        <f aca="false">VALUE(LEFT(Raw_Nigeria!D662,4))</f>
        <v>2018</v>
      </c>
      <c r="E662" s="7" t="n">
        <f aca="false">IF(VALUE(RIGHT(Raw_Nigeria!D662,2))&gt;12,"",VALUE(RIGHT(Raw_Nigeria!D662,2)))</f>
        <v>8</v>
      </c>
      <c r="F662" s="7" t="n">
        <f aca="false">VALUE(LEFT(Raw_Nigeria!E662,4))</f>
        <v>2018</v>
      </c>
      <c r="G662" s="7" t="n">
        <f aca="false">IF(VALUE(RIGHT(Raw_Nigeria!E662,2))&gt;12,"",VALUE(RIGHT(Raw_Nigeria!E662,2)))</f>
        <v>12</v>
      </c>
      <c r="H662" s="7" t="n">
        <f aca="false">Raw_Nigeria!F662</f>
        <v>2017</v>
      </c>
      <c r="I662" s="7" t="str">
        <f aca="false">UPPER(TRIM(Raw_Nigeria!G662))</f>
        <v>HIB2</v>
      </c>
      <c r="J662" s="7" t="str">
        <f aca="false">Raw_Nigeria!H662</f>
        <v>Record or Recall&lt;12m</v>
      </c>
      <c r="K662" s="7" t="str">
        <f aca="false">Raw_Nigeria!L662</f>
        <v>12-23 m</v>
      </c>
      <c r="L662" s="7" t="str">
        <f aca="false">IF(Raw_Nigeria!K662="","n/a",Raw_Nigeria!K662)</f>
        <v>0-12 m</v>
      </c>
      <c r="M662" s="7" t="n">
        <f aca="false">IF(Raw_Nigeria!I662="","",Raw_Nigeria!I662)</f>
        <v>40</v>
      </c>
      <c r="N662" s="7" t="n">
        <f aca="false">Raw_Nigeria!M662</f>
        <v>56.6</v>
      </c>
      <c r="O662" s="7" t="n">
        <f aca="false">IF(Raw_Nigeria!N662="","",Raw_Nigeria!N662)</f>
        <v>6143</v>
      </c>
      <c r="P662" s="7" t="str">
        <f aca="false">IF(K662="CBAW","Women of child-bearing age","Children")</f>
        <v>Children</v>
      </c>
      <c r="Q662" s="7" t="n">
        <f aca="false">IF(J662="NOT USED",1,0)</f>
        <v>0</v>
      </c>
      <c r="R662" s="7" t="n">
        <f aca="false">IF(AND(P662="Children",Q662=0),1,0)</f>
        <v>1</v>
      </c>
      <c r="S662" s="7" t="n">
        <f aca="false">IF(AND(R662=1,J662="Record or Recall",K662="12-23 m"),1,0)</f>
        <v>0</v>
      </c>
      <c r="T662" s="7" t="n">
        <f aca="false">IF(OR(I662="BCG",I662="DTP1",I662="DTP3",I662="POL3",I662="MCV1",I662="FULL"),1,0)</f>
        <v>0</v>
      </c>
      <c r="U662" s="7" t="n">
        <f aca="false">IF(OR(C662="DHS",C662="MICS"),1,0)</f>
        <v>1</v>
      </c>
      <c r="V662" s="7" t="n">
        <f aca="false">IF(O662="",1,0)</f>
        <v>0</v>
      </c>
      <c r="W662" s="7" t="n">
        <f aca="false">IF(M662="",1,0)</f>
        <v>0</v>
      </c>
      <c r="X662" s="7" t="n">
        <f aca="false">COUNTIFS($B$2:$B$1141,B662,$H$2:$H$1141,H662,$I$2:$I$1141,I662,$J$2:$J$1141,J662,$K$2:$K$1141,K662,$L$2:$L$1141,L662)</f>
        <v>1</v>
      </c>
    </row>
    <row r="663" customFormat="false" ht="15" hidden="false" customHeight="false" outlineLevel="0" collapsed="false">
      <c r="A663" s="7" t="n">
        <f aca="false">ROW()-1</f>
        <v>662</v>
      </c>
      <c r="B663" s="7" t="str">
        <f aca="false">IF(Raw_Nigeria!B663="",TRIM(Raw_Nigeria!C663),TRIM(Raw_Nigeria!B663))</f>
        <v>Nigeria Demographic and Health Survey 2018</v>
      </c>
      <c r="C663" s="7" t="str">
        <f aca="false">IF(ISNUMBER(SEARCH("Demographic and Health",B663)),"DHS",IF(OR(ISNUMBER(SEARCH("Multiple Indicator Cluster",B663)),ISNUMBER(SEARCH("MICS",B663))),"MICS",IF(ISNUMBER(SEARCH("Immunization Coverage Survey",B663)),"Coverage survey",IF(ISNUMBER(SEARCH("Nutrition",B663)),"Nutrition survey","Other"))))</f>
        <v>DHS</v>
      </c>
      <c r="D663" s="7" t="n">
        <f aca="false">VALUE(LEFT(Raw_Nigeria!D663,4))</f>
        <v>2018</v>
      </c>
      <c r="E663" s="7" t="n">
        <f aca="false">IF(VALUE(RIGHT(Raw_Nigeria!D663,2))&gt;12,"",VALUE(RIGHT(Raw_Nigeria!D663,2)))</f>
        <v>8</v>
      </c>
      <c r="F663" s="7" t="n">
        <f aca="false">VALUE(LEFT(Raw_Nigeria!E663,4))</f>
        <v>2018</v>
      </c>
      <c r="G663" s="7" t="n">
        <f aca="false">IF(VALUE(RIGHT(Raw_Nigeria!E663,2))&gt;12,"",VALUE(RIGHT(Raw_Nigeria!E663,2)))</f>
        <v>12</v>
      </c>
      <c r="H663" s="7" t="n">
        <f aca="false">Raw_Nigeria!F663</f>
        <v>2017</v>
      </c>
      <c r="I663" s="7" t="str">
        <f aca="false">UPPER(TRIM(Raw_Nigeria!G663))</f>
        <v>HIB2</v>
      </c>
      <c r="J663" s="7" t="str">
        <f aca="false">Raw_Nigeria!H663</f>
        <v>Record</v>
      </c>
      <c r="K663" s="7" t="str">
        <f aca="false">Raw_Nigeria!L663</f>
        <v>12-23 m</v>
      </c>
      <c r="L663" s="7" t="str">
        <f aca="false">IF(Raw_Nigeria!K663="","n/a",Raw_Nigeria!K663)</f>
        <v>0-23 m</v>
      </c>
      <c r="M663" s="7" t="n">
        <f aca="false">IF(Raw_Nigeria!I663="","",Raw_Nigeria!I663)</f>
        <v>40</v>
      </c>
      <c r="N663" s="7" t="n">
        <f aca="false">Raw_Nigeria!M663</f>
        <v>35.5</v>
      </c>
      <c r="O663" s="7" t="n">
        <f aca="false">IF(Raw_Nigeria!N663="","",Raw_Nigeria!N663)</f>
        <v>2459</v>
      </c>
      <c r="P663" s="7" t="str">
        <f aca="false">IF(K663="CBAW","Women of child-bearing age","Children")</f>
        <v>Children</v>
      </c>
      <c r="Q663" s="7" t="n">
        <f aca="false">IF(J663="NOT USED",1,0)</f>
        <v>0</v>
      </c>
      <c r="R663" s="7" t="n">
        <f aca="false">IF(AND(P663="Children",Q663=0),1,0)</f>
        <v>1</v>
      </c>
      <c r="S663" s="7" t="n">
        <f aca="false">IF(AND(R663=1,J663="Record or Recall",K663="12-23 m"),1,0)</f>
        <v>0</v>
      </c>
      <c r="T663" s="7" t="n">
        <f aca="false">IF(OR(I663="BCG",I663="DTP1",I663="DTP3",I663="POL3",I663="MCV1",I663="FULL"),1,0)</f>
        <v>0</v>
      </c>
      <c r="U663" s="7" t="n">
        <f aca="false">IF(OR(C663="DHS",C663="MICS"),1,0)</f>
        <v>1</v>
      </c>
      <c r="V663" s="7" t="n">
        <f aca="false">IF(O663="",1,0)</f>
        <v>0</v>
      </c>
      <c r="W663" s="7" t="n">
        <f aca="false">IF(M663="",1,0)</f>
        <v>0</v>
      </c>
      <c r="X663" s="7" t="n">
        <f aca="false">COUNTIFS($B$2:$B$1141,B663,$H$2:$H$1141,H663,$I$2:$I$1141,I663,$J$2:$J$1141,J663,$K$2:$K$1141,K663,$L$2:$L$1141,L663)</f>
        <v>1</v>
      </c>
    </row>
    <row r="664" customFormat="false" ht="15" hidden="false" customHeight="false" outlineLevel="0" collapsed="false">
      <c r="A664" s="7" t="n">
        <f aca="false">ROW()-1</f>
        <v>663</v>
      </c>
      <c r="B664" s="7" t="str">
        <f aca="false">IF(Raw_Nigeria!B664="",TRIM(Raw_Nigeria!C664),TRIM(Raw_Nigeria!B664))</f>
        <v>Nigeria Demographic and Health Survey 2018</v>
      </c>
      <c r="C664" s="7" t="str">
        <f aca="false">IF(ISNUMBER(SEARCH("Demographic and Health",B664)),"DHS",IF(OR(ISNUMBER(SEARCH("Multiple Indicator Cluster",B664)),ISNUMBER(SEARCH("MICS",B664))),"MICS",IF(ISNUMBER(SEARCH("Immunization Coverage Survey",B664)),"Coverage survey",IF(ISNUMBER(SEARCH("Nutrition",B664)),"Nutrition survey","Other"))))</f>
        <v>DHS</v>
      </c>
      <c r="D664" s="7" t="n">
        <f aca="false">VALUE(LEFT(Raw_Nigeria!D664,4))</f>
        <v>2018</v>
      </c>
      <c r="E664" s="7" t="n">
        <f aca="false">IF(VALUE(RIGHT(Raw_Nigeria!D664,2))&gt;12,"",VALUE(RIGHT(Raw_Nigeria!D664,2)))</f>
        <v>8</v>
      </c>
      <c r="F664" s="7" t="n">
        <f aca="false">VALUE(LEFT(Raw_Nigeria!E664,4))</f>
        <v>2018</v>
      </c>
      <c r="G664" s="7" t="n">
        <f aca="false">IF(VALUE(RIGHT(Raw_Nigeria!E664,2))&gt;12,"",VALUE(RIGHT(Raw_Nigeria!E664,2)))</f>
        <v>12</v>
      </c>
      <c r="H664" s="7" t="n">
        <f aca="false">Raw_Nigeria!F664</f>
        <v>2017</v>
      </c>
      <c r="I664" s="7" t="str">
        <f aca="false">UPPER(TRIM(Raw_Nigeria!G664))</f>
        <v>HIB2</v>
      </c>
      <c r="J664" s="7" t="str">
        <f aca="false">Raw_Nigeria!H664</f>
        <v>Record or Recall</v>
      </c>
      <c r="K664" s="7" t="str">
        <f aca="false">Raw_Nigeria!L664</f>
        <v>12-23 m</v>
      </c>
      <c r="L664" s="7" t="str">
        <f aca="false">IF(Raw_Nigeria!K664="","n/a",Raw_Nigeria!K664)</f>
        <v>0-23 m</v>
      </c>
      <c r="M664" s="7" t="n">
        <f aca="false">IF(Raw_Nigeria!I664="","",Raw_Nigeria!I664)</f>
        <v>40</v>
      </c>
      <c r="N664" s="7" t="n">
        <f aca="false">Raw_Nigeria!M664</f>
        <v>57.8</v>
      </c>
      <c r="O664" s="7" t="n">
        <f aca="false">IF(Raw_Nigeria!N664="","",Raw_Nigeria!N664)</f>
        <v>6143</v>
      </c>
      <c r="P664" s="7" t="str">
        <f aca="false">IF(K664="CBAW","Women of child-bearing age","Children")</f>
        <v>Children</v>
      </c>
      <c r="Q664" s="7" t="n">
        <f aca="false">IF(J664="NOT USED",1,0)</f>
        <v>0</v>
      </c>
      <c r="R664" s="7" t="n">
        <f aca="false">IF(AND(P664="Children",Q664=0),1,0)</f>
        <v>1</v>
      </c>
      <c r="S664" s="7" t="n">
        <f aca="false">IF(AND(R664=1,J664="Record or Recall",K664="12-23 m"),1,0)</f>
        <v>1</v>
      </c>
      <c r="T664" s="7" t="n">
        <f aca="false">IF(OR(I664="BCG",I664="DTP1",I664="DTP3",I664="POL3",I664="MCV1",I664="FULL"),1,0)</f>
        <v>0</v>
      </c>
      <c r="U664" s="7" t="n">
        <f aca="false">IF(OR(C664="DHS",C664="MICS"),1,0)</f>
        <v>1</v>
      </c>
      <c r="V664" s="7" t="n">
        <f aca="false">IF(O664="",1,0)</f>
        <v>0</v>
      </c>
      <c r="W664" s="7" t="n">
        <f aca="false">IF(M664="",1,0)</f>
        <v>0</v>
      </c>
      <c r="X664" s="7" t="n">
        <f aca="false">COUNTIFS($B$2:$B$1141,B664,$H$2:$H$1141,H664,$I$2:$I$1141,I664,$J$2:$J$1141,J664,$K$2:$K$1141,K664,$L$2:$L$1141,L664)</f>
        <v>1</v>
      </c>
    </row>
    <row r="665" customFormat="false" ht="15" hidden="false" customHeight="false" outlineLevel="0" collapsed="false">
      <c r="A665" s="7" t="n">
        <f aca="false">ROW()-1</f>
        <v>664</v>
      </c>
      <c r="B665" s="7" t="str">
        <f aca="false">IF(Raw_Nigeria!B665="",TRIM(Raw_Nigeria!C665),TRIM(Raw_Nigeria!B665))</f>
        <v>Nigeria Demographic and Health Survey 2018</v>
      </c>
      <c r="C665" s="7" t="str">
        <f aca="false">IF(ISNUMBER(SEARCH("Demographic and Health",B665)),"DHS",IF(OR(ISNUMBER(SEARCH("Multiple Indicator Cluster",B665)),ISNUMBER(SEARCH("MICS",B665))),"MICS",IF(ISNUMBER(SEARCH("Immunization Coverage Survey",B665)),"Coverage survey",IF(ISNUMBER(SEARCH("Nutrition",B665)),"Nutrition survey","Other"))))</f>
        <v>DHS</v>
      </c>
      <c r="D665" s="7" t="n">
        <f aca="false">VALUE(LEFT(Raw_Nigeria!D665,4))</f>
        <v>2018</v>
      </c>
      <c r="E665" s="7" t="n">
        <f aca="false">IF(VALUE(RIGHT(Raw_Nigeria!D665,2))&gt;12,"",VALUE(RIGHT(Raw_Nigeria!D665,2)))</f>
        <v>8</v>
      </c>
      <c r="F665" s="7" t="n">
        <f aca="false">VALUE(LEFT(Raw_Nigeria!E665,4))</f>
        <v>2018</v>
      </c>
      <c r="G665" s="7" t="n">
        <f aca="false">IF(VALUE(RIGHT(Raw_Nigeria!E665,2))&gt;12,"",VALUE(RIGHT(Raw_Nigeria!E665,2)))</f>
        <v>12</v>
      </c>
      <c r="H665" s="7" t="n">
        <f aca="false">Raw_Nigeria!F665</f>
        <v>2017</v>
      </c>
      <c r="I665" s="7" t="str">
        <f aca="false">UPPER(TRIM(Raw_Nigeria!G665))</f>
        <v>HIB2</v>
      </c>
      <c r="J665" s="7" t="str">
        <f aca="false">Raw_Nigeria!H665</f>
        <v>Recall</v>
      </c>
      <c r="K665" s="7" t="str">
        <f aca="false">Raw_Nigeria!L665</f>
        <v>12-23 m</v>
      </c>
      <c r="L665" s="7" t="str">
        <f aca="false">IF(Raw_Nigeria!K665="","n/a",Raw_Nigeria!K665)</f>
        <v>0-23 m</v>
      </c>
      <c r="M665" s="7" t="n">
        <f aca="false">IF(Raw_Nigeria!I665="","",Raw_Nigeria!I665)</f>
        <v>40</v>
      </c>
      <c r="N665" s="7" t="n">
        <f aca="false">Raw_Nigeria!M665</f>
        <v>22.4</v>
      </c>
      <c r="O665" s="7" t="n">
        <f aca="false">IF(Raw_Nigeria!N665="","",Raw_Nigeria!N665)</f>
        <v>3684</v>
      </c>
      <c r="P665" s="7" t="str">
        <f aca="false">IF(K665="CBAW","Women of child-bearing age","Children")</f>
        <v>Children</v>
      </c>
      <c r="Q665" s="7" t="n">
        <f aca="false">IF(J665="NOT USED",1,0)</f>
        <v>0</v>
      </c>
      <c r="R665" s="7" t="n">
        <f aca="false">IF(AND(P665="Children",Q665=0),1,0)</f>
        <v>1</v>
      </c>
      <c r="S665" s="7" t="n">
        <f aca="false">IF(AND(R665=1,J665="Record or Recall",K665="12-23 m"),1,0)</f>
        <v>0</v>
      </c>
      <c r="T665" s="7" t="n">
        <f aca="false">IF(OR(I665="BCG",I665="DTP1",I665="DTP3",I665="POL3",I665="MCV1",I665="FULL"),1,0)</f>
        <v>0</v>
      </c>
      <c r="U665" s="7" t="n">
        <f aca="false">IF(OR(C665="DHS",C665="MICS"),1,0)</f>
        <v>1</v>
      </c>
      <c r="V665" s="7" t="n">
        <f aca="false">IF(O665="",1,0)</f>
        <v>0</v>
      </c>
      <c r="W665" s="7" t="n">
        <f aca="false">IF(M665="",1,0)</f>
        <v>0</v>
      </c>
      <c r="X665" s="7" t="n">
        <f aca="false">COUNTIFS($B$2:$B$1141,B665,$H$2:$H$1141,H665,$I$2:$I$1141,I665,$J$2:$J$1141,J665,$K$2:$K$1141,K665,$L$2:$L$1141,L665)</f>
        <v>1</v>
      </c>
    </row>
    <row r="666" customFormat="false" ht="15" hidden="false" customHeight="false" outlineLevel="0" collapsed="false">
      <c r="A666" s="7" t="n">
        <f aca="false">ROW()-1</f>
        <v>665</v>
      </c>
      <c r="B666" s="7" t="str">
        <f aca="false">IF(Raw_Nigeria!B666="",TRIM(Raw_Nigeria!C666),TRIM(Raw_Nigeria!B666))</f>
        <v>Nigeria Demographic and Health Survey 2018</v>
      </c>
      <c r="C666" s="7" t="str">
        <f aca="false">IF(ISNUMBER(SEARCH("Demographic and Health",B666)),"DHS",IF(OR(ISNUMBER(SEARCH("Multiple Indicator Cluster",B666)),ISNUMBER(SEARCH("MICS",B666))),"MICS",IF(ISNUMBER(SEARCH("Immunization Coverage Survey",B666)),"Coverage survey",IF(ISNUMBER(SEARCH("Nutrition",B666)),"Nutrition survey","Other"))))</f>
        <v>DHS</v>
      </c>
      <c r="D666" s="7" t="n">
        <f aca="false">VALUE(LEFT(Raw_Nigeria!D666,4))</f>
        <v>2018</v>
      </c>
      <c r="E666" s="7" t="n">
        <f aca="false">IF(VALUE(RIGHT(Raw_Nigeria!D666,2))&gt;12,"",VALUE(RIGHT(Raw_Nigeria!D666,2)))</f>
        <v>8</v>
      </c>
      <c r="F666" s="7" t="n">
        <f aca="false">VALUE(LEFT(Raw_Nigeria!E666,4))</f>
        <v>2018</v>
      </c>
      <c r="G666" s="7" t="n">
        <f aca="false">IF(VALUE(RIGHT(Raw_Nigeria!E666,2))&gt;12,"",VALUE(RIGHT(Raw_Nigeria!E666,2)))</f>
        <v>12</v>
      </c>
      <c r="H666" s="7" t="n">
        <f aca="false">Raw_Nigeria!F666</f>
        <v>2017</v>
      </c>
      <c r="I666" s="7" t="str">
        <f aca="false">UPPER(TRIM(Raw_Nigeria!G666))</f>
        <v>HIB3</v>
      </c>
      <c r="J666" s="7" t="str">
        <f aca="false">Raw_Nigeria!H666</f>
        <v>Record or Recall&lt;12m</v>
      </c>
      <c r="K666" s="7" t="str">
        <f aca="false">Raw_Nigeria!L666</f>
        <v>12-23 m</v>
      </c>
      <c r="L666" s="7" t="str">
        <f aca="false">IF(Raw_Nigeria!K666="","n/a",Raw_Nigeria!K666)</f>
        <v>0-12 m</v>
      </c>
      <c r="M666" s="7" t="n">
        <f aca="false">IF(Raw_Nigeria!I666="","",Raw_Nigeria!I666)</f>
        <v>40</v>
      </c>
      <c r="N666" s="7" t="n">
        <f aca="false">Raw_Nigeria!M666</f>
        <v>48.3</v>
      </c>
      <c r="O666" s="7" t="n">
        <f aca="false">IF(Raw_Nigeria!N666="","",Raw_Nigeria!N666)</f>
        <v>6143</v>
      </c>
      <c r="P666" s="7" t="str">
        <f aca="false">IF(K666="CBAW","Women of child-bearing age","Children")</f>
        <v>Children</v>
      </c>
      <c r="Q666" s="7" t="n">
        <f aca="false">IF(J666="NOT USED",1,0)</f>
        <v>0</v>
      </c>
      <c r="R666" s="7" t="n">
        <f aca="false">IF(AND(P666="Children",Q666=0),1,0)</f>
        <v>1</v>
      </c>
      <c r="S666" s="7" t="n">
        <f aca="false">IF(AND(R666=1,J666="Record or Recall",K666="12-23 m"),1,0)</f>
        <v>0</v>
      </c>
      <c r="T666" s="7" t="n">
        <f aca="false">IF(OR(I666="BCG",I666="DTP1",I666="DTP3",I666="POL3",I666="MCV1",I666="FULL"),1,0)</f>
        <v>0</v>
      </c>
      <c r="U666" s="7" t="n">
        <f aca="false">IF(OR(C666="DHS",C666="MICS"),1,0)</f>
        <v>1</v>
      </c>
      <c r="V666" s="7" t="n">
        <f aca="false">IF(O666="",1,0)</f>
        <v>0</v>
      </c>
      <c r="W666" s="7" t="n">
        <f aca="false">IF(M666="",1,0)</f>
        <v>0</v>
      </c>
      <c r="X666" s="7" t="n">
        <f aca="false">COUNTIFS($B$2:$B$1141,B666,$H$2:$H$1141,H666,$I$2:$I$1141,I666,$J$2:$J$1141,J666,$K$2:$K$1141,K666,$L$2:$L$1141,L666)</f>
        <v>1</v>
      </c>
    </row>
    <row r="667" customFormat="false" ht="15" hidden="false" customHeight="false" outlineLevel="0" collapsed="false">
      <c r="A667" s="7" t="n">
        <f aca="false">ROW()-1</f>
        <v>666</v>
      </c>
      <c r="B667" s="7" t="str">
        <f aca="false">IF(Raw_Nigeria!B667="",TRIM(Raw_Nigeria!C667),TRIM(Raw_Nigeria!B667))</f>
        <v>Nigeria Demographic and Health Survey 2018</v>
      </c>
      <c r="C667" s="7" t="str">
        <f aca="false">IF(ISNUMBER(SEARCH("Demographic and Health",B667)),"DHS",IF(OR(ISNUMBER(SEARCH("Multiple Indicator Cluster",B667)),ISNUMBER(SEARCH("MICS",B667))),"MICS",IF(ISNUMBER(SEARCH("Immunization Coverage Survey",B667)),"Coverage survey",IF(ISNUMBER(SEARCH("Nutrition",B667)),"Nutrition survey","Other"))))</f>
        <v>DHS</v>
      </c>
      <c r="D667" s="7" t="n">
        <f aca="false">VALUE(LEFT(Raw_Nigeria!D667,4))</f>
        <v>2018</v>
      </c>
      <c r="E667" s="7" t="n">
        <f aca="false">IF(VALUE(RIGHT(Raw_Nigeria!D667,2))&gt;12,"",VALUE(RIGHT(Raw_Nigeria!D667,2)))</f>
        <v>8</v>
      </c>
      <c r="F667" s="7" t="n">
        <f aca="false">VALUE(LEFT(Raw_Nigeria!E667,4))</f>
        <v>2018</v>
      </c>
      <c r="G667" s="7" t="n">
        <f aca="false">IF(VALUE(RIGHT(Raw_Nigeria!E667,2))&gt;12,"",VALUE(RIGHT(Raw_Nigeria!E667,2)))</f>
        <v>12</v>
      </c>
      <c r="H667" s="7" t="n">
        <f aca="false">Raw_Nigeria!F667</f>
        <v>2017</v>
      </c>
      <c r="I667" s="7" t="str">
        <f aca="false">UPPER(TRIM(Raw_Nigeria!G667))</f>
        <v>HIB3</v>
      </c>
      <c r="J667" s="7" t="str">
        <f aca="false">Raw_Nigeria!H667</f>
        <v>Record</v>
      </c>
      <c r="K667" s="7" t="str">
        <f aca="false">Raw_Nigeria!L667</f>
        <v>12-23 m</v>
      </c>
      <c r="L667" s="7" t="str">
        <f aca="false">IF(Raw_Nigeria!K667="","n/a",Raw_Nigeria!K667)</f>
        <v>0-23 m</v>
      </c>
      <c r="M667" s="7" t="n">
        <f aca="false">IF(Raw_Nigeria!I667="","",Raw_Nigeria!I667)</f>
        <v>40</v>
      </c>
      <c r="N667" s="7" t="n">
        <f aca="false">Raw_Nigeria!M667</f>
        <v>32.2</v>
      </c>
      <c r="O667" s="7" t="n">
        <f aca="false">IF(Raw_Nigeria!N667="","",Raw_Nigeria!N667)</f>
        <v>2459</v>
      </c>
      <c r="P667" s="7" t="str">
        <f aca="false">IF(K667="CBAW","Women of child-bearing age","Children")</f>
        <v>Children</v>
      </c>
      <c r="Q667" s="7" t="n">
        <f aca="false">IF(J667="NOT USED",1,0)</f>
        <v>0</v>
      </c>
      <c r="R667" s="7" t="n">
        <f aca="false">IF(AND(P667="Children",Q667=0),1,0)</f>
        <v>1</v>
      </c>
      <c r="S667" s="7" t="n">
        <f aca="false">IF(AND(R667=1,J667="Record or Recall",K667="12-23 m"),1,0)</f>
        <v>0</v>
      </c>
      <c r="T667" s="7" t="n">
        <f aca="false">IF(OR(I667="BCG",I667="DTP1",I667="DTP3",I667="POL3",I667="MCV1",I667="FULL"),1,0)</f>
        <v>0</v>
      </c>
      <c r="U667" s="7" t="n">
        <f aca="false">IF(OR(C667="DHS",C667="MICS"),1,0)</f>
        <v>1</v>
      </c>
      <c r="V667" s="7" t="n">
        <f aca="false">IF(O667="",1,0)</f>
        <v>0</v>
      </c>
      <c r="W667" s="7" t="n">
        <f aca="false">IF(M667="",1,0)</f>
        <v>0</v>
      </c>
      <c r="X667" s="7" t="n">
        <f aca="false">COUNTIFS($B$2:$B$1141,B667,$H$2:$H$1141,H667,$I$2:$I$1141,I667,$J$2:$J$1141,J667,$K$2:$K$1141,K667,$L$2:$L$1141,L667)</f>
        <v>1</v>
      </c>
    </row>
    <row r="668" customFormat="false" ht="15" hidden="false" customHeight="false" outlineLevel="0" collapsed="false">
      <c r="A668" s="7" t="n">
        <f aca="false">ROW()-1</f>
        <v>667</v>
      </c>
      <c r="B668" s="7" t="str">
        <f aca="false">IF(Raw_Nigeria!B668="",TRIM(Raw_Nigeria!C668),TRIM(Raw_Nigeria!B668))</f>
        <v>Nigeria Demographic and Health Survey 2018</v>
      </c>
      <c r="C668" s="7" t="str">
        <f aca="false">IF(ISNUMBER(SEARCH("Demographic and Health",B668)),"DHS",IF(OR(ISNUMBER(SEARCH("Multiple Indicator Cluster",B668)),ISNUMBER(SEARCH("MICS",B668))),"MICS",IF(ISNUMBER(SEARCH("Immunization Coverage Survey",B668)),"Coverage survey",IF(ISNUMBER(SEARCH("Nutrition",B668)),"Nutrition survey","Other"))))</f>
        <v>DHS</v>
      </c>
      <c r="D668" s="7" t="n">
        <f aca="false">VALUE(LEFT(Raw_Nigeria!D668,4))</f>
        <v>2018</v>
      </c>
      <c r="E668" s="7" t="n">
        <f aca="false">IF(VALUE(RIGHT(Raw_Nigeria!D668,2))&gt;12,"",VALUE(RIGHT(Raw_Nigeria!D668,2)))</f>
        <v>8</v>
      </c>
      <c r="F668" s="7" t="n">
        <f aca="false">VALUE(LEFT(Raw_Nigeria!E668,4))</f>
        <v>2018</v>
      </c>
      <c r="G668" s="7" t="n">
        <f aca="false">IF(VALUE(RIGHT(Raw_Nigeria!E668,2))&gt;12,"",VALUE(RIGHT(Raw_Nigeria!E668,2)))</f>
        <v>12</v>
      </c>
      <c r="H668" s="7" t="n">
        <f aca="false">Raw_Nigeria!F668</f>
        <v>2017</v>
      </c>
      <c r="I668" s="7" t="str">
        <f aca="false">UPPER(TRIM(Raw_Nigeria!G668))</f>
        <v>HIB3</v>
      </c>
      <c r="J668" s="7" t="str">
        <f aca="false">Raw_Nigeria!H668</f>
        <v>Record or Recall</v>
      </c>
      <c r="K668" s="7" t="str">
        <f aca="false">Raw_Nigeria!L668</f>
        <v>12-23 m</v>
      </c>
      <c r="L668" s="7" t="str">
        <f aca="false">IF(Raw_Nigeria!K668="","n/a",Raw_Nigeria!K668)</f>
        <v>0-23 m</v>
      </c>
      <c r="M668" s="7" t="n">
        <f aca="false">IF(Raw_Nigeria!I668="","",Raw_Nigeria!I668)</f>
        <v>40</v>
      </c>
      <c r="N668" s="7" t="n">
        <f aca="false">Raw_Nigeria!M668</f>
        <v>50.1</v>
      </c>
      <c r="O668" s="7" t="n">
        <f aca="false">IF(Raw_Nigeria!N668="","",Raw_Nigeria!N668)</f>
        <v>6143</v>
      </c>
      <c r="P668" s="7" t="str">
        <f aca="false">IF(K668="CBAW","Women of child-bearing age","Children")</f>
        <v>Children</v>
      </c>
      <c r="Q668" s="7" t="n">
        <f aca="false">IF(J668="NOT USED",1,0)</f>
        <v>0</v>
      </c>
      <c r="R668" s="7" t="n">
        <f aca="false">IF(AND(P668="Children",Q668=0),1,0)</f>
        <v>1</v>
      </c>
      <c r="S668" s="7" t="n">
        <f aca="false">IF(AND(R668=1,J668="Record or Recall",K668="12-23 m"),1,0)</f>
        <v>1</v>
      </c>
      <c r="T668" s="7" t="n">
        <f aca="false">IF(OR(I668="BCG",I668="DTP1",I668="DTP3",I668="POL3",I668="MCV1",I668="FULL"),1,0)</f>
        <v>0</v>
      </c>
      <c r="U668" s="7" t="n">
        <f aca="false">IF(OR(C668="DHS",C668="MICS"),1,0)</f>
        <v>1</v>
      </c>
      <c r="V668" s="7" t="n">
        <f aca="false">IF(O668="",1,0)</f>
        <v>0</v>
      </c>
      <c r="W668" s="7" t="n">
        <f aca="false">IF(M668="",1,0)</f>
        <v>0</v>
      </c>
      <c r="X668" s="7" t="n">
        <f aca="false">COUNTIFS($B$2:$B$1141,B668,$H$2:$H$1141,H668,$I$2:$I$1141,I668,$J$2:$J$1141,J668,$K$2:$K$1141,K668,$L$2:$L$1141,L668)</f>
        <v>1</v>
      </c>
    </row>
    <row r="669" customFormat="false" ht="15" hidden="false" customHeight="false" outlineLevel="0" collapsed="false">
      <c r="A669" s="7" t="n">
        <f aca="false">ROW()-1</f>
        <v>668</v>
      </c>
      <c r="B669" s="7" t="str">
        <f aca="false">IF(Raw_Nigeria!B669="",TRIM(Raw_Nigeria!C669),TRIM(Raw_Nigeria!B669))</f>
        <v>Nigeria Demographic and Health Survey 2018</v>
      </c>
      <c r="C669" s="7" t="str">
        <f aca="false">IF(ISNUMBER(SEARCH("Demographic and Health",B669)),"DHS",IF(OR(ISNUMBER(SEARCH("Multiple Indicator Cluster",B669)),ISNUMBER(SEARCH("MICS",B669))),"MICS",IF(ISNUMBER(SEARCH("Immunization Coverage Survey",B669)),"Coverage survey",IF(ISNUMBER(SEARCH("Nutrition",B669)),"Nutrition survey","Other"))))</f>
        <v>DHS</v>
      </c>
      <c r="D669" s="7" t="n">
        <f aca="false">VALUE(LEFT(Raw_Nigeria!D669,4))</f>
        <v>2018</v>
      </c>
      <c r="E669" s="7" t="n">
        <f aca="false">IF(VALUE(RIGHT(Raw_Nigeria!D669,2))&gt;12,"",VALUE(RIGHT(Raw_Nigeria!D669,2)))</f>
        <v>8</v>
      </c>
      <c r="F669" s="7" t="n">
        <f aca="false">VALUE(LEFT(Raw_Nigeria!E669,4))</f>
        <v>2018</v>
      </c>
      <c r="G669" s="7" t="n">
        <f aca="false">IF(VALUE(RIGHT(Raw_Nigeria!E669,2))&gt;12,"",VALUE(RIGHT(Raw_Nigeria!E669,2)))</f>
        <v>12</v>
      </c>
      <c r="H669" s="7" t="n">
        <f aca="false">Raw_Nigeria!F669</f>
        <v>2017</v>
      </c>
      <c r="I669" s="7" t="str">
        <f aca="false">UPPER(TRIM(Raw_Nigeria!G669))</f>
        <v>HIB3</v>
      </c>
      <c r="J669" s="7" t="str">
        <f aca="false">Raw_Nigeria!H669</f>
        <v>Recall</v>
      </c>
      <c r="K669" s="7" t="str">
        <f aca="false">Raw_Nigeria!L669</f>
        <v>12-23 m</v>
      </c>
      <c r="L669" s="7" t="str">
        <f aca="false">IF(Raw_Nigeria!K669="","n/a",Raw_Nigeria!K669)</f>
        <v>0-23 m</v>
      </c>
      <c r="M669" s="7" t="n">
        <f aca="false">IF(Raw_Nigeria!I669="","",Raw_Nigeria!I669)</f>
        <v>40</v>
      </c>
      <c r="N669" s="7" t="n">
        <f aca="false">Raw_Nigeria!M669</f>
        <v>17.8</v>
      </c>
      <c r="O669" s="7" t="n">
        <f aca="false">IF(Raw_Nigeria!N669="","",Raw_Nigeria!N669)</f>
        <v>3684</v>
      </c>
      <c r="P669" s="7" t="str">
        <f aca="false">IF(K669="CBAW","Women of child-bearing age","Children")</f>
        <v>Children</v>
      </c>
      <c r="Q669" s="7" t="n">
        <f aca="false">IF(J669="NOT USED",1,0)</f>
        <v>0</v>
      </c>
      <c r="R669" s="7" t="n">
        <f aca="false">IF(AND(P669="Children",Q669=0),1,0)</f>
        <v>1</v>
      </c>
      <c r="S669" s="7" t="n">
        <f aca="false">IF(AND(R669=1,J669="Record or Recall",K669="12-23 m"),1,0)</f>
        <v>0</v>
      </c>
      <c r="T669" s="7" t="n">
        <f aca="false">IF(OR(I669="BCG",I669="DTP1",I669="DTP3",I669="POL3",I669="MCV1",I669="FULL"),1,0)</f>
        <v>0</v>
      </c>
      <c r="U669" s="7" t="n">
        <f aca="false">IF(OR(C669="DHS",C669="MICS"),1,0)</f>
        <v>1</v>
      </c>
      <c r="V669" s="7" t="n">
        <f aca="false">IF(O669="",1,0)</f>
        <v>0</v>
      </c>
      <c r="W669" s="7" t="n">
        <f aca="false">IF(M669="",1,0)</f>
        <v>0</v>
      </c>
      <c r="X669" s="7" t="n">
        <f aca="false">COUNTIFS($B$2:$B$1141,B669,$H$2:$H$1141,H669,$I$2:$I$1141,I669,$J$2:$J$1141,J669,$K$2:$K$1141,K669,$L$2:$L$1141,L669)</f>
        <v>1</v>
      </c>
    </row>
    <row r="670" customFormat="false" ht="15" hidden="false" customHeight="false" outlineLevel="0" collapsed="false">
      <c r="A670" s="7" t="n">
        <f aca="false">ROW()-1</f>
        <v>669</v>
      </c>
      <c r="B670" s="7" t="str">
        <f aca="false">IF(Raw_Nigeria!B670="",TRIM(Raw_Nigeria!C670),TRIM(Raw_Nigeria!B670))</f>
        <v>Nigeria Demographic and Health Survey 2018</v>
      </c>
      <c r="C670" s="7" t="str">
        <f aca="false">IF(ISNUMBER(SEARCH("Demographic and Health",B670)),"DHS",IF(OR(ISNUMBER(SEARCH("Multiple Indicator Cluster",B670)),ISNUMBER(SEARCH("MICS",B670))),"MICS",IF(ISNUMBER(SEARCH("Immunization Coverage Survey",B670)),"Coverage survey",IF(ISNUMBER(SEARCH("Nutrition",B670)),"Nutrition survey","Other"))))</f>
        <v>DHS</v>
      </c>
      <c r="D670" s="7" t="n">
        <f aca="false">VALUE(LEFT(Raw_Nigeria!D670,4))</f>
        <v>2018</v>
      </c>
      <c r="E670" s="7" t="n">
        <f aca="false">IF(VALUE(RIGHT(Raw_Nigeria!D670,2))&gt;12,"",VALUE(RIGHT(Raw_Nigeria!D670,2)))</f>
        <v>8</v>
      </c>
      <c r="F670" s="7" t="n">
        <f aca="false">VALUE(LEFT(Raw_Nigeria!E670,4))</f>
        <v>2018</v>
      </c>
      <c r="G670" s="7" t="n">
        <f aca="false">IF(VALUE(RIGHT(Raw_Nigeria!E670,2))&gt;12,"",VALUE(RIGHT(Raw_Nigeria!E670,2)))</f>
        <v>12</v>
      </c>
      <c r="H670" s="7" t="n">
        <f aca="false">Raw_Nigeria!F670</f>
        <v>2017</v>
      </c>
      <c r="I670" s="7" t="str">
        <f aca="false">UPPER(TRIM(Raw_Nigeria!G670))</f>
        <v>IPV1</v>
      </c>
      <c r="J670" s="7" t="str">
        <f aca="false">Raw_Nigeria!H670</f>
        <v>Record or Recall&lt;12m</v>
      </c>
      <c r="K670" s="7" t="str">
        <f aca="false">Raw_Nigeria!L670</f>
        <v>12-23 m</v>
      </c>
      <c r="L670" s="7" t="str">
        <f aca="false">IF(Raw_Nigeria!K670="","n/a",Raw_Nigeria!K670)</f>
        <v>0-12 m</v>
      </c>
      <c r="M670" s="7" t="n">
        <f aca="false">IF(Raw_Nigeria!I670="","",Raw_Nigeria!I670)</f>
        <v>40</v>
      </c>
      <c r="N670" s="7" t="n">
        <f aca="false">Raw_Nigeria!M670</f>
        <v>51</v>
      </c>
      <c r="O670" s="7" t="n">
        <f aca="false">IF(Raw_Nigeria!N670="","",Raw_Nigeria!N670)</f>
        <v>6143</v>
      </c>
      <c r="P670" s="7" t="str">
        <f aca="false">IF(K670="CBAW","Women of child-bearing age","Children")</f>
        <v>Children</v>
      </c>
      <c r="Q670" s="7" t="n">
        <f aca="false">IF(J670="NOT USED",1,0)</f>
        <v>0</v>
      </c>
      <c r="R670" s="7" t="n">
        <f aca="false">IF(AND(P670="Children",Q670=0),1,0)</f>
        <v>1</v>
      </c>
      <c r="S670" s="7" t="n">
        <f aca="false">IF(AND(R670=1,J670="Record or Recall",K670="12-23 m"),1,0)</f>
        <v>0</v>
      </c>
      <c r="T670" s="7" t="n">
        <f aca="false">IF(OR(I670="BCG",I670="DTP1",I670="DTP3",I670="POL3",I670="MCV1",I670="FULL"),1,0)</f>
        <v>0</v>
      </c>
      <c r="U670" s="7" t="n">
        <f aca="false">IF(OR(C670="DHS",C670="MICS"),1,0)</f>
        <v>1</v>
      </c>
      <c r="V670" s="7" t="n">
        <f aca="false">IF(O670="",1,0)</f>
        <v>0</v>
      </c>
      <c r="W670" s="7" t="n">
        <f aca="false">IF(M670="",1,0)</f>
        <v>0</v>
      </c>
      <c r="X670" s="7" t="n">
        <f aca="false">COUNTIFS($B$2:$B$1141,B670,$H$2:$H$1141,H670,$I$2:$I$1141,I670,$J$2:$J$1141,J670,$K$2:$K$1141,K670,$L$2:$L$1141,L670)</f>
        <v>1</v>
      </c>
    </row>
    <row r="671" customFormat="false" ht="15" hidden="false" customHeight="false" outlineLevel="0" collapsed="false">
      <c r="A671" s="7" t="n">
        <f aca="false">ROW()-1</f>
        <v>670</v>
      </c>
      <c r="B671" s="7" t="str">
        <f aca="false">IF(Raw_Nigeria!B671="",TRIM(Raw_Nigeria!C671),TRIM(Raw_Nigeria!B671))</f>
        <v>Nigeria Demographic and Health Survey 2018</v>
      </c>
      <c r="C671" s="7" t="str">
        <f aca="false">IF(ISNUMBER(SEARCH("Demographic and Health",B671)),"DHS",IF(OR(ISNUMBER(SEARCH("Multiple Indicator Cluster",B671)),ISNUMBER(SEARCH("MICS",B671))),"MICS",IF(ISNUMBER(SEARCH("Immunization Coverage Survey",B671)),"Coverage survey",IF(ISNUMBER(SEARCH("Nutrition",B671)),"Nutrition survey","Other"))))</f>
        <v>DHS</v>
      </c>
      <c r="D671" s="7" t="n">
        <f aca="false">VALUE(LEFT(Raw_Nigeria!D671,4))</f>
        <v>2018</v>
      </c>
      <c r="E671" s="7" t="n">
        <f aca="false">IF(VALUE(RIGHT(Raw_Nigeria!D671,2))&gt;12,"",VALUE(RIGHT(Raw_Nigeria!D671,2)))</f>
        <v>8</v>
      </c>
      <c r="F671" s="7" t="n">
        <f aca="false">VALUE(LEFT(Raw_Nigeria!E671,4))</f>
        <v>2018</v>
      </c>
      <c r="G671" s="7" t="n">
        <f aca="false">IF(VALUE(RIGHT(Raw_Nigeria!E671,2))&gt;12,"",VALUE(RIGHT(Raw_Nigeria!E671,2)))</f>
        <v>12</v>
      </c>
      <c r="H671" s="7" t="n">
        <f aca="false">Raw_Nigeria!F671</f>
        <v>2017</v>
      </c>
      <c r="I671" s="7" t="str">
        <f aca="false">UPPER(TRIM(Raw_Nigeria!G671))</f>
        <v>IPV1</v>
      </c>
      <c r="J671" s="7" t="str">
        <f aca="false">Raw_Nigeria!H671</f>
        <v>Record</v>
      </c>
      <c r="K671" s="7" t="str">
        <f aca="false">Raw_Nigeria!L671</f>
        <v>12-23 m</v>
      </c>
      <c r="L671" s="7" t="str">
        <f aca="false">IF(Raw_Nigeria!K671="","n/a",Raw_Nigeria!K671)</f>
        <v>0-23 m</v>
      </c>
      <c r="M671" s="7" t="n">
        <f aca="false">IF(Raw_Nigeria!I671="","",Raw_Nigeria!I671)</f>
        <v>40</v>
      </c>
      <c r="N671" s="7" t="n">
        <f aca="false">Raw_Nigeria!M671</f>
        <v>29.1</v>
      </c>
      <c r="O671" s="7" t="n">
        <f aca="false">IF(Raw_Nigeria!N671="","",Raw_Nigeria!N671)</f>
        <v>2459</v>
      </c>
      <c r="P671" s="7" t="str">
        <f aca="false">IF(K671="CBAW","Women of child-bearing age","Children")</f>
        <v>Children</v>
      </c>
      <c r="Q671" s="7" t="n">
        <f aca="false">IF(J671="NOT USED",1,0)</f>
        <v>0</v>
      </c>
      <c r="R671" s="7" t="n">
        <f aca="false">IF(AND(P671="Children",Q671=0),1,0)</f>
        <v>1</v>
      </c>
      <c r="S671" s="7" t="n">
        <f aca="false">IF(AND(R671=1,J671="Record or Recall",K671="12-23 m"),1,0)</f>
        <v>0</v>
      </c>
      <c r="T671" s="7" t="n">
        <f aca="false">IF(OR(I671="BCG",I671="DTP1",I671="DTP3",I671="POL3",I671="MCV1",I671="FULL"),1,0)</f>
        <v>0</v>
      </c>
      <c r="U671" s="7" t="n">
        <f aca="false">IF(OR(C671="DHS",C671="MICS"),1,0)</f>
        <v>1</v>
      </c>
      <c r="V671" s="7" t="n">
        <f aca="false">IF(O671="",1,0)</f>
        <v>0</v>
      </c>
      <c r="W671" s="7" t="n">
        <f aca="false">IF(M671="",1,0)</f>
        <v>0</v>
      </c>
      <c r="X671" s="7" t="n">
        <f aca="false">COUNTIFS($B$2:$B$1141,B671,$H$2:$H$1141,H671,$I$2:$I$1141,I671,$J$2:$J$1141,J671,$K$2:$K$1141,K671,$L$2:$L$1141,L671)</f>
        <v>1</v>
      </c>
    </row>
    <row r="672" customFormat="false" ht="15" hidden="false" customHeight="false" outlineLevel="0" collapsed="false">
      <c r="A672" s="7" t="n">
        <f aca="false">ROW()-1</f>
        <v>671</v>
      </c>
      <c r="B672" s="7" t="str">
        <f aca="false">IF(Raw_Nigeria!B672="",TRIM(Raw_Nigeria!C672),TRIM(Raw_Nigeria!B672))</f>
        <v>Nigeria Demographic and Health Survey 2018</v>
      </c>
      <c r="C672" s="7" t="str">
        <f aca="false">IF(ISNUMBER(SEARCH("Demographic and Health",B672)),"DHS",IF(OR(ISNUMBER(SEARCH("Multiple Indicator Cluster",B672)),ISNUMBER(SEARCH("MICS",B672))),"MICS",IF(ISNUMBER(SEARCH("Immunization Coverage Survey",B672)),"Coverage survey",IF(ISNUMBER(SEARCH("Nutrition",B672)),"Nutrition survey","Other"))))</f>
        <v>DHS</v>
      </c>
      <c r="D672" s="7" t="n">
        <f aca="false">VALUE(LEFT(Raw_Nigeria!D672,4))</f>
        <v>2018</v>
      </c>
      <c r="E672" s="7" t="n">
        <f aca="false">IF(VALUE(RIGHT(Raw_Nigeria!D672,2))&gt;12,"",VALUE(RIGHT(Raw_Nigeria!D672,2)))</f>
        <v>8</v>
      </c>
      <c r="F672" s="7" t="n">
        <f aca="false">VALUE(LEFT(Raw_Nigeria!E672,4))</f>
        <v>2018</v>
      </c>
      <c r="G672" s="7" t="n">
        <f aca="false">IF(VALUE(RIGHT(Raw_Nigeria!E672,2))&gt;12,"",VALUE(RIGHT(Raw_Nigeria!E672,2)))</f>
        <v>12</v>
      </c>
      <c r="H672" s="7" t="n">
        <f aca="false">Raw_Nigeria!F672</f>
        <v>2017</v>
      </c>
      <c r="I672" s="7" t="str">
        <f aca="false">UPPER(TRIM(Raw_Nigeria!G672))</f>
        <v>IPV1</v>
      </c>
      <c r="J672" s="7" t="str">
        <f aca="false">Raw_Nigeria!H672</f>
        <v>Record or Recall</v>
      </c>
      <c r="K672" s="7" t="str">
        <f aca="false">Raw_Nigeria!L672</f>
        <v>12-23 m</v>
      </c>
      <c r="L672" s="7" t="str">
        <f aca="false">IF(Raw_Nigeria!K672="","n/a",Raw_Nigeria!K672)</f>
        <v>0-23 m</v>
      </c>
      <c r="M672" s="7" t="n">
        <f aca="false">IF(Raw_Nigeria!I672="","",Raw_Nigeria!I672)</f>
        <v>40</v>
      </c>
      <c r="N672" s="7" t="n">
        <f aca="false">Raw_Nigeria!M672</f>
        <v>52.9</v>
      </c>
      <c r="O672" s="7" t="n">
        <f aca="false">IF(Raw_Nigeria!N672="","",Raw_Nigeria!N672)</f>
        <v>6143</v>
      </c>
      <c r="P672" s="7" t="str">
        <f aca="false">IF(K672="CBAW","Women of child-bearing age","Children")</f>
        <v>Children</v>
      </c>
      <c r="Q672" s="7" t="n">
        <f aca="false">IF(J672="NOT USED",1,0)</f>
        <v>0</v>
      </c>
      <c r="R672" s="7" t="n">
        <f aca="false">IF(AND(P672="Children",Q672=0),1,0)</f>
        <v>1</v>
      </c>
      <c r="S672" s="7" t="n">
        <f aca="false">IF(AND(R672=1,J672="Record or Recall",K672="12-23 m"),1,0)</f>
        <v>1</v>
      </c>
      <c r="T672" s="7" t="n">
        <f aca="false">IF(OR(I672="BCG",I672="DTP1",I672="DTP3",I672="POL3",I672="MCV1",I672="FULL"),1,0)</f>
        <v>0</v>
      </c>
      <c r="U672" s="7" t="n">
        <f aca="false">IF(OR(C672="DHS",C672="MICS"),1,0)</f>
        <v>1</v>
      </c>
      <c r="V672" s="7" t="n">
        <f aca="false">IF(O672="",1,0)</f>
        <v>0</v>
      </c>
      <c r="W672" s="7" t="n">
        <f aca="false">IF(M672="",1,0)</f>
        <v>0</v>
      </c>
      <c r="X672" s="7" t="n">
        <f aca="false">COUNTIFS($B$2:$B$1141,B672,$H$2:$H$1141,H672,$I$2:$I$1141,I672,$J$2:$J$1141,J672,$K$2:$K$1141,K672,$L$2:$L$1141,L672)</f>
        <v>1</v>
      </c>
    </row>
    <row r="673" customFormat="false" ht="15" hidden="false" customHeight="false" outlineLevel="0" collapsed="false">
      <c r="A673" s="7" t="n">
        <f aca="false">ROW()-1</f>
        <v>672</v>
      </c>
      <c r="B673" s="7" t="str">
        <f aca="false">IF(Raw_Nigeria!B673="",TRIM(Raw_Nigeria!C673),TRIM(Raw_Nigeria!B673))</f>
        <v>Nigeria Demographic and Health Survey 2018</v>
      </c>
      <c r="C673" s="7" t="str">
        <f aca="false">IF(ISNUMBER(SEARCH("Demographic and Health",B673)),"DHS",IF(OR(ISNUMBER(SEARCH("Multiple Indicator Cluster",B673)),ISNUMBER(SEARCH("MICS",B673))),"MICS",IF(ISNUMBER(SEARCH("Immunization Coverage Survey",B673)),"Coverage survey",IF(ISNUMBER(SEARCH("Nutrition",B673)),"Nutrition survey","Other"))))</f>
        <v>DHS</v>
      </c>
      <c r="D673" s="7" t="n">
        <f aca="false">VALUE(LEFT(Raw_Nigeria!D673,4))</f>
        <v>2018</v>
      </c>
      <c r="E673" s="7" t="n">
        <f aca="false">IF(VALUE(RIGHT(Raw_Nigeria!D673,2))&gt;12,"",VALUE(RIGHT(Raw_Nigeria!D673,2)))</f>
        <v>8</v>
      </c>
      <c r="F673" s="7" t="n">
        <f aca="false">VALUE(LEFT(Raw_Nigeria!E673,4))</f>
        <v>2018</v>
      </c>
      <c r="G673" s="7" t="n">
        <f aca="false">IF(VALUE(RIGHT(Raw_Nigeria!E673,2))&gt;12,"",VALUE(RIGHT(Raw_Nigeria!E673,2)))</f>
        <v>12</v>
      </c>
      <c r="H673" s="7" t="n">
        <f aca="false">Raw_Nigeria!F673</f>
        <v>2017</v>
      </c>
      <c r="I673" s="7" t="str">
        <f aca="false">UPPER(TRIM(Raw_Nigeria!G673))</f>
        <v>IPV1</v>
      </c>
      <c r="J673" s="7" t="str">
        <f aca="false">Raw_Nigeria!H673</f>
        <v>Recall</v>
      </c>
      <c r="K673" s="7" t="str">
        <f aca="false">Raw_Nigeria!L673</f>
        <v>12-23 m</v>
      </c>
      <c r="L673" s="7" t="str">
        <f aca="false">IF(Raw_Nigeria!K673="","n/a",Raw_Nigeria!K673)</f>
        <v>0-23 m</v>
      </c>
      <c r="M673" s="7" t="n">
        <f aca="false">IF(Raw_Nigeria!I673="","",Raw_Nigeria!I673)</f>
        <v>40</v>
      </c>
      <c r="N673" s="7" t="n">
        <f aca="false">Raw_Nigeria!M673</f>
        <v>23.7</v>
      </c>
      <c r="O673" s="7" t="n">
        <f aca="false">IF(Raw_Nigeria!N673="","",Raw_Nigeria!N673)</f>
        <v>3684</v>
      </c>
      <c r="P673" s="7" t="str">
        <f aca="false">IF(K673="CBAW","Women of child-bearing age","Children")</f>
        <v>Children</v>
      </c>
      <c r="Q673" s="7" t="n">
        <f aca="false">IF(J673="NOT USED",1,0)</f>
        <v>0</v>
      </c>
      <c r="R673" s="7" t="n">
        <f aca="false">IF(AND(P673="Children",Q673=0),1,0)</f>
        <v>1</v>
      </c>
      <c r="S673" s="7" t="n">
        <f aca="false">IF(AND(R673=1,J673="Record or Recall",K673="12-23 m"),1,0)</f>
        <v>0</v>
      </c>
      <c r="T673" s="7" t="n">
        <f aca="false">IF(OR(I673="BCG",I673="DTP1",I673="DTP3",I673="POL3",I673="MCV1",I673="FULL"),1,0)</f>
        <v>0</v>
      </c>
      <c r="U673" s="7" t="n">
        <f aca="false">IF(OR(C673="DHS",C673="MICS"),1,0)</f>
        <v>1</v>
      </c>
      <c r="V673" s="7" t="n">
        <f aca="false">IF(O673="",1,0)</f>
        <v>0</v>
      </c>
      <c r="W673" s="7" t="n">
        <f aca="false">IF(M673="",1,0)</f>
        <v>0</v>
      </c>
      <c r="X673" s="7" t="n">
        <f aca="false">COUNTIFS($B$2:$B$1141,B673,$H$2:$H$1141,H673,$I$2:$I$1141,I673,$J$2:$J$1141,J673,$K$2:$K$1141,K673,$L$2:$L$1141,L673)</f>
        <v>1</v>
      </c>
    </row>
    <row r="674" customFormat="false" ht="15" hidden="false" customHeight="false" outlineLevel="0" collapsed="false">
      <c r="A674" s="7" t="n">
        <f aca="false">ROW()-1</f>
        <v>673</v>
      </c>
      <c r="B674" s="7" t="str">
        <f aca="false">IF(Raw_Nigeria!B674="",TRIM(Raw_Nigeria!C674),TRIM(Raw_Nigeria!B674))</f>
        <v>Nigeria Demographic and Health Survey 2018</v>
      </c>
      <c r="C674" s="7" t="str">
        <f aca="false">IF(ISNUMBER(SEARCH("Demographic and Health",B674)),"DHS",IF(OR(ISNUMBER(SEARCH("Multiple Indicator Cluster",B674)),ISNUMBER(SEARCH("MICS",B674))),"MICS",IF(ISNUMBER(SEARCH("Immunization Coverage Survey",B674)),"Coverage survey",IF(ISNUMBER(SEARCH("Nutrition",B674)),"Nutrition survey","Other"))))</f>
        <v>DHS</v>
      </c>
      <c r="D674" s="7" t="n">
        <f aca="false">VALUE(LEFT(Raw_Nigeria!D674,4))</f>
        <v>2018</v>
      </c>
      <c r="E674" s="7" t="n">
        <f aca="false">IF(VALUE(RIGHT(Raw_Nigeria!D674,2))&gt;12,"",VALUE(RIGHT(Raw_Nigeria!D674,2)))</f>
        <v>8</v>
      </c>
      <c r="F674" s="7" t="n">
        <f aca="false">VALUE(LEFT(Raw_Nigeria!E674,4))</f>
        <v>2018</v>
      </c>
      <c r="G674" s="7" t="n">
        <f aca="false">IF(VALUE(RIGHT(Raw_Nigeria!E674,2))&gt;12,"",VALUE(RIGHT(Raw_Nigeria!E674,2)))</f>
        <v>12</v>
      </c>
      <c r="H674" s="7" t="n">
        <f aca="false">Raw_Nigeria!F674</f>
        <v>2017</v>
      </c>
      <c r="I674" s="7" t="str">
        <f aca="false">UPPER(TRIM(Raw_Nigeria!G674))</f>
        <v>MCV1</v>
      </c>
      <c r="J674" s="7" t="str">
        <f aca="false">Raw_Nigeria!H674</f>
        <v>Record or Recall&lt;12m</v>
      </c>
      <c r="K674" s="7" t="str">
        <f aca="false">Raw_Nigeria!L674</f>
        <v>12-23 m</v>
      </c>
      <c r="L674" s="7" t="str">
        <f aca="false">IF(Raw_Nigeria!K674="","n/a",Raw_Nigeria!K674)</f>
        <v>0-12 m</v>
      </c>
      <c r="M674" s="7" t="n">
        <f aca="false">IF(Raw_Nigeria!I674="","",Raw_Nigeria!I674)</f>
        <v>40</v>
      </c>
      <c r="N674" s="7" t="n">
        <f aca="false">Raw_Nigeria!M674</f>
        <v>48.5</v>
      </c>
      <c r="O674" s="7" t="n">
        <f aca="false">IF(Raw_Nigeria!N674="","",Raw_Nigeria!N674)</f>
        <v>6143</v>
      </c>
      <c r="P674" s="7" t="str">
        <f aca="false">IF(K674="CBAW","Women of child-bearing age","Children")</f>
        <v>Children</v>
      </c>
      <c r="Q674" s="7" t="n">
        <f aca="false">IF(J674="NOT USED",1,0)</f>
        <v>0</v>
      </c>
      <c r="R674" s="7" t="n">
        <f aca="false">IF(AND(P674="Children",Q674=0),1,0)</f>
        <v>1</v>
      </c>
      <c r="S674" s="7" t="n">
        <f aca="false">IF(AND(R674=1,J674="Record or Recall",K674="12-23 m"),1,0)</f>
        <v>0</v>
      </c>
      <c r="T674" s="7" t="n">
        <f aca="false">IF(OR(I674="BCG",I674="DTP1",I674="DTP3",I674="POL3",I674="MCV1",I674="FULL"),1,0)</f>
        <v>1</v>
      </c>
      <c r="U674" s="7" t="n">
        <f aca="false">IF(OR(C674="DHS",C674="MICS"),1,0)</f>
        <v>1</v>
      </c>
      <c r="V674" s="7" t="n">
        <f aca="false">IF(O674="",1,0)</f>
        <v>0</v>
      </c>
      <c r="W674" s="7" t="n">
        <f aca="false">IF(M674="",1,0)</f>
        <v>0</v>
      </c>
      <c r="X674" s="7" t="n">
        <f aca="false">COUNTIFS($B$2:$B$1141,B674,$H$2:$H$1141,H674,$I$2:$I$1141,I674,$J$2:$J$1141,J674,$K$2:$K$1141,K674,$L$2:$L$1141,L674)</f>
        <v>1</v>
      </c>
    </row>
    <row r="675" customFormat="false" ht="15" hidden="false" customHeight="false" outlineLevel="0" collapsed="false">
      <c r="A675" s="7" t="n">
        <f aca="false">ROW()-1</f>
        <v>674</v>
      </c>
      <c r="B675" s="7" t="str">
        <f aca="false">IF(Raw_Nigeria!B675="",TRIM(Raw_Nigeria!C675),TRIM(Raw_Nigeria!B675))</f>
        <v>Nigeria Demographic and Health Survey 2018</v>
      </c>
      <c r="C675" s="7" t="str">
        <f aca="false">IF(ISNUMBER(SEARCH("Demographic and Health",B675)),"DHS",IF(OR(ISNUMBER(SEARCH("Multiple Indicator Cluster",B675)),ISNUMBER(SEARCH("MICS",B675))),"MICS",IF(ISNUMBER(SEARCH("Immunization Coverage Survey",B675)),"Coverage survey",IF(ISNUMBER(SEARCH("Nutrition",B675)),"Nutrition survey","Other"))))</f>
        <v>DHS</v>
      </c>
      <c r="D675" s="7" t="n">
        <f aca="false">VALUE(LEFT(Raw_Nigeria!D675,4))</f>
        <v>2018</v>
      </c>
      <c r="E675" s="7" t="n">
        <f aca="false">IF(VALUE(RIGHT(Raw_Nigeria!D675,2))&gt;12,"",VALUE(RIGHT(Raw_Nigeria!D675,2)))</f>
        <v>8</v>
      </c>
      <c r="F675" s="7" t="n">
        <f aca="false">VALUE(LEFT(Raw_Nigeria!E675,4))</f>
        <v>2018</v>
      </c>
      <c r="G675" s="7" t="n">
        <f aca="false">IF(VALUE(RIGHT(Raw_Nigeria!E675,2))&gt;12,"",VALUE(RIGHT(Raw_Nigeria!E675,2)))</f>
        <v>12</v>
      </c>
      <c r="H675" s="7" t="n">
        <f aca="false">Raw_Nigeria!F675</f>
        <v>2017</v>
      </c>
      <c r="I675" s="7" t="str">
        <f aca="false">UPPER(TRIM(Raw_Nigeria!G675))</f>
        <v>MCV1</v>
      </c>
      <c r="J675" s="7" t="str">
        <f aca="false">Raw_Nigeria!H675</f>
        <v>Record</v>
      </c>
      <c r="K675" s="7" t="str">
        <f aca="false">Raw_Nigeria!L675</f>
        <v>12-23 m</v>
      </c>
      <c r="L675" s="7" t="str">
        <f aca="false">IF(Raw_Nigeria!K675="","n/a",Raw_Nigeria!K675)</f>
        <v>0-23 m</v>
      </c>
      <c r="M675" s="7" t="n">
        <f aca="false">IF(Raw_Nigeria!I675="","",Raw_Nigeria!I675)</f>
        <v>40</v>
      </c>
      <c r="N675" s="7" t="n">
        <f aca="false">Raw_Nigeria!M675</f>
        <v>28.7</v>
      </c>
      <c r="O675" s="7" t="n">
        <f aca="false">IF(Raw_Nigeria!N675="","",Raw_Nigeria!N675)</f>
        <v>2459</v>
      </c>
      <c r="P675" s="7" t="str">
        <f aca="false">IF(K675="CBAW","Women of child-bearing age","Children")</f>
        <v>Children</v>
      </c>
      <c r="Q675" s="7" t="n">
        <f aca="false">IF(J675="NOT USED",1,0)</f>
        <v>0</v>
      </c>
      <c r="R675" s="7" t="n">
        <f aca="false">IF(AND(P675="Children",Q675=0),1,0)</f>
        <v>1</v>
      </c>
      <c r="S675" s="7" t="n">
        <f aca="false">IF(AND(R675=1,J675="Record or Recall",K675="12-23 m"),1,0)</f>
        <v>0</v>
      </c>
      <c r="T675" s="7" t="n">
        <f aca="false">IF(OR(I675="BCG",I675="DTP1",I675="DTP3",I675="POL3",I675="MCV1",I675="FULL"),1,0)</f>
        <v>1</v>
      </c>
      <c r="U675" s="7" t="n">
        <f aca="false">IF(OR(C675="DHS",C675="MICS"),1,0)</f>
        <v>1</v>
      </c>
      <c r="V675" s="7" t="n">
        <f aca="false">IF(O675="",1,0)</f>
        <v>0</v>
      </c>
      <c r="W675" s="7" t="n">
        <f aca="false">IF(M675="",1,0)</f>
        <v>0</v>
      </c>
      <c r="X675" s="7" t="n">
        <f aca="false">COUNTIFS($B$2:$B$1141,B675,$H$2:$H$1141,H675,$I$2:$I$1141,I675,$J$2:$J$1141,J675,$K$2:$K$1141,K675,$L$2:$L$1141,L675)</f>
        <v>1</v>
      </c>
    </row>
    <row r="676" customFormat="false" ht="15" hidden="false" customHeight="false" outlineLevel="0" collapsed="false">
      <c r="A676" s="7" t="n">
        <f aca="false">ROW()-1</f>
        <v>675</v>
      </c>
      <c r="B676" s="7" t="str">
        <f aca="false">IF(Raw_Nigeria!B676="",TRIM(Raw_Nigeria!C676),TRIM(Raw_Nigeria!B676))</f>
        <v>Nigeria Demographic and Health Survey 2018</v>
      </c>
      <c r="C676" s="7" t="str">
        <f aca="false">IF(ISNUMBER(SEARCH("Demographic and Health",B676)),"DHS",IF(OR(ISNUMBER(SEARCH("Multiple Indicator Cluster",B676)),ISNUMBER(SEARCH("MICS",B676))),"MICS",IF(ISNUMBER(SEARCH("Immunization Coverage Survey",B676)),"Coverage survey",IF(ISNUMBER(SEARCH("Nutrition",B676)),"Nutrition survey","Other"))))</f>
        <v>DHS</v>
      </c>
      <c r="D676" s="7" t="n">
        <f aca="false">VALUE(LEFT(Raw_Nigeria!D676,4))</f>
        <v>2018</v>
      </c>
      <c r="E676" s="7" t="n">
        <f aca="false">IF(VALUE(RIGHT(Raw_Nigeria!D676,2))&gt;12,"",VALUE(RIGHT(Raw_Nigeria!D676,2)))</f>
        <v>8</v>
      </c>
      <c r="F676" s="7" t="n">
        <f aca="false">VALUE(LEFT(Raw_Nigeria!E676,4))</f>
        <v>2018</v>
      </c>
      <c r="G676" s="7" t="n">
        <f aca="false">IF(VALUE(RIGHT(Raw_Nigeria!E676,2))&gt;12,"",VALUE(RIGHT(Raw_Nigeria!E676,2)))</f>
        <v>12</v>
      </c>
      <c r="H676" s="7" t="n">
        <f aca="false">Raw_Nigeria!F676</f>
        <v>2017</v>
      </c>
      <c r="I676" s="7" t="str">
        <f aca="false">UPPER(TRIM(Raw_Nigeria!G676))</f>
        <v>MCV1</v>
      </c>
      <c r="J676" s="7" t="str">
        <f aca="false">Raw_Nigeria!H676</f>
        <v>Record or Recall</v>
      </c>
      <c r="K676" s="7" t="str">
        <f aca="false">Raw_Nigeria!L676</f>
        <v>12-23 m</v>
      </c>
      <c r="L676" s="7" t="str">
        <f aca="false">IF(Raw_Nigeria!K676="","n/a",Raw_Nigeria!K676)</f>
        <v>0-23 m</v>
      </c>
      <c r="M676" s="7" t="n">
        <f aca="false">IF(Raw_Nigeria!I676="","",Raw_Nigeria!I676)</f>
        <v>40</v>
      </c>
      <c r="N676" s="7" t="n">
        <f aca="false">Raw_Nigeria!M676</f>
        <v>54</v>
      </c>
      <c r="O676" s="7" t="n">
        <f aca="false">IF(Raw_Nigeria!N676="","",Raw_Nigeria!N676)</f>
        <v>6143</v>
      </c>
      <c r="P676" s="7" t="str">
        <f aca="false">IF(K676="CBAW","Women of child-bearing age","Children")</f>
        <v>Children</v>
      </c>
      <c r="Q676" s="7" t="n">
        <f aca="false">IF(J676="NOT USED",1,0)</f>
        <v>0</v>
      </c>
      <c r="R676" s="7" t="n">
        <f aca="false">IF(AND(P676="Children",Q676=0),1,0)</f>
        <v>1</v>
      </c>
      <c r="S676" s="7" t="n">
        <f aca="false">IF(AND(R676=1,J676="Record or Recall",K676="12-23 m"),1,0)</f>
        <v>1</v>
      </c>
      <c r="T676" s="7" t="n">
        <f aca="false">IF(OR(I676="BCG",I676="DTP1",I676="DTP3",I676="POL3",I676="MCV1",I676="FULL"),1,0)</f>
        <v>1</v>
      </c>
      <c r="U676" s="7" t="n">
        <f aca="false">IF(OR(C676="DHS",C676="MICS"),1,0)</f>
        <v>1</v>
      </c>
      <c r="V676" s="7" t="n">
        <f aca="false">IF(O676="",1,0)</f>
        <v>0</v>
      </c>
      <c r="W676" s="7" t="n">
        <f aca="false">IF(M676="",1,0)</f>
        <v>0</v>
      </c>
      <c r="X676" s="7" t="n">
        <f aca="false">COUNTIFS($B$2:$B$1141,B676,$H$2:$H$1141,H676,$I$2:$I$1141,I676,$J$2:$J$1141,J676,$K$2:$K$1141,K676,$L$2:$L$1141,L676)</f>
        <v>1</v>
      </c>
    </row>
    <row r="677" customFormat="false" ht="15" hidden="false" customHeight="false" outlineLevel="0" collapsed="false">
      <c r="A677" s="7" t="n">
        <f aca="false">ROW()-1</f>
        <v>676</v>
      </c>
      <c r="B677" s="7" t="str">
        <f aca="false">IF(Raw_Nigeria!B677="",TRIM(Raw_Nigeria!C677),TRIM(Raw_Nigeria!B677))</f>
        <v>Nigeria Demographic and Health Survey 2018</v>
      </c>
      <c r="C677" s="7" t="str">
        <f aca="false">IF(ISNUMBER(SEARCH("Demographic and Health",B677)),"DHS",IF(OR(ISNUMBER(SEARCH("Multiple Indicator Cluster",B677)),ISNUMBER(SEARCH("MICS",B677))),"MICS",IF(ISNUMBER(SEARCH("Immunization Coverage Survey",B677)),"Coverage survey",IF(ISNUMBER(SEARCH("Nutrition",B677)),"Nutrition survey","Other"))))</f>
        <v>DHS</v>
      </c>
      <c r="D677" s="7" t="n">
        <f aca="false">VALUE(LEFT(Raw_Nigeria!D677,4))</f>
        <v>2018</v>
      </c>
      <c r="E677" s="7" t="n">
        <f aca="false">IF(VALUE(RIGHT(Raw_Nigeria!D677,2))&gt;12,"",VALUE(RIGHT(Raw_Nigeria!D677,2)))</f>
        <v>8</v>
      </c>
      <c r="F677" s="7" t="n">
        <f aca="false">VALUE(LEFT(Raw_Nigeria!E677,4))</f>
        <v>2018</v>
      </c>
      <c r="G677" s="7" t="n">
        <f aca="false">IF(VALUE(RIGHT(Raw_Nigeria!E677,2))&gt;12,"",VALUE(RIGHT(Raw_Nigeria!E677,2)))</f>
        <v>12</v>
      </c>
      <c r="H677" s="7" t="n">
        <f aca="false">Raw_Nigeria!F677</f>
        <v>2017</v>
      </c>
      <c r="I677" s="7" t="str">
        <f aca="false">UPPER(TRIM(Raw_Nigeria!G677))</f>
        <v>MCV1</v>
      </c>
      <c r="J677" s="7" t="str">
        <f aca="false">Raw_Nigeria!H677</f>
        <v>Recall</v>
      </c>
      <c r="K677" s="7" t="str">
        <f aca="false">Raw_Nigeria!L677</f>
        <v>12-23 m</v>
      </c>
      <c r="L677" s="7" t="str">
        <f aca="false">IF(Raw_Nigeria!K677="","n/a",Raw_Nigeria!K677)</f>
        <v>0-23 m</v>
      </c>
      <c r="M677" s="7" t="n">
        <f aca="false">IF(Raw_Nigeria!I677="","",Raw_Nigeria!I677)</f>
        <v>40</v>
      </c>
      <c r="N677" s="7" t="n">
        <f aca="false">Raw_Nigeria!M677</f>
        <v>25.3</v>
      </c>
      <c r="O677" s="7" t="n">
        <f aca="false">IF(Raw_Nigeria!N677="","",Raw_Nigeria!N677)</f>
        <v>3684</v>
      </c>
      <c r="P677" s="7" t="str">
        <f aca="false">IF(K677="CBAW","Women of child-bearing age","Children")</f>
        <v>Children</v>
      </c>
      <c r="Q677" s="7" t="n">
        <f aca="false">IF(J677="NOT USED",1,0)</f>
        <v>0</v>
      </c>
      <c r="R677" s="7" t="n">
        <f aca="false">IF(AND(P677="Children",Q677=0),1,0)</f>
        <v>1</v>
      </c>
      <c r="S677" s="7" t="n">
        <f aca="false">IF(AND(R677=1,J677="Record or Recall",K677="12-23 m"),1,0)</f>
        <v>0</v>
      </c>
      <c r="T677" s="7" t="n">
        <f aca="false">IF(OR(I677="BCG",I677="DTP1",I677="DTP3",I677="POL3",I677="MCV1",I677="FULL"),1,0)</f>
        <v>1</v>
      </c>
      <c r="U677" s="7" t="n">
        <f aca="false">IF(OR(C677="DHS",C677="MICS"),1,0)</f>
        <v>1</v>
      </c>
      <c r="V677" s="7" t="n">
        <f aca="false">IF(O677="",1,0)</f>
        <v>0</v>
      </c>
      <c r="W677" s="7" t="n">
        <f aca="false">IF(M677="",1,0)</f>
        <v>0</v>
      </c>
      <c r="X677" s="7" t="n">
        <f aca="false">COUNTIFS($B$2:$B$1141,B677,$H$2:$H$1141,H677,$I$2:$I$1141,I677,$J$2:$J$1141,J677,$K$2:$K$1141,K677,$L$2:$L$1141,L677)</f>
        <v>1</v>
      </c>
    </row>
    <row r="678" customFormat="false" ht="15" hidden="false" customHeight="false" outlineLevel="0" collapsed="false">
      <c r="A678" s="7" t="n">
        <f aca="false">ROW()-1</f>
        <v>677</v>
      </c>
      <c r="B678" s="7" t="str">
        <f aca="false">IF(Raw_Nigeria!B678="",TRIM(Raw_Nigeria!C678),TRIM(Raw_Nigeria!B678))</f>
        <v>Nigeria Demographic and Health Survey 2018</v>
      </c>
      <c r="C678" s="7" t="str">
        <f aca="false">IF(ISNUMBER(SEARCH("Demographic and Health",B678)),"DHS",IF(OR(ISNUMBER(SEARCH("Multiple Indicator Cluster",B678)),ISNUMBER(SEARCH("MICS",B678))),"MICS",IF(ISNUMBER(SEARCH("Immunization Coverage Survey",B678)),"Coverage survey",IF(ISNUMBER(SEARCH("Nutrition",B678)),"Nutrition survey","Other"))))</f>
        <v>DHS</v>
      </c>
      <c r="D678" s="7" t="n">
        <f aca="false">VALUE(LEFT(Raw_Nigeria!D678,4))</f>
        <v>2018</v>
      </c>
      <c r="E678" s="7" t="n">
        <f aca="false">IF(VALUE(RIGHT(Raw_Nigeria!D678,2))&gt;12,"",VALUE(RIGHT(Raw_Nigeria!D678,2)))</f>
        <v>8</v>
      </c>
      <c r="F678" s="7" t="n">
        <f aca="false">VALUE(LEFT(Raw_Nigeria!E678,4))</f>
        <v>2018</v>
      </c>
      <c r="G678" s="7" t="n">
        <f aca="false">IF(VALUE(RIGHT(Raw_Nigeria!E678,2))&gt;12,"",VALUE(RIGHT(Raw_Nigeria!E678,2)))</f>
        <v>12</v>
      </c>
      <c r="H678" s="7" t="n">
        <f aca="false">Raw_Nigeria!F678</f>
        <v>2017</v>
      </c>
      <c r="I678" s="7" t="str">
        <f aca="false">UPPER(TRIM(Raw_Nigeria!G678))</f>
        <v>PAB</v>
      </c>
      <c r="J678" s="7" t="str">
        <f aca="false">Raw_Nigeria!H678</f>
        <v>Record or Recall</v>
      </c>
      <c r="K678" s="7" t="str">
        <f aca="false">Raw_Nigeria!L678</f>
        <v>CBAW</v>
      </c>
      <c r="L678" s="7" t="str">
        <f aca="false">IF(Raw_Nigeria!K678="","n/a",Raw_Nigeria!K678)</f>
        <v>n/a</v>
      </c>
      <c r="M678" s="7" t="str">
        <f aca="false">IF(Raw_Nigeria!I678="","",Raw_Nigeria!I678)</f>
        <v/>
      </c>
      <c r="N678" s="7" t="n">
        <f aca="false">Raw_Nigeria!M678</f>
        <v>61.7</v>
      </c>
      <c r="O678" s="7" t="n">
        <f aca="false">IF(Raw_Nigeria!N678="","",Raw_Nigeria!N678)</f>
        <v>21911</v>
      </c>
      <c r="P678" s="7" t="str">
        <f aca="false">IF(K678="CBAW","Women of child-bearing age","Children")</f>
        <v>Women of child-bearing age</v>
      </c>
      <c r="Q678" s="7" t="n">
        <f aca="false">IF(J678="NOT USED",1,0)</f>
        <v>0</v>
      </c>
      <c r="R678" s="7" t="n">
        <f aca="false">IF(AND(P678="Children",Q678=0),1,0)</f>
        <v>0</v>
      </c>
      <c r="S678" s="7" t="n">
        <f aca="false">IF(AND(R678=1,J678="Record or Recall",K678="12-23 m"),1,0)</f>
        <v>0</v>
      </c>
      <c r="T678" s="7" t="n">
        <f aca="false">IF(OR(I678="BCG",I678="DTP1",I678="DTP3",I678="POL3",I678="MCV1",I678="FULL"),1,0)</f>
        <v>0</v>
      </c>
      <c r="U678" s="7" t="n">
        <f aca="false">IF(OR(C678="DHS",C678="MICS"),1,0)</f>
        <v>1</v>
      </c>
      <c r="V678" s="7" t="n">
        <f aca="false">IF(O678="",1,0)</f>
        <v>0</v>
      </c>
      <c r="W678" s="7" t="n">
        <f aca="false">IF(M678="",1,0)</f>
        <v>1</v>
      </c>
      <c r="X678" s="7" t="n">
        <f aca="false">COUNTIFS($B$2:$B$1141,B678,$H$2:$H$1141,H678,$I$2:$I$1141,I678,$J$2:$J$1141,J678,$K$2:$K$1141,K678,$L$2:$L$1141,L678)</f>
        <v>1</v>
      </c>
    </row>
    <row r="679" customFormat="false" ht="15" hidden="false" customHeight="false" outlineLevel="0" collapsed="false">
      <c r="A679" s="7" t="n">
        <f aca="false">ROW()-1</f>
        <v>678</v>
      </c>
      <c r="B679" s="7" t="str">
        <f aca="false">IF(Raw_Nigeria!B679="",TRIM(Raw_Nigeria!C679),TRIM(Raw_Nigeria!B679))</f>
        <v>Nigeria Demographic and Health Survey 2018</v>
      </c>
      <c r="C679" s="7" t="str">
        <f aca="false">IF(ISNUMBER(SEARCH("Demographic and Health",B679)),"DHS",IF(OR(ISNUMBER(SEARCH("Multiple Indicator Cluster",B679)),ISNUMBER(SEARCH("MICS",B679))),"MICS",IF(ISNUMBER(SEARCH("Immunization Coverage Survey",B679)),"Coverage survey",IF(ISNUMBER(SEARCH("Nutrition",B679)),"Nutrition survey","Other"))))</f>
        <v>DHS</v>
      </c>
      <c r="D679" s="7" t="n">
        <f aca="false">VALUE(LEFT(Raw_Nigeria!D679,4))</f>
        <v>2018</v>
      </c>
      <c r="E679" s="7" t="n">
        <f aca="false">IF(VALUE(RIGHT(Raw_Nigeria!D679,2))&gt;12,"",VALUE(RIGHT(Raw_Nigeria!D679,2)))</f>
        <v>8</v>
      </c>
      <c r="F679" s="7" t="n">
        <f aca="false">VALUE(LEFT(Raw_Nigeria!E679,4))</f>
        <v>2018</v>
      </c>
      <c r="G679" s="7" t="n">
        <f aca="false">IF(VALUE(RIGHT(Raw_Nigeria!E679,2))&gt;12,"",VALUE(RIGHT(Raw_Nigeria!E679,2)))</f>
        <v>12</v>
      </c>
      <c r="H679" s="7" t="n">
        <f aca="false">Raw_Nigeria!F679</f>
        <v>2017</v>
      </c>
      <c r="I679" s="7" t="str">
        <f aca="false">UPPER(TRIM(Raw_Nigeria!G679))</f>
        <v>PCV1</v>
      </c>
      <c r="J679" s="7" t="str">
        <f aca="false">Raw_Nigeria!H679</f>
        <v>Record or Recall&lt;12m</v>
      </c>
      <c r="K679" s="7" t="str">
        <f aca="false">Raw_Nigeria!L679</f>
        <v>12-23 m</v>
      </c>
      <c r="L679" s="7" t="str">
        <f aca="false">IF(Raw_Nigeria!K679="","n/a",Raw_Nigeria!K679)</f>
        <v>0-12 m</v>
      </c>
      <c r="M679" s="7" t="n">
        <f aca="false">IF(Raw_Nigeria!I679="","",Raw_Nigeria!I679)</f>
        <v>40</v>
      </c>
      <c r="N679" s="7" t="n">
        <f aca="false">Raw_Nigeria!M679</f>
        <v>60.4</v>
      </c>
      <c r="O679" s="7" t="n">
        <f aca="false">IF(Raw_Nigeria!N679="","",Raw_Nigeria!N679)</f>
        <v>6143</v>
      </c>
      <c r="P679" s="7" t="str">
        <f aca="false">IF(K679="CBAW","Women of child-bearing age","Children")</f>
        <v>Children</v>
      </c>
      <c r="Q679" s="7" t="n">
        <f aca="false">IF(J679="NOT USED",1,0)</f>
        <v>0</v>
      </c>
      <c r="R679" s="7" t="n">
        <f aca="false">IF(AND(P679="Children",Q679=0),1,0)</f>
        <v>1</v>
      </c>
      <c r="S679" s="7" t="n">
        <f aca="false">IF(AND(R679=1,J679="Record or Recall",K679="12-23 m"),1,0)</f>
        <v>0</v>
      </c>
      <c r="T679" s="7" t="n">
        <f aca="false">IF(OR(I679="BCG",I679="DTP1",I679="DTP3",I679="POL3",I679="MCV1",I679="FULL"),1,0)</f>
        <v>0</v>
      </c>
      <c r="U679" s="7" t="n">
        <f aca="false">IF(OR(C679="DHS",C679="MICS"),1,0)</f>
        <v>1</v>
      </c>
      <c r="V679" s="7" t="n">
        <f aca="false">IF(O679="",1,0)</f>
        <v>0</v>
      </c>
      <c r="W679" s="7" t="n">
        <f aca="false">IF(M679="",1,0)</f>
        <v>0</v>
      </c>
      <c r="X679" s="7" t="n">
        <f aca="false">COUNTIFS($B$2:$B$1141,B679,$H$2:$H$1141,H679,$I$2:$I$1141,I679,$J$2:$J$1141,J679,$K$2:$K$1141,K679,$L$2:$L$1141,L679)</f>
        <v>1</v>
      </c>
    </row>
    <row r="680" customFormat="false" ht="15" hidden="false" customHeight="false" outlineLevel="0" collapsed="false">
      <c r="A680" s="7" t="n">
        <f aca="false">ROW()-1</f>
        <v>679</v>
      </c>
      <c r="B680" s="7" t="str">
        <f aca="false">IF(Raw_Nigeria!B680="",TRIM(Raw_Nigeria!C680),TRIM(Raw_Nigeria!B680))</f>
        <v>Nigeria Demographic and Health Survey 2018</v>
      </c>
      <c r="C680" s="7" t="str">
        <f aca="false">IF(ISNUMBER(SEARCH("Demographic and Health",B680)),"DHS",IF(OR(ISNUMBER(SEARCH("Multiple Indicator Cluster",B680)),ISNUMBER(SEARCH("MICS",B680))),"MICS",IF(ISNUMBER(SEARCH("Immunization Coverage Survey",B680)),"Coverage survey",IF(ISNUMBER(SEARCH("Nutrition",B680)),"Nutrition survey","Other"))))</f>
        <v>DHS</v>
      </c>
      <c r="D680" s="7" t="n">
        <f aca="false">VALUE(LEFT(Raw_Nigeria!D680,4))</f>
        <v>2018</v>
      </c>
      <c r="E680" s="7" t="n">
        <f aca="false">IF(VALUE(RIGHT(Raw_Nigeria!D680,2))&gt;12,"",VALUE(RIGHT(Raw_Nigeria!D680,2)))</f>
        <v>8</v>
      </c>
      <c r="F680" s="7" t="n">
        <f aca="false">VALUE(LEFT(Raw_Nigeria!E680,4))</f>
        <v>2018</v>
      </c>
      <c r="G680" s="7" t="n">
        <f aca="false">IF(VALUE(RIGHT(Raw_Nigeria!E680,2))&gt;12,"",VALUE(RIGHT(Raw_Nigeria!E680,2)))</f>
        <v>12</v>
      </c>
      <c r="H680" s="7" t="n">
        <f aca="false">Raw_Nigeria!F680</f>
        <v>2017</v>
      </c>
      <c r="I680" s="7" t="str">
        <f aca="false">UPPER(TRIM(Raw_Nigeria!G680))</f>
        <v>PCV1</v>
      </c>
      <c r="J680" s="7" t="str">
        <f aca="false">Raw_Nigeria!H680</f>
        <v>Record</v>
      </c>
      <c r="K680" s="7" t="str">
        <f aca="false">Raw_Nigeria!L680</f>
        <v>12-23 m</v>
      </c>
      <c r="L680" s="7" t="str">
        <f aca="false">IF(Raw_Nigeria!K680="","n/a",Raw_Nigeria!K680)</f>
        <v>0-23 m</v>
      </c>
      <c r="M680" s="7" t="n">
        <f aca="false">IF(Raw_Nigeria!I680="","",Raw_Nigeria!I680)</f>
        <v>40</v>
      </c>
      <c r="N680" s="7" t="n">
        <f aca="false">Raw_Nigeria!M680</f>
        <v>36.3</v>
      </c>
      <c r="O680" s="7" t="n">
        <f aca="false">IF(Raw_Nigeria!N680="","",Raw_Nigeria!N680)</f>
        <v>2459</v>
      </c>
      <c r="P680" s="7" t="str">
        <f aca="false">IF(K680="CBAW","Women of child-bearing age","Children")</f>
        <v>Children</v>
      </c>
      <c r="Q680" s="7" t="n">
        <f aca="false">IF(J680="NOT USED",1,0)</f>
        <v>0</v>
      </c>
      <c r="R680" s="7" t="n">
        <f aca="false">IF(AND(P680="Children",Q680=0),1,0)</f>
        <v>1</v>
      </c>
      <c r="S680" s="7" t="n">
        <f aca="false">IF(AND(R680=1,J680="Record or Recall",K680="12-23 m"),1,0)</f>
        <v>0</v>
      </c>
      <c r="T680" s="7" t="n">
        <f aca="false">IF(OR(I680="BCG",I680="DTP1",I680="DTP3",I680="POL3",I680="MCV1",I680="FULL"),1,0)</f>
        <v>0</v>
      </c>
      <c r="U680" s="7" t="n">
        <f aca="false">IF(OR(C680="DHS",C680="MICS"),1,0)</f>
        <v>1</v>
      </c>
      <c r="V680" s="7" t="n">
        <f aca="false">IF(O680="",1,0)</f>
        <v>0</v>
      </c>
      <c r="W680" s="7" t="n">
        <f aca="false">IF(M680="",1,0)</f>
        <v>0</v>
      </c>
      <c r="X680" s="7" t="n">
        <f aca="false">COUNTIFS($B$2:$B$1141,B680,$H$2:$H$1141,H680,$I$2:$I$1141,I680,$J$2:$J$1141,J680,$K$2:$K$1141,K680,$L$2:$L$1141,L680)</f>
        <v>1</v>
      </c>
    </row>
    <row r="681" customFormat="false" ht="15" hidden="false" customHeight="false" outlineLevel="0" collapsed="false">
      <c r="A681" s="7" t="n">
        <f aca="false">ROW()-1</f>
        <v>680</v>
      </c>
      <c r="B681" s="7" t="str">
        <f aca="false">IF(Raw_Nigeria!B681="",TRIM(Raw_Nigeria!C681),TRIM(Raw_Nigeria!B681))</f>
        <v>Nigeria Demographic and Health Survey 2018</v>
      </c>
      <c r="C681" s="7" t="str">
        <f aca="false">IF(ISNUMBER(SEARCH("Demographic and Health",B681)),"DHS",IF(OR(ISNUMBER(SEARCH("Multiple Indicator Cluster",B681)),ISNUMBER(SEARCH("MICS",B681))),"MICS",IF(ISNUMBER(SEARCH("Immunization Coverage Survey",B681)),"Coverage survey",IF(ISNUMBER(SEARCH("Nutrition",B681)),"Nutrition survey","Other"))))</f>
        <v>DHS</v>
      </c>
      <c r="D681" s="7" t="n">
        <f aca="false">VALUE(LEFT(Raw_Nigeria!D681,4))</f>
        <v>2018</v>
      </c>
      <c r="E681" s="7" t="n">
        <f aca="false">IF(VALUE(RIGHT(Raw_Nigeria!D681,2))&gt;12,"",VALUE(RIGHT(Raw_Nigeria!D681,2)))</f>
        <v>8</v>
      </c>
      <c r="F681" s="7" t="n">
        <f aca="false">VALUE(LEFT(Raw_Nigeria!E681,4))</f>
        <v>2018</v>
      </c>
      <c r="G681" s="7" t="n">
        <f aca="false">IF(VALUE(RIGHT(Raw_Nigeria!E681,2))&gt;12,"",VALUE(RIGHT(Raw_Nigeria!E681,2)))</f>
        <v>12</v>
      </c>
      <c r="H681" s="7" t="n">
        <f aca="false">Raw_Nigeria!F681</f>
        <v>2017</v>
      </c>
      <c r="I681" s="7" t="str">
        <f aca="false">UPPER(TRIM(Raw_Nigeria!G681))</f>
        <v>PCV1</v>
      </c>
      <c r="J681" s="7" t="str">
        <f aca="false">Raw_Nigeria!H681</f>
        <v>Record or Recall</v>
      </c>
      <c r="K681" s="7" t="str">
        <f aca="false">Raw_Nigeria!L681</f>
        <v>12-23 m</v>
      </c>
      <c r="L681" s="7" t="str">
        <f aca="false">IF(Raw_Nigeria!K681="","n/a",Raw_Nigeria!K681)</f>
        <v>0-23 m</v>
      </c>
      <c r="M681" s="7" t="n">
        <f aca="false">IF(Raw_Nigeria!I681="","",Raw_Nigeria!I681)</f>
        <v>40</v>
      </c>
      <c r="N681" s="7" t="n">
        <f aca="false">Raw_Nigeria!M681</f>
        <v>61.5</v>
      </c>
      <c r="O681" s="7" t="n">
        <f aca="false">IF(Raw_Nigeria!N681="","",Raw_Nigeria!N681)</f>
        <v>6143</v>
      </c>
      <c r="P681" s="7" t="str">
        <f aca="false">IF(K681="CBAW","Women of child-bearing age","Children")</f>
        <v>Children</v>
      </c>
      <c r="Q681" s="7" t="n">
        <f aca="false">IF(J681="NOT USED",1,0)</f>
        <v>0</v>
      </c>
      <c r="R681" s="7" t="n">
        <f aca="false">IF(AND(P681="Children",Q681=0),1,0)</f>
        <v>1</v>
      </c>
      <c r="S681" s="7" t="n">
        <f aca="false">IF(AND(R681=1,J681="Record or Recall",K681="12-23 m"),1,0)</f>
        <v>1</v>
      </c>
      <c r="T681" s="7" t="n">
        <f aca="false">IF(OR(I681="BCG",I681="DTP1",I681="DTP3",I681="POL3",I681="MCV1",I681="FULL"),1,0)</f>
        <v>0</v>
      </c>
      <c r="U681" s="7" t="n">
        <f aca="false">IF(OR(C681="DHS",C681="MICS"),1,0)</f>
        <v>1</v>
      </c>
      <c r="V681" s="7" t="n">
        <f aca="false">IF(O681="",1,0)</f>
        <v>0</v>
      </c>
      <c r="W681" s="7" t="n">
        <f aca="false">IF(M681="",1,0)</f>
        <v>0</v>
      </c>
      <c r="X681" s="7" t="n">
        <f aca="false">COUNTIFS($B$2:$B$1141,B681,$H$2:$H$1141,H681,$I$2:$I$1141,I681,$J$2:$J$1141,J681,$K$2:$K$1141,K681,$L$2:$L$1141,L681)</f>
        <v>1</v>
      </c>
    </row>
    <row r="682" customFormat="false" ht="15" hidden="false" customHeight="false" outlineLevel="0" collapsed="false">
      <c r="A682" s="7" t="n">
        <f aca="false">ROW()-1</f>
        <v>681</v>
      </c>
      <c r="B682" s="7" t="str">
        <f aca="false">IF(Raw_Nigeria!B682="",TRIM(Raw_Nigeria!C682),TRIM(Raw_Nigeria!B682))</f>
        <v>Nigeria Demographic and Health Survey 2018</v>
      </c>
      <c r="C682" s="7" t="str">
        <f aca="false">IF(ISNUMBER(SEARCH("Demographic and Health",B682)),"DHS",IF(OR(ISNUMBER(SEARCH("Multiple Indicator Cluster",B682)),ISNUMBER(SEARCH("MICS",B682))),"MICS",IF(ISNUMBER(SEARCH("Immunization Coverage Survey",B682)),"Coverage survey",IF(ISNUMBER(SEARCH("Nutrition",B682)),"Nutrition survey","Other"))))</f>
        <v>DHS</v>
      </c>
      <c r="D682" s="7" t="n">
        <f aca="false">VALUE(LEFT(Raw_Nigeria!D682,4))</f>
        <v>2018</v>
      </c>
      <c r="E682" s="7" t="n">
        <f aca="false">IF(VALUE(RIGHT(Raw_Nigeria!D682,2))&gt;12,"",VALUE(RIGHT(Raw_Nigeria!D682,2)))</f>
        <v>8</v>
      </c>
      <c r="F682" s="7" t="n">
        <f aca="false">VALUE(LEFT(Raw_Nigeria!E682,4))</f>
        <v>2018</v>
      </c>
      <c r="G682" s="7" t="n">
        <f aca="false">IF(VALUE(RIGHT(Raw_Nigeria!E682,2))&gt;12,"",VALUE(RIGHT(Raw_Nigeria!E682,2)))</f>
        <v>12</v>
      </c>
      <c r="H682" s="7" t="n">
        <f aca="false">Raw_Nigeria!F682</f>
        <v>2017</v>
      </c>
      <c r="I682" s="7" t="str">
        <f aca="false">UPPER(TRIM(Raw_Nigeria!G682))</f>
        <v>PCV1</v>
      </c>
      <c r="J682" s="7" t="str">
        <f aca="false">Raw_Nigeria!H682</f>
        <v>Recall</v>
      </c>
      <c r="K682" s="7" t="str">
        <f aca="false">Raw_Nigeria!L682</f>
        <v>12-23 m</v>
      </c>
      <c r="L682" s="7" t="str">
        <f aca="false">IF(Raw_Nigeria!K682="","n/a",Raw_Nigeria!K682)</f>
        <v>0-23 m</v>
      </c>
      <c r="M682" s="7" t="n">
        <f aca="false">IF(Raw_Nigeria!I682="","",Raw_Nigeria!I682)</f>
        <v>40</v>
      </c>
      <c r="N682" s="7" t="n">
        <f aca="false">Raw_Nigeria!M682</f>
        <v>25.1</v>
      </c>
      <c r="O682" s="7" t="n">
        <f aca="false">IF(Raw_Nigeria!N682="","",Raw_Nigeria!N682)</f>
        <v>3684</v>
      </c>
      <c r="P682" s="7" t="str">
        <f aca="false">IF(K682="CBAW","Women of child-bearing age","Children")</f>
        <v>Children</v>
      </c>
      <c r="Q682" s="7" t="n">
        <f aca="false">IF(J682="NOT USED",1,0)</f>
        <v>0</v>
      </c>
      <c r="R682" s="7" t="n">
        <f aca="false">IF(AND(P682="Children",Q682=0),1,0)</f>
        <v>1</v>
      </c>
      <c r="S682" s="7" t="n">
        <f aca="false">IF(AND(R682=1,J682="Record or Recall",K682="12-23 m"),1,0)</f>
        <v>0</v>
      </c>
      <c r="T682" s="7" t="n">
        <f aca="false">IF(OR(I682="BCG",I682="DTP1",I682="DTP3",I682="POL3",I682="MCV1",I682="FULL"),1,0)</f>
        <v>0</v>
      </c>
      <c r="U682" s="7" t="n">
        <f aca="false">IF(OR(C682="DHS",C682="MICS"),1,0)</f>
        <v>1</v>
      </c>
      <c r="V682" s="7" t="n">
        <f aca="false">IF(O682="",1,0)</f>
        <v>0</v>
      </c>
      <c r="W682" s="7" t="n">
        <f aca="false">IF(M682="",1,0)</f>
        <v>0</v>
      </c>
      <c r="X682" s="7" t="n">
        <f aca="false">COUNTIFS($B$2:$B$1141,B682,$H$2:$H$1141,H682,$I$2:$I$1141,I682,$J$2:$J$1141,J682,$K$2:$K$1141,K682,$L$2:$L$1141,L682)</f>
        <v>1</v>
      </c>
    </row>
    <row r="683" customFormat="false" ht="15" hidden="false" customHeight="false" outlineLevel="0" collapsed="false">
      <c r="A683" s="7" t="n">
        <f aca="false">ROW()-1</f>
        <v>682</v>
      </c>
      <c r="B683" s="7" t="str">
        <f aca="false">IF(Raw_Nigeria!B683="",TRIM(Raw_Nigeria!C683),TRIM(Raw_Nigeria!B683))</f>
        <v>Nigeria Demographic and Health Survey 2018</v>
      </c>
      <c r="C683" s="7" t="str">
        <f aca="false">IF(ISNUMBER(SEARCH("Demographic and Health",B683)),"DHS",IF(OR(ISNUMBER(SEARCH("Multiple Indicator Cluster",B683)),ISNUMBER(SEARCH("MICS",B683))),"MICS",IF(ISNUMBER(SEARCH("Immunization Coverage Survey",B683)),"Coverage survey",IF(ISNUMBER(SEARCH("Nutrition",B683)),"Nutrition survey","Other"))))</f>
        <v>DHS</v>
      </c>
      <c r="D683" s="7" t="n">
        <f aca="false">VALUE(LEFT(Raw_Nigeria!D683,4))</f>
        <v>2018</v>
      </c>
      <c r="E683" s="7" t="n">
        <f aca="false">IF(VALUE(RIGHT(Raw_Nigeria!D683,2))&gt;12,"",VALUE(RIGHT(Raw_Nigeria!D683,2)))</f>
        <v>8</v>
      </c>
      <c r="F683" s="7" t="n">
        <f aca="false">VALUE(LEFT(Raw_Nigeria!E683,4))</f>
        <v>2018</v>
      </c>
      <c r="G683" s="7" t="n">
        <f aca="false">IF(VALUE(RIGHT(Raw_Nigeria!E683,2))&gt;12,"",VALUE(RIGHT(Raw_Nigeria!E683,2)))</f>
        <v>12</v>
      </c>
      <c r="H683" s="7" t="n">
        <f aca="false">Raw_Nigeria!F683</f>
        <v>2017</v>
      </c>
      <c r="I683" s="7" t="str">
        <f aca="false">UPPER(TRIM(Raw_Nigeria!G683))</f>
        <v>PCV2</v>
      </c>
      <c r="J683" s="7" t="str">
        <f aca="false">Raw_Nigeria!H683</f>
        <v>Record or Recall&lt;12m</v>
      </c>
      <c r="K683" s="7" t="str">
        <f aca="false">Raw_Nigeria!L683</f>
        <v>12-23 m</v>
      </c>
      <c r="L683" s="7" t="str">
        <f aca="false">IF(Raw_Nigeria!K683="","n/a",Raw_Nigeria!K683)</f>
        <v>0-12 m</v>
      </c>
      <c r="M683" s="7" t="n">
        <f aca="false">IF(Raw_Nigeria!I683="","",Raw_Nigeria!I683)</f>
        <v>40</v>
      </c>
      <c r="N683" s="7" t="n">
        <f aca="false">Raw_Nigeria!M683</f>
        <v>52.9</v>
      </c>
      <c r="O683" s="7" t="n">
        <f aca="false">IF(Raw_Nigeria!N683="","",Raw_Nigeria!N683)</f>
        <v>6143</v>
      </c>
      <c r="P683" s="7" t="str">
        <f aca="false">IF(K683="CBAW","Women of child-bearing age","Children")</f>
        <v>Children</v>
      </c>
      <c r="Q683" s="7" t="n">
        <f aca="false">IF(J683="NOT USED",1,0)</f>
        <v>0</v>
      </c>
      <c r="R683" s="7" t="n">
        <f aca="false">IF(AND(P683="Children",Q683=0),1,0)</f>
        <v>1</v>
      </c>
      <c r="S683" s="7" t="n">
        <f aca="false">IF(AND(R683=1,J683="Record or Recall",K683="12-23 m"),1,0)</f>
        <v>0</v>
      </c>
      <c r="T683" s="7" t="n">
        <f aca="false">IF(OR(I683="BCG",I683="DTP1",I683="DTP3",I683="POL3",I683="MCV1",I683="FULL"),1,0)</f>
        <v>0</v>
      </c>
      <c r="U683" s="7" t="n">
        <f aca="false">IF(OR(C683="DHS",C683="MICS"),1,0)</f>
        <v>1</v>
      </c>
      <c r="V683" s="7" t="n">
        <f aca="false">IF(O683="",1,0)</f>
        <v>0</v>
      </c>
      <c r="W683" s="7" t="n">
        <f aca="false">IF(M683="",1,0)</f>
        <v>0</v>
      </c>
      <c r="X683" s="7" t="n">
        <f aca="false">COUNTIFS($B$2:$B$1141,B683,$H$2:$H$1141,H683,$I$2:$I$1141,I683,$J$2:$J$1141,J683,$K$2:$K$1141,K683,$L$2:$L$1141,L683)</f>
        <v>1</v>
      </c>
    </row>
    <row r="684" customFormat="false" ht="15" hidden="false" customHeight="false" outlineLevel="0" collapsed="false">
      <c r="A684" s="7" t="n">
        <f aca="false">ROW()-1</f>
        <v>683</v>
      </c>
      <c r="B684" s="7" t="str">
        <f aca="false">IF(Raw_Nigeria!B684="",TRIM(Raw_Nigeria!C684),TRIM(Raw_Nigeria!B684))</f>
        <v>Nigeria Demographic and Health Survey 2018</v>
      </c>
      <c r="C684" s="7" t="str">
        <f aca="false">IF(ISNUMBER(SEARCH("Demographic and Health",B684)),"DHS",IF(OR(ISNUMBER(SEARCH("Multiple Indicator Cluster",B684)),ISNUMBER(SEARCH("MICS",B684))),"MICS",IF(ISNUMBER(SEARCH("Immunization Coverage Survey",B684)),"Coverage survey",IF(ISNUMBER(SEARCH("Nutrition",B684)),"Nutrition survey","Other"))))</f>
        <v>DHS</v>
      </c>
      <c r="D684" s="7" t="n">
        <f aca="false">VALUE(LEFT(Raw_Nigeria!D684,4))</f>
        <v>2018</v>
      </c>
      <c r="E684" s="7" t="n">
        <f aca="false">IF(VALUE(RIGHT(Raw_Nigeria!D684,2))&gt;12,"",VALUE(RIGHT(Raw_Nigeria!D684,2)))</f>
        <v>8</v>
      </c>
      <c r="F684" s="7" t="n">
        <f aca="false">VALUE(LEFT(Raw_Nigeria!E684,4))</f>
        <v>2018</v>
      </c>
      <c r="G684" s="7" t="n">
        <f aca="false">IF(VALUE(RIGHT(Raw_Nigeria!E684,2))&gt;12,"",VALUE(RIGHT(Raw_Nigeria!E684,2)))</f>
        <v>12</v>
      </c>
      <c r="H684" s="7" t="n">
        <f aca="false">Raw_Nigeria!F684</f>
        <v>2017</v>
      </c>
      <c r="I684" s="7" t="str">
        <f aca="false">UPPER(TRIM(Raw_Nigeria!G684))</f>
        <v>PCV2</v>
      </c>
      <c r="J684" s="7" t="str">
        <f aca="false">Raw_Nigeria!H684</f>
        <v>Record</v>
      </c>
      <c r="K684" s="7" t="str">
        <f aca="false">Raw_Nigeria!L684</f>
        <v>12-23 m</v>
      </c>
      <c r="L684" s="7" t="str">
        <f aca="false">IF(Raw_Nigeria!K684="","n/a",Raw_Nigeria!K684)</f>
        <v>0-23 m</v>
      </c>
      <c r="M684" s="7" t="n">
        <f aca="false">IF(Raw_Nigeria!I684="","",Raw_Nigeria!I684)</f>
        <v>40</v>
      </c>
      <c r="N684" s="7" t="n">
        <f aca="false">Raw_Nigeria!M684</f>
        <v>33.7</v>
      </c>
      <c r="O684" s="7" t="n">
        <f aca="false">IF(Raw_Nigeria!N684="","",Raw_Nigeria!N684)</f>
        <v>2459</v>
      </c>
      <c r="P684" s="7" t="str">
        <f aca="false">IF(K684="CBAW","Women of child-bearing age","Children")</f>
        <v>Children</v>
      </c>
      <c r="Q684" s="7" t="n">
        <f aca="false">IF(J684="NOT USED",1,0)</f>
        <v>0</v>
      </c>
      <c r="R684" s="7" t="n">
        <f aca="false">IF(AND(P684="Children",Q684=0),1,0)</f>
        <v>1</v>
      </c>
      <c r="S684" s="7" t="n">
        <f aca="false">IF(AND(R684=1,J684="Record or Recall",K684="12-23 m"),1,0)</f>
        <v>0</v>
      </c>
      <c r="T684" s="7" t="n">
        <f aca="false">IF(OR(I684="BCG",I684="DTP1",I684="DTP3",I684="POL3",I684="MCV1",I684="FULL"),1,0)</f>
        <v>0</v>
      </c>
      <c r="U684" s="7" t="n">
        <f aca="false">IF(OR(C684="DHS",C684="MICS"),1,0)</f>
        <v>1</v>
      </c>
      <c r="V684" s="7" t="n">
        <f aca="false">IF(O684="",1,0)</f>
        <v>0</v>
      </c>
      <c r="W684" s="7" t="n">
        <f aca="false">IF(M684="",1,0)</f>
        <v>0</v>
      </c>
      <c r="X684" s="7" t="n">
        <f aca="false">COUNTIFS($B$2:$B$1141,B684,$H$2:$H$1141,H684,$I$2:$I$1141,I684,$J$2:$J$1141,J684,$K$2:$K$1141,K684,$L$2:$L$1141,L684)</f>
        <v>1</v>
      </c>
    </row>
    <row r="685" customFormat="false" ht="15" hidden="false" customHeight="false" outlineLevel="0" collapsed="false">
      <c r="A685" s="7" t="n">
        <f aca="false">ROW()-1</f>
        <v>684</v>
      </c>
      <c r="B685" s="7" t="str">
        <f aca="false">IF(Raw_Nigeria!B685="",TRIM(Raw_Nigeria!C685),TRIM(Raw_Nigeria!B685))</f>
        <v>Nigeria Demographic and Health Survey 2018</v>
      </c>
      <c r="C685" s="7" t="str">
        <f aca="false">IF(ISNUMBER(SEARCH("Demographic and Health",B685)),"DHS",IF(OR(ISNUMBER(SEARCH("Multiple Indicator Cluster",B685)),ISNUMBER(SEARCH("MICS",B685))),"MICS",IF(ISNUMBER(SEARCH("Immunization Coverage Survey",B685)),"Coverage survey",IF(ISNUMBER(SEARCH("Nutrition",B685)),"Nutrition survey","Other"))))</f>
        <v>DHS</v>
      </c>
      <c r="D685" s="7" t="n">
        <f aca="false">VALUE(LEFT(Raw_Nigeria!D685,4))</f>
        <v>2018</v>
      </c>
      <c r="E685" s="7" t="n">
        <f aca="false">IF(VALUE(RIGHT(Raw_Nigeria!D685,2))&gt;12,"",VALUE(RIGHT(Raw_Nigeria!D685,2)))</f>
        <v>8</v>
      </c>
      <c r="F685" s="7" t="n">
        <f aca="false">VALUE(LEFT(Raw_Nigeria!E685,4))</f>
        <v>2018</v>
      </c>
      <c r="G685" s="7" t="n">
        <f aca="false">IF(VALUE(RIGHT(Raw_Nigeria!E685,2))&gt;12,"",VALUE(RIGHT(Raw_Nigeria!E685,2)))</f>
        <v>12</v>
      </c>
      <c r="H685" s="7" t="n">
        <f aca="false">Raw_Nigeria!F685</f>
        <v>2017</v>
      </c>
      <c r="I685" s="7" t="str">
        <f aca="false">UPPER(TRIM(Raw_Nigeria!G685))</f>
        <v>PCV2</v>
      </c>
      <c r="J685" s="7" t="str">
        <f aca="false">Raw_Nigeria!H685</f>
        <v>Record or Recall</v>
      </c>
      <c r="K685" s="7" t="str">
        <f aca="false">Raw_Nigeria!L685</f>
        <v>12-23 m</v>
      </c>
      <c r="L685" s="7" t="str">
        <f aca="false">IF(Raw_Nigeria!K685="","n/a",Raw_Nigeria!K685)</f>
        <v>0-23 m</v>
      </c>
      <c r="M685" s="7" t="n">
        <f aca="false">IF(Raw_Nigeria!I685="","",Raw_Nigeria!I685)</f>
        <v>40</v>
      </c>
      <c r="N685" s="7" t="n">
        <f aca="false">Raw_Nigeria!M685</f>
        <v>54.2</v>
      </c>
      <c r="O685" s="7" t="n">
        <f aca="false">IF(Raw_Nigeria!N685="","",Raw_Nigeria!N685)</f>
        <v>6143</v>
      </c>
      <c r="P685" s="7" t="str">
        <f aca="false">IF(K685="CBAW","Women of child-bearing age","Children")</f>
        <v>Children</v>
      </c>
      <c r="Q685" s="7" t="n">
        <f aca="false">IF(J685="NOT USED",1,0)</f>
        <v>0</v>
      </c>
      <c r="R685" s="7" t="n">
        <f aca="false">IF(AND(P685="Children",Q685=0),1,0)</f>
        <v>1</v>
      </c>
      <c r="S685" s="7" t="n">
        <f aca="false">IF(AND(R685=1,J685="Record or Recall",K685="12-23 m"),1,0)</f>
        <v>1</v>
      </c>
      <c r="T685" s="7" t="n">
        <f aca="false">IF(OR(I685="BCG",I685="DTP1",I685="DTP3",I685="POL3",I685="MCV1",I685="FULL"),1,0)</f>
        <v>0</v>
      </c>
      <c r="U685" s="7" t="n">
        <f aca="false">IF(OR(C685="DHS",C685="MICS"),1,0)</f>
        <v>1</v>
      </c>
      <c r="V685" s="7" t="n">
        <f aca="false">IF(O685="",1,0)</f>
        <v>0</v>
      </c>
      <c r="W685" s="7" t="n">
        <f aca="false">IF(M685="",1,0)</f>
        <v>0</v>
      </c>
      <c r="X685" s="7" t="n">
        <f aca="false">COUNTIFS($B$2:$B$1141,B685,$H$2:$H$1141,H685,$I$2:$I$1141,I685,$J$2:$J$1141,J685,$K$2:$K$1141,K685,$L$2:$L$1141,L685)</f>
        <v>1</v>
      </c>
    </row>
    <row r="686" customFormat="false" ht="15" hidden="false" customHeight="false" outlineLevel="0" collapsed="false">
      <c r="A686" s="7" t="n">
        <f aca="false">ROW()-1</f>
        <v>685</v>
      </c>
      <c r="B686" s="7" t="str">
        <f aca="false">IF(Raw_Nigeria!B686="",TRIM(Raw_Nigeria!C686),TRIM(Raw_Nigeria!B686))</f>
        <v>Nigeria Demographic and Health Survey 2018</v>
      </c>
      <c r="C686" s="7" t="str">
        <f aca="false">IF(ISNUMBER(SEARCH("Demographic and Health",B686)),"DHS",IF(OR(ISNUMBER(SEARCH("Multiple Indicator Cluster",B686)),ISNUMBER(SEARCH("MICS",B686))),"MICS",IF(ISNUMBER(SEARCH("Immunization Coverage Survey",B686)),"Coverage survey",IF(ISNUMBER(SEARCH("Nutrition",B686)),"Nutrition survey","Other"))))</f>
        <v>DHS</v>
      </c>
      <c r="D686" s="7" t="n">
        <f aca="false">VALUE(LEFT(Raw_Nigeria!D686,4))</f>
        <v>2018</v>
      </c>
      <c r="E686" s="7" t="n">
        <f aca="false">IF(VALUE(RIGHT(Raw_Nigeria!D686,2))&gt;12,"",VALUE(RIGHT(Raw_Nigeria!D686,2)))</f>
        <v>8</v>
      </c>
      <c r="F686" s="7" t="n">
        <f aca="false">VALUE(LEFT(Raw_Nigeria!E686,4))</f>
        <v>2018</v>
      </c>
      <c r="G686" s="7" t="n">
        <f aca="false">IF(VALUE(RIGHT(Raw_Nigeria!E686,2))&gt;12,"",VALUE(RIGHT(Raw_Nigeria!E686,2)))</f>
        <v>12</v>
      </c>
      <c r="H686" s="7" t="n">
        <f aca="false">Raw_Nigeria!F686</f>
        <v>2017</v>
      </c>
      <c r="I686" s="7" t="str">
        <f aca="false">UPPER(TRIM(Raw_Nigeria!G686))</f>
        <v>PCV2</v>
      </c>
      <c r="J686" s="7" t="str">
        <f aca="false">Raw_Nigeria!H686</f>
        <v>Recall</v>
      </c>
      <c r="K686" s="7" t="str">
        <f aca="false">Raw_Nigeria!L686</f>
        <v>12-23 m</v>
      </c>
      <c r="L686" s="7" t="str">
        <f aca="false">IF(Raw_Nigeria!K686="","n/a",Raw_Nigeria!K686)</f>
        <v>0-23 m</v>
      </c>
      <c r="M686" s="7" t="n">
        <f aca="false">IF(Raw_Nigeria!I686="","",Raw_Nigeria!I686)</f>
        <v>40</v>
      </c>
      <c r="N686" s="7" t="n">
        <f aca="false">Raw_Nigeria!M686</f>
        <v>20.5</v>
      </c>
      <c r="O686" s="7" t="n">
        <f aca="false">IF(Raw_Nigeria!N686="","",Raw_Nigeria!N686)</f>
        <v>3684</v>
      </c>
      <c r="P686" s="7" t="str">
        <f aca="false">IF(K686="CBAW","Women of child-bearing age","Children")</f>
        <v>Children</v>
      </c>
      <c r="Q686" s="7" t="n">
        <f aca="false">IF(J686="NOT USED",1,0)</f>
        <v>0</v>
      </c>
      <c r="R686" s="7" t="n">
        <f aca="false">IF(AND(P686="Children",Q686=0),1,0)</f>
        <v>1</v>
      </c>
      <c r="S686" s="7" t="n">
        <f aca="false">IF(AND(R686=1,J686="Record or Recall",K686="12-23 m"),1,0)</f>
        <v>0</v>
      </c>
      <c r="T686" s="7" t="n">
        <f aca="false">IF(OR(I686="BCG",I686="DTP1",I686="DTP3",I686="POL3",I686="MCV1",I686="FULL"),1,0)</f>
        <v>0</v>
      </c>
      <c r="U686" s="7" t="n">
        <f aca="false">IF(OR(C686="DHS",C686="MICS"),1,0)</f>
        <v>1</v>
      </c>
      <c r="V686" s="7" t="n">
        <f aca="false">IF(O686="",1,0)</f>
        <v>0</v>
      </c>
      <c r="W686" s="7" t="n">
        <f aca="false">IF(M686="",1,0)</f>
        <v>0</v>
      </c>
      <c r="X686" s="7" t="n">
        <f aca="false">COUNTIFS($B$2:$B$1141,B686,$H$2:$H$1141,H686,$I$2:$I$1141,I686,$J$2:$J$1141,J686,$K$2:$K$1141,K686,$L$2:$L$1141,L686)</f>
        <v>1</v>
      </c>
    </row>
    <row r="687" customFormat="false" ht="15" hidden="false" customHeight="false" outlineLevel="0" collapsed="false">
      <c r="A687" s="7" t="n">
        <f aca="false">ROW()-1</f>
        <v>686</v>
      </c>
      <c r="B687" s="7" t="str">
        <f aca="false">IF(Raw_Nigeria!B687="",TRIM(Raw_Nigeria!C687),TRIM(Raw_Nigeria!B687))</f>
        <v>Nigeria Demographic and Health Survey 2018</v>
      </c>
      <c r="C687" s="7" t="str">
        <f aca="false">IF(ISNUMBER(SEARCH("Demographic and Health",B687)),"DHS",IF(OR(ISNUMBER(SEARCH("Multiple Indicator Cluster",B687)),ISNUMBER(SEARCH("MICS",B687))),"MICS",IF(ISNUMBER(SEARCH("Immunization Coverage Survey",B687)),"Coverage survey",IF(ISNUMBER(SEARCH("Nutrition",B687)),"Nutrition survey","Other"))))</f>
        <v>DHS</v>
      </c>
      <c r="D687" s="7" t="n">
        <f aca="false">VALUE(LEFT(Raw_Nigeria!D687,4))</f>
        <v>2018</v>
      </c>
      <c r="E687" s="7" t="n">
        <f aca="false">IF(VALUE(RIGHT(Raw_Nigeria!D687,2))&gt;12,"",VALUE(RIGHT(Raw_Nigeria!D687,2)))</f>
        <v>8</v>
      </c>
      <c r="F687" s="7" t="n">
        <f aca="false">VALUE(LEFT(Raw_Nigeria!E687,4))</f>
        <v>2018</v>
      </c>
      <c r="G687" s="7" t="n">
        <f aca="false">IF(VALUE(RIGHT(Raw_Nigeria!E687,2))&gt;12,"",VALUE(RIGHT(Raw_Nigeria!E687,2)))</f>
        <v>12</v>
      </c>
      <c r="H687" s="7" t="n">
        <f aca="false">Raw_Nigeria!F687</f>
        <v>2017</v>
      </c>
      <c r="I687" s="7" t="str">
        <f aca="false">UPPER(TRIM(Raw_Nigeria!G687))</f>
        <v>PCVC</v>
      </c>
      <c r="J687" s="7" t="str">
        <f aca="false">Raw_Nigeria!H687</f>
        <v>Record or Recall&lt;12m</v>
      </c>
      <c r="K687" s="7" t="str">
        <f aca="false">Raw_Nigeria!L687</f>
        <v>12-23 m</v>
      </c>
      <c r="L687" s="7" t="str">
        <f aca="false">IF(Raw_Nigeria!K687="","n/a",Raw_Nigeria!K687)</f>
        <v>0-12 m</v>
      </c>
      <c r="M687" s="7" t="n">
        <f aca="false">IF(Raw_Nigeria!I687="","",Raw_Nigeria!I687)</f>
        <v>40</v>
      </c>
      <c r="N687" s="7" t="n">
        <f aca="false">Raw_Nigeria!M687</f>
        <v>45.5</v>
      </c>
      <c r="O687" s="7" t="n">
        <f aca="false">IF(Raw_Nigeria!N687="","",Raw_Nigeria!N687)</f>
        <v>6143</v>
      </c>
      <c r="P687" s="7" t="str">
        <f aca="false">IF(K687="CBAW","Women of child-bearing age","Children")</f>
        <v>Children</v>
      </c>
      <c r="Q687" s="7" t="n">
        <f aca="false">IF(J687="NOT USED",1,0)</f>
        <v>0</v>
      </c>
      <c r="R687" s="7" t="n">
        <f aca="false">IF(AND(P687="Children",Q687=0),1,0)</f>
        <v>1</v>
      </c>
      <c r="S687" s="7" t="n">
        <f aca="false">IF(AND(R687=1,J687="Record or Recall",K687="12-23 m"),1,0)</f>
        <v>0</v>
      </c>
      <c r="T687" s="7" t="n">
        <f aca="false">IF(OR(I687="BCG",I687="DTP1",I687="DTP3",I687="POL3",I687="MCV1",I687="FULL"),1,0)</f>
        <v>0</v>
      </c>
      <c r="U687" s="7" t="n">
        <f aca="false">IF(OR(C687="DHS",C687="MICS"),1,0)</f>
        <v>1</v>
      </c>
      <c r="V687" s="7" t="n">
        <f aca="false">IF(O687="",1,0)</f>
        <v>0</v>
      </c>
      <c r="W687" s="7" t="n">
        <f aca="false">IF(M687="",1,0)</f>
        <v>0</v>
      </c>
      <c r="X687" s="7" t="n">
        <f aca="false">COUNTIFS($B$2:$B$1141,B687,$H$2:$H$1141,H687,$I$2:$I$1141,I687,$J$2:$J$1141,J687,$K$2:$K$1141,K687,$L$2:$L$1141,L687)</f>
        <v>1</v>
      </c>
    </row>
    <row r="688" customFormat="false" ht="15" hidden="false" customHeight="false" outlineLevel="0" collapsed="false">
      <c r="A688" s="7" t="n">
        <f aca="false">ROW()-1</f>
        <v>687</v>
      </c>
      <c r="B688" s="7" t="str">
        <f aca="false">IF(Raw_Nigeria!B688="",TRIM(Raw_Nigeria!C688),TRIM(Raw_Nigeria!B688))</f>
        <v>Nigeria Demographic and Health Survey 2018</v>
      </c>
      <c r="C688" s="7" t="str">
        <f aca="false">IF(ISNUMBER(SEARCH("Demographic and Health",B688)),"DHS",IF(OR(ISNUMBER(SEARCH("Multiple Indicator Cluster",B688)),ISNUMBER(SEARCH("MICS",B688))),"MICS",IF(ISNUMBER(SEARCH("Immunization Coverage Survey",B688)),"Coverage survey",IF(ISNUMBER(SEARCH("Nutrition",B688)),"Nutrition survey","Other"))))</f>
        <v>DHS</v>
      </c>
      <c r="D688" s="7" t="n">
        <f aca="false">VALUE(LEFT(Raw_Nigeria!D688,4))</f>
        <v>2018</v>
      </c>
      <c r="E688" s="7" t="n">
        <f aca="false">IF(VALUE(RIGHT(Raw_Nigeria!D688,2))&gt;12,"",VALUE(RIGHT(Raw_Nigeria!D688,2)))</f>
        <v>8</v>
      </c>
      <c r="F688" s="7" t="n">
        <f aca="false">VALUE(LEFT(Raw_Nigeria!E688,4))</f>
        <v>2018</v>
      </c>
      <c r="G688" s="7" t="n">
        <f aca="false">IF(VALUE(RIGHT(Raw_Nigeria!E688,2))&gt;12,"",VALUE(RIGHT(Raw_Nigeria!E688,2)))</f>
        <v>12</v>
      </c>
      <c r="H688" s="7" t="n">
        <f aca="false">Raw_Nigeria!F688</f>
        <v>2017</v>
      </c>
      <c r="I688" s="7" t="str">
        <f aca="false">UPPER(TRIM(Raw_Nigeria!G688))</f>
        <v>PCVC</v>
      </c>
      <c r="J688" s="7" t="str">
        <f aca="false">Raw_Nigeria!H688</f>
        <v>Record</v>
      </c>
      <c r="K688" s="7" t="str">
        <f aca="false">Raw_Nigeria!L688</f>
        <v>12-23 m</v>
      </c>
      <c r="L688" s="7" t="str">
        <f aca="false">IF(Raw_Nigeria!K688="","n/a",Raw_Nigeria!K688)</f>
        <v>0-23 m</v>
      </c>
      <c r="M688" s="7" t="n">
        <f aca="false">IF(Raw_Nigeria!I688="","",Raw_Nigeria!I688)</f>
        <v>40</v>
      </c>
      <c r="N688" s="7" t="n">
        <f aca="false">Raw_Nigeria!M688</f>
        <v>30.7</v>
      </c>
      <c r="O688" s="7" t="n">
        <f aca="false">IF(Raw_Nigeria!N688="","",Raw_Nigeria!N688)</f>
        <v>2459</v>
      </c>
      <c r="P688" s="7" t="str">
        <f aca="false">IF(K688="CBAW","Women of child-bearing age","Children")</f>
        <v>Children</v>
      </c>
      <c r="Q688" s="7" t="n">
        <f aca="false">IF(J688="NOT USED",1,0)</f>
        <v>0</v>
      </c>
      <c r="R688" s="7" t="n">
        <f aca="false">IF(AND(P688="Children",Q688=0),1,0)</f>
        <v>1</v>
      </c>
      <c r="S688" s="7" t="n">
        <f aca="false">IF(AND(R688=1,J688="Record or Recall",K688="12-23 m"),1,0)</f>
        <v>0</v>
      </c>
      <c r="T688" s="7" t="n">
        <f aca="false">IF(OR(I688="BCG",I688="DTP1",I688="DTP3",I688="POL3",I688="MCV1",I688="FULL"),1,0)</f>
        <v>0</v>
      </c>
      <c r="U688" s="7" t="n">
        <f aca="false">IF(OR(C688="DHS",C688="MICS"),1,0)</f>
        <v>1</v>
      </c>
      <c r="V688" s="7" t="n">
        <f aca="false">IF(O688="",1,0)</f>
        <v>0</v>
      </c>
      <c r="W688" s="7" t="n">
        <f aca="false">IF(M688="",1,0)</f>
        <v>0</v>
      </c>
      <c r="X688" s="7" t="n">
        <f aca="false">COUNTIFS($B$2:$B$1141,B688,$H$2:$H$1141,H688,$I$2:$I$1141,I688,$J$2:$J$1141,J688,$K$2:$K$1141,K688,$L$2:$L$1141,L688)</f>
        <v>1</v>
      </c>
    </row>
    <row r="689" customFormat="false" ht="15" hidden="false" customHeight="false" outlineLevel="0" collapsed="false">
      <c r="A689" s="7" t="n">
        <f aca="false">ROW()-1</f>
        <v>688</v>
      </c>
      <c r="B689" s="7" t="str">
        <f aca="false">IF(Raw_Nigeria!B689="",TRIM(Raw_Nigeria!C689),TRIM(Raw_Nigeria!B689))</f>
        <v>Nigeria Demographic and Health Survey 2018</v>
      </c>
      <c r="C689" s="7" t="str">
        <f aca="false">IF(ISNUMBER(SEARCH("Demographic and Health",B689)),"DHS",IF(OR(ISNUMBER(SEARCH("Multiple Indicator Cluster",B689)),ISNUMBER(SEARCH("MICS",B689))),"MICS",IF(ISNUMBER(SEARCH("Immunization Coverage Survey",B689)),"Coverage survey",IF(ISNUMBER(SEARCH("Nutrition",B689)),"Nutrition survey","Other"))))</f>
        <v>DHS</v>
      </c>
      <c r="D689" s="7" t="n">
        <f aca="false">VALUE(LEFT(Raw_Nigeria!D689,4))</f>
        <v>2018</v>
      </c>
      <c r="E689" s="7" t="n">
        <f aca="false">IF(VALUE(RIGHT(Raw_Nigeria!D689,2))&gt;12,"",VALUE(RIGHT(Raw_Nigeria!D689,2)))</f>
        <v>8</v>
      </c>
      <c r="F689" s="7" t="n">
        <f aca="false">VALUE(LEFT(Raw_Nigeria!E689,4))</f>
        <v>2018</v>
      </c>
      <c r="G689" s="7" t="n">
        <f aca="false">IF(VALUE(RIGHT(Raw_Nigeria!E689,2))&gt;12,"",VALUE(RIGHT(Raw_Nigeria!E689,2)))</f>
        <v>12</v>
      </c>
      <c r="H689" s="7" t="n">
        <f aca="false">Raw_Nigeria!F689</f>
        <v>2017</v>
      </c>
      <c r="I689" s="7" t="str">
        <f aca="false">UPPER(TRIM(Raw_Nigeria!G689))</f>
        <v>PCVC</v>
      </c>
      <c r="J689" s="7" t="str">
        <f aca="false">Raw_Nigeria!H689</f>
        <v>Record or Recall</v>
      </c>
      <c r="K689" s="7" t="str">
        <f aca="false">Raw_Nigeria!L689</f>
        <v>12-23 m</v>
      </c>
      <c r="L689" s="7" t="str">
        <f aca="false">IF(Raw_Nigeria!K689="","n/a",Raw_Nigeria!K689)</f>
        <v>0-23 m</v>
      </c>
      <c r="M689" s="7" t="n">
        <f aca="false">IF(Raw_Nigeria!I689="","",Raw_Nigeria!I689)</f>
        <v>40</v>
      </c>
      <c r="N689" s="7" t="n">
        <f aca="false">Raw_Nigeria!M689</f>
        <v>47.3</v>
      </c>
      <c r="O689" s="7" t="n">
        <f aca="false">IF(Raw_Nigeria!N689="","",Raw_Nigeria!N689)</f>
        <v>6143</v>
      </c>
      <c r="P689" s="7" t="str">
        <f aca="false">IF(K689="CBAW","Women of child-bearing age","Children")</f>
        <v>Children</v>
      </c>
      <c r="Q689" s="7" t="n">
        <f aca="false">IF(J689="NOT USED",1,0)</f>
        <v>0</v>
      </c>
      <c r="R689" s="7" t="n">
        <f aca="false">IF(AND(P689="Children",Q689=0),1,0)</f>
        <v>1</v>
      </c>
      <c r="S689" s="7" t="n">
        <f aca="false">IF(AND(R689=1,J689="Record or Recall",K689="12-23 m"),1,0)</f>
        <v>1</v>
      </c>
      <c r="T689" s="7" t="n">
        <f aca="false">IF(OR(I689="BCG",I689="DTP1",I689="DTP3",I689="POL3",I689="MCV1",I689="FULL"),1,0)</f>
        <v>0</v>
      </c>
      <c r="U689" s="7" t="n">
        <f aca="false">IF(OR(C689="DHS",C689="MICS"),1,0)</f>
        <v>1</v>
      </c>
      <c r="V689" s="7" t="n">
        <f aca="false">IF(O689="",1,0)</f>
        <v>0</v>
      </c>
      <c r="W689" s="7" t="n">
        <f aca="false">IF(M689="",1,0)</f>
        <v>0</v>
      </c>
      <c r="X689" s="7" t="n">
        <f aca="false">COUNTIFS($B$2:$B$1141,B689,$H$2:$H$1141,H689,$I$2:$I$1141,I689,$J$2:$J$1141,J689,$K$2:$K$1141,K689,$L$2:$L$1141,L689)</f>
        <v>1</v>
      </c>
    </row>
    <row r="690" customFormat="false" ht="15" hidden="false" customHeight="false" outlineLevel="0" collapsed="false">
      <c r="A690" s="7" t="n">
        <f aca="false">ROW()-1</f>
        <v>689</v>
      </c>
      <c r="B690" s="7" t="str">
        <f aca="false">IF(Raw_Nigeria!B690="",TRIM(Raw_Nigeria!C690),TRIM(Raw_Nigeria!B690))</f>
        <v>Nigeria Demographic and Health Survey 2018</v>
      </c>
      <c r="C690" s="7" t="str">
        <f aca="false">IF(ISNUMBER(SEARCH("Demographic and Health",B690)),"DHS",IF(OR(ISNUMBER(SEARCH("Multiple Indicator Cluster",B690)),ISNUMBER(SEARCH("MICS",B690))),"MICS",IF(ISNUMBER(SEARCH("Immunization Coverage Survey",B690)),"Coverage survey",IF(ISNUMBER(SEARCH("Nutrition",B690)),"Nutrition survey","Other"))))</f>
        <v>DHS</v>
      </c>
      <c r="D690" s="7" t="n">
        <f aca="false">VALUE(LEFT(Raw_Nigeria!D690,4))</f>
        <v>2018</v>
      </c>
      <c r="E690" s="7" t="n">
        <f aca="false">IF(VALUE(RIGHT(Raw_Nigeria!D690,2))&gt;12,"",VALUE(RIGHT(Raw_Nigeria!D690,2)))</f>
        <v>8</v>
      </c>
      <c r="F690" s="7" t="n">
        <f aca="false">VALUE(LEFT(Raw_Nigeria!E690,4))</f>
        <v>2018</v>
      </c>
      <c r="G690" s="7" t="n">
        <f aca="false">IF(VALUE(RIGHT(Raw_Nigeria!E690,2))&gt;12,"",VALUE(RIGHT(Raw_Nigeria!E690,2)))</f>
        <v>12</v>
      </c>
      <c r="H690" s="7" t="n">
        <f aca="false">Raw_Nigeria!F690</f>
        <v>2017</v>
      </c>
      <c r="I690" s="7" t="str">
        <f aca="false">UPPER(TRIM(Raw_Nigeria!G690))</f>
        <v>PCVC</v>
      </c>
      <c r="J690" s="7" t="str">
        <f aca="false">Raw_Nigeria!H690</f>
        <v>Recall</v>
      </c>
      <c r="K690" s="7" t="str">
        <f aca="false">Raw_Nigeria!L690</f>
        <v>12-23 m</v>
      </c>
      <c r="L690" s="7" t="str">
        <f aca="false">IF(Raw_Nigeria!K690="","n/a",Raw_Nigeria!K690)</f>
        <v>0-23 m</v>
      </c>
      <c r="M690" s="7" t="n">
        <f aca="false">IF(Raw_Nigeria!I690="","",Raw_Nigeria!I690)</f>
        <v>40</v>
      </c>
      <c r="N690" s="7" t="n">
        <f aca="false">Raw_Nigeria!M690</f>
        <v>16.7</v>
      </c>
      <c r="O690" s="7" t="n">
        <f aca="false">IF(Raw_Nigeria!N690="","",Raw_Nigeria!N690)</f>
        <v>3684</v>
      </c>
      <c r="P690" s="7" t="str">
        <f aca="false">IF(K690="CBAW","Women of child-bearing age","Children")</f>
        <v>Children</v>
      </c>
      <c r="Q690" s="7" t="n">
        <f aca="false">IF(J690="NOT USED",1,0)</f>
        <v>0</v>
      </c>
      <c r="R690" s="7" t="n">
        <f aca="false">IF(AND(P690="Children",Q690=0),1,0)</f>
        <v>1</v>
      </c>
      <c r="S690" s="7" t="n">
        <f aca="false">IF(AND(R690=1,J690="Record or Recall",K690="12-23 m"),1,0)</f>
        <v>0</v>
      </c>
      <c r="T690" s="7" t="n">
        <f aca="false">IF(OR(I690="BCG",I690="DTP1",I690="DTP3",I690="POL3",I690="MCV1",I690="FULL"),1,0)</f>
        <v>0</v>
      </c>
      <c r="U690" s="7" t="n">
        <f aca="false">IF(OR(C690="DHS",C690="MICS"),1,0)</f>
        <v>1</v>
      </c>
      <c r="V690" s="7" t="n">
        <f aca="false">IF(O690="",1,0)</f>
        <v>0</v>
      </c>
      <c r="W690" s="7" t="n">
        <f aca="false">IF(M690="",1,0)</f>
        <v>0</v>
      </c>
      <c r="X690" s="7" t="n">
        <f aca="false">COUNTIFS($B$2:$B$1141,B690,$H$2:$H$1141,H690,$I$2:$I$1141,I690,$J$2:$J$1141,J690,$K$2:$K$1141,K690,$L$2:$L$1141,L690)</f>
        <v>1</v>
      </c>
    </row>
    <row r="691" customFormat="false" ht="15" hidden="false" customHeight="false" outlineLevel="0" collapsed="false">
      <c r="A691" s="7" t="n">
        <f aca="false">ROW()-1</f>
        <v>690</v>
      </c>
      <c r="B691" s="7" t="str">
        <f aca="false">IF(Raw_Nigeria!B691="",TRIM(Raw_Nigeria!C691),TRIM(Raw_Nigeria!B691))</f>
        <v>Nigeria Demographic and Health Survey 2018</v>
      </c>
      <c r="C691" s="7" t="str">
        <f aca="false">IF(ISNUMBER(SEARCH("Demographic and Health",B691)),"DHS",IF(OR(ISNUMBER(SEARCH("Multiple Indicator Cluster",B691)),ISNUMBER(SEARCH("MICS",B691))),"MICS",IF(ISNUMBER(SEARCH("Immunization Coverage Survey",B691)),"Coverage survey",IF(ISNUMBER(SEARCH("Nutrition",B691)),"Nutrition survey","Other"))))</f>
        <v>DHS</v>
      </c>
      <c r="D691" s="7" t="n">
        <f aca="false">VALUE(LEFT(Raw_Nigeria!D691,4))</f>
        <v>2018</v>
      </c>
      <c r="E691" s="7" t="n">
        <f aca="false">IF(VALUE(RIGHT(Raw_Nigeria!D691,2))&gt;12,"",VALUE(RIGHT(Raw_Nigeria!D691,2)))</f>
        <v>8</v>
      </c>
      <c r="F691" s="7" t="n">
        <f aca="false">VALUE(LEFT(Raw_Nigeria!E691,4))</f>
        <v>2018</v>
      </c>
      <c r="G691" s="7" t="n">
        <f aca="false">IF(VALUE(RIGHT(Raw_Nigeria!E691,2))&gt;12,"",VALUE(RIGHT(Raw_Nigeria!E691,2)))</f>
        <v>12</v>
      </c>
      <c r="H691" s="7" t="n">
        <f aca="false">Raw_Nigeria!F691</f>
        <v>2017</v>
      </c>
      <c r="I691" s="7" t="str">
        <f aca="false">UPPER(TRIM(Raw_Nigeria!G691))</f>
        <v>POL0</v>
      </c>
      <c r="J691" s="7" t="str">
        <f aca="false">Raw_Nigeria!H691</f>
        <v>Record or Recall&lt;12m</v>
      </c>
      <c r="K691" s="7" t="str">
        <f aca="false">Raw_Nigeria!L691</f>
        <v>12-23 m</v>
      </c>
      <c r="L691" s="7" t="str">
        <f aca="false">IF(Raw_Nigeria!K691="","n/a",Raw_Nigeria!K691)</f>
        <v>0-12 m</v>
      </c>
      <c r="M691" s="7" t="n">
        <f aca="false">IF(Raw_Nigeria!I691="","",Raw_Nigeria!I691)</f>
        <v>40</v>
      </c>
      <c r="N691" s="7" t="n">
        <f aca="false">Raw_Nigeria!M691</f>
        <v>54.3</v>
      </c>
      <c r="O691" s="7" t="n">
        <f aca="false">IF(Raw_Nigeria!N691="","",Raw_Nigeria!N691)</f>
        <v>6143</v>
      </c>
      <c r="P691" s="7" t="str">
        <f aca="false">IF(K691="CBAW","Women of child-bearing age","Children")</f>
        <v>Children</v>
      </c>
      <c r="Q691" s="7" t="n">
        <f aca="false">IF(J691="NOT USED",1,0)</f>
        <v>0</v>
      </c>
      <c r="R691" s="7" t="n">
        <f aca="false">IF(AND(P691="Children",Q691=0),1,0)</f>
        <v>1</v>
      </c>
      <c r="S691" s="7" t="n">
        <f aca="false">IF(AND(R691=1,J691="Record or Recall",K691="12-23 m"),1,0)</f>
        <v>0</v>
      </c>
      <c r="T691" s="7" t="n">
        <f aca="false">IF(OR(I691="BCG",I691="DTP1",I691="DTP3",I691="POL3",I691="MCV1",I691="FULL"),1,0)</f>
        <v>0</v>
      </c>
      <c r="U691" s="7" t="n">
        <f aca="false">IF(OR(C691="DHS",C691="MICS"),1,0)</f>
        <v>1</v>
      </c>
      <c r="V691" s="7" t="n">
        <f aca="false">IF(O691="",1,0)</f>
        <v>0</v>
      </c>
      <c r="W691" s="7" t="n">
        <f aca="false">IF(M691="",1,0)</f>
        <v>0</v>
      </c>
      <c r="X691" s="7" t="n">
        <f aca="false">COUNTIFS($B$2:$B$1141,B691,$H$2:$H$1141,H691,$I$2:$I$1141,I691,$J$2:$J$1141,J691,$K$2:$K$1141,K691,$L$2:$L$1141,L691)</f>
        <v>1</v>
      </c>
    </row>
    <row r="692" customFormat="false" ht="15" hidden="false" customHeight="false" outlineLevel="0" collapsed="false">
      <c r="A692" s="7" t="n">
        <f aca="false">ROW()-1</f>
        <v>691</v>
      </c>
      <c r="B692" s="7" t="str">
        <f aca="false">IF(Raw_Nigeria!B692="",TRIM(Raw_Nigeria!C692),TRIM(Raw_Nigeria!B692))</f>
        <v>Nigeria Demographic and Health Survey 2018</v>
      </c>
      <c r="C692" s="7" t="str">
        <f aca="false">IF(ISNUMBER(SEARCH("Demographic and Health",B692)),"DHS",IF(OR(ISNUMBER(SEARCH("Multiple Indicator Cluster",B692)),ISNUMBER(SEARCH("MICS",B692))),"MICS",IF(ISNUMBER(SEARCH("Immunization Coverage Survey",B692)),"Coverage survey",IF(ISNUMBER(SEARCH("Nutrition",B692)),"Nutrition survey","Other"))))</f>
        <v>DHS</v>
      </c>
      <c r="D692" s="7" t="n">
        <f aca="false">VALUE(LEFT(Raw_Nigeria!D692,4))</f>
        <v>2018</v>
      </c>
      <c r="E692" s="7" t="n">
        <f aca="false">IF(VALUE(RIGHT(Raw_Nigeria!D692,2))&gt;12,"",VALUE(RIGHT(Raw_Nigeria!D692,2)))</f>
        <v>8</v>
      </c>
      <c r="F692" s="7" t="n">
        <f aca="false">VALUE(LEFT(Raw_Nigeria!E692,4))</f>
        <v>2018</v>
      </c>
      <c r="G692" s="7" t="n">
        <f aca="false">IF(VALUE(RIGHT(Raw_Nigeria!E692,2))&gt;12,"",VALUE(RIGHT(Raw_Nigeria!E692,2)))</f>
        <v>12</v>
      </c>
      <c r="H692" s="7" t="n">
        <f aca="false">Raw_Nigeria!F692</f>
        <v>2017</v>
      </c>
      <c r="I692" s="7" t="str">
        <f aca="false">UPPER(TRIM(Raw_Nigeria!G692))</f>
        <v>POL0</v>
      </c>
      <c r="J692" s="7" t="str">
        <f aca="false">Raw_Nigeria!H692</f>
        <v>Record</v>
      </c>
      <c r="K692" s="7" t="str">
        <f aca="false">Raw_Nigeria!L692</f>
        <v>12-23 m</v>
      </c>
      <c r="L692" s="7" t="str">
        <f aca="false">IF(Raw_Nigeria!K692="","n/a",Raw_Nigeria!K692)</f>
        <v>0-23 m</v>
      </c>
      <c r="M692" s="7" t="n">
        <f aca="false">IF(Raw_Nigeria!I692="","",Raw_Nigeria!I692)</f>
        <v>40</v>
      </c>
      <c r="N692" s="7" t="n">
        <f aca="false">Raw_Nigeria!M692</f>
        <v>32.8</v>
      </c>
      <c r="O692" s="7" t="n">
        <f aca="false">IF(Raw_Nigeria!N692="","",Raw_Nigeria!N692)</f>
        <v>2459</v>
      </c>
      <c r="P692" s="7" t="str">
        <f aca="false">IF(K692="CBAW","Women of child-bearing age","Children")</f>
        <v>Children</v>
      </c>
      <c r="Q692" s="7" t="n">
        <f aca="false">IF(J692="NOT USED",1,0)</f>
        <v>0</v>
      </c>
      <c r="R692" s="7" t="n">
        <f aca="false">IF(AND(P692="Children",Q692=0),1,0)</f>
        <v>1</v>
      </c>
      <c r="S692" s="7" t="n">
        <f aca="false">IF(AND(R692=1,J692="Record or Recall",K692="12-23 m"),1,0)</f>
        <v>0</v>
      </c>
      <c r="T692" s="7" t="n">
        <f aca="false">IF(OR(I692="BCG",I692="DTP1",I692="DTP3",I692="POL3",I692="MCV1",I692="FULL"),1,0)</f>
        <v>0</v>
      </c>
      <c r="U692" s="7" t="n">
        <f aca="false">IF(OR(C692="DHS",C692="MICS"),1,0)</f>
        <v>1</v>
      </c>
      <c r="V692" s="7" t="n">
        <f aca="false">IF(O692="",1,0)</f>
        <v>0</v>
      </c>
      <c r="W692" s="7" t="n">
        <f aca="false">IF(M692="",1,0)</f>
        <v>0</v>
      </c>
      <c r="X692" s="7" t="n">
        <f aca="false">COUNTIFS($B$2:$B$1141,B692,$H$2:$H$1141,H692,$I$2:$I$1141,I692,$J$2:$J$1141,J692,$K$2:$K$1141,K692,$L$2:$L$1141,L692)</f>
        <v>1</v>
      </c>
    </row>
    <row r="693" customFormat="false" ht="15" hidden="false" customHeight="false" outlineLevel="0" collapsed="false">
      <c r="A693" s="7" t="n">
        <f aca="false">ROW()-1</f>
        <v>692</v>
      </c>
      <c r="B693" s="7" t="str">
        <f aca="false">IF(Raw_Nigeria!B693="",TRIM(Raw_Nigeria!C693),TRIM(Raw_Nigeria!B693))</f>
        <v>Nigeria Demographic and Health Survey 2018</v>
      </c>
      <c r="C693" s="7" t="str">
        <f aca="false">IF(ISNUMBER(SEARCH("Demographic and Health",B693)),"DHS",IF(OR(ISNUMBER(SEARCH("Multiple Indicator Cluster",B693)),ISNUMBER(SEARCH("MICS",B693))),"MICS",IF(ISNUMBER(SEARCH("Immunization Coverage Survey",B693)),"Coverage survey",IF(ISNUMBER(SEARCH("Nutrition",B693)),"Nutrition survey","Other"))))</f>
        <v>DHS</v>
      </c>
      <c r="D693" s="7" t="n">
        <f aca="false">VALUE(LEFT(Raw_Nigeria!D693,4))</f>
        <v>2018</v>
      </c>
      <c r="E693" s="7" t="n">
        <f aca="false">IF(VALUE(RIGHT(Raw_Nigeria!D693,2))&gt;12,"",VALUE(RIGHT(Raw_Nigeria!D693,2)))</f>
        <v>8</v>
      </c>
      <c r="F693" s="7" t="n">
        <f aca="false">VALUE(LEFT(Raw_Nigeria!E693,4))</f>
        <v>2018</v>
      </c>
      <c r="G693" s="7" t="n">
        <f aca="false">IF(VALUE(RIGHT(Raw_Nigeria!E693,2))&gt;12,"",VALUE(RIGHT(Raw_Nigeria!E693,2)))</f>
        <v>12</v>
      </c>
      <c r="H693" s="7" t="n">
        <f aca="false">Raw_Nigeria!F693</f>
        <v>2017</v>
      </c>
      <c r="I693" s="7" t="str">
        <f aca="false">UPPER(TRIM(Raw_Nigeria!G693))</f>
        <v>POL0</v>
      </c>
      <c r="J693" s="7" t="str">
        <f aca="false">Raw_Nigeria!H693</f>
        <v>Record or Recall</v>
      </c>
      <c r="K693" s="7" t="str">
        <f aca="false">Raw_Nigeria!L693</f>
        <v>12-23 m</v>
      </c>
      <c r="L693" s="7" t="str">
        <f aca="false">IF(Raw_Nigeria!K693="","n/a",Raw_Nigeria!K693)</f>
        <v>0-23 m</v>
      </c>
      <c r="M693" s="7" t="n">
        <f aca="false">IF(Raw_Nigeria!I693="","",Raw_Nigeria!I693)</f>
        <v>40</v>
      </c>
      <c r="N693" s="7" t="n">
        <f aca="false">Raw_Nigeria!M693</f>
        <v>54.5</v>
      </c>
      <c r="O693" s="7" t="n">
        <f aca="false">IF(Raw_Nigeria!N693="","",Raw_Nigeria!N693)</f>
        <v>6143</v>
      </c>
      <c r="P693" s="7" t="str">
        <f aca="false">IF(K693="CBAW","Women of child-bearing age","Children")</f>
        <v>Children</v>
      </c>
      <c r="Q693" s="7" t="n">
        <f aca="false">IF(J693="NOT USED",1,0)</f>
        <v>0</v>
      </c>
      <c r="R693" s="7" t="n">
        <f aca="false">IF(AND(P693="Children",Q693=0),1,0)</f>
        <v>1</v>
      </c>
      <c r="S693" s="7" t="n">
        <f aca="false">IF(AND(R693=1,J693="Record or Recall",K693="12-23 m"),1,0)</f>
        <v>1</v>
      </c>
      <c r="T693" s="7" t="n">
        <f aca="false">IF(OR(I693="BCG",I693="DTP1",I693="DTP3",I693="POL3",I693="MCV1",I693="FULL"),1,0)</f>
        <v>0</v>
      </c>
      <c r="U693" s="7" t="n">
        <f aca="false">IF(OR(C693="DHS",C693="MICS"),1,0)</f>
        <v>1</v>
      </c>
      <c r="V693" s="7" t="n">
        <f aca="false">IF(O693="",1,0)</f>
        <v>0</v>
      </c>
      <c r="W693" s="7" t="n">
        <f aca="false">IF(M693="",1,0)</f>
        <v>0</v>
      </c>
      <c r="X693" s="7" t="n">
        <f aca="false">COUNTIFS($B$2:$B$1141,B693,$H$2:$H$1141,H693,$I$2:$I$1141,I693,$J$2:$J$1141,J693,$K$2:$K$1141,K693,$L$2:$L$1141,L693)</f>
        <v>1</v>
      </c>
    </row>
    <row r="694" customFormat="false" ht="15" hidden="false" customHeight="false" outlineLevel="0" collapsed="false">
      <c r="A694" s="7" t="n">
        <f aca="false">ROW()-1</f>
        <v>693</v>
      </c>
      <c r="B694" s="7" t="str">
        <f aca="false">IF(Raw_Nigeria!B694="",TRIM(Raw_Nigeria!C694),TRIM(Raw_Nigeria!B694))</f>
        <v>Nigeria Demographic and Health Survey 2018</v>
      </c>
      <c r="C694" s="7" t="str">
        <f aca="false">IF(ISNUMBER(SEARCH("Demographic and Health",B694)),"DHS",IF(OR(ISNUMBER(SEARCH("Multiple Indicator Cluster",B694)),ISNUMBER(SEARCH("MICS",B694))),"MICS",IF(ISNUMBER(SEARCH("Immunization Coverage Survey",B694)),"Coverage survey",IF(ISNUMBER(SEARCH("Nutrition",B694)),"Nutrition survey","Other"))))</f>
        <v>DHS</v>
      </c>
      <c r="D694" s="7" t="n">
        <f aca="false">VALUE(LEFT(Raw_Nigeria!D694,4))</f>
        <v>2018</v>
      </c>
      <c r="E694" s="7" t="n">
        <f aca="false">IF(VALUE(RIGHT(Raw_Nigeria!D694,2))&gt;12,"",VALUE(RIGHT(Raw_Nigeria!D694,2)))</f>
        <v>8</v>
      </c>
      <c r="F694" s="7" t="n">
        <f aca="false">VALUE(LEFT(Raw_Nigeria!E694,4))</f>
        <v>2018</v>
      </c>
      <c r="G694" s="7" t="n">
        <f aca="false">IF(VALUE(RIGHT(Raw_Nigeria!E694,2))&gt;12,"",VALUE(RIGHT(Raw_Nigeria!E694,2)))</f>
        <v>12</v>
      </c>
      <c r="H694" s="7" t="n">
        <f aca="false">Raw_Nigeria!F694</f>
        <v>2017</v>
      </c>
      <c r="I694" s="7" t="str">
        <f aca="false">UPPER(TRIM(Raw_Nigeria!G694))</f>
        <v>POL0</v>
      </c>
      <c r="J694" s="7" t="str">
        <f aca="false">Raw_Nigeria!H694</f>
        <v>Recall</v>
      </c>
      <c r="K694" s="7" t="str">
        <f aca="false">Raw_Nigeria!L694</f>
        <v>12-23 m</v>
      </c>
      <c r="L694" s="7" t="str">
        <f aca="false">IF(Raw_Nigeria!K694="","n/a",Raw_Nigeria!K694)</f>
        <v>0-23 m</v>
      </c>
      <c r="M694" s="7" t="n">
        <f aca="false">IF(Raw_Nigeria!I694="","",Raw_Nigeria!I694)</f>
        <v>40</v>
      </c>
      <c r="N694" s="7" t="n">
        <f aca="false">Raw_Nigeria!M694</f>
        <v>21.7</v>
      </c>
      <c r="O694" s="7" t="n">
        <f aca="false">IF(Raw_Nigeria!N694="","",Raw_Nigeria!N694)</f>
        <v>3684</v>
      </c>
      <c r="P694" s="7" t="str">
        <f aca="false">IF(K694="CBAW","Women of child-bearing age","Children")</f>
        <v>Children</v>
      </c>
      <c r="Q694" s="7" t="n">
        <f aca="false">IF(J694="NOT USED",1,0)</f>
        <v>0</v>
      </c>
      <c r="R694" s="7" t="n">
        <f aca="false">IF(AND(P694="Children",Q694=0),1,0)</f>
        <v>1</v>
      </c>
      <c r="S694" s="7" t="n">
        <f aca="false">IF(AND(R694=1,J694="Record or Recall",K694="12-23 m"),1,0)</f>
        <v>0</v>
      </c>
      <c r="T694" s="7" t="n">
        <f aca="false">IF(OR(I694="BCG",I694="DTP1",I694="DTP3",I694="POL3",I694="MCV1",I694="FULL"),1,0)</f>
        <v>0</v>
      </c>
      <c r="U694" s="7" t="n">
        <f aca="false">IF(OR(C694="DHS",C694="MICS"),1,0)</f>
        <v>1</v>
      </c>
      <c r="V694" s="7" t="n">
        <f aca="false">IF(O694="",1,0)</f>
        <v>0</v>
      </c>
      <c r="W694" s="7" t="n">
        <f aca="false">IF(M694="",1,0)</f>
        <v>0</v>
      </c>
      <c r="X694" s="7" t="n">
        <f aca="false">COUNTIFS($B$2:$B$1141,B694,$H$2:$H$1141,H694,$I$2:$I$1141,I694,$J$2:$J$1141,J694,$K$2:$K$1141,K694,$L$2:$L$1141,L694)</f>
        <v>1</v>
      </c>
    </row>
    <row r="695" customFormat="false" ht="15" hidden="false" customHeight="false" outlineLevel="0" collapsed="false">
      <c r="A695" s="7" t="n">
        <f aca="false">ROW()-1</f>
        <v>694</v>
      </c>
      <c r="B695" s="7" t="str">
        <f aca="false">IF(Raw_Nigeria!B695="",TRIM(Raw_Nigeria!C695),TRIM(Raw_Nigeria!B695))</f>
        <v>Nigeria Demographic and Health Survey 2018</v>
      </c>
      <c r="C695" s="7" t="str">
        <f aca="false">IF(ISNUMBER(SEARCH("Demographic and Health",B695)),"DHS",IF(OR(ISNUMBER(SEARCH("Multiple Indicator Cluster",B695)),ISNUMBER(SEARCH("MICS",B695))),"MICS",IF(ISNUMBER(SEARCH("Immunization Coverage Survey",B695)),"Coverage survey",IF(ISNUMBER(SEARCH("Nutrition",B695)),"Nutrition survey","Other"))))</f>
        <v>DHS</v>
      </c>
      <c r="D695" s="7" t="n">
        <f aca="false">VALUE(LEFT(Raw_Nigeria!D695,4))</f>
        <v>2018</v>
      </c>
      <c r="E695" s="7" t="n">
        <f aca="false">IF(VALUE(RIGHT(Raw_Nigeria!D695,2))&gt;12,"",VALUE(RIGHT(Raw_Nigeria!D695,2)))</f>
        <v>8</v>
      </c>
      <c r="F695" s="7" t="n">
        <f aca="false">VALUE(LEFT(Raw_Nigeria!E695,4))</f>
        <v>2018</v>
      </c>
      <c r="G695" s="7" t="n">
        <f aca="false">IF(VALUE(RIGHT(Raw_Nigeria!E695,2))&gt;12,"",VALUE(RIGHT(Raw_Nigeria!E695,2)))</f>
        <v>12</v>
      </c>
      <c r="H695" s="7" t="n">
        <f aca="false">Raw_Nigeria!F695</f>
        <v>2017</v>
      </c>
      <c r="I695" s="7" t="str">
        <f aca="false">UPPER(TRIM(Raw_Nigeria!G695))</f>
        <v>POL1</v>
      </c>
      <c r="J695" s="7" t="str">
        <f aca="false">Raw_Nigeria!H695</f>
        <v>Record or Recall&lt;12m</v>
      </c>
      <c r="K695" s="7" t="str">
        <f aca="false">Raw_Nigeria!L695</f>
        <v>12-23 m</v>
      </c>
      <c r="L695" s="7" t="str">
        <f aca="false">IF(Raw_Nigeria!K695="","n/a",Raw_Nigeria!K695)</f>
        <v>0-12 m</v>
      </c>
      <c r="M695" s="7" t="n">
        <f aca="false">IF(Raw_Nigeria!I695="","",Raw_Nigeria!I695)</f>
        <v>40</v>
      </c>
      <c r="N695" s="7" t="n">
        <f aca="false">Raw_Nigeria!M695</f>
        <v>72.7</v>
      </c>
      <c r="O695" s="7" t="n">
        <f aca="false">IF(Raw_Nigeria!N695="","",Raw_Nigeria!N695)</f>
        <v>6143</v>
      </c>
      <c r="P695" s="7" t="str">
        <f aca="false">IF(K695="CBAW","Women of child-bearing age","Children")</f>
        <v>Children</v>
      </c>
      <c r="Q695" s="7" t="n">
        <f aca="false">IF(J695="NOT USED",1,0)</f>
        <v>0</v>
      </c>
      <c r="R695" s="7" t="n">
        <f aca="false">IF(AND(P695="Children",Q695=0),1,0)</f>
        <v>1</v>
      </c>
      <c r="S695" s="7" t="n">
        <f aca="false">IF(AND(R695=1,J695="Record or Recall",K695="12-23 m"),1,0)</f>
        <v>0</v>
      </c>
      <c r="T695" s="7" t="n">
        <f aca="false">IF(OR(I695="BCG",I695="DTP1",I695="DTP3",I695="POL3",I695="MCV1",I695="FULL"),1,0)</f>
        <v>0</v>
      </c>
      <c r="U695" s="7" t="n">
        <f aca="false">IF(OR(C695="DHS",C695="MICS"),1,0)</f>
        <v>1</v>
      </c>
      <c r="V695" s="7" t="n">
        <f aca="false">IF(O695="",1,0)</f>
        <v>0</v>
      </c>
      <c r="W695" s="7" t="n">
        <f aca="false">IF(M695="",1,0)</f>
        <v>0</v>
      </c>
      <c r="X695" s="7" t="n">
        <f aca="false">COUNTIFS($B$2:$B$1141,B695,$H$2:$H$1141,H695,$I$2:$I$1141,I695,$J$2:$J$1141,J695,$K$2:$K$1141,K695,$L$2:$L$1141,L695)</f>
        <v>1</v>
      </c>
    </row>
    <row r="696" customFormat="false" ht="15" hidden="false" customHeight="false" outlineLevel="0" collapsed="false">
      <c r="A696" s="7" t="n">
        <f aca="false">ROW()-1</f>
        <v>695</v>
      </c>
      <c r="B696" s="7" t="str">
        <f aca="false">IF(Raw_Nigeria!B696="",TRIM(Raw_Nigeria!C696),TRIM(Raw_Nigeria!B696))</f>
        <v>Nigeria Demographic and Health Survey 2018</v>
      </c>
      <c r="C696" s="7" t="str">
        <f aca="false">IF(ISNUMBER(SEARCH("Demographic and Health",B696)),"DHS",IF(OR(ISNUMBER(SEARCH("Multiple Indicator Cluster",B696)),ISNUMBER(SEARCH("MICS",B696))),"MICS",IF(ISNUMBER(SEARCH("Immunization Coverage Survey",B696)),"Coverage survey",IF(ISNUMBER(SEARCH("Nutrition",B696)),"Nutrition survey","Other"))))</f>
        <v>DHS</v>
      </c>
      <c r="D696" s="7" t="n">
        <f aca="false">VALUE(LEFT(Raw_Nigeria!D696,4))</f>
        <v>2018</v>
      </c>
      <c r="E696" s="7" t="n">
        <f aca="false">IF(VALUE(RIGHT(Raw_Nigeria!D696,2))&gt;12,"",VALUE(RIGHT(Raw_Nigeria!D696,2)))</f>
        <v>8</v>
      </c>
      <c r="F696" s="7" t="n">
        <f aca="false">VALUE(LEFT(Raw_Nigeria!E696,4))</f>
        <v>2018</v>
      </c>
      <c r="G696" s="7" t="n">
        <f aca="false">IF(VALUE(RIGHT(Raw_Nigeria!E696,2))&gt;12,"",VALUE(RIGHT(Raw_Nigeria!E696,2)))</f>
        <v>12</v>
      </c>
      <c r="H696" s="7" t="n">
        <f aca="false">Raw_Nigeria!F696</f>
        <v>2017</v>
      </c>
      <c r="I696" s="7" t="str">
        <f aca="false">UPPER(TRIM(Raw_Nigeria!G696))</f>
        <v>POL1</v>
      </c>
      <c r="J696" s="7" t="str">
        <f aca="false">Raw_Nigeria!H696</f>
        <v>Record</v>
      </c>
      <c r="K696" s="7" t="str">
        <f aca="false">Raw_Nigeria!L696</f>
        <v>12-23 m</v>
      </c>
      <c r="L696" s="7" t="str">
        <f aca="false">IF(Raw_Nigeria!K696="","n/a",Raw_Nigeria!K696)</f>
        <v>0-23 m</v>
      </c>
      <c r="M696" s="7" t="n">
        <f aca="false">IF(Raw_Nigeria!I696="","",Raw_Nigeria!I696)</f>
        <v>40</v>
      </c>
      <c r="N696" s="7" t="n">
        <f aca="false">Raw_Nigeria!M696</f>
        <v>38.4</v>
      </c>
      <c r="O696" s="7" t="n">
        <f aca="false">IF(Raw_Nigeria!N696="","",Raw_Nigeria!N696)</f>
        <v>2459</v>
      </c>
      <c r="P696" s="7" t="str">
        <f aca="false">IF(K696="CBAW","Women of child-bearing age","Children")</f>
        <v>Children</v>
      </c>
      <c r="Q696" s="7" t="n">
        <f aca="false">IF(J696="NOT USED",1,0)</f>
        <v>0</v>
      </c>
      <c r="R696" s="7" t="n">
        <f aca="false">IF(AND(P696="Children",Q696=0),1,0)</f>
        <v>1</v>
      </c>
      <c r="S696" s="7" t="n">
        <f aca="false">IF(AND(R696=1,J696="Record or Recall",K696="12-23 m"),1,0)</f>
        <v>0</v>
      </c>
      <c r="T696" s="7" t="n">
        <f aca="false">IF(OR(I696="BCG",I696="DTP1",I696="DTP3",I696="POL3",I696="MCV1",I696="FULL"),1,0)</f>
        <v>0</v>
      </c>
      <c r="U696" s="7" t="n">
        <f aca="false">IF(OR(C696="DHS",C696="MICS"),1,0)</f>
        <v>1</v>
      </c>
      <c r="V696" s="7" t="n">
        <f aca="false">IF(O696="",1,0)</f>
        <v>0</v>
      </c>
      <c r="W696" s="7" t="n">
        <f aca="false">IF(M696="",1,0)</f>
        <v>0</v>
      </c>
      <c r="X696" s="7" t="n">
        <f aca="false">COUNTIFS($B$2:$B$1141,B696,$H$2:$H$1141,H696,$I$2:$I$1141,I696,$J$2:$J$1141,J696,$K$2:$K$1141,K696,$L$2:$L$1141,L696)</f>
        <v>1</v>
      </c>
    </row>
    <row r="697" customFormat="false" ht="15" hidden="false" customHeight="false" outlineLevel="0" collapsed="false">
      <c r="A697" s="7" t="n">
        <f aca="false">ROW()-1</f>
        <v>696</v>
      </c>
      <c r="B697" s="7" t="str">
        <f aca="false">IF(Raw_Nigeria!B697="",TRIM(Raw_Nigeria!C697),TRIM(Raw_Nigeria!B697))</f>
        <v>Nigeria Demographic and Health Survey 2018</v>
      </c>
      <c r="C697" s="7" t="str">
        <f aca="false">IF(ISNUMBER(SEARCH("Demographic and Health",B697)),"DHS",IF(OR(ISNUMBER(SEARCH("Multiple Indicator Cluster",B697)),ISNUMBER(SEARCH("MICS",B697))),"MICS",IF(ISNUMBER(SEARCH("Immunization Coverage Survey",B697)),"Coverage survey",IF(ISNUMBER(SEARCH("Nutrition",B697)),"Nutrition survey","Other"))))</f>
        <v>DHS</v>
      </c>
      <c r="D697" s="7" t="n">
        <f aca="false">VALUE(LEFT(Raw_Nigeria!D697,4))</f>
        <v>2018</v>
      </c>
      <c r="E697" s="7" t="n">
        <f aca="false">IF(VALUE(RIGHT(Raw_Nigeria!D697,2))&gt;12,"",VALUE(RIGHT(Raw_Nigeria!D697,2)))</f>
        <v>8</v>
      </c>
      <c r="F697" s="7" t="n">
        <f aca="false">VALUE(LEFT(Raw_Nigeria!E697,4))</f>
        <v>2018</v>
      </c>
      <c r="G697" s="7" t="n">
        <f aca="false">IF(VALUE(RIGHT(Raw_Nigeria!E697,2))&gt;12,"",VALUE(RIGHT(Raw_Nigeria!E697,2)))</f>
        <v>12</v>
      </c>
      <c r="H697" s="7" t="n">
        <f aca="false">Raw_Nigeria!F697</f>
        <v>2017</v>
      </c>
      <c r="I697" s="7" t="str">
        <f aca="false">UPPER(TRIM(Raw_Nigeria!G697))</f>
        <v>POL1</v>
      </c>
      <c r="J697" s="7" t="str">
        <f aca="false">Raw_Nigeria!H697</f>
        <v>Record or Recall</v>
      </c>
      <c r="K697" s="7" t="str">
        <f aca="false">Raw_Nigeria!L697</f>
        <v>12-23 m</v>
      </c>
      <c r="L697" s="7" t="str">
        <f aca="false">IF(Raw_Nigeria!K697="","n/a",Raw_Nigeria!K697)</f>
        <v>0-23 m</v>
      </c>
      <c r="M697" s="7" t="n">
        <f aca="false">IF(Raw_Nigeria!I697="","",Raw_Nigeria!I697)</f>
        <v>40</v>
      </c>
      <c r="N697" s="7" t="n">
        <f aca="false">Raw_Nigeria!M697</f>
        <v>73.6</v>
      </c>
      <c r="O697" s="7" t="n">
        <f aca="false">IF(Raw_Nigeria!N697="","",Raw_Nigeria!N697)</f>
        <v>6143</v>
      </c>
      <c r="P697" s="7" t="str">
        <f aca="false">IF(K697="CBAW","Women of child-bearing age","Children")</f>
        <v>Children</v>
      </c>
      <c r="Q697" s="7" t="n">
        <f aca="false">IF(J697="NOT USED",1,0)</f>
        <v>0</v>
      </c>
      <c r="R697" s="7" t="n">
        <f aca="false">IF(AND(P697="Children",Q697=0),1,0)</f>
        <v>1</v>
      </c>
      <c r="S697" s="7" t="n">
        <f aca="false">IF(AND(R697=1,J697="Record or Recall",K697="12-23 m"),1,0)</f>
        <v>1</v>
      </c>
      <c r="T697" s="7" t="n">
        <f aca="false">IF(OR(I697="BCG",I697="DTP1",I697="DTP3",I697="POL3",I697="MCV1",I697="FULL"),1,0)</f>
        <v>0</v>
      </c>
      <c r="U697" s="7" t="n">
        <f aca="false">IF(OR(C697="DHS",C697="MICS"),1,0)</f>
        <v>1</v>
      </c>
      <c r="V697" s="7" t="n">
        <f aca="false">IF(O697="",1,0)</f>
        <v>0</v>
      </c>
      <c r="W697" s="7" t="n">
        <f aca="false">IF(M697="",1,0)</f>
        <v>0</v>
      </c>
      <c r="X697" s="7" t="n">
        <f aca="false">COUNTIFS($B$2:$B$1141,B697,$H$2:$H$1141,H697,$I$2:$I$1141,I697,$J$2:$J$1141,J697,$K$2:$K$1141,K697,$L$2:$L$1141,L697)</f>
        <v>1</v>
      </c>
    </row>
    <row r="698" customFormat="false" ht="15" hidden="false" customHeight="false" outlineLevel="0" collapsed="false">
      <c r="A698" s="7" t="n">
        <f aca="false">ROW()-1</f>
        <v>697</v>
      </c>
      <c r="B698" s="7" t="str">
        <f aca="false">IF(Raw_Nigeria!B698="",TRIM(Raw_Nigeria!C698),TRIM(Raw_Nigeria!B698))</f>
        <v>Nigeria Demographic and Health Survey 2018</v>
      </c>
      <c r="C698" s="7" t="str">
        <f aca="false">IF(ISNUMBER(SEARCH("Demographic and Health",B698)),"DHS",IF(OR(ISNUMBER(SEARCH("Multiple Indicator Cluster",B698)),ISNUMBER(SEARCH("MICS",B698))),"MICS",IF(ISNUMBER(SEARCH("Immunization Coverage Survey",B698)),"Coverage survey",IF(ISNUMBER(SEARCH("Nutrition",B698)),"Nutrition survey","Other"))))</f>
        <v>DHS</v>
      </c>
      <c r="D698" s="7" t="n">
        <f aca="false">VALUE(LEFT(Raw_Nigeria!D698,4))</f>
        <v>2018</v>
      </c>
      <c r="E698" s="7" t="n">
        <f aca="false">IF(VALUE(RIGHT(Raw_Nigeria!D698,2))&gt;12,"",VALUE(RIGHT(Raw_Nigeria!D698,2)))</f>
        <v>8</v>
      </c>
      <c r="F698" s="7" t="n">
        <f aca="false">VALUE(LEFT(Raw_Nigeria!E698,4))</f>
        <v>2018</v>
      </c>
      <c r="G698" s="7" t="n">
        <f aca="false">IF(VALUE(RIGHT(Raw_Nigeria!E698,2))&gt;12,"",VALUE(RIGHT(Raw_Nigeria!E698,2)))</f>
        <v>12</v>
      </c>
      <c r="H698" s="7" t="n">
        <f aca="false">Raw_Nigeria!F698</f>
        <v>2017</v>
      </c>
      <c r="I698" s="7" t="str">
        <f aca="false">UPPER(TRIM(Raw_Nigeria!G698))</f>
        <v>POL1</v>
      </c>
      <c r="J698" s="7" t="str">
        <f aca="false">Raw_Nigeria!H698</f>
        <v>Recall</v>
      </c>
      <c r="K698" s="7" t="str">
        <f aca="false">Raw_Nigeria!L698</f>
        <v>12-23 m</v>
      </c>
      <c r="L698" s="7" t="str">
        <f aca="false">IF(Raw_Nigeria!K698="","n/a",Raw_Nigeria!K698)</f>
        <v>0-23 m</v>
      </c>
      <c r="M698" s="7" t="n">
        <f aca="false">IF(Raw_Nigeria!I698="","",Raw_Nigeria!I698)</f>
        <v>40</v>
      </c>
      <c r="N698" s="7" t="n">
        <f aca="false">Raw_Nigeria!M698</f>
        <v>35.2</v>
      </c>
      <c r="O698" s="7" t="n">
        <f aca="false">IF(Raw_Nigeria!N698="","",Raw_Nigeria!N698)</f>
        <v>3684</v>
      </c>
      <c r="P698" s="7" t="str">
        <f aca="false">IF(K698="CBAW","Women of child-bearing age","Children")</f>
        <v>Children</v>
      </c>
      <c r="Q698" s="7" t="n">
        <f aca="false">IF(J698="NOT USED",1,0)</f>
        <v>0</v>
      </c>
      <c r="R698" s="7" t="n">
        <f aca="false">IF(AND(P698="Children",Q698=0),1,0)</f>
        <v>1</v>
      </c>
      <c r="S698" s="7" t="n">
        <f aca="false">IF(AND(R698=1,J698="Record or Recall",K698="12-23 m"),1,0)</f>
        <v>0</v>
      </c>
      <c r="T698" s="7" t="n">
        <f aca="false">IF(OR(I698="BCG",I698="DTP1",I698="DTP3",I698="POL3",I698="MCV1",I698="FULL"),1,0)</f>
        <v>0</v>
      </c>
      <c r="U698" s="7" t="n">
        <f aca="false">IF(OR(C698="DHS",C698="MICS"),1,0)</f>
        <v>1</v>
      </c>
      <c r="V698" s="7" t="n">
        <f aca="false">IF(O698="",1,0)</f>
        <v>0</v>
      </c>
      <c r="W698" s="7" t="n">
        <f aca="false">IF(M698="",1,0)</f>
        <v>0</v>
      </c>
      <c r="X698" s="7" t="n">
        <f aca="false">COUNTIFS($B$2:$B$1141,B698,$H$2:$H$1141,H698,$I$2:$I$1141,I698,$J$2:$J$1141,J698,$K$2:$K$1141,K698,$L$2:$L$1141,L698)</f>
        <v>1</v>
      </c>
    </row>
    <row r="699" customFormat="false" ht="15" hidden="false" customHeight="false" outlineLevel="0" collapsed="false">
      <c r="A699" s="7" t="n">
        <f aca="false">ROW()-1</f>
        <v>698</v>
      </c>
      <c r="B699" s="7" t="str">
        <f aca="false">IF(Raw_Nigeria!B699="",TRIM(Raw_Nigeria!C699),TRIM(Raw_Nigeria!B699))</f>
        <v>Nigeria Demographic and Health Survey 2018</v>
      </c>
      <c r="C699" s="7" t="str">
        <f aca="false">IF(ISNUMBER(SEARCH("Demographic and Health",B699)),"DHS",IF(OR(ISNUMBER(SEARCH("Multiple Indicator Cluster",B699)),ISNUMBER(SEARCH("MICS",B699))),"MICS",IF(ISNUMBER(SEARCH("Immunization Coverage Survey",B699)),"Coverage survey",IF(ISNUMBER(SEARCH("Nutrition",B699)),"Nutrition survey","Other"))))</f>
        <v>DHS</v>
      </c>
      <c r="D699" s="7" t="n">
        <f aca="false">VALUE(LEFT(Raw_Nigeria!D699,4))</f>
        <v>2018</v>
      </c>
      <c r="E699" s="7" t="n">
        <f aca="false">IF(VALUE(RIGHT(Raw_Nigeria!D699,2))&gt;12,"",VALUE(RIGHT(Raw_Nigeria!D699,2)))</f>
        <v>8</v>
      </c>
      <c r="F699" s="7" t="n">
        <f aca="false">VALUE(LEFT(Raw_Nigeria!E699,4))</f>
        <v>2018</v>
      </c>
      <c r="G699" s="7" t="n">
        <f aca="false">IF(VALUE(RIGHT(Raw_Nigeria!E699,2))&gt;12,"",VALUE(RIGHT(Raw_Nigeria!E699,2)))</f>
        <v>12</v>
      </c>
      <c r="H699" s="7" t="n">
        <f aca="false">Raw_Nigeria!F699</f>
        <v>2017</v>
      </c>
      <c r="I699" s="7" t="str">
        <f aca="false">UPPER(TRIM(Raw_Nigeria!G699))</f>
        <v>POL2</v>
      </c>
      <c r="J699" s="7" t="str">
        <f aca="false">Raw_Nigeria!H699</f>
        <v>Record or Recall&lt;12m</v>
      </c>
      <c r="K699" s="7" t="str">
        <f aca="false">Raw_Nigeria!L699</f>
        <v>12-23 m</v>
      </c>
      <c r="L699" s="7" t="str">
        <f aca="false">IF(Raw_Nigeria!K699="","n/a",Raw_Nigeria!K699)</f>
        <v>0-12 m</v>
      </c>
      <c r="M699" s="7" t="n">
        <f aca="false">IF(Raw_Nigeria!I699="","",Raw_Nigeria!I699)</f>
        <v>40</v>
      </c>
      <c r="N699" s="7" t="n">
        <f aca="false">Raw_Nigeria!M699</f>
        <v>65.4</v>
      </c>
      <c r="O699" s="7" t="n">
        <f aca="false">IF(Raw_Nigeria!N699="","",Raw_Nigeria!N699)</f>
        <v>6143</v>
      </c>
      <c r="P699" s="7" t="str">
        <f aca="false">IF(K699="CBAW","Women of child-bearing age","Children")</f>
        <v>Children</v>
      </c>
      <c r="Q699" s="7" t="n">
        <f aca="false">IF(J699="NOT USED",1,0)</f>
        <v>0</v>
      </c>
      <c r="R699" s="7" t="n">
        <f aca="false">IF(AND(P699="Children",Q699=0),1,0)</f>
        <v>1</v>
      </c>
      <c r="S699" s="7" t="n">
        <f aca="false">IF(AND(R699=1,J699="Record or Recall",K699="12-23 m"),1,0)</f>
        <v>0</v>
      </c>
      <c r="T699" s="7" t="n">
        <f aca="false">IF(OR(I699="BCG",I699="DTP1",I699="DTP3",I699="POL3",I699="MCV1",I699="FULL"),1,0)</f>
        <v>0</v>
      </c>
      <c r="U699" s="7" t="n">
        <f aca="false">IF(OR(C699="DHS",C699="MICS"),1,0)</f>
        <v>1</v>
      </c>
      <c r="V699" s="7" t="n">
        <f aca="false">IF(O699="",1,0)</f>
        <v>0</v>
      </c>
      <c r="W699" s="7" t="n">
        <f aca="false">IF(M699="",1,0)</f>
        <v>0</v>
      </c>
      <c r="X699" s="7" t="n">
        <f aca="false">COUNTIFS($B$2:$B$1141,B699,$H$2:$H$1141,H699,$I$2:$I$1141,I699,$J$2:$J$1141,J699,$K$2:$K$1141,K699,$L$2:$L$1141,L699)</f>
        <v>1</v>
      </c>
    </row>
    <row r="700" customFormat="false" ht="15" hidden="false" customHeight="false" outlineLevel="0" collapsed="false">
      <c r="A700" s="7" t="n">
        <f aca="false">ROW()-1</f>
        <v>699</v>
      </c>
      <c r="B700" s="7" t="str">
        <f aca="false">IF(Raw_Nigeria!B700="",TRIM(Raw_Nigeria!C700),TRIM(Raw_Nigeria!B700))</f>
        <v>Nigeria Demographic and Health Survey 2018</v>
      </c>
      <c r="C700" s="7" t="str">
        <f aca="false">IF(ISNUMBER(SEARCH("Demographic and Health",B700)),"DHS",IF(OR(ISNUMBER(SEARCH("Multiple Indicator Cluster",B700)),ISNUMBER(SEARCH("MICS",B700))),"MICS",IF(ISNUMBER(SEARCH("Immunization Coverage Survey",B700)),"Coverage survey",IF(ISNUMBER(SEARCH("Nutrition",B700)),"Nutrition survey","Other"))))</f>
        <v>DHS</v>
      </c>
      <c r="D700" s="7" t="n">
        <f aca="false">VALUE(LEFT(Raw_Nigeria!D700,4))</f>
        <v>2018</v>
      </c>
      <c r="E700" s="7" t="n">
        <f aca="false">IF(VALUE(RIGHT(Raw_Nigeria!D700,2))&gt;12,"",VALUE(RIGHT(Raw_Nigeria!D700,2)))</f>
        <v>8</v>
      </c>
      <c r="F700" s="7" t="n">
        <f aca="false">VALUE(LEFT(Raw_Nigeria!E700,4))</f>
        <v>2018</v>
      </c>
      <c r="G700" s="7" t="n">
        <f aca="false">IF(VALUE(RIGHT(Raw_Nigeria!E700,2))&gt;12,"",VALUE(RIGHT(Raw_Nigeria!E700,2)))</f>
        <v>12</v>
      </c>
      <c r="H700" s="7" t="n">
        <f aca="false">Raw_Nigeria!F700</f>
        <v>2017</v>
      </c>
      <c r="I700" s="7" t="str">
        <f aca="false">UPPER(TRIM(Raw_Nigeria!G700))</f>
        <v>POL2</v>
      </c>
      <c r="J700" s="7" t="str">
        <f aca="false">Raw_Nigeria!H700</f>
        <v>Record</v>
      </c>
      <c r="K700" s="7" t="str">
        <f aca="false">Raw_Nigeria!L700</f>
        <v>12-23 m</v>
      </c>
      <c r="L700" s="7" t="str">
        <f aca="false">IF(Raw_Nigeria!K700="","n/a",Raw_Nigeria!K700)</f>
        <v>0-23 m</v>
      </c>
      <c r="M700" s="7" t="n">
        <f aca="false">IF(Raw_Nigeria!I700="","",Raw_Nigeria!I700)</f>
        <v>40</v>
      </c>
      <c r="N700" s="7" t="n">
        <f aca="false">Raw_Nigeria!M700</f>
        <v>35.7</v>
      </c>
      <c r="O700" s="7" t="n">
        <f aca="false">IF(Raw_Nigeria!N700="","",Raw_Nigeria!N700)</f>
        <v>2459</v>
      </c>
      <c r="P700" s="7" t="str">
        <f aca="false">IF(K700="CBAW","Women of child-bearing age","Children")</f>
        <v>Children</v>
      </c>
      <c r="Q700" s="7" t="n">
        <f aca="false">IF(J700="NOT USED",1,0)</f>
        <v>0</v>
      </c>
      <c r="R700" s="7" t="n">
        <f aca="false">IF(AND(P700="Children",Q700=0),1,0)</f>
        <v>1</v>
      </c>
      <c r="S700" s="7" t="n">
        <f aca="false">IF(AND(R700=1,J700="Record or Recall",K700="12-23 m"),1,0)</f>
        <v>0</v>
      </c>
      <c r="T700" s="7" t="n">
        <f aca="false">IF(OR(I700="BCG",I700="DTP1",I700="DTP3",I700="POL3",I700="MCV1",I700="FULL"),1,0)</f>
        <v>0</v>
      </c>
      <c r="U700" s="7" t="n">
        <f aca="false">IF(OR(C700="DHS",C700="MICS"),1,0)</f>
        <v>1</v>
      </c>
      <c r="V700" s="7" t="n">
        <f aca="false">IF(O700="",1,0)</f>
        <v>0</v>
      </c>
      <c r="W700" s="7" t="n">
        <f aca="false">IF(M700="",1,0)</f>
        <v>0</v>
      </c>
      <c r="X700" s="7" t="n">
        <f aca="false">COUNTIFS($B$2:$B$1141,B700,$H$2:$H$1141,H700,$I$2:$I$1141,I700,$J$2:$J$1141,J700,$K$2:$K$1141,K700,$L$2:$L$1141,L700)</f>
        <v>1</v>
      </c>
    </row>
    <row r="701" customFormat="false" ht="15" hidden="false" customHeight="false" outlineLevel="0" collapsed="false">
      <c r="A701" s="7" t="n">
        <f aca="false">ROW()-1</f>
        <v>700</v>
      </c>
      <c r="B701" s="7" t="str">
        <f aca="false">IF(Raw_Nigeria!B701="",TRIM(Raw_Nigeria!C701),TRIM(Raw_Nigeria!B701))</f>
        <v>Nigeria Demographic and Health Survey 2018</v>
      </c>
      <c r="C701" s="7" t="str">
        <f aca="false">IF(ISNUMBER(SEARCH("Demographic and Health",B701)),"DHS",IF(OR(ISNUMBER(SEARCH("Multiple Indicator Cluster",B701)),ISNUMBER(SEARCH("MICS",B701))),"MICS",IF(ISNUMBER(SEARCH("Immunization Coverage Survey",B701)),"Coverage survey",IF(ISNUMBER(SEARCH("Nutrition",B701)),"Nutrition survey","Other"))))</f>
        <v>DHS</v>
      </c>
      <c r="D701" s="7" t="n">
        <f aca="false">VALUE(LEFT(Raw_Nigeria!D701,4))</f>
        <v>2018</v>
      </c>
      <c r="E701" s="7" t="n">
        <f aca="false">IF(VALUE(RIGHT(Raw_Nigeria!D701,2))&gt;12,"",VALUE(RIGHT(Raw_Nigeria!D701,2)))</f>
        <v>8</v>
      </c>
      <c r="F701" s="7" t="n">
        <f aca="false">VALUE(LEFT(Raw_Nigeria!E701,4))</f>
        <v>2018</v>
      </c>
      <c r="G701" s="7" t="n">
        <f aca="false">IF(VALUE(RIGHT(Raw_Nigeria!E701,2))&gt;12,"",VALUE(RIGHT(Raw_Nigeria!E701,2)))</f>
        <v>12</v>
      </c>
      <c r="H701" s="7" t="n">
        <f aca="false">Raw_Nigeria!F701</f>
        <v>2017</v>
      </c>
      <c r="I701" s="7" t="str">
        <f aca="false">UPPER(TRIM(Raw_Nigeria!G701))</f>
        <v>POL2</v>
      </c>
      <c r="J701" s="7" t="str">
        <f aca="false">Raw_Nigeria!H701</f>
        <v>Record or Recall</v>
      </c>
      <c r="K701" s="7" t="str">
        <f aca="false">Raw_Nigeria!L701</f>
        <v>12-23 m</v>
      </c>
      <c r="L701" s="7" t="str">
        <f aca="false">IF(Raw_Nigeria!K701="","n/a",Raw_Nigeria!K701)</f>
        <v>0-23 m</v>
      </c>
      <c r="M701" s="7" t="n">
        <f aca="false">IF(Raw_Nigeria!I701="","",Raw_Nigeria!I701)</f>
        <v>40</v>
      </c>
      <c r="N701" s="7" t="n">
        <f aca="false">Raw_Nigeria!M701</f>
        <v>66.7</v>
      </c>
      <c r="O701" s="7" t="n">
        <f aca="false">IF(Raw_Nigeria!N701="","",Raw_Nigeria!N701)</f>
        <v>6143</v>
      </c>
      <c r="P701" s="7" t="str">
        <f aca="false">IF(K701="CBAW","Women of child-bearing age","Children")</f>
        <v>Children</v>
      </c>
      <c r="Q701" s="7" t="n">
        <f aca="false">IF(J701="NOT USED",1,0)</f>
        <v>0</v>
      </c>
      <c r="R701" s="7" t="n">
        <f aca="false">IF(AND(P701="Children",Q701=0),1,0)</f>
        <v>1</v>
      </c>
      <c r="S701" s="7" t="n">
        <f aca="false">IF(AND(R701=1,J701="Record or Recall",K701="12-23 m"),1,0)</f>
        <v>1</v>
      </c>
      <c r="T701" s="7" t="n">
        <f aca="false">IF(OR(I701="BCG",I701="DTP1",I701="DTP3",I701="POL3",I701="MCV1",I701="FULL"),1,0)</f>
        <v>0</v>
      </c>
      <c r="U701" s="7" t="n">
        <f aca="false">IF(OR(C701="DHS",C701="MICS"),1,0)</f>
        <v>1</v>
      </c>
      <c r="V701" s="7" t="n">
        <f aca="false">IF(O701="",1,0)</f>
        <v>0</v>
      </c>
      <c r="W701" s="7" t="n">
        <f aca="false">IF(M701="",1,0)</f>
        <v>0</v>
      </c>
      <c r="X701" s="7" t="n">
        <f aca="false">COUNTIFS($B$2:$B$1141,B701,$H$2:$H$1141,H701,$I$2:$I$1141,I701,$J$2:$J$1141,J701,$K$2:$K$1141,K701,$L$2:$L$1141,L701)</f>
        <v>1</v>
      </c>
    </row>
    <row r="702" customFormat="false" ht="15" hidden="false" customHeight="false" outlineLevel="0" collapsed="false">
      <c r="A702" s="7" t="n">
        <f aca="false">ROW()-1</f>
        <v>701</v>
      </c>
      <c r="B702" s="7" t="str">
        <f aca="false">IF(Raw_Nigeria!B702="",TRIM(Raw_Nigeria!C702),TRIM(Raw_Nigeria!B702))</f>
        <v>Nigeria Demographic and Health Survey 2018</v>
      </c>
      <c r="C702" s="7" t="str">
        <f aca="false">IF(ISNUMBER(SEARCH("Demographic and Health",B702)),"DHS",IF(OR(ISNUMBER(SEARCH("Multiple Indicator Cluster",B702)),ISNUMBER(SEARCH("MICS",B702))),"MICS",IF(ISNUMBER(SEARCH("Immunization Coverage Survey",B702)),"Coverage survey",IF(ISNUMBER(SEARCH("Nutrition",B702)),"Nutrition survey","Other"))))</f>
        <v>DHS</v>
      </c>
      <c r="D702" s="7" t="n">
        <f aca="false">VALUE(LEFT(Raw_Nigeria!D702,4))</f>
        <v>2018</v>
      </c>
      <c r="E702" s="7" t="n">
        <f aca="false">IF(VALUE(RIGHT(Raw_Nigeria!D702,2))&gt;12,"",VALUE(RIGHT(Raw_Nigeria!D702,2)))</f>
        <v>8</v>
      </c>
      <c r="F702" s="7" t="n">
        <f aca="false">VALUE(LEFT(Raw_Nigeria!E702,4))</f>
        <v>2018</v>
      </c>
      <c r="G702" s="7" t="n">
        <f aca="false">IF(VALUE(RIGHT(Raw_Nigeria!E702,2))&gt;12,"",VALUE(RIGHT(Raw_Nigeria!E702,2)))</f>
        <v>12</v>
      </c>
      <c r="H702" s="7" t="n">
        <f aca="false">Raw_Nigeria!F702</f>
        <v>2017</v>
      </c>
      <c r="I702" s="7" t="str">
        <f aca="false">UPPER(TRIM(Raw_Nigeria!G702))</f>
        <v>POL2</v>
      </c>
      <c r="J702" s="7" t="str">
        <f aca="false">Raw_Nigeria!H702</f>
        <v>Recall</v>
      </c>
      <c r="K702" s="7" t="str">
        <f aca="false">Raw_Nigeria!L702</f>
        <v>12-23 m</v>
      </c>
      <c r="L702" s="7" t="str">
        <f aca="false">IF(Raw_Nigeria!K702="","n/a",Raw_Nigeria!K702)</f>
        <v>0-23 m</v>
      </c>
      <c r="M702" s="7" t="n">
        <f aca="false">IF(Raw_Nigeria!I702="","",Raw_Nigeria!I702)</f>
        <v>40</v>
      </c>
      <c r="N702" s="7" t="n">
        <f aca="false">Raw_Nigeria!M702</f>
        <v>31</v>
      </c>
      <c r="O702" s="7" t="n">
        <f aca="false">IF(Raw_Nigeria!N702="","",Raw_Nigeria!N702)</f>
        <v>3684</v>
      </c>
      <c r="P702" s="7" t="str">
        <f aca="false">IF(K702="CBAW","Women of child-bearing age","Children")</f>
        <v>Children</v>
      </c>
      <c r="Q702" s="7" t="n">
        <f aca="false">IF(J702="NOT USED",1,0)</f>
        <v>0</v>
      </c>
      <c r="R702" s="7" t="n">
        <f aca="false">IF(AND(P702="Children",Q702=0),1,0)</f>
        <v>1</v>
      </c>
      <c r="S702" s="7" t="n">
        <f aca="false">IF(AND(R702=1,J702="Record or Recall",K702="12-23 m"),1,0)</f>
        <v>0</v>
      </c>
      <c r="T702" s="7" t="n">
        <f aca="false">IF(OR(I702="BCG",I702="DTP1",I702="DTP3",I702="POL3",I702="MCV1",I702="FULL"),1,0)</f>
        <v>0</v>
      </c>
      <c r="U702" s="7" t="n">
        <f aca="false">IF(OR(C702="DHS",C702="MICS"),1,0)</f>
        <v>1</v>
      </c>
      <c r="V702" s="7" t="n">
        <f aca="false">IF(O702="",1,0)</f>
        <v>0</v>
      </c>
      <c r="W702" s="7" t="n">
        <f aca="false">IF(M702="",1,0)</f>
        <v>0</v>
      </c>
      <c r="X702" s="7" t="n">
        <f aca="false">COUNTIFS($B$2:$B$1141,B702,$H$2:$H$1141,H702,$I$2:$I$1141,I702,$J$2:$J$1141,J702,$K$2:$K$1141,K702,$L$2:$L$1141,L702)</f>
        <v>1</v>
      </c>
    </row>
    <row r="703" customFormat="false" ht="15" hidden="false" customHeight="false" outlineLevel="0" collapsed="false">
      <c r="A703" s="7" t="n">
        <f aca="false">ROW()-1</f>
        <v>702</v>
      </c>
      <c r="B703" s="7" t="str">
        <f aca="false">IF(Raw_Nigeria!B703="",TRIM(Raw_Nigeria!C703),TRIM(Raw_Nigeria!B703))</f>
        <v>Nigeria Demographic and Health Survey 2018</v>
      </c>
      <c r="C703" s="7" t="str">
        <f aca="false">IF(ISNUMBER(SEARCH("Demographic and Health",B703)),"DHS",IF(OR(ISNUMBER(SEARCH("Multiple Indicator Cluster",B703)),ISNUMBER(SEARCH("MICS",B703))),"MICS",IF(ISNUMBER(SEARCH("Immunization Coverage Survey",B703)),"Coverage survey",IF(ISNUMBER(SEARCH("Nutrition",B703)),"Nutrition survey","Other"))))</f>
        <v>DHS</v>
      </c>
      <c r="D703" s="7" t="n">
        <f aca="false">VALUE(LEFT(Raw_Nigeria!D703,4))</f>
        <v>2018</v>
      </c>
      <c r="E703" s="7" t="n">
        <f aca="false">IF(VALUE(RIGHT(Raw_Nigeria!D703,2))&gt;12,"",VALUE(RIGHT(Raw_Nigeria!D703,2)))</f>
        <v>8</v>
      </c>
      <c r="F703" s="7" t="n">
        <f aca="false">VALUE(LEFT(Raw_Nigeria!E703,4))</f>
        <v>2018</v>
      </c>
      <c r="G703" s="7" t="n">
        <f aca="false">IF(VALUE(RIGHT(Raw_Nigeria!E703,2))&gt;12,"",VALUE(RIGHT(Raw_Nigeria!E703,2)))</f>
        <v>12</v>
      </c>
      <c r="H703" s="7" t="n">
        <f aca="false">Raw_Nigeria!F703</f>
        <v>2017</v>
      </c>
      <c r="I703" s="7" t="str">
        <f aca="false">UPPER(TRIM(Raw_Nigeria!G703))</f>
        <v>POL3</v>
      </c>
      <c r="J703" s="7" t="str">
        <f aca="false">Raw_Nigeria!H703</f>
        <v>Record or Recall&lt;12m</v>
      </c>
      <c r="K703" s="7" t="str">
        <f aca="false">Raw_Nigeria!L703</f>
        <v>12-23 m</v>
      </c>
      <c r="L703" s="7" t="str">
        <f aca="false">IF(Raw_Nigeria!K703="","n/a",Raw_Nigeria!K703)</f>
        <v>0-12 m</v>
      </c>
      <c r="M703" s="7" t="n">
        <f aca="false">IF(Raw_Nigeria!I703="","",Raw_Nigeria!I703)</f>
        <v>40</v>
      </c>
      <c r="N703" s="7" t="n">
        <f aca="false">Raw_Nigeria!M703</f>
        <v>45.6</v>
      </c>
      <c r="O703" s="7" t="n">
        <f aca="false">IF(Raw_Nigeria!N703="","",Raw_Nigeria!N703)</f>
        <v>6143</v>
      </c>
      <c r="P703" s="7" t="str">
        <f aca="false">IF(K703="CBAW","Women of child-bearing age","Children")</f>
        <v>Children</v>
      </c>
      <c r="Q703" s="7" t="n">
        <f aca="false">IF(J703="NOT USED",1,0)</f>
        <v>0</v>
      </c>
      <c r="R703" s="7" t="n">
        <f aca="false">IF(AND(P703="Children",Q703=0),1,0)</f>
        <v>1</v>
      </c>
      <c r="S703" s="7" t="n">
        <f aca="false">IF(AND(R703=1,J703="Record or Recall",K703="12-23 m"),1,0)</f>
        <v>0</v>
      </c>
      <c r="T703" s="7" t="n">
        <f aca="false">IF(OR(I703="BCG",I703="DTP1",I703="DTP3",I703="POL3",I703="MCV1",I703="FULL"),1,0)</f>
        <v>1</v>
      </c>
      <c r="U703" s="7" t="n">
        <f aca="false">IF(OR(C703="DHS",C703="MICS"),1,0)</f>
        <v>1</v>
      </c>
      <c r="V703" s="7" t="n">
        <f aca="false">IF(O703="",1,0)</f>
        <v>0</v>
      </c>
      <c r="W703" s="7" t="n">
        <f aca="false">IF(M703="",1,0)</f>
        <v>0</v>
      </c>
      <c r="X703" s="7" t="n">
        <f aca="false">COUNTIFS($B$2:$B$1141,B703,$H$2:$H$1141,H703,$I$2:$I$1141,I703,$J$2:$J$1141,J703,$K$2:$K$1141,K703,$L$2:$L$1141,L703)</f>
        <v>1</v>
      </c>
    </row>
    <row r="704" customFormat="false" ht="15" hidden="false" customHeight="false" outlineLevel="0" collapsed="false">
      <c r="A704" s="7" t="n">
        <f aca="false">ROW()-1</f>
        <v>703</v>
      </c>
      <c r="B704" s="7" t="str">
        <f aca="false">IF(Raw_Nigeria!B704="",TRIM(Raw_Nigeria!C704),TRIM(Raw_Nigeria!B704))</f>
        <v>Nigeria Demographic and Health Survey 2018</v>
      </c>
      <c r="C704" s="7" t="str">
        <f aca="false">IF(ISNUMBER(SEARCH("Demographic and Health",B704)),"DHS",IF(OR(ISNUMBER(SEARCH("Multiple Indicator Cluster",B704)),ISNUMBER(SEARCH("MICS",B704))),"MICS",IF(ISNUMBER(SEARCH("Immunization Coverage Survey",B704)),"Coverage survey",IF(ISNUMBER(SEARCH("Nutrition",B704)),"Nutrition survey","Other"))))</f>
        <v>DHS</v>
      </c>
      <c r="D704" s="7" t="n">
        <f aca="false">VALUE(LEFT(Raw_Nigeria!D704,4))</f>
        <v>2018</v>
      </c>
      <c r="E704" s="7" t="n">
        <f aca="false">IF(VALUE(RIGHT(Raw_Nigeria!D704,2))&gt;12,"",VALUE(RIGHT(Raw_Nigeria!D704,2)))</f>
        <v>8</v>
      </c>
      <c r="F704" s="7" t="n">
        <f aca="false">VALUE(LEFT(Raw_Nigeria!E704,4))</f>
        <v>2018</v>
      </c>
      <c r="G704" s="7" t="n">
        <f aca="false">IF(VALUE(RIGHT(Raw_Nigeria!E704,2))&gt;12,"",VALUE(RIGHT(Raw_Nigeria!E704,2)))</f>
        <v>12</v>
      </c>
      <c r="H704" s="7" t="n">
        <f aca="false">Raw_Nigeria!F704</f>
        <v>2017</v>
      </c>
      <c r="I704" s="7" t="str">
        <f aca="false">UPPER(TRIM(Raw_Nigeria!G704))</f>
        <v>POL3</v>
      </c>
      <c r="J704" s="7" t="str">
        <f aca="false">Raw_Nigeria!H704</f>
        <v>Record</v>
      </c>
      <c r="K704" s="7" t="str">
        <f aca="false">Raw_Nigeria!L704</f>
        <v>12-23 m</v>
      </c>
      <c r="L704" s="7" t="str">
        <f aca="false">IF(Raw_Nigeria!K704="","n/a",Raw_Nigeria!K704)</f>
        <v>0-23 m</v>
      </c>
      <c r="M704" s="7" t="n">
        <f aca="false">IF(Raw_Nigeria!I704="","",Raw_Nigeria!I704)</f>
        <v>40</v>
      </c>
      <c r="N704" s="7" t="n">
        <f aca="false">Raw_Nigeria!M704</f>
        <v>32.2</v>
      </c>
      <c r="O704" s="7" t="n">
        <f aca="false">IF(Raw_Nigeria!N704="","",Raw_Nigeria!N704)</f>
        <v>2459</v>
      </c>
      <c r="P704" s="7" t="str">
        <f aca="false">IF(K704="CBAW","Women of child-bearing age","Children")</f>
        <v>Children</v>
      </c>
      <c r="Q704" s="7" t="n">
        <f aca="false">IF(J704="NOT USED",1,0)</f>
        <v>0</v>
      </c>
      <c r="R704" s="7" t="n">
        <f aca="false">IF(AND(P704="Children",Q704=0),1,0)</f>
        <v>1</v>
      </c>
      <c r="S704" s="7" t="n">
        <f aca="false">IF(AND(R704=1,J704="Record or Recall",K704="12-23 m"),1,0)</f>
        <v>0</v>
      </c>
      <c r="T704" s="7" t="n">
        <f aca="false">IF(OR(I704="BCG",I704="DTP1",I704="DTP3",I704="POL3",I704="MCV1",I704="FULL"),1,0)</f>
        <v>1</v>
      </c>
      <c r="U704" s="7" t="n">
        <f aca="false">IF(OR(C704="DHS",C704="MICS"),1,0)</f>
        <v>1</v>
      </c>
      <c r="V704" s="7" t="n">
        <f aca="false">IF(O704="",1,0)</f>
        <v>0</v>
      </c>
      <c r="W704" s="7" t="n">
        <f aca="false">IF(M704="",1,0)</f>
        <v>0</v>
      </c>
      <c r="X704" s="7" t="n">
        <f aca="false">COUNTIFS($B$2:$B$1141,B704,$H$2:$H$1141,H704,$I$2:$I$1141,I704,$J$2:$J$1141,J704,$K$2:$K$1141,K704,$L$2:$L$1141,L704)</f>
        <v>1</v>
      </c>
    </row>
    <row r="705" customFormat="false" ht="15" hidden="false" customHeight="false" outlineLevel="0" collapsed="false">
      <c r="A705" s="7" t="n">
        <f aca="false">ROW()-1</f>
        <v>704</v>
      </c>
      <c r="B705" s="7" t="str">
        <f aca="false">IF(Raw_Nigeria!B705="",TRIM(Raw_Nigeria!C705),TRIM(Raw_Nigeria!B705))</f>
        <v>Nigeria Demographic and Health Survey 2018</v>
      </c>
      <c r="C705" s="7" t="str">
        <f aca="false">IF(ISNUMBER(SEARCH("Demographic and Health",B705)),"DHS",IF(OR(ISNUMBER(SEARCH("Multiple Indicator Cluster",B705)),ISNUMBER(SEARCH("MICS",B705))),"MICS",IF(ISNUMBER(SEARCH("Immunization Coverage Survey",B705)),"Coverage survey",IF(ISNUMBER(SEARCH("Nutrition",B705)),"Nutrition survey","Other"))))</f>
        <v>DHS</v>
      </c>
      <c r="D705" s="7" t="n">
        <f aca="false">VALUE(LEFT(Raw_Nigeria!D705,4))</f>
        <v>2018</v>
      </c>
      <c r="E705" s="7" t="n">
        <f aca="false">IF(VALUE(RIGHT(Raw_Nigeria!D705,2))&gt;12,"",VALUE(RIGHT(Raw_Nigeria!D705,2)))</f>
        <v>8</v>
      </c>
      <c r="F705" s="7" t="n">
        <f aca="false">VALUE(LEFT(Raw_Nigeria!E705,4))</f>
        <v>2018</v>
      </c>
      <c r="G705" s="7" t="n">
        <f aca="false">IF(VALUE(RIGHT(Raw_Nigeria!E705,2))&gt;12,"",VALUE(RIGHT(Raw_Nigeria!E705,2)))</f>
        <v>12</v>
      </c>
      <c r="H705" s="7" t="n">
        <f aca="false">Raw_Nigeria!F705</f>
        <v>2017</v>
      </c>
      <c r="I705" s="7" t="str">
        <f aca="false">UPPER(TRIM(Raw_Nigeria!G705))</f>
        <v>POL3</v>
      </c>
      <c r="J705" s="7" t="str">
        <f aca="false">Raw_Nigeria!H705</f>
        <v>Record or Recall</v>
      </c>
      <c r="K705" s="7" t="str">
        <f aca="false">Raw_Nigeria!L705</f>
        <v>12-23 m</v>
      </c>
      <c r="L705" s="7" t="str">
        <f aca="false">IF(Raw_Nigeria!K705="","n/a",Raw_Nigeria!K705)</f>
        <v>0-23 m</v>
      </c>
      <c r="M705" s="7" t="n">
        <f aca="false">IF(Raw_Nigeria!I705="","",Raw_Nigeria!I705)</f>
        <v>40</v>
      </c>
      <c r="N705" s="7" t="n">
        <f aca="false">Raw_Nigeria!M705</f>
        <v>47.2</v>
      </c>
      <c r="O705" s="7" t="n">
        <f aca="false">IF(Raw_Nigeria!N705="","",Raw_Nigeria!N705)</f>
        <v>6143</v>
      </c>
      <c r="P705" s="7" t="str">
        <f aca="false">IF(K705="CBAW","Women of child-bearing age","Children")</f>
        <v>Children</v>
      </c>
      <c r="Q705" s="7" t="n">
        <f aca="false">IF(J705="NOT USED",1,0)</f>
        <v>0</v>
      </c>
      <c r="R705" s="7" t="n">
        <f aca="false">IF(AND(P705="Children",Q705=0),1,0)</f>
        <v>1</v>
      </c>
      <c r="S705" s="7" t="n">
        <f aca="false">IF(AND(R705=1,J705="Record or Recall",K705="12-23 m"),1,0)</f>
        <v>1</v>
      </c>
      <c r="T705" s="7" t="n">
        <f aca="false">IF(OR(I705="BCG",I705="DTP1",I705="DTP3",I705="POL3",I705="MCV1",I705="FULL"),1,0)</f>
        <v>1</v>
      </c>
      <c r="U705" s="7" t="n">
        <f aca="false">IF(OR(C705="DHS",C705="MICS"),1,0)</f>
        <v>1</v>
      </c>
      <c r="V705" s="7" t="n">
        <f aca="false">IF(O705="",1,0)</f>
        <v>0</v>
      </c>
      <c r="W705" s="7" t="n">
        <f aca="false">IF(M705="",1,0)</f>
        <v>0</v>
      </c>
      <c r="X705" s="7" t="n">
        <f aca="false">COUNTIFS($B$2:$B$1141,B705,$H$2:$H$1141,H705,$I$2:$I$1141,I705,$J$2:$J$1141,J705,$K$2:$K$1141,K705,$L$2:$L$1141,L705)</f>
        <v>1</v>
      </c>
    </row>
    <row r="706" customFormat="false" ht="15" hidden="false" customHeight="false" outlineLevel="0" collapsed="false">
      <c r="A706" s="7" t="n">
        <f aca="false">ROW()-1</f>
        <v>705</v>
      </c>
      <c r="B706" s="7" t="str">
        <f aca="false">IF(Raw_Nigeria!B706="",TRIM(Raw_Nigeria!C706),TRIM(Raw_Nigeria!B706))</f>
        <v>Nigeria Demographic and Health Survey 2018</v>
      </c>
      <c r="C706" s="7" t="str">
        <f aca="false">IF(ISNUMBER(SEARCH("Demographic and Health",B706)),"DHS",IF(OR(ISNUMBER(SEARCH("Multiple Indicator Cluster",B706)),ISNUMBER(SEARCH("MICS",B706))),"MICS",IF(ISNUMBER(SEARCH("Immunization Coverage Survey",B706)),"Coverage survey",IF(ISNUMBER(SEARCH("Nutrition",B706)),"Nutrition survey","Other"))))</f>
        <v>DHS</v>
      </c>
      <c r="D706" s="7" t="n">
        <f aca="false">VALUE(LEFT(Raw_Nigeria!D706,4))</f>
        <v>2018</v>
      </c>
      <c r="E706" s="7" t="n">
        <f aca="false">IF(VALUE(RIGHT(Raw_Nigeria!D706,2))&gt;12,"",VALUE(RIGHT(Raw_Nigeria!D706,2)))</f>
        <v>8</v>
      </c>
      <c r="F706" s="7" t="n">
        <f aca="false">VALUE(LEFT(Raw_Nigeria!E706,4))</f>
        <v>2018</v>
      </c>
      <c r="G706" s="7" t="n">
        <f aca="false">IF(VALUE(RIGHT(Raw_Nigeria!E706,2))&gt;12,"",VALUE(RIGHT(Raw_Nigeria!E706,2)))</f>
        <v>12</v>
      </c>
      <c r="H706" s="7" t="n">
        <f aca="false">Raw_Nigeria!F706</f>
        <v>2017</v>
      </c>
      <c r="I706" s="7" t="str">
        <f aca="false">UPPER(TRIM(Raw_Nigeria!G706))</f>
        <v>POL3</v>
      </c>
      <c r="J706" s="7" t="str">
        <f aca="false">Raw_Nigeria!H706</f>
        <v>Recall</v>
      </c>
      <c r="K706" s="7" t="str">
        <f aca="false">Raw_Nigeria!L706</f>
        <v>12-23 m</v>
      </c>
      <c r="L706" s="7" t="str">
        <f aca="false">IF(Raw_Nigeria!K706="","n/a",Raw_Nigeria!K706)</f>
        <v>0-23 m</v>
      </c>
      <c r="M706" s="7" t="n">
        <f aca="false">IF(Raw_Nigeria!I706="","",Raw_Nigeria!I706)</f>
        <v>40</v>
      </c>
      <c r="N706" s="7" t="n">
        <f aca="false">Raw_Nigeria!M706</f>
        <v>15</v>
      </c>
      <c r="O706" s="7" t="n">
        <f aca="false">IF(Raw_Nigeria!N706="","",Raw_Nigeria!N706)</f>
        <v>3684</v>
      </c>
      <c r="P706" s="7" t="str">
        <f aca="false">IF(K706="CBAW","Women of child-bearing age","Children")</f>
        <v>Children</v>
      </c>
      <c r="Q706" s="7" t="n">
        <f aca="false">IF(J706="NOT USED",1,0)</f>
        <v>0</v>
      </c>
      <c r="R706" s="7" t="n">
        <f aca="false">IF(AND(P706="Children",Q706=0),1,0)</f>
        <v>1</v>
      </c>
      <c r="S706" s="7" t="n">
        <f aca="false">IF(AND(R706=1,J706="Record or Recall",K706="12-23 m"),1,0)</f>
        <v>0</v>
      </c>
      <c r="T706" s="7" t="n">
        <f aca="false">IF(OR(I706="BCG",I706="DTP1",I706="DTP3",I706="POL3",I706="MCV1",I706="FULL"),1,0)</f>
        <v>1</v>
      </c>
      <c r="U706" s="7" t="n">
        <f aca="false">IF(OR(C706="DHS",C706="MICS"),1,0)</f>
        <v>1</v>
      </c>
      <c r="V706" s="7" t="n">
        <f aca="false">IF(O706="",1,0)</f>
        <v>0</v>
      </c>
      <c r="W706" s="7" t="n">
        <f aca="false">IF(M706="",1,0)</f>
        <v>0</v>
      </c>
      <c r="X706" s="7" t="n">
        <f aca="false">COUNTIFS($B$2:$B$1141,B706,$H$2:$H$1141,H706,$I$2:$I$1141,I706,$J$2:$J$1141,J706,$K$2:$K$1141,K706,$L$2:$L$1141,L706)</f>
        <v>1</v>
      </c>
    </row>
    <row r="707" customFormat="false" ht="15" hidden="false" customHeight="false" outlineLevel="0" collapsed="false">
      <c r="A707" s="7" t="n">
        <f aca="false">ROW()-1</f>
        <v>706</v>
      </c>
      <c r="B707" s="7" t="str">
        <f aca="false">IF(Raw_Nigeria!B707="",TRIM(Raw_Nigeria!C707),TRIM(Raw_Nigeria!B707))</f>
        <v>Nigeria Demographic and Health Survey 2018</v>
      </c>
      <c r="C707" s="7" t="str">
        <f aca="false">IF(ISNUMBER(SEARCH("Demographic and Health",B707)),"DHS",IF(OR(ISNUMBER(SEARCH("Multiple Indicator Cluster",B707)),ISNUMBER(SEARCH("MICS",B707))),"MICS",IF(ISNUMBER(SEARCH("Immunization Coverage Survey",B707)),"Coverage survey",IF(ISNUMBER(SEARCH("Nutrition",B707)),"Nutrition survey","Other"))))</f>
        <v>DHS</v>
      </c>
      <c r="D707" s="7" t="n">
        <f aca="false">VALUE(LEFT(Raw_Nigeria!D707,4))</f>
        <v>2018</v>
      </c>
      <c r="E707" s="7" t="n">
        <f aca="false">IF(VALUE(RIGHT(Raw_Nigeria!D707,2))&gt;12,"",VALUE(RIGHT(Raw_Nigeria!D707,2)))</f>
        <v>8</v>
      </c>
      <c r="F707" s="7" t="n">
        <f aca="false">VALUE(LEFT(Raw_Nigeria!E707,4))</f>
        <v>2018</v>
      </c>
      <c r="G707" s="7" t="n">
        <f aca="false">IF(VALUE(RIGHT(Raw_Nigeria!E707,2))&gt;12,"",VALUE(RIGHT(Raw_Nigeria!E707,2)))</f>
        <v>12</v>
      </c>
      <c r="H707" s="7" t="n">
        <f aca="false">Raw_Nigeria!F707</f>
        <v>2017</v>
      </c>
      <c r="I707" s="7" t="str">
        <f aca="false">UPPER(TRIM(Raw_Nigeria!G707))</f>
        <v>TT2+</v>
      </c>
      <c r="J707" s="7" t="str">
        <f aca="false">Raw_Nigeria!H707</f>
        <v>Record or Recall</v>
      </c>
      <c r="K707" s="7" t="str">
        <f aca="false">Raw_Nigeria!L707</f>
        <v>CBAW</v>
      </c>
      <c r="L707" s="7" t="str">
        <f aca="false">IF(Raw_Nigeria!K707="","n/a",Raw_Nigeria!K707)</f>
        <v>n/a</v>
      </c>
      <c r="M707" s="7" t="str">
        <f aca="false">IF(Raw_Nigeria!I707="","",Raw_Nigeria!I707)</f>
        <v/>
      </c>
      <c r="N707" s="7" t="n">
        <f aca="false">Raw_Nigeria!M707</f>
        <v>52.9</v>
      </c>
      <c r="O707" s="7" t="n">
        <f aca="false">IF(Raw_Nigeria!N707="","",Raw_Nigeria!N707)</f>
        <v>21911</v>
      </c>
      <c r="P707" s="7" t="str">
        <f aca="false">IF(K707="CBAW","Women of child-bearing age","Children")</f>
        <v>Women of child-bearing age</v>
      </c>
      <c r="Q707" s="7" t="n">
        <f aca="false">IF(J707="NOT USED",1,0)</f>
        <v>0</v>
      </c>
      <c r="R707" s="7" t="n">
        <f aca="false">IF(AND(P707="Children",Q707=0),1,0)</f>
        <v>0</v>
      </c>
      <c r="S707" s="7" t="n">
        <f aca="false">IF(AND(R707=1,J707="Record or Recall",K707="12-23 m"),1,0)</f>
        <v>0</v>
      </c>
      <c r="T707" s="7" t="n">
        <f aca="false">IF(OR(I707="BCG",I707="DTP1",I707="DTP3",I707="POL3",I707="MCV1",I707="FULL"),1,0)</f>
        <v>0</v>
      </c>
      <c r="U707" s="7" t="n">
        <f aca="false">IF(OR(C707="DHS",C707="MICS"),1,0)</f>
        <v>1</v>
      </c>
      <c r="V707" s="7" t="n">
        <f aca="false">IF(O707="",1,0)</f>
        <v>0</v>
      </c>
      <c r="W707" s="7" t="n">
        <f aca="false">IF(M707="",1,0)</f>
        <v>1</v>
      </c>
      <c r="X707" s="7" t="n">
        <f aca="false">COUNTIFS($B$2:$B$1141,B707,$H$2:$H$1141,H707,$I$2:$I$1141,I707,$J$2:$J$1141,J707,$K$2:$K$1141,K707,$L$2:$L$1141,L707)</f>
        <v>1</v>
      </c>
    </row>
    <row r="708" customFormat="false" ht="15" hidden="false" customHeight="false" outlineLevel="0" collapsed="false">
      <c r="A708" s="7" t="n">
        <f aca="false">ROW()-1</f>
        <v>707</v>
      </c>
      <c r="B708" s="7" t="str">
        <f aca="false">IF(Raw_Nigeria!B708="",TRIM(Raw_Nigeria!C708),TRIM(Raw_Nigeria!B708))</f>
        <v>Nigeria Multiple Indicator Cluster Survey 2021</v>
      </c>
      <c r="C708" s="7" t="str">
        <f aca="false">IF(ISNUMBER(SEARCH("Demographic and Health",B708)),"DHS",IF(OR(ISNUMBER(SEARCH("Multiple Indicator Cluster",B708)),ISNUMBER(SEARCH("MICS",B708))),"MICS",IF(ISNUMBER(SEARCH("Immunization Coverage Survey",B708)),"Coverage survey",IF(ISNUMBER(SEARCH("Nutrition",B708)),"Nutrition survey","Other"))))</f>
        <v>MICS</v>
      </c>
      <c r="D708" s="7" t="n">
        <f aca="false">VALUE(LEFT(Raw_Nigeria!D708,4))</f>
        <v>2021</v>
      </c>
      <c r="E708" s="7" t="n">
        <f aca="false">IF(VALUE(RIGHT(Raw_Nigeria!D708,2))&gt;12,"",VALUE(RIGHT(Raw_Nigeria!D708,2)))</f>
        <v>9</v>
      </c>
      <c r="F708" s="7" t="n">
        <f aca="false">VALUE(LEFT(Raw_Nigeria!E708,4))</f>
        <v>2021</v>
      </c>
      <c r="G708" s="7" t="n">
        <f aca="false">IF(VALUE(RIGHT(Raw_Nigeria!E708,2))&gt;12,"",VALUE(RIGHT(Raw_Nigeria!E708,2)))</f>
        <v>12</v>
      </c>
      <c r="H708" s="7" t="n">
        <f aca="false">Raw_Nigeria!F708</f>
        <v>2019</v>
      </c>
      <c r="I708" s="7" t="str">
        <f aca="false">UPPER(TRIM(Raw_Nigeria!G708))</f>
        <v>BCG</v>
      </c>
      <c r="J708" s="7" t="str">
        <f aca="false">Raw_Nigeria!H708</f>
        <v>Record or Recall&lt;12m</v>
      </c>
      <c r="K708" s="7" t="str">
        <f aca="false">Raw_Nigeria!L708</f>
        <v>24-35 m</v>
      </c>
      <c r="L708" s="7" t="str">
        <f aca="false">IF(Raw_Nigeria!K708="","n/a",Raw_Nigeria!K708)</f>
        <v>0-12 m</v>
      </c>
      <c r="M708" s="7" t="str">
        <f aca="false">IF(Raw_Nigeria!I708="","",Raw_Nigeria!I708)</f>
        <v/>
      </c>
      <c r="N708" s="7" t="n">
        <f aca="false">Raw_Nigeria!M708</f>
        <v>72.8</v>
      </c>
      <c r="O708" s="7" t="str">
        <f aca="false">IF(Raw_Nigeria!N708="","",Raw_Nigeria!N708)</f>
        <v/>
      </c>
      <c r="P708" s="7" t="str">
        <f aca="false">IF(K708="CBAW","Women of child-bearing age","Children")</f>
        <v>Children</v>
      </c>
      <c r="Q708" s="7" t="n">
        <f aca="false">IF(J708="NOT USED",1,0)</f>
        <v>0</v>
      </c>
      <c r="R708" s="7" t="n">
        <f aca="false">IF(AND(P708="Children",Q708=0),1,0)</f>
        <v>1</v>
      </c>
      <c r="S708" s="7" t="n">
        <f aca="false">IF(AND(R708=1,J708="Record or Recall",K708="12-23 m"),1,0)</f>
        <v>0</v>
      </c>
      <c r="T708" s="7" t="n">
        <f aca="false">IF(OR(I708="BCG",I708="DTP1",I708="DTP3",I708="POL3",I708="MCV1",I708="FULL"),1,0)</f>
        <v>1</v>
      </c>
      <c r="U708" s="7" t="n">
        <f aca="false">IF(OR(C708="DHS",C708="MICS"),1,0)</f>
        <v>1</v>
      </c>
      <c r="V708" s="7" t="n">
        <f aca="false">IF(O708="",1,0)</f>
        <v>1</v>
      </c>
      <c r="W708" s="7" t="n">
        <f aca="false">IF(M708="",1,0)</f>
        <v>1</v>
      </c>
      <c r="X708" s="7" t="n">
        <f aca="false">COUNTIFS($B$2:$B$1141,B708,$H$2:$H$1141,H708,$I$2:$I$1141,I708,$J$2:$J$1141,J708,$K$2:$K$1141,K708,$L$2:$L$1141,L708)</f>
        <v>1</v>
      </c>
    </row>
    <row r="709" customFormat="false" ht="15" hidden="false" customHeight="false" outlineLevel="0" collapsed="false">
      <c r="A709" s="7" t="n">
        <f aca="false">ROW()-1</f>
        <v>708</v>
      </c>
      <c r="B709" s="7" t="str">
        <f aca="false">IF(Raw_Nigeria!B709="",TRIM(Raw_Nigeria!C709),TRIM(Raw_Nigeria!B709))</f>
        <v>Nigeria Multiple Indicator Cluster Survey 2021</v>
      </c>
      <c r="C709" s="7" t="str">
        <f aca="false">IF(ISNUMBER(SEARCH("Demographic and Health",B709)),"DHS",IF(OR(ISNUMBER(SEARCH("Multiple Indicator Cluster",B709)),ISNUMBER(SEARCH("MICS",B709))),"MICS",IF(ISNUMBER(SEARCH("Immunization Coverage Survey",B709)),"Coverage survey",IF(ISNUMBER(SEARCH("Nutrition",B709)),"Nutrition survey","Other"))))</f>
        <v>MICS</v>
      </c>
      <c r="D709" s="7" t="n">
        <f aca="false">VALUE(LEFT(Raw_Nigeria!D709,4))</f>
        <v>2021</v>
      </c>
      <c r="E709" s="7" t="n">
        <f aca="false">IF(VALUE(RIGHT(Raw_Nigeria!D709,2))&gt;12,"",VALUE(RIGHT(Raw_Nigeria!D709,2)))</f>
        <v>9</v>
      </c>
      <c r="F709" s="7" t="n">
        <f aca="false">VALUE(LEFT(Raw_Nigeria!E709,4))</f>
        <v>2021</v>
      </c>
      <c r="G709" s="7" t="n">
        <f aca="false">IF(VALUE(RIGHT(Raw_Nigeria!E709,2))&gt;12,"",VALUE(RIGHT(Raw_Nigeria!E709,2)))</f>
        <v>12</v>
      </c>
      <c r="H709" s="7" t="n">
        <f aca="false">Raw_Nigeria!F709</f>
        <v>2019</v>
      </c>
      <c r="I709" s="7" t="str">
        <f aca="false">UPPER(TRIM(Raw_Nigeria!G709))</f>
        <v>BCG</v>
      </c>
      <c r="J709" s="7" t="str">
        <f aca="false">Raw_Nigeria!H709</f>
        <v>Record</v>
      </c>
      <c r="K709" s="7" t="str">
        <f aca="false">Raw_Nigeria!L709</f>
        <v>24-35 m</v>
      </c>
      <c r="L709" s="7" t="str">
        <f aca="false">IF(Raw_Nigeria!K709="","n/a",Raw_Nigeria!K709)</f>
        <v>0-35 m</v>
      </c>
      <c r="M709" s="7" t="str">
        <f aca="false">IF(Raw_Nigeria!I709="","",Raw_Nigeria!I709)</f>
        <v/>
      </c>
      <c r="N709" s="7" t="n">
        <f aca="false">Raw_Nigeria!M709</f>
        <v>45.8</v>
      </c>
      <c r="O709" s="7" t="n">
        <f aca="false">IF(Raw_Nigeria!N709="","",Raw_Nigeria!N709)</f>
        <v>2877</v>
      </c>
      <c r="P709" s="7" t="str">
        <f aca="false">IF(K709="CBAW","Women of child-bearing age","Children")</f>
        <v>Children</v>
      </c>
      <c r="Q709" s="7" t="n">
        <f aca="false">IF(J709="NOT USED",1,0)</f>
        <v>0</v>
      </c>
      <c r="R709" s="7" t="n">
        <f aca="false">IF(AND(P709="Children",Q709=0),1,0)</f>
        <v>1</v>
      </c>
      <c r="S709" s="7" t="n">
        <f aca="false">IF(AND(R709=1,J709="Record or Recall",K709="12-23 m"),1,0)</f>
        <v>0</v>
      </c>
      <c r="T709" s="7" t="n">
        <f aca="false">IF(OR(I709="BCG",I709="DTP1",I709="DTP3",I709="POL3",I709="MCV1",I709="FULL"),1,0)</f>
        <v>1</v>
      </c>
      <c r="U709" s="7" t="n">
        <f aca="false">IF(OR(C709="DHS",C709="MICS"),1,0)</f>
        <v>1</v>
      </c>
      <c r="V709" s="7" t="n">
        <f aca="false">IF(O709="",1,0)</f>
        <v>0</v>
      </c>
      <c r="W709" s="7" t="n">
        <f aca="false">IF(M709="",1,0)</f>
        <v>1</v>
      </c>
      <c r="X709" s="7" t="n">
        <f aca="false">COUNTIFS($B$2:$B$1141,B709,$H$2:$H$1141,H709,$I$2:$I$1141,I709,$J$2:$J$1141,J709,$K$2:$K$1141,K709,$L$2:$L$1141,L709)</f>
        <v>1</v>
      </c>
    </row>
    <row r="710" customFormat="false" ht="15" hidden="false" customHeight="false" outlineLevel="0" collapsed="false">
      <c r="A710" s="7" t="n">
        <f aca="false">ROW()-1</f>
        <v>709</v>
      </c>
      <c r="B710" s="7" t="str">
        <f aca="false">IF(Raw_Nigeria!B710="",TRIM(Raw_Nigeria!C710),TRIM(Raw_Nigeria!B710))</f>
        <v>Nigeria Multiple Indicator Cluster Survey 2021</v>
      </c>
      <c r="C710" s="7" t="str">
        <f aca="false">IF(ISNUMBER(SEARCH("Demographic and Health",B710)),"DHS",IF(OR(ISNUMBER(SEARCH("Multiple Indicator Cluster",B710)),ISNUMBER(SEARCH("MICS",B710))),"MICS",IF(ISNUMBER(SEARCH("Immunization Coverage Survey",B710)),"Coverage survey",IF(ISNUMBER(SEARCH("Nutrition",B710)),"Nutrition survey","Other"))))</f>
        <v>MICS</v>
      </c>
      <c r="D710" s="7" t="n">
        <f aca="false">VALUE(LEFT(Raw_Nigeria!D710,4))</f>
        <v>2021</v>
      </c>
      <c r="E710" s="7" t="n">
        <f aca="false">IF(VALUE(RIGHT(Raw_Nigeria!D710,2))&gt;12,"",VALUE(RIGHT(Raw_Nigeria!D710,2)))</f>
        <v>9</v>
      </c>
      <c r="F710" s="7" t="n">
        <f aca="false">VALUE(LEFT(Raw_Nigeria!E710,4))</f>
        <v>2021</v>
      </c>
      <c r="G710" s="7" t="n">
        <f aca="false">IF(VALUE(RIGHT(Raw_Nigeria!E710,2))&gt;12,"",VALUE(RIGHT(Raw_Nigeria!E710,2)))</f>
        <v>12</v>
      </c>
      <c r="H710" s="7" t="n">
        <f aca="false">Raw_Nigeria!F710</f>
        <v>2019</v>
      </c>
      <c r="I710" s="7" t="str">
        <f aca="false">UPPER(TRIM(Raw_Nigeria!G710))</f>
        <v>BCG</v>
      </c>
      <c r="J710" s="7" t="str">
        <f aca="false">Raw_Nigeria!H710</f>
        <v>Record or Recall</v>
      </c>
      <c r="K710" s="7" t="str">
        <f aca="false">Raw_Nigeria!L710</f>
        <v>24-35 m</v>
      </c>
      <c r="L710" s="7" t="str">
        <f aca="false">IF(Raw_Nigeria!K710="","n/a",Raw_Nigeria!K710)</f>
        <v>0-35 m</v>
      </c>
      <c r="M710" s="7" t="str">
        <f aca="false">IF(Raw_Nigeria!I710="","",Raw_Nigeria!I710)</f>
        <v/>
      </c>
      <c r="N710" s="7" t="n">
        <f aca="false">Raw_Nigeria!M710</f>
        <v>75.3</v>
      </c>
      <c r="O710" s="7" t="n">
        <f aca="false">IF(Raw_Nigeria!N710="","",Raw_Nigeria!N710)</f>
        <v>6100</v>
      </c>
      <c r="P710" s="7" t="str">
        <f aca="false">IF(K710="CBAW","Women of child-bearing age","Children")</f>
        <v>Children</v>
      </c>
      <c r="Q710" s="7" t="n">
        <f aca="false">IF(J710="NOT USED",1,0)</f>
        <v>0</v>
      </c>
      <c r="R710" s="7" t="n">
        <f aca="false">IF(AND(P710="Children",Q710=0),1,0)</f>
        <v>1</v>
      </c>
      <c r="S710" s="7" t="n">
        <f aca="false">IF(AND(R710=1,J710="Record or Recall",K710="12-23 m"),1,0)</f>
        <v>0</v>
      </c>
      <c r="T710" s="7" t="n">
        <f aca="false">IF(OR(I710="BCG",I710="DTP1",I710="DTP3",I710="POL3",I710="MCV1",I710="FULL"),1,0)</f>
        <v>1</v>
      </c>
      <c r="U710" s="7" t="n">
        <f aca="false">IF(OR(C710="DHS",C710="MICS"),1,0)</f>
        <v>1</v>
      </c>
      <c r="V710" s="7" t="n">
        <f aca="false">IF(O710="",1,0)</f>
        <v>0</v>
      </c>
      <c r="W710" s="7" t="n">
        <f aca="false">IF(M710="",1,0)</f>
        <v>1</v>
      </c>
      <c r="X710" s="7" t="n">
        <f aca="false">COUNTIFS($B$2:$B$1141,B710,$H$2:$H$1141,H710,$I$2:$I$1141,I710,$J$2:$J$1141,J710,$K$2:$K$1141,K710,$L$2:$L$1141,L710)</f>
        <v>1</v>
      </c>
    </row>
    <row r="711" customFormat="false" ht="15" hidden="false" customHeight="false" outlineLevel="0" collapsed="false">
      <c r="A711" s="7" t="n">
        <f aca="false">ROW()-1</f>
        <v>710</v>
      </c>
      <c r="B711" s="7" t="str">
        <f aca="false">IF(Raw_Nigeria!B711="",TRIM(Raw_Nigeria!C711),TRIM(Raw_Nigeria!B711))</f>
        <v>Nigeria Multiple Indicator Cluster Survey 2021</v>
      </c>
      <c r="C711" s="7" t="str">
        <f aca="false">IF(ISNUMBER(SEARCH("Demographic and Health",B711)),"DHS",IF(OR(ISNUMBER(SEARCH("Multiple Indicator Cluster",B711)),ISNUMBER(SEARCH("MICS",B711))),"MICS",IF(ISNUMBER(SEARCH("Immunization Coverage Survey",B711)),"Coverage survey",IF(ISNUMBER(SEARCH("Nutrition",B711)),"Nutrition survey","Other"))))</f>
        <v>MICS</v>
      </c>
      <c r="D711" s="7" t="n">
        <f aca="false">VALUE(LEFT(Raw_Nigeria!D711,4))</f>
        <v>2021</v>
      </c>
      <c r="E711" s="7" t="n">
        <f aca="false">IF(VALUE(RIGHT(Raw_Nigeria!D711,2))&gt;12,"",VALUE(RIGHT(Raw_Nigeria!D711,2)))</f>
        <v>9</v>
      </c>
      <c r="F711" s="7" t="n">
        <f aca="false">VALUE(LEFT(Raw_Nigeria!E711,4))</f>
        <v>2021</v>
      </c>
      <c r="G711" s="7" t="n">
        <f aca="false">IF(VALUE(RIGHT(Raw_Nigeria!E711,2))&gt;12,"",VALUE(RIGHT(Raw_Nigeria!E711,2)))</f>
        <v>12</v>
      </c>
      <c r="H711" s="7" t="n">
        <f aca="false">Raw_Nigeria!F711</f>
        <v>2019</v>
      </c>
      <c r="I711" s="7" t="str">
        <f aca="false">UPPER(TRIM(Raw_Nigeria!G711))</f>
        <v>BCG</v>
      </c>
      <c r="J711" s="7" t="str">
        <f aca="false">Raw_Nigeria!H711</f>
        <v>Recall</v>
      </c>
      <c r="K711" s="7" t="str">
        <f aca="false">Raw_Nigeria!L711</f>
        <v>24-35 m</v>
      </c>
      <c r="L711" s="7" t="str">
        <f aca="false">IF(Raw_Nigeria!K711="","n/a",Raw_Nigeria!K711)</f>
        <v>0-35 m</v>
      </c>
      <c r="M711" s="7" t="str">
        <f aca="false">IF(Raw_Nigeria!I711="","",Raw_Nigeria!I711)</f>
        <v/>
      </c>
      <c r="N711" s="7" t="n">
        <f aca="false">Raw_Nigeria!M711</f>
        <v>29.4</v>
      </c>
      <c r="O711" s="7" t="n">
        <f aca="false">IF(Raw_Nigeria!N711="","",Raw_Nigeria!N711)</f>
        <v>3223</v>
      </c>
      <c r="P711" s="7" t="str">
        <f aca="false">IF(K711="CBAW","Women of child-bearing age","Children")</f>
        <v>Children</v>
      </c>
      <c r="Q711" s="7" t="n">
        <f aca="false">IF(J711="NOT USED",1,0)</f>
        <v>0</v>
      </c>
      <c r="R711" s="7" t="n">
        <f aca="false">IF(AND(P711="Children",Q711=0),1,0)</f>
        <v>1</v>
      </c>
      <c r="S711" s="7" t="n">
        <f aca="false">IF(AND(R711=1,J711="Record or Recall",K711="12-23 m"),1,0)</f>
        <v>0</v>
      </c>
      <c r="T711" s="7" t="n">
        <f aca="false">IF(OR(I711="BCG",I711="DTP1",I711="DTP3",I711="POL3",I711="MCV1",I711="FULL"),1,0)</f>
        <v>1</v>
      </c>
      <c r="U711" s="7" t="n">
        <f aca="false">IF(OR(C711="DHS",C711="MICS"),1,0)</f>
        <v>1</v>
      </c>
      <c r="V711" s="7" t="n">
        <f aca="false">IF(O711="",1,0)</f>
        <v>0</v>
      </c>
      <c r="W711" s="7" t="n">
        <f aca="false">IF(M711="",1,0)</f>
        <v>1</v>
      </c>
      <c r="X711" s="7" t="n">
        <f aca="false">COUNTIFS($B$2:$B$1141,B711,$H$2:$H$1141,H711,$I$2:$I$1141,I711,$J$2:$J$1141,J711,$K$2:$K$1141,K711,$L$2:$L$1141,L711)</f>
        <v>1</v>
      </c>
    </row>
    <row r="712" customFormat="false" ht="15" hidden="false" customHeight="false" outlineLevel="0" collapsed="false">
      <c r="A712" s="7" t="n">
        <f aca="false">ROW()-1</f>
        <v>711</v>
      </c>
      <c r="B712" s="7" t="str">
        <f aca="false">IF(Raw_Nigeria!B712="",TRIM(Raw_Nigeria!C712),TRIM(Raw_Nigeria!B712))</f>
        <v>Nigeria Multiple Indicator Cluster Survey 2021</v>
      </c>
      <c r="C712" s="7" t="str">
        <f aca="false">IF(ISNUMBER(SEARCH("Demographic and Health",B712)),"DHS",IF(OR(ISNUMBER(SEARCH("Multiple Indicator Cluster",B712)),ISNUMBER(SEARCH("MICS",B712))),"MICS",IF(ISNUMBER(SEARCH("Immunization Coverage Survey",B712)),"Coverage survey",IF(ISNUMBER(SEARCH("Nutrition",B712)),"Nutrition survey","Other"))))</f>
        <v>MICS</v>
      </c>
      <c r="D712" s="7" t="n">
        <f aca="false">VALUE(LEFT(Raw_Nigeria!D712,4))</f>
        <v>2021</v>
      </c>
      <c r="E712" s="7" t="n">
        <f aca="false">IF(VALUE(RIGHT(Raw_Nigeria!D712,2))&gt;12,"",VALUE(RIGHT(Raw_Nigeria!D712,2)))</f>
        <v>9</v>
      </c>
      <c r="F712" s="7" t="n">
        <f aca="false">VALUE(LEFT(Raw_Nigeria!E712,4))</f>
        <v>2021</v>
      </c>
      <c r="G712" s="7" t="n">
        <f aca="false">IF(VALUE(RIGHT(Raw_Nigeria!E712,2))&gt;12,"",VALUE(RIGHT(Raw_Nigeria!E712,2)))</f>
        <v>12</v>
      </c>
      <c r="H712" s="7" t="n">
        <f aca="false">Raw_Nigeria!F712</f>
        <v>2019</v>
      </c>
      <c r="I712" s="7" t="str">
        <f aca="false">UPPER(TRIM(Raw_Nigeria!G712))</f>
        <v>DTP1</v>
      </c>
      <c r="J712" s="7" t="str">
        <f aca="false">Raw_Nigeria!H712</f>
        <v>Record or Recall&lt;12m</v>
      </c>
      <c r="K712" s="7" t="str">
        <f aca="false">Raw_Nigeria!L712</f>
        <v>24-35 m</v>
      </c>
      <c r="L712" s="7" t="str">
        <f aca="false">IF(Raw_Nigeria!K712="","n/a",Raw_Nigeria!K712)</f>
        <v>0-12 m</v>
      </c>
      <c r="M712" s="7" t="str">
        <f aca="false">IF(Raw_Nigeria!I712="","",Raw_Nigeria!I712)</f>
        <v/>
      </c>
      <c r="N712" s="7" t="n">
        <f aca="false">Raw_Nigeria!M712</f>
        <v>68.5</v>
      </c>
      <c r="O712" s="7" t="str">
        <f aca="false">IF(Raw_Nigeria!N712="","",Raw_Nigeria!N712)</f>
        <v/>
      </c>
      <c r="P712" s="7" t="str">
        <f aca="false">IF(K712="CBAW","Women of child-bearing age","Children")</f>
        <v>Children</v>
      </c>
      <c r="Q712" s="7" t="n">
        <f aca="false">IF(J712="NOT USED",1,0)</f>
        <v>0</v>
      </c>
      <c r="R712" s="7" t="n">
        <f aca="false">IF(AND(P712="Children",Q712=0),1,0)</f>
        <v>1</v>
      </c>
      <c r="S712" s="7" t="n">
        <f aca="false">IF(AND(R712=1,J712="Record or Recall",K712="12-23 m"),1,0)</f>
        <v>0</v>
      </c>
      <c r="T712" s="7" t="n">
        <f aca="false">IF(OR(I712="BCG",I712="DTP1",I712="DTP3",I712="POL3",I712="MCV1",I712="FULL"),1,0)</f>
        <v>1</v>
      </c>
      <c r="U712" s="7" t="n">
        <f aca="false">IF(OR(C712="DHS",C712="MICS"),1,0)</f>
        <v>1</v>
      </c>
      <c r="V712" s="7" t="n">
        <f aca="false">IF(O712="",1,0)</f>
        <v>1</v>
      </c>
      <c r="W712" s="7" t="n">
        <f aca="false">IF(M712="",1,0)</f>
        <v>1</v>
      </c>
      <c r="X712" s="7" t="n">
        <f aca="false">COUNTIFS($B$2:$B$1141,B712,$H$2:$H$1141,H712,$I$2:$I$1141,I712,$J$2:$J$1141,J712,$K$2:$K$1141,K712,$L$2:$L$1141,L712)</f>
        <v>1</v>
      </c>
    </row>
    <row r="713" customFormat="false" ht="15" hidden="false" customHeight="false" outlineLevel="0" collapsed="false">
      <c r="A713" s="7" t="n">
        <f aca="false">ROW()-1</f>
        <v>712</v>
      </c>
      <c r="B713" s="7" t="str">
        <f aca="false">IF(Raw_Nigeria!B713="",TRIM(Raw_Nigeria!C713),TRIM(Raw_Nigeria!B713))</f>
        <v>Nigeria Multiple Indicator Cluster Survey 2021</v>
      </c>
      <c r="C713" s="7" t="str">
        <f aca="false">IF(ISNUMBER(SEARCH("Demographic and Health",B713)),"DHS",IF(OR(ISNUMBER(SEARCH("Multiple Indicator Cluster",B713)),ISNUMBER(SEARCH("MICS",B713))),"MICS",IF(ISNUMBER(SEARCH("Immunization Coverage Survey",B713)),"Coverage survey",IF(ISNUMBER(SEARCH("Nutrition",B713)),"Nutrition survey","Other"))))</f>
        <v>MICS</v>
      </c>
      <c r="D713" s="7" t="n">
        <f aca="false">VALUE(LEFT(Raw_Nigeria!D713,4))</f>
        <v>2021</v>
      </c>
      <c r="E713" s="7" t="n">
        <f aca="false">IF(VALUE(RIGHT(Raw_Nigeria!D713,2))&gt;12,"",VALUE(RIGHT(Raw_Nigeria!D713,2)))</f>
        <v>9</v>
      </c>
      <c r="F713" s="7" t="n">
        <f aca="false">VALUE(LEFT(Raw_Nigeria!E713,4))</f>
        <v>2021</v>
      </c>
      <c r="G713" s="7" t="n">
        <f aca="false">IF(VALUE(RIGHT(Raw_Nigeria!E713,2))&gt;12,"",VALUE(RIGHT(Raw_Nigeria!E713,2)))</f>
        <v>12</v>
      </c>
      <c r="H713" s="7" t="n">
        <f aca="false">Raw_Nigeria!F713</f>
        <v>2019</v>
      </c>
      <c r="I713" s="7" t="str">
        <f aca="false">UPPER(TRIM(Raw_Nigeria!G713))</f>
        <v>DTP1</v>
      </c>
      <c r="J713" s="7" t="str">
        <f aca="false">Raw_Nigeria!H713</f>
        <v>Record</v>
      </c>
      <c r="K713" s="7" t="str">
        <f aca="false">Raw_Nigeria!L713</f>
        <v>24-35 m</v>
      </c>
      <c r="L713" s="7" t="str">
        <f aca="false">IF(Raw_Nigeria!K713="","n/a",Raw_Nigeria!K713)</f>
        <v>0-35 m</v>
      </c>
      <c r="M713" s="7" t="str">
        <f aca="false">IF(Raw_Nigeria!I713="","",Raw_Nigeria!I713)</f>
        <v/>
      </c>
      <c r="N713" s="7" t="n">
        <f aca="false">Raw_Nigeria!M713</f>
        <v>45.3</v>
      </c>
      <c r="O713" s="7" t="n">
        <f aca="false">IF(Raw_Nigeria!N713="","",Raw_Nigeria!N713)</f>
        <v>2877</v>
      </c>
      <c r="P713" s="7" t="str">
        <f aca="false">IF(K713="CBAW","Women of child-bearing age","Children")</f>
        <v>Children</v>
      </c>
      <c r="Q713" s="7" t="n">
        <f aca="false">IF(J713="NOT USED",1,0)</f>
        <v>0</v>
      </c>
      <c r="R713" s="7" t="n">
        <f aca="false">IF(AND(P713="Children",Q713=0),1,0)</f>
        <v>1</v>
      </c>
      <c r="S713" s="7" t="n">
        <f aca="false">IF(AND(R713=1,J713="Record or Recall",K713="12-23 m"),1,0)</f>
        <v>0</v>
      </c>
      <c r="T713" s="7" t="n">
        <f aca="false">IF(OR(I713="BCG",I713="DTP1",I713="DTP3",I713="POL3",I713="MCV1",I713="FULL"),1,0)</f>
        <v>1</v>
      </c>
      <c r="U713" s="7" t="n">
        <f aca="false">IF(OR(C713="DHS",C713="MICS"),1,0)</f>
        <v>1</v>
      </c>
      <c r="V713" s="7" t="n">
        <f aca="false">IF(O713="",1,0)</f>
        <v>0</v>
      </c>
      <c r="W713" s="7" t="n">
        <f aca="false">IF(M713="",1,0)</f>
        <v>1</v>
      </c>
      <c r="X713" s="7" t="n">
        <f aca="false">COUNTIFS($B$2:$B$1141,B713,$H$2:$H$1141,H713,$I$2:$I$1141,I713,$J$2:$J$1141,J713,$K$2:$K$1141,K713,$L$2:$L$1141,L713)</f>
        <v>1</v>
      </c>
    </row>
    <row r="714" customFormat="false" ht="15" hidden="false" customHeight="false" outlineLevel="0" collapsed="false">
      <c r="A714" s="7" t="n">
        <f aca="false">ROW()-1</f>
        <v>713</v>
      </c>
      <c r="B714" s="7" t="str">
        <f aca="false">IF(Raw_Nigeria!B714="",TRIM(Raw_Nigeria!C714),TRIM(Raw_Nigeria!B714))</f>
        <v>Nigeria Multiple Indicator Cluster Survey 2021</v>
      </c>
      <c r="C714" s="7" t="str">
        <f aca="false">IF(ISNUMBER(SEARCH("Demographic and Health",B714)),"DHS",IF(OR(ISNUMBER(SEARCH("Multiple Indicator Cluster",B714)),ISNUMBER(SEARCH("MICS",B714))),"MICS",IF(ISNUMBER(SEARCH("Immunization Coverage Survey",B714)),"Coverage survey",IF(ISNUMBER(SEARCH("Nutrition",B714)),"Nutrition survey","Other"))))</f>
        <v>MICS</v>
      </c>
      <c r="D714" s="7" t="n">
        <f aca="false">VALUE(LEFT(Raw_Nigeria!D714,4))</f>
        <v>2021</v>
      </c>
      <c r="E714" s="7" t="n">
        <f aca="false">IF(VALUE(RIGHT(Raw_Nigeria!D714,2))&gt;12,"",VALUE(RIGHT(Raw_Nigeria!D714,2)))</f>
        <v>9</v>
      </c>
      <c r="F714" s="7" t="n">
        <f aca="false">VALUE(LEFT(Raw_Nigeria!E714,4))</f>
        <v>2021</v>
      </c>
      <c r="G714" s="7" t="n">
        <f aca="false">IF(VALUE(RIGHT(Raw_Nigeria!E714,2))&gt;12,"",VALUE(RIGHT(Raw_Nigeria!E714,2)))</f>
        <v>12</v>
      </c>
      <c r="H714" s="7" t="n">
        <f aca="false">Raw_Nigeria!F714</f>
        <v>2019</v>
      </c>
      <c r="I714" s="7" t="str">
        <f aca="false">UPPER(TRIM(Raw_Nigeria!G714))</f>
        <v>DTP1</v>
      </c>
      <c r="J714" s="7" t="str">
        <f aca="false">Raw_Nigeria!H714</f>
        <v>Record or Recall</v>
      </c>
      <c r="K714" s="7" t="str">
        <f aca="false">Raw_Nigeria!L714</f>
        <v>24-35 m</v>
      </c>
      <c r="L714" s="7" t="str">
        <f aca="false">IF(Raw_Nigeria!K714="","n/a",Raw_Nigeria!K714)</f>
        <v>0-35 m</v>
      </c>
      <c r="M714" s="7" t="str">
        <f aca="false">IF(Raw_Nigeria!I714="","",Raw_Nigeria!I714)</f>
        <v/>
      </c>
      <c r="N714" s="7" t="n">
        <f aca="false">Raw_Nigeria!M714</f>
        <v>72.3</v>
      </c>
      <c r="O714" s="7" t="n">
        <f aca="false">IF(Raw_Nigeria!N714="","",Raw_Nigeria!N714)</f>
        <v>6100</v>
      </c>
      <c r="P714" s="7" t="str">
        <f aca="false">IF(K714="CBAW","Women of child-bearing age","Children")</f>
        <v>Children</v>
      </c>
      <c r="Q714" s="7" t="n">
        <f aca="false">IF(J714="NOT USED",1,0)</f>
        <v>0</v>
      </c>
      <c r="R714" s="7" t="n">
        <f aca="false">IF(AND(P714="Children",Q714=0),1,0)</f>
        <v>1</v>
      </c>
      <c r="S714" s="7" t="n">
        <f aca="false">IF(AND(R714=1,J714="Record or Recall",K714="12-23 m"),1,0)</f>
        <v>0</v>
      </c>
      <c r="T714" s="7" t="n">
        <f aca="false">IF(OR(I714="BCG",I714="DTP1",I714="DTP3",I714="POL3",I714="MCV1",I714="FULL"),1,0)</f>
        <v>1</v>
      </c>
      <c r="U714" s="7" t="n">
        <f aca="false">IF(OR(C714="DHS",C714="MICS"),1,0)</f>
        <v>1</v>
      </c>
      <c r="V714" s="7" t="n">
        <f aca="false">IF(O714="",1,0)</f>
        <v>0</v>
      </c>
      <c r="W714" s="7" t="n">
        <f aca="false">IF(M714="",1,0)</f>
        <v>1</v>
      </c>
      <c r="X714" s="7" t="n">
        <f aca="false">COUNTIFS($B$2:$B$1141,B714,$H$2:$H$1141,H714,$I$2:$I$1141,I714,$J$2:$J$1141,J714,$K$2:$K$1141,K714,$L$2:$L$1141,L714)</f>
        <v>1</v>
      </c>
    </row>
    <row r="715" customFormat="false" ht="15" hidden="false" customHeight="false" outlineLevel="0" collapsed="false">
      <c r="A715" s="7" t="n">
        <f aca="false">ROW()-1</f>
        <v>714</v>
      </c>
      <c r="B715" s="7" t="str">
        <f aca="false">IF(Raw_Nigeria!B715="",TRIM(Raw_Nigeria!C715),TRIM(Raw_Nigeria!B715))</f>
        <v>Nigeria Multiple Indicator Cluster Survey 2021</v>
      </c>
      <c r="C715" s="7" t="str">
        <f aca="false">IF(ISNUMBER(SEARCH("Demographic and Health",B715)),"DHS",IF(OR(ISNUMBER(SEARCH("Multiple Indicator Cluster",B715)),ISNUMBER(SEARCH("MICS",B715))),"MICS",IF(ISNUMBER(SEARCH("Immunization Coverage Survey",B715)),"Coverage survey",IF(ISNUMBER(SEARCH("Nutrition",B715)),"Nutrition survey","Other"))))</f>
        <v>MICS</v>
      </c>
      <c r="D715" s="7" t="n">
        <f aca="false">VALUE(LEFT(Raw_Nigeria!D715,4))</f>
        <v>2021</v>
      </c>
      <c r="E715" s="7" t="n">
        <f aca="false">IF(VALUE(RIGHT(Raw_Nigeria!D715,2))&gt;12,"",VALUE(RIGHT(Raw_Nigeria!D715,2)))</f>
        <v>9</v>
      </c>
      <c r="F715" s="7" t="n">
        <f aca="false">VALUE(LEFT(Raw_Nigeria!E715,4))</f>
        <v>2021</v>
      </c>
      <c r="G715" s="7" t="n">
        <f aca="false">IF(VALUE(RIGHT(Raw_Nigeria!E715,2))&gt;12,"",VALUE(RIGHT(Raw_Nigeria!E715,2)))</f>
        <v>12</v>
      </c>
      <c r="H715" s="7" t="n">
        <f aca="false">Raw_Nigeria!F715</f>
        <v>2019</v>
      </c>
      <c r="I715" s="7" t="str">
        <f aca="false">UPPER(TRIM(Raw_Nigeria!G715))</f>
        <v>DTP1</v>
      </c>
      <c r="J715" s="7" t="str">
        <f aca="false">Raw_Nigeria!H715</f>
        <v>Recall</v>
      </c>
      <c r="K715" s="7" t="str">
        <f aca="false">Raw_Nigeria!L715</f>
        <v>24-35 m</v>
      </c>
      <c r="L715" s="7" t="str">
        <f aca="false">IF(Raw_Nigeria!K715="","n/a",Raw_Nigeria!K715)</f>
        <v>0-35 m</v>
      </c>
      <c r="M715" s="7" t="str">
        <f aca="false">IF(Raw_Nigeria!I715="","",Raw_Nigeria!I715)</f>
        <v/>
      </c>
      <c r="N715" s="7" t="n">
        <f aca="false">Raw_Nigeria!M715</f>
        <v>27</v>
      </c>
      <c r="O715" s="7" t="n">
        <f aca="false">IF(Raw_Nigeria!N715="","",Raw_Nigeria!N715)</f>
        <v>3223</v>
      </c>
      <c r="P715" s="7" t="str">
        <f aca="false">IF(K715="CBAW","Women of child-bearing age","Children")</f>
        <v>Children</v>
      </c>
      <c r="Q715" s="7" t="n">
        <f aca="false">IF(J715="NOT USED",1,0)</f>
        <v>0</v>
      </c>
      <c r="R715" s="7" t="n">
        <f aca="false">IF(AND(P715="Children",Q715=0),1,0)</f>
        <v>1</v>
      </c>
      <c r="S715" s="7" t="n">
        <f aca="false">IF(AND(R715=1,J715="Record or Recall",K715="12-23 m"),1,0)</f>
        <v>0</v>
      </c>
      <c r="T715" s="7" t="n">
        <f aca="false">IF(OR(I715="BCG",I715="DTP1",I715="DTP3",I715="POL3",I715="MCV1",I715="FULL"),1,0)</f>
        <v>1</v>
      </c>
      <c r="U715" s="7" t="n">
        <f aca="false">IF(OR(C715="DHS",C715="MICS"),1,0)</f>
        <v>1</v>
      </c>
      <c r="V715" s="7" t="n">
        <f aca="false">IF(O715="",1,0)</f>
        <v>0</v>
      </c>
      <c r="W715" s="7" t="n">
        <f aca="false">IF(M715="",1,0)</f>
        <v>1</v>
      </c>
      <c r="X715" s="7" t="n">
        <f aca="false">COUNTIFS($B$2:$B$1141,B715,$H$2:$H$1141,H715,$I$2:$I$1141,I715,$J$2:$J$1141,J715,$K$2:$K$1141,K715,$L$2:$L$1141,L715)</f>
        <v>1</v>
      </c>
    </row>
    <row r="716" customFormat="false" ht="15" hidden="false" customHeight="false" outlineLevel="0" collapsed="false">
      <c r="A716" s="7" t="n">
        <f aca="false">ROW()-1</f>
        <v>715</v>
      </c>
      <c r="B716" s="7" t="str">
        <f aca="false">IF(Raw_Nigeria!B716="",TRIM(Raw_Nigeria!C716),TRIM(Raw_Nigeria!B716))</f>
        <v>Nigeria Multiple Indicator Cluster Survey 2021</v>
      </c>
      <c r="C716" s="7" t="str">
        <f aca="false">IF(ISNUMBER(SEARCH("Demographic and Health",B716)),"DHS",IF(OR(ISNUMBER(SEARCH("Multiple Indicator Cluster",B716)),ISNUMBER(SEARCH("MICS",B716))),"MICS",IF(ISNUMBER(SEARCH("Immunization Coverage Survey",B716)),"Coverage survey",IF(ISNUMBER(SEARCH("Nutrition",B716)),"Nutrition survey","Other"))))</f>
        <v>MICS</v>
      </c>
      <c r="D716" s="7" t="n">
        <f aca="false">VALUE(LEFT(Raw_Nigeria!D716,4))</f>
        <v>2021</v>
      </c>
      <c r="E716" s="7" t="n">
        <f aca="false">IF(VALUE(RIGHT(Raw_Nigeria!D716,2))&gt;12,"",VALUE(RIGHT(Raw_Nigeria!D716,2)))</f>
        <v>9</v>
      </c>
      <c r="F716" s="7" t="n">
        <f aca="false">VALUE(LEFT(Raw_Nigeria!E716,4))</f>
        <v>2021</v>
      </c>
      <c r="G716" s="7" t="n">
        <f aca="false">IF(VALUE(RIGHT(Raw_Nigeria!E716,2))&gt;12,"",VALUE(RIGHT(Raw_Nigeria!E716,2)))</f>
        <v>12</v>
      </c>
      <c r="H716" s="7" t="n">
        <f aca="false">Raw_Nigeria!F716</f>
        <v>2019</v>
      </c>
      <c r="I716" s="7" t="str">
        <f aca="false">UPPER(TRIM(Raw_Nigeria!G716))</f>
        <v>DTP2</v>
      </c>
      <c r="J716" s="7" t="str">
        <f aca="false">Raw_Nigeria!H716</f>
        <v>Record or Recall&lt;12m</v>
      </c>
      <c r="K716" s="7" t="str">
        <f aca="false">Raw_Nigeria!L716</f>
        <v>24-35 m</v>
      </c>
      <c r="L716" s="7" t="str">
        <f aca="false">IF(Raw_Nigeria!K716="","n/a",Raw_Nigeria!K716)</f>
        <v>0-12 m</v>
      </c>
      <c r="M716" s="7" t="str">
        <f aca="false">IF(Raw_Nigeria!I716="","",Raw_Nigeria!I716)</f>
        <v/>
      </c>
      <c r="N716" s="7" t="n">
        <f aca="false">Raw_Nigeria!M716</f>
        <v>62.8</v>
      </c>
      <c r="O716" s="7" t="str">
        <f aca="false">IF(Raw_Nigeria!N716="","",Raw_Nigeria!N716)</f>
        <v/>
      </c>
      <c r="P716" s="7" t="str">
        <f aca="false">IF(K716="CBAW","Women of child-bearing age","Children")</f>
        <v>Children</v>
      </c>
      <c r="Q716" s="7" t="n">
        <f aca="false">IF(J716="NOT USED",1,0)</f>
        <v>0</v>
      </c>
      <c r="R716" s="7" t="n">
        <f aca="false">IF(AND(P716="Children",Q716=0),1,0)</f>
        <v>1</v>
      </c>
      <c r="S716" s="7" t="n">
        <f aca="false">IF(AND(R716=1,J716="Record or Recall",K716="12-23 m"),1,0)</f>
        <v>0</v>
      </c>
      <c r="T716" s="7" t="n">
        <f aca="false">IF(OR(I716="BCG",I716="DTP1",I716="DTP3",I716="POL3",I716="MCV1",I716="FULL"),1,0)</f>
        <v>0</v>
      </c>
      <c r="U716" s="7" t="n">
        <f aca="false">IF(OR(C716="DHS",C716="MICS"),1,0)</f>
        <v>1</v>
      </c>
      <c r="V716" s="7" t="n">
        <f aca="false">IF(O716="",1,0)</f>
        <v>1</v>
      </c>
      <c r="W716" s="7" t="n">
        <f aca="false">IF(M716="",1,0)</f>
        <v>1</v>
      </c>
      <c r="X716" s="7" t="n">
        <f aca="false">COUNTIFS($B$2:$B$1141,B716,$H$2:$H$1141,H716,$I$2:$I$1141,I716,$J$2:$J$1141,J716,$K$2:$K$1141,K716,$L$2:$L$1141,L716)</f>
        <v>1</v>
      </c>
    </row>
    <row r="717" customFormat="false" ht="15" hidden="false" customHeight="false" outlineLevel="0" collapsed="false">
      <c r="A717" s="7" t="n">
        <f aca="false">ROW()-1</f>
        <v>716</v>
      </c>
      <c r="B717" s="7" t="str">
        <f aca="false">IF(Raw_Nigeria!B717="",TRIM(Raw_Nigeria!C717),TRIM(Raw_Nigeria!B717))</f>
        <v>Nigeria Multiple Indicator Cluster Survey 2021</v>
      </c>
      <c r="C717" s="7" t="str">
        <f aca="false">IF(ISNUMBER(SEARCH("Demographic and Health",B717)),"DHS",IF(OR(ISNUMBER(SEARCH("Multiple Indicator Cluster",B717)),ISNUMBER(SEARCH("MICS",B717))),"MICS",IF(ISNUMBER(SEARCH("Immunization Coverage Survey",B717)),"Coverage survey",IF(ISNUMBER(SEARCH("Nutrition",B717)),"Nutrition survey","Other"))))</f>
        <v>MICS</v>
      </c>
      <c r="D717" s="7" t="n">
        <f aca="false">VALUE(LEFT(Raw_Nigeria!D717,4))</f>
        <v>2021</v>
      </c>
      <c r="E717" s="7" t="n">
        <f aca="false">IF(VALUE(RIGHT(Raw_Nigeria!D717,2))&gt;12,"",VALUE(RIGHT(Raw_Nigeria!D717,2)))</f>
        <v>9</v>
      </c>
      <c r="F717" s="7" t="n">
        <f aca="false">VALUE(LEFT(Raw_Nigeria!E717,4))</f>
        <v>2021</v>
      </c>
      <c r="G717" s="7" t="n">
        <f aca="false">IF(VALUE(RIGHT(Raw_Nigeria!E717,2))&gt;12,"",VALUE(RIGHT(Raw_Nigeria!E717,2)))</f>
        <v>12</v>
      </c>
      <c r="H717" s="7" t="n">
        <f aca="false">Raw_Nigeria!F717</f>
        <v>2019</v>
      </c>
      <c r="I717" s="7" t="str">
        <f aca="false">UPPER(TRIM(Raw_Nigeria!G717))</f>
        <v>DTP2</v>
      </c>
      <c r="J717" s="7" t="str">
        <f aca="false">Raw_Nigeria!H717</f>
        <v>Record</v>
      </c>
      <c r="K717" s="7" t="str">
        <f aca="false">Raw_Nigeria!L717</f>
        <v>24-35 m</v>
      </c>
      <c r="L717" s="7" t="str">
        <f aca="false">IF(Raw_Nigeria!K717="","n/a",Raw_Nigeria!K717)</f>
        <v>0-35 m</v>
      </c>
      <c r="M717" s="7" t="str">
        <f aca="false">IF(Raw_Nigeria!I717="","",Raw_Nigeria!I717)</f>
        <v/>
      </c>
      <c r="N717" s="7" t="n">
        <f aca="false">Raw_Nigeria!M717</f>
        <v>43.6</v>
      </c>
      <c r="O717" s="7" t="n">
        <f aca="false">IF(Raw_Nigeria!N717="","",Raw_Nigeria!N717)</f>
        <v>2877</v>
      </c>
      <c r="P717" s="7" t="str">
        <f aca="false">IF(K717="CBAW","Women of child-bearing age","Children")</f>
        <v>Children</v>
      </c>
      <c r="Q717" s="7" t="n">
        <f aca="false">IF(J717="NOT USED",1,0)</f>
        <v>0</v>
      </c>
      <c r="R717" s="7" t="n">
        <f aca="false">IF(AND(P717="Children",Q717=0),1,0)</f>
        <v>1</v>
      </c>
      <c r="S717" s="7" t="n">
        <f aca="false">IF(AND(R717=1,J717="Record or Recall",K717="12-23 m"),1,0)</f>
        <v>0</v>
      </c>
      <c r="T717" s="7" t="n">
        <f aca="false">IF(OR(I717="BCG",I717="DTP1",I717="DTP3",I717="POL3",I717="MCV1",I717="FULL"),1,0)</f>
        <v>0</v>
      </c>
      <c r="U717" s="7" t="n">
        <f aca="false">IF(OR(C717="DHS",C717="MICS"),1,0)</f>
        <v>1</v>
      </c>
      <c r="V717" s="7" t="n">
        <f aca="false">IF(O717="",1,0)</f>
        <v>0</v>
      </c>
      <c r="W717" s="7" t="n">
        <f aca="false">IF(M717="",1,0)</f>
        <v>1</v>
      </c>
      <c r="X717" s="7" t="n">
        <f aca="false">COUNTIFS($B$2:$B$1141,B717,$H$2:$H$1141,H717,$I$2:$I$1141,I717,$J$2:$J$1141,J717,$K$2:$K$1141,K717,$L$2:$L$1141,L717)</f>
        <v>1</v>
      </c>
    </row>
    <row r="718" customFormat="false" ht="15" hidden="false" customHeight="false" outlineLevel="0" collapsed="false">
      <c r="A718" s="7" t="n">
        <f aca="false">ROW()-1</f>
        <v>717</v>
      </c>
      <c r="B718" s="7" t="str">
        <f aca="false">IF(Raw_Nigeria!B718="",TRIM(Raw_Nigeria!C718),TRIM(Raw_Nigeria!B718))</f>
        <v>Nigeria Multiple Indicator Cluster Survey 2021</v>
      </c>
      <c r="C718" s="7" t="str">
        <f aca="false">IF(ISNUMBER(SEARCH("Demographic and Health",B718)),"DHS",IF(OR(ISNUMBER(SEARCH("Multiple Indicator Cluster",B718)),ISNUMBER(SEARCH("MICS",B718))),"MICS",IF(ISNUMBER(SEARCH("Immunization Coverage Survey",B718)),"Coverage survey",IF(ISNUMBER(SEARCH("Nutrition",B718)),"Nutrition survey","Other"))))</f>
        <v>MICS</v>
      </c>
      <c r="D718" s="7" t="n">
        <f aca="false">VALUE(LEFT(Raw_Nigeria!D718,4))</f>
        <v>2021</v>
      </c>
      <c r="E718" s="7" t="n">
        <f aca="false">IF(VALUE(RIGHT(Raw_Nigeria!D718,2))&gt;12,"",VALUE(RIGHT(Raw_Nigeria!D718,2)))</f>
        <v>9</v>
      </c>
      <c r="F718" s="7" t="n">
        <f aca="false">VALUE(LEFT(Raw_Nigeria!E718,4))</f>
        <v>2021</v>
      </c>
      <c r="G718" s="7" t="n">
        <f aca="false">IF(VALUE(RIGHT(Raw_Nigeria!E718,2))&gt;12,"",VALUE(RIGHT(Raw_Nigeria!E718,2)))</f>
        <v>12</v>
      </c>
      <c r="H718" s="7" t="n">
        <f aca="false">Raw_Nigeria!F718</f>
        <v>2019</v>
      </c>
      <c r="I718" s="7" t="str">
        <f aca="false">UPPER(TRIM(Raw_Nigeria!G718))</f>
        <v>DTP2</v>
      </c>
      <c r="J718" s="7" t="str">
        <f aca="false">Raw_Nigeria!H718</f>
        <v>Record or Recall</v>
      </c>
      <c r="K718" s="7" t="str">
        <f aca="false">Raw_Nigeria!L718</f>
        <v>24-35 m</v>
      </c>
      <c r="L718" s="7" t="str">
        <f aca="false">IF(Raw_Nigeria!K718="","n/a",Raw_Nigeria!K718)</f>
        <v>0-35 m</v>
      </c>
      <c r="M718" s="7" t="str">
        <f aca="false">IF(Raw_Nigeria!I718="","",Raw_Nigeria!I718)</f>
        <v/>
      </c>
      <c r="N718" s="7" t="n">
        <f aca="false">Raw_Nigeria!M718</f>
        <v>66.8</v>
      </c>
      <c r="O718" s="7" t="n">
        <f aca="false">IF(Raw_Nigeria!N718="","",Raw_Nigeria!N718)</f>
        <v>6100</v>
      </c>
      <c r="P718" s="7" t="str">
        <f aca="false">IF(K718="CBAW","Women of child-bearing age","Children")</f>
        <v>Children</v>
      </c>
      <c r="Q718" s="7" t="n">
        <f aca="false">IF(J718="NOT USED",1,0)</f>
        <v>0</v>
      </c>
      <c r="R718" s="7" t="n">
        <f aca="false">IF(AND(P718="Children",Q718=0),1,0)</f>
        <v>1</v>
      </c>
      <c r="S718" s="7" t="n">
        <f aca="false">IF(AND(R718=1,J718="Record or Recall",K718="12-23 m"),1,0)</f>
        <v>0</v>
      </c>
      <c r="T718" s="7" t="n">
        <f aca="false">IF(OR(I718="BCG",I718="DTP1",I718="DTP3",I718="POL3",I718="MCV1",I718="FULL"),1,0)</f>
        <v>0</v>
      </c>
      <c r="U718" s="7" t="n">
        <f aca="false">IF(OR(C718="DHS",C718="MICS"),1,0)</f>
        <v>1</v>
      </c>
      <c r="V718" s="7" t="n">
        <f aca="false">IF(O718="",1,0)</f>
        <v>0</v>
      </c>
      <c r="W718" s="7" t="n">
        <f aca="false">IF(M718="",1,0)</f>
        <v>1</v>
      </c>
      <c r="X718" s="7" t="n">
        <f aca="false">COUNTIFS($B$2:$B$1141,B718,$H$2:$H$1141,H718,$I$2:$I$1141,I718,$J$2:$J$1141,J718,$K$2:$K$1141,K718,$L$2:$L$1141,L718)</f>
        <v>1</v>
      </c>
    </row>
    <row r="719" customFormat="false" ht="15" hidden="false" customHeight="false" outlineLevel="0" collapsed="false">
      <c r="A719" s="7" t="n">
        <f aca="false">ROW()-1</f>
        <v>718</v>
      </c>
      <c r="B719" s="7" t="str">
        <f aca="false">IF(Raw_Nigeria!B719="",TRIM(Raw_Nigeria!C719),TRIM(Raw_Nigeria!B719))</f>
        <v>Nigeria Multiple Indicator Cluster Survey 2021</v>
      </c>
      <c r="C719" s="7" t="str">
        <f aca="false">IF(ISNUMBER(SEARCH("Demographic and Health",B719)),"DHS",IF(OR(ISNUMBER(SEARCH("Multiple Indicator Cluster",B719)),ISNUMBER(SEARCH("MICS",B719))),"MICS",IF(ISNUMBER(SEARCH("Immunization Coverage Survey",B719)),"Coverage survey",IF(ISNUMBER(SEARCH("Nutrition",B719)),"Nutrition survey","Other"))))</f>
        <v>MICS</v>
      </c>
      <c r="D719" s="7" t="n">
        <f aca="false">VALUE(LEFT(Raw_Nigeria!D719,4))</f>
        <v>2021</v>
      </c>
      <c r="E719" s="7" t="n">
        <f aca="false">IF(VALUE(RIGHT(Raw_Nigeria!D719,2))&gt;12,"",VALUE(RIGHT(Raw_Nigeria!D719,2)))</f>
        <v>9</v>
      </c>
      <c r="F719" s="7" t="n">
        <f aca="false">VALUE(LEFT(Raw_Nigeria!E719,4))</f>
        <v>2021</v>
      </c>
      <c r="G719" s="7" t="n">
        <f aca="false">IF(VALUE(RIGHT(Raw_Nigeria!E719,2))&gt;12,"",VALUE(RIGHT(Raw_Nigeria!E719,2)))</f>
        <v>12</v>
      </c>
      <c r="H719" s="7" t="n">
        <f aca="false">Raw_Nigeria!F719</f>
        <v>2019</v>
      </c>
      <c r="I719" s="7" t="str">
        <f aca="false">UPPER(TRIM(Raw_Nigeria!G719))</f>
        <v>DTP2</v>
      </c>
      <c r="J719" s="7" t="str">
        <f aca="false">Raw_Nigeria!H719</f>
        <v>Recall</v>
      </c>
      <c r="K719" s="7" t="str">
        <f aca="false">Raw_Nigeria!L719</f>
        <v>24-35 m</v>
      </c>
      <c r="L719" s="7" t="str">
        <f aca="false">IF(Raw_Nigeria!K719="","n/a",Raw_Nigeria!K719)</f>
        <v>0-35 m</v>
      </c>
      <c r="M719" s="7" t="str">
        <f aca="false">IF(Raw_Nigeria!I719="","",Raw_Nigeria!I719)</f>
        <v/>
      </c>
      <c r="N719" s="7" t="n">
        <f aca="false">Raw_Nigeria!M719</f>
        <v>23.1</v>
      </c>
      <c r="O719" s="7" t="n">
        <f aca="false">IF(Raw_Nigeria!N719="","",Raw_Nigeria!N719)</f>
        <v>3223</v>
      </c>
      <c r="P719" s="7" t="str">
        <f aca="false">IF(K719="CBAW","Women of child-bearing age","Children")</f>
        <v>Children</v>
      </c>
      <c r="Q719" s="7" t="n">
        <f aca="false">IF(J719="NOT USED",1,0)</f>
        <v>0</v>
      </c>
      <c r="R719" s="7" t="n">
        <f aca="false">IF(AND(P719="Children",Q719=0),1,0)</f>
        <v>1</v>
      </c>
      <c r="S719" s="7" t="n">
        <f aca="false">IF(AND(R719=1,J719="Record or Recall",K719="12-23 m"),1,0)</f>
        <v>0</v>
      </c>
      <c r="T719" s="7" t="n">
        <f aca="false">IF(OR(I719="BCG",I719="DTP1",I719="DTP3",I719="POL3",I719="MCV1",I719="FULL"),1,0)</f>
        <v>0</v>
      </c>
      <c r="U719" s="7" t="n">
        <f aca="false">IF(OR(C719="DHS",C719="MICS"),1,0)</f>
        <v>1</v>
      </c>
      <c r="V719" s="7" t="n">
        <f aca="false">IF(O719="",1,0)</f>
        <v>0</v>
      </c>
      <c r="W719" s="7" t="n">
        <f aca="false">IF(M719="",1,0)</f>
        <v>1</v>
      </c>
      <c r="X719" s="7" t="n">
        <f aca="false">COUNTIFS($B$2:$B$1141,B719,$H$2:$H$1141,H719,$I$2:$I$1141,I719,$J$2:$J$1141,J719,$K$2:$K$1141,K719,$L$2:$L$1141,L719)</f>
        <v>1</v>
      </c>
    </row>
    <row r="720" customFormat="false" ht="15" hidden="false" customHeight="false" outlineLevel="0" collapsed="false">
      <c r="A720" s="7" t="n">
        <f aca="false">ROW()-1</f>
        <v>719</v>
      </c>
      <c r="B720" s="7" t="str">
        <f aca="false">IF(Raw_Nigeria!B720="",TRIM(Raw_Nigeria!C720),TRIM(Raw_Nigeria!B720))</f>
        <v>Nigeria Multiple Indicator Cluster Survey 2021</v>
      </c>
      <c r="C720" s="7" t="str">
        <f aca="false">IF(ISNUMBER(SEARCH("Demographic and Health",B720)),"DHS",IF(OR(ISNUMBER(SEARCH("Multiple Indicator Cluster",B720)),ISNUMBER(SEARCH("MICS",B720))),"MICS",IF(ISNUMBER(SEARCH("Immunization Coverage Survey",B720)),"Coverage survey",IF(ISNUMBER(SEARCH("Nutrition",B720)),"Nutrition survey","Other"))))</f>
        <v>MICS</v>
      </c>
      <c r="D720" s="7" t="n">
        <f aca="false">VALUE(LEFT(Raw_Nigeria!D720,4))</f>
        <v>2021</v>
      </c>
      <c r="E720" s="7" t="n">
        <f aca="false">IF(VALUE(RIGHT(Raw_Nigeria!D720,2))&gt;12,"",VALUE(RIGHT(Raw_Nigeria!D720,2)))</f>
        <v>9</v>
      </c>
      <c r="F720" s="7" t="n">
        <f aca="false">VALUE(LEFT(Raw_Nigeria!E720,4))</f>
        <v>2021</v>
      </c>
      <c r="G720" s="7" t="n">
        <f aca="false">IF(VALUE(RIGHT(Raw_Nigeria!E720,2))&gt;12,"",VALUE(RIGHT(Raw_Nigeria!E720,2)))</f>
        <v>12</v>
      </c>
      <c r="H720" s="7" t="n">
        <f aca="false">Raw_Nigeria!F720</f>
        <v>2019</v>
      </c>
      <c r="I720" s="7" t="str">
        <f aca="false">UPPER(TRIM(Raw_Nigeria!G720))</f>
        <v>DTP3</v>
      </c>
      <c r="J720" s="7" t="str">
        <f aca="false">Raw_Nigeria!H720</f>
        <v>Record or Recall&lt;12m</v>
      </c>
      <c r="K720" s="7" t="str">
        <f aca="false">Raw_Nigeria!L720</f>
        <v>24-35 m</v>
      </c>
      <c r="L720" s="7" t="str">
        <f aca="false">IF(Raw_Nigeria!K720="","n/a",Raw_Nigeria!K720)</f>
        <v>0-12 m</v>
      </c>
      <c r="M720" s="7" t="str">
        <f aca="false">IF(Raw_Nigeria!I720="","",Raw_Nigeria!I720)</f>
        <v/>
      </c>
      <c r="N720" s="7" t="n">
        <f aca="false">Raw_Nigeria!M720</f>
        <v>54</v>
      </c>
      <c r="O720" s="7" t="str">
        <f aca="false">IF(Raw_Nigeria!N720="","",Raw_Nigeria!N720)</f>
        <v/>
      </c>
      <c r="P720" s="7" t="str">
        <f aca="false">IF(K720="CBAW","Women of child-bearing age","Children")</f>
        <v>Children</v>
      </c>
      <c r="Q720" s="7" t="n">
        <f aca="false">IF(J720="NOT USED",1,0)</f>
        <v>0</v>
      </c>
      <c r="R720" s="7" t="n">
        <f aca="false">IF(AND(P720="Children",Q720=0),1,0)</f>
        <v>1</v>
      </c>
      <c r="S720" s="7" t="n">
        <f aca="false">IF(AND(R720=1,J720="Record or Recall",K720="12-23 m"),1,0)</f>
        <v>0</v>
      </c>
      <c r="T720" s="7" t="n">
        <f aca="false">IF(OR(I720="BCG",I720="DTP1",I720="DTP3",I720="POL3",I720="MCV1",I720="FULL"),1,0)</f>
        <v>1</v>
      </c>
      <c r="U720" s="7" t="n">
        <f aca="false">IF(OR(C720="DHS",C720="MICS"),1,0)</f>
        <v>1</v>
      </c>
      <c r="V720" s="7" t="n">
        <f aca="false">IF(O720="",1,0)</f>
        <v>1</v>
      </c>
      <c r="W720" s="7" t="n">
        <f aca="false">IF(M720="",1,0)</f>
        <v>1</v>
      </c>
      <c r="X720" s="7" t="n">
        <f aca="false">COUNTIFS($B$2:$B$1141,B720,$H$2:$H$1141,H720,$I$2:$I$1141,I720,$J$2:$J$1141,J720,$K$2:$K$1141,K720,$L$2:$L$1141,L720)</f>
        <v>1</v>
      </c>
    </row>
    <row r="721" customFormat="false" ht="15" hidden="false" customHeight="false" outlineLevel="0" collapsed="false">
      <c r="A721" s="7" t="n">
        <f aca="false">ROW()-1</f>
        <v>720</v>
      </c>
      <c r="B721" s="7" t="str">
        <f aca="false">IF(Raw_Nigeria!B721="",TRIM(Raw_Nigeria!C721),TRIM(Raw_Nigeria!B721))</f>
        <v>Nigeria Multiple Indicator Cluster Survey 2021</v>
      </c>
      <c r="C721" s="7" t="str">
        <f aca="false">IF(ISNUMBER(SEARCH("Demographic and Health",B721)),"DHS",IF(OR(ISNUMBER(SEARCH("Multiple Indicator Cluster",B721)),ISNUMBER(SEARCH("MICS",B721))),"MICS",IF(ISNUMBER(SEARCH("Immunization Coverage Survey",B721)),"Coverage survey",IF(ISNUMBER(SEARCH("Nutrition",B721)),"Nutrition survey","Other"))))</f>
        <v>MICS</v>
      </c>
      <c r="D721" s="7" t="n">
        <f aca="false">VALUE(LEFT(Raw_Nigeria!D721,4))</f>
        <v>2021</v>
      </c>
      <c r="E721" s="7" t="n">
        <f aca="false">IF(VALUE(RIGHT(Raw_Nigeria!D721,2))&gt;12,"",VALUE(RIGHT(Raw_Nigeria!D721,2)))</f>
        <v>9</v>
      </c>
      <c r="F721" s="7" t="n">
        <f aca="false">VALUE(LEFT(Raw_Nigeria!E721,4))</f>
        <v>2021</v>
      </c>
      <c r="G721" s="7" t="n">
        <f aca="false">IF(VALUE(RIGHT(Raw_Nigeria!E721,2))&gt;12,"",VALUE(RIGHT(Raw_Nigeria!E721,2)))</f>
        <v>12</v>
      </c>
      <c r="H721" s="7" t="n">
        <f aca="false">Raw_Nigeria!F721</f>
        <v>2019</v>
      </c>
      <c r="I721" s="7" t="str">
        <f aca="false">UPPER(TRIM(Raw_Nigeria!G721))</f>
        <v>DTP3</v>
      </c>
      <c r="J721" s="7" t="str">
        <f aca="false">Raw_Nigeria!H721</f>
        <v>Record</v>
      </c>
      <c r="K721" s="7" t="str">
        <f aca="false">Raw_Nigeria!L721</f>
        <v>24-35 m</v>
      </c>
      <c r="L721" s="7" t="str">
        <f aca="false">IF(Raw_Nigeria!K721="","n/a",Raw_Nigeria!K721)</f>
        <v>0-35 m</v>
      </c>
      <c r="M721" s="7" t="str">
        <f aca="false">IF(Raw_Nigeria!I721="","",Raw_Nigeria!I721)</f>
        <v/>
      </c>
      <c r="N721" s="7" t="n">
        <f aca="false">Raw_Nigeria!M721</f>
        <v>41.2</v>
      </c>
      <c r="O721" s="7" t="n">
        <f aca="false">IF(Raw_Nigeria!N721="","",Raw_Nigeria!N721)</f>
        <v>2877</v>
      </c>
      <c r="P721" s="7" t="str">
        <f aca="false">IF(K721="CBAW","Women of child-bearing age","Children")</f>
        <v>Children</v>
      </c>
      <c r="Q721" s="7" t="n">
        <f aca="false">IF(J721="NOT USED",1,0)</f>
        <v>0</v>
      </c>
      <c r="R721" s="7" t="n">
        <f aca="false">IF(AND(P721="Children",Q721=0),1,0)</f>
        <v>1</v>
      </c>
      <c r="S721" s="7" t="n">
        <f aca="false">IF(AND(R721=1,J721="Record or Recall",K721="12-23 m"),1,0)</f>
        <v>0</v>
      </c>
      <c r="T721" s="7" t="n">
        <f aca="false">IF(OR(I721="BCG",I721="DTP1",I721="DTP3",I721="POL3",I721="MCV1",I721="FULL"),1,0)</f>
        <v>1</v>
      </c>
      <c r="U721" s="7" t="n">
        <f aca="false">IF(OR(C721="DHS",C721="MICS"),1,0)</f>
        <v>1</v>
      </c>
      <c r="V721" s="7" t="n">
        <f aca="false">IF(O721="",1,0)</f>
        <v>0</v>
      </c>
      <c r="W721" s="7" t="n">
        <f aca="false">IF(M721="",1,0)</f>
        <v>1</v>
      </c>
      <c r="X721" s="7" t="n">
        <f aca="false">COUNTIFS($B$2:$B$1141,B721,$H$2:$H$1141,H721,$I$2:$I$1141,I721,$J$2:$J$1141,J721,$K$2:$K$1141,K721,$L$2:$L$1141,L721)</f>
        <v>1</v>
      </c>
    </row>
    <row r="722" customFormat="false" ht="15" hidden="false" customHeight="false" outlineLevel="0" collapsed="false">
      <c r="A722" s="7" t="n">
        <f aca="false">ROW()-1</f>
        <v>721</v>
      </c>
      <c r="B722" s="7" t="str">
        <f aca="false">IF(Raw_Nigeria!B722="",TRIM(Raw_Nigeria!C722),TRIM(Raw_Nigeria!B722))</f>
        <v>Nigeria Multiple Indicator Cluster Survey 2021</v>
      </c>
      <c r="C722" s="7" t="str">
        <f aca="false">IF(ISNUMBER(SEARCH("Demographic and Health",B722)),"DHS",IF(OR(ISNUMBER(SEARCH("Multiple Indicator Cluster",B722)),ISNUMBER(SEARCH("MICS",B722))),"MICS",IF(ISNUMBER(SEARCH("Immunization Coverage Survey",B722)),"Coverage survey",IF(ISNUMBER(SEARCH("Nutrition",B722)),"Nutrition survey","Other"))))</f>
        <v>MICS</v>
      </c>
      <c r="D722" s="7" t="n">
        <f aca="false">VALUE(LEFT(Raw_Nigeria!D722,4))</f>
        <v>2021</v>
      </c>
      <c r="E722" s="7" t="n">
        <f aca="false">IF(VALUE(RIGHT(Raw_Nigeria!D722,2))&gt;12,"",VALUE(RIGHT(Raw_Nigeria!D722,2)))</f>
        <v>9</v>
      </c>
      <c r="F722" s="7" t="n">
        <f aca="false">VALUE(LEFT(Raw_Nigeria!E722,4))</f>
        <v>2021</v>
      </c>
      <c r="G722" s="7" t="n">
        <f aca="false">IF(VALUE(RIGHT(Raw_Nigeria!E722,2))&gt;12,"",VALUE(RIGHT(Raw_Nigeria!E722,2)))</f>
        <v>12</v>
      </c>
      <c r="H722" s="7" t="n">
        <f aca="false">Raw_Nigeria!F722</f>
        <v>2019</v>
      </c>
      <c r="I722" s="7" t="str">
        <f aca="false">UPPER(TRIM(Raw_Nigeria!G722))</f>
        <v>DTP3</v>
      </c>
      <c r="J722" s="7" t="str">
        <f aca="false">Raw_Nigeria!H722</f>
        <v>Record or Recall</v>
      </c>
      <c r="K722" s="7" t="str">
        <f aca="false">Raw_Nigeria!L722</f>
        <v>24-35 m</v>
      </c>
      <c r="L722" s="7" t="str">
        <f aca="false">IF(Raw_Nigeria!K722="","n/a",Raw_Nigeria!K722)</f>
        <v>0-35 m</v>
      </c>
      <c r="M722" s="7" t="str">
        <f aca="false">IF(Raw_Nigeria!I722="","",Raw_Nigeria!I722)</f>
        <v/>
      </c>
      <c r="N722" s="7" t="n">
        <f aca="false">Raw_Nigeria!M722</f>
        <v>57.9</v>
      </c>
      <c r="O722" s="7" t="n">
        <f aca="false">IF(Raw_Nigeria!N722="","",Raw_Nigeria!N722)</f>
        <v>6100</v>
      </c>
      <c r="P722" s="7" t="str">
        <f aca="false">IF(K722="CBAW","Women of child-bearing age","Children")</f>
        <v>Children</v>
      </c>
      <c r="Q722" s="7" t="n">
        <f aca="false">IF(J722="NOT USED",1,0)</f>
        <v>0</v>
      </c>
      <c r="R722" s="7" t="n">
        <f aca="false">IF(AND(P722="Children",Q722=0),1,0)</f>
        <v>1</v>
      </c>
      <c r="S722" s="7" t="n">
        <f aca="false">IF(AND(R722=1,J722="Record or Recall",K722="12-23 m"),1,0)</f>
        <v>0</v>
      </c>
      <c r="T722" s="7" t="n">
        <f aca="false">IF(OR(I722="BCG",I722="DTP1",I722="DTP3",I722="POL3",I722="MCV1",I722="FULL"),1,0)</f>
        <v>1</v>
      </c>
      <c r="U722" s="7" t="n">
        <f aca="false">IF(OR(C722="DHS",C722="MICS"),1,0)</f>
        <v>1</v>
      </c>
      <c r="V722" s="7" t="n">
        <f aca="false">IF(O722="",1,0)</f>
        <v>0</v>
      </c>
      <c r="W722" s="7" t="n">
        <f aca="false">IF(M722="",1,0)</f>
        <v>1</v>
      </c>
      <c r="X722" s="7" t="n">
        <f aca="false">COUNTIFS($B$2:$B$1141,B722,$H$2:$H$1141,H722,$I$2:$I$1141,I722,$J$2:$J$1141,J722,$K$2:$K$1141,K722,$L$2:$L$1141,L722)</f>
        <v>1</v>
      </c>
    </row>
    <row r="723" customFormat="false" ht="15" hidden="false" customHeight="false" outlineLevel="0" collapsed="false">
      <c r="A723" s="7" t="n">
        <f aca="false">ROW()-1</f>
        <v>722</v>
      </c>
      <c r="B723" s="7" t="str">
        <f aca="false">IF(Raw_Nigeria!B723="",TRIM(Raw_Nigeria!C723),TRIM(Raw_Nigeria!B723))</f>
        <v>Nigeria Multiple Indicator Cluster Survey 2021</v>
      </c>
      <c r="C723" s="7" t="str">
        <f aca="false">IF(ISNUMBER(SEARCH("Demographic and Health",B723)),"DHS",IF(OR(ISNUMBER(SEARCH("Multiple Indicator Cluster",B723)),ISNUMBER(SEARCH("MICS",B723))),"MICS",IF(ISNUMBER(SEARCH("Immunization Coverage Survey",B723)),"Coverage survey",IF(ISNUMBER(SEARCH("Nutrition",B723)),"Nutrition survey","Other"))))</f>
        <v>MICS</v>
      </c>
      <c r="D723" s="7" t="n">
        <f aca="false">VALUE(LEFT(Raw_Nigeria!D723,4))</f>
        <v>2021</v>
      </c>
      <c r="E723" s="7" t="n">
        <f aca="false">IF(VALUE(RIGHT(Raw_Nigeria!D723,2))&gt;12,"",VALUE(RIGHT(Raw_Nigeria!D723,2)))</f>
        <v>9</v>
      </c>
      <c r="F723" s="7" t="n">
        <f aca="false">VALUE(LEFT(Raw_Nigeria!E723,4))</f>
        <v>2021</v>
      </c>
      <c r="G723" s="7" t="n">
        <f aca="false">IF(VALUE(RIGHT(Raw_Nigeria!E723,2))&gt;12,"",VALUE(RIGHT(Raw_Nigeria!E723,2)))</f>
        <v>12</v>
      </c>
      <c r="H723" s="7" t="n">
        <f aca="false">Raw_Nigeria!F723</f>
        <v>2019</v>
      </c>
      <c r="I723" s="7" t="str">
        <f aca="false">UPPER(TRIM(Raw_Nigeria!G723))</f>
        <v>DTP3</v>
      </c>
      <c r="J723" s="7" t="str">
        <f aca="false">Raw_Nigeria!H723</f>
        <v>Recall</v>
      </c>
      <c r="K723" s="7" t="str">
        <f aca="false">Raw_Nigeria!L723</f>
        <v>24-35 m</v>
      </c>
      <c r="L723" s="7" t="str">
        <f aca="false">IF(Raw_Nigeria!K723="","n/a",Raw_Nigeria!K723)</f>
        <v>0-35 m</v>
      </c>
      <c r="M723" s="7" t="str">
        <f aca="false">IF(Raw_Nigeria!I723="","",Raw_Nigeria!I723)</f>
        <v/>
      </c>
      <c r="N723" s="7" t="n">
        <f aca="false">Raw_Nigeria!M723</f>
        <v>16.6</v>
      </c>
      <c r="O723" s="7" t="n">
        <f aca="false">IF(Raw_Nigeria!N723="","",Raw_Nigeria!N723)</f>
        <v>3223</v>
      </c>
      <c r="P723" s="7" t="str">
        <f aca="false">IF(K723="CBAW","Women of child-bearing age","Children")</f>
        <v>Children</v>
      </c>
      <c r="Q723" s="7" t="n">
        <f aca="false">IF(J723="NOT USED",1,0)</f>
        <v>0</v>
      </c>
      <c r="R723" s="7" t="n">
        <f aca="false">IF(AND(P723="Children",Q723=0),1,0)</f>
        <v>1</v>
      </c>
      <c r="S723" s="7" t="n">
        <f aca="false">IF(AND(R723=1,J723="Record or Recall",K723="12-23 m"),1,0)</f>
        <v>0</v>
      </c>
      <c r="T723" s="7" t="n">
        <f aca="false">IF(OR(I723="BCG",I723="DTP1",I723="DTP3",I723="POL3",I723="MCV1",I723="FULL"),1,0)</f>
        <v>1</v>
      </c>
      <c r="U723" s="7" t="n">
        <f aca="false">IF(OR(C723="DHS",C723="MICS"),1,0)</f>
        <v>1</v>
      </c>
      <c r="V723" s="7" t="n">
        <f aca="false">IF(O723="",1,0)</f>
        <v>0</v>
      </c>
      <c r="W723" s="7" t="n">
        <f aca="false">IF(M723="",1,0)</f>
        <v>1</v>
      </c>
      <c r="X723" s="7" t="n">
        <f aca="false">COUNTIFS($B$2:$B$1141,B723,$H$2:$H$1141,H723,$I$2:$I$1141,I723,$J$2:$J$1141,J723,$K$2:$K$1141,K723,$L$2:$L$1141,L723)</f>
        <v>1</v>
      </c>
    </row>
    <row r="724" customFormat="false" ht="15" hidden="false" customHeight="false" outlineLevel="0" collapsed="false">
      <c r="A724" s="7" t="n">
        <f aca="false">ROW()-1</f>
        <v>723</v>
      </c>
      <c r="B724" s="7" t="str">
        <f aca="false">IF(Raw_Nigeria!B724="",TRIM(Raw_Nigeria!C724),TRIM(Raw_Nigeria!B724))</f>
        <v>Nigeria Multiple Indicator Cluster Survey 2021</v>
      </c>
      <c r="C724" s="7" t="str">
        <f aca="false">IF(ISNUMBER(SEARCH("Demographic and Health",B724)),"DHS",IF(OR(ISNUMBER(SEARCH("Multiple Indicator Cluster",B724)),ISNUMBER(SEARCH("MICS",B724))),"MICS",IF(ISNUMBER(SEARCH("Immunization Coverage Survey",B724)),"Coverage survey",IF(ISNUMBER(SEARCH("Nutrition",B724)),"Nutrition survey","Other"))))</f>
        <v>MICS</v>
      </c>
      <c r="D724" s="7" t="n">
        <f aca="false">VALUE(LEFT(Raw_Nigeria!D724,4))</f>
        <v>2021</v>
      </c>
      <c r="E724" s="7" t="n">
        <f aca="false">IF(VALUE(RIGHT(Raw_Nigeria!D724,2))&gt;12,"",VALUE(RIGHT(Raw_Nigeria!D724,2)))</f>
        <v>9</v>
      </c>
      <c r="F724" s="7" t="n">
        <f aca="false">VALUE(LEFT(Raw_Nigeria!E724,4))</f>
        <v>2021</v>
      </c>
      <c r="G724" s="7" t="n">
        <f aca="false">IF(VALUE(RIGHT(Raw_Nigeria!E724,2))&gt;12,"",VALUE(RIGHT(Raw_Nigeria!E724,2)))</f>
        <v>12</v>
      </c>
      <c r="H724" s="7" t="n">
        <f aca="false">Raw_Nigeria!F724</f>
        <v>2019</v>
      </c>
      <c r="I724" s="7" t="str">
        <f aca="false">UPPER(TRIM(Raw_Nigeria!G724))</f>
        <v>FULL</v>
      </c>
      <c r="J724" s="7" t="str">
        <f aca="false">Raw_Nigeria!H724</f>
        <v>Record or Recall&lt;12m</v>
      </c>
      <c r="K724" s="7" t="str">
        <f aca="false">Raw_Nigeria!L724</f>
        <v>24-35 m</v>
      </c>
      <c r="L724" s="7" t="str">
        <f aca="false">IF(Raw_Nigeria!K724="","n/a",Raw_Nigeria!K724)</f>
        <v>0-12 m</v>
      </c>
      <c r="M724" s="7" t="str">
        <f aca="false">IF(Raw_Nigeria!I724="","",Raw_Nigeria!I724)</f>
        <v/>
      </c>
      <c r="N724" s="7" t="n">
        <f aca="false">Raw_Nigeria!M724</f>
        <v>32.5</v>
      </c>
      <c r="O724" s="7" t="str">
        <f aca="false">IF(Raw_Nigeria!N724="","",Raw_Nigeria!N724)</f>
        <v/>
      </c>
      <c r="P724" s="7" t="str">
        <f aca="false">IF(K724="CBAW","Women of child-bearing age","Children")</f>
        <v>Children</v>
      </c>
      <c r="Q724" s="7" t="n">
        <f aca="false">IF(J724="NOT USED",1,0)</f>
        <v>0</v>
      </c>
      <c r="R724" s="7" t="n">
        <f aca="false">IF(AND(P724="Children",Q724=0),1,0)</f>
        <v>1</v>
      </c>
      <c r="S724" s="7" t="n">
        <f aca="false">IF(AND(R724=1,J724="Record or Recall",K724="12-23 m"),1,0)</f>
        <v>0</v>
      </c>
      <c r="T724" s="7" t="n">
        <f aca="false">IF(OR(I724="BCG",I724="DTP1",I724="DTP3",I724="POL3",I724="MCV1",I724="FULL"),1,0)</f>
        <v>1</v>
      </c>
      <c r="U724" s="7" t="n">
        <f aca="false">IF(OR(C724="DHS",C724="MICS"),1,0)</f>
        <v>1</v>
      </c>
      <c r="V724" s="7" t="n">
        <f aca="false">IF(O724="",1,0)</f>
        <v>1</v>
      </c>
      <c r="W724" s="7" t="n">
        <f aca="false">IF(M724="",1,0)</f>
        <v>1</v>
      </c>
      <c r="X724" s="7" t="n">
        <f aca="false">COUNTIFS($B$2:$B$1141,B724,$H$2:$H$1141,H724,$I$2:$I$1141,I724,$J$2:$J$1141,J724,$K$2:$K$1141,K724,$L$2:$L$1141,L724)</f>
        <v>1</v>
      </c>
    </row>
    <row r="725" customFormat="false" ht="15" hidden="false" customHeight="false" outlineLevel="0" collapsed="false">
      <c r="A725" s="7" t="n">
        <f aca="false">ROW()-1</f>
        <v>724</v>
      </c>
      <c r="B725" s="7" t="str">
        <f aca="false">IF(Raw_Nigeria!B725="",TRIM(Raw_Nigeria!C725),TRIM(Raw_Nigeria!B725))</f>
        <v>Nigeria Multiple Indicator Cluster Survey 2021</v>
      </c>
      <c r="C725" s="7" t="str">
        <f aca="false">IF(ISNUMBER(SEARCH("Demographic and Health",B725)),"DHS",IF(OR(ISNUMBER(SEARCH("Multiple Indicator Cluster",B725)),ISNUMBER(SEARCH("MICS",B725))),"MICS",IF(ISNUMBER(SEARCH("Immunization Coverage Survey",B725)),"Coverage survey",IF(ISNUMBER(SEARCH("Nutrition",B725)),"Nutrition survey","Other"))))</f>
        <v>MICS</v>
      </c>
      <c r="D725" s="7" t="n">
        <f aca="false">VALUE(LEFT(Raw_Nigeria!D725,4))</f>
        <v>2021</v>
      </c>
      <c r="E725" s="7" t="n">
        <f aca="false">IF(VALUE(RIGHT(Raw_Nigeria!D725,2))&gt;12,"",VALUE(RIGHT(Raw_Nigeria!D725,2)))</f>
        <v>9</v>
      </c>
      <c r="F725" s="7" t="n">
        <f aca="false">VALUE(LEFT(Raw_Nigeria!E725,4))</f>
        <v>2021</v>
      </c>
      <c r="G725" s="7" t="n">
        <f aca="false">IF(VALUE(RIGHT(Raw_Nigeria!E725,2))&gt;12,"",VALUE(RIGHT(Raw_Nigeria!E725,2)))</f>
        <v>12</v>
      </c>
      <c r="H725" s="7" t="n">
        <f aca="false">Raw_Nigeria!F725</f>
        <v>2019</v>
      </c>
      <c r="I725" s="7" t="str">
        <f aca="false">UPPER(TRIM(Raw_Nigeria!G725))</f>
        <v>FULL</v>
      </c>
      <c r="J725" s="7" t="str">
        <f aca="false">Raw_Nigeria!H725</f>
        <v>Record</v>
      </c>
      <c r="K725" s="7" t="str">
        <f aca="false">Raw_Nigeria!L725</f>
        <v>24-35 m</v>
      </c>
      <c r="L725" s="7" t="str">
        <f aca="false">IF(Raw_Nigeria!K725="","n/a",Raw_Nigeria!K725)</f>
        <v>0-35 m</v>
      </c>
      <c r="M725" s="7" t="str">
        <f aca="false">IF(Raw_Nigeria!I725="","",Raw_Nigeria!I725)</f>
        <v/>
      </c>
      <c r="N725" s="7" t="n">
        <f aca="false">Raw_Nigeria!M725</f>
        <v>36.6</v>
      </c>
      <c r="O725" s="7" t="n">
        <f aca="false">IF(Raw_Nigeria!N725="","",Raw_Nigeria!N725)</f>
        <v>2877</v>
      </c>
      <c r="P725" s="7" t="str">
        <f aca="false">IF(K725="CBAW","Women of child-bearing age","Children")</f>
        <v>Children</v>
      </c>
      <c r="Q725" s="7" t="n">
        <f aca="false">IF(J725="NOT USED",1,0)</f>
        <v>0</v>
      </c>
      <c r="R725" s="7" t="n">
        <f aca="false">IF(AND(P725="Children",Q725=0),1,0)</f>
        <v>1</v>
      </c>
      <c r="S725" s="7" t="n">
        <f aca="false">IF(AND(R725=1,J725="Record or Recall",K725="12-23 m"),1,0)</f>
        <v>0</v>
      </c>
      <c r="T725" s="7" t="n">
        <f aca="false">IF(OR(I725="BCG",I725="DTP1",I725="DTP3",I725="POL3",I725="MCV1",I725="FULL"),1,0)</f>
        <v>1</v>
      </c>
      <c r="U725" s="7" t="n">
        <f aca="false">IF(OR(C725="DHS",C725="MICS"),1,0)</f>
        <v>1</v>
      </c>
      <c r="V725" s="7" t="n">
        <f aca="false">IF(O725="",1,0)</f>
        <v>0</v>
      </c>
      <c r="W725" s="7" t="n">
        <f aca="false">IF(M725="",1,0)</f>
        <v>1</v>
      </c>
      <c r="X725" s="7" t="n">
        <f aca="false">COUNTIFS($B$2:$B$1141,B725,$H$2:$H$1141,H725,$I$2:$I$1141,I725,$J$2:$J$1141,J725,$K$2:$K$1141,K725,$L$2:$L$1141,L725)</f>
        <v>1</v>
      </c>
    </row>
    <row r="726" customFormat="false" ht="15" hidden="false" customHeight="false" outlineLevel="0" collapsed="false">
      <c r="A726" s="7" t="n">
        <f aca="false">ROW()-1</f>
        <v>725</v>
      </c>
      <c r="B726" s="7" t="str">
        <f aca="false">IF(Raw_Nigeria!B726="",TRIM(Raw_Nigeria!C726),TRIM(Raw_Nigeria!B726))</f>
        <v>Nigeria Multiple Indicator Cluster Survey 2021</v>
      </c>
      <c r="C726" s="7" t="str">
        <f aca="false">IF(ISNUMBER(SEARCH("Demographic and Health",B726)),"DHS",IF(OR(ISNUMBER(SEARCH("Multiple Indicator Cluster",B726)),ISNUMBER(SEARCH("MICS",B726))),"MICS",IF(ISNUMBER(SEARCH("Immunization Coverage Survey",B726)),"Coverage survey",IF(ISNUMBER(SEARCH("Nutrition",B726)),"Nutrition survey","Other"))))</f>
        <v>MICS</v>
      </c>
      <c r="D726" s="7" t="n">
        <f aca="false">VALUE(LEFT(Raw_Nigeria!D726,4))</f>
        <v>2021</v>
      </c>
      <c r="E726" s="7" t="n">
        <f aca="false">IF(VALUE(RIGHT(Raw_Nigeria!D726,2))&gt;12,"",VALUE(RIGHT(Raw_Nigeria!D726,2)))</f>
        <v>9</v>
      </c>
      <c r="F726" s="7" t="n">
        <f aca="false">VALUE(LEFT(Raw_Nigeria!E726,4))</f>
        <v>2021</v>
      </c>
      <c r="G726" s="7" t="n">
        <f aca="false">IF(VALUE(RIGHT(Raw_Nigeria!E726,2))&gt;12,"",VALUE(RIGHT(Raw_Nigeria!E726,2)))</f>
        <v>12</v>
      </c>
      <c r="H726" s="7" t="n">
        <f aca="false">Raw_Nigeria!F726</f>
        <v>2019</v>
      </c>
      <c r="I726" s="7" t="str">
        <f aca="false">UPPER(TRIM(Raw_Nigeria!G726))</f>
        <v>FULL</v>
      </c>
      <c r="J726" s="7" t="str">
        <f aca="false">Raw_Nigeria!H726</f>
        <v>Record or Recall</v>
      </c>
      <c r="K726" s="7" t="str">
        <f aca="false">Raw_Nigeria!L726</f>
        <v>24-35 m</v>
      </c>
      <c r="L726" s="7" t="str">
        <f aca="false">IF(Raw_Nigeria!K726="","n/a",Raw_Nigeria!K726)</f>
        <v>0-35 m</v>
      </c>
      <c r="M726" s="7" t="str">
        <f aca="false">IF(Raw_Nigeria!I726="","",Raw_Nigeria!I726)</f>
        <v/>
      </c>
      <c r="N726" s="7" t="n">
        <f aca="false">Raw_Nigeria!M726</f>
        <v>44</v>
      </c>
      <c r="O726" s="7" t="n">
        <f aca="false">IF(Raw_Nigeria!N726="","",Raw_Nigeria!N726)</f>
        <v>6100</v>
      </c>
      <c r="P726" s="7" t="str">
        <f aca="false">IF(K726="CBAW","Women of child-bearing age","Children")</f>
        <v>Children</v>
      </c>
      <c r="Q726" s="7" t="n">
        <f aca="false">IF(J726="NOT USED",1,0)</f>
        <v>0</v>
      </c>
      <c r="R726" s="7" t="n">
        <f aca="false">IF(AND(P726="Children",Q726=0),1,0)</f>
        <v>1</v>
      </c>
      <c r="S726" s="7" t="n">
        <f aca="false">IF(AND(R726=1,J726="Record or Recall",K726="12-23 m"),1,0)</f>
        <v>0</v>
      </c>
      <c r="T726" s="7" t="n">
        <f aca="false">IF(OR(I726="BCG",I726="DTP1",I726="DTP3",I726="POL3",I726="MCV1",I726="FULL"),1,0)</f>
        <v>1</v>
      </c>
      <c r="U726" s="7" t="n">
        <f aca="false">IF(OR(C726="DHS",C726="MICS"),1,0)</f>
        <v>1</v>
      </c>
      <c r="V726" s="7" t="n">
        <f aca="false">IF(O726="",1,0)</f>
        <v>0</v>
      </c>
      <c r="W726" s="7" t="n">
        <f aca="false">IF(M726="",1,0)</f>
        <v>1</v>
      </c>
      <c r="X726" s="7" t="n">
        <f aca="false">COUNTIFS($B$2:$B$1141,B726,$H$2:$H$1141,H726,$I$2:$I$1141,I726,$J$2:$J$1141,J726,$K$2:$K$1141,K726,$L$2:$L$1141,L726)</f>
        <v>1</v>
      </c>
    </row>
    <row r="727" customFormat="false" ht="15" hidden="false" customHeight="false" outlineLevel="0" collapsed="false">
      <c r="A727" s="7" t="n">
        <f aca="false">ROW()-1</f>
        <v>726</v>
      </c>
      <c r="B727" s="7" t="str">
        <f aca="false">IF(Raw_Nigeria!B727="",TRIM(Raw_Nigeria!C727),TRIM(Raw_Nigeria!B727))</f>
        <v>Nigeria Multiple Indicator Cluster Survey 2021</v>
      </c>
      <c r="C727" s="7" t="str">
        <f aca="false">IF(ISNUMBER(SEARCH("Demographic and Health",B727)),"DHS",IF(OR(ISNUMBER(SEARCH("Multiple Indicator Cluster",B727)),ISNUMBER(SEARCH("MICS",B727))),"MICS",IF(ISNUMBER(SEARCH("Immunization Coverage Survey",B727)),"Coverage survey",IF(ISNUMBER(SEARCH("Nutrition",B727)),"Nutrition survey","Other"))))</f>
        <v>MICS</v>
      </c>
      <c r="D727" s="7" t="n">
        <f aca="false">VALUE(LEFT(Raw_Nigeria!D727,4))</f>
        <v>2021</v>
      </c>
      <c r="E727" s="7" t="n">
        <f aca="false">IF(VALUE(RIGHT(Raw_Nigeria!D727,2))&gt;12,"",VALUE(RIGHT(Raw_Nigeria!D727,2)))</f>
        <v>9</v>
      </c>
      <c r="F727" s="7" t="n">
        <f aca="false">VALUE(LEFT(Raw_Nigeria!E727,4))</f>
        <v>2021</v>
      </c>
      <c r="G727" s="7" t="n">
        <f aca="false">IF(VALUE(RIGHT(Raw_Nigeria!E727,2))&gt;12,"",VALUE(RIGHT(Raw_Nigeria!E727,2)))</f>
        <v>12</v>
      </c>
      <c r="H727" s="7" t="n">
        <f aca="false">Raw_Nigeria!F727</f>
        <v>2019</v>
      </c>
      <c r="I727" s="7" t="str">
        <f aca="false">UPPER(TRIM(Raw_Nigeria!G727))</f>
        <v>FULL</v>
      </c>
      <c r="J727" s="7" t="str">
        <f aca="false">Raw_Nigeria!H727</f>
        <v>Recall</v>
      </c>
      <c r="K727" s="7" t="str">
        <f aca="false">Raw_Nigeria!L727</f>
        <v>24-35 m</v>
      </c>
      <c r="L727" s="7" t="str">
        <f aca="false">IF(Raw_Nigeria!K727="","n/a",Raw_Nigeria!K727)</f>
        <v>0-35 m</v>
      </c>
      <c r="M727" s="7" t="str">
        <f aca="false">IF(Raw_Nigeria!I727="","",Raw_Nigeria!I727)</f>
        <v/>
      </c>
      <c r="N727" s="7" t="n">
        <f aca="false">Raw_Nigeria!M727</f>
        <v>5.5</v>
      </c>
      <c r="O727" s="7" t="n">
        <f aca="false">IF(Raw_Nigeria!N727="","",Raw_Nigeria!N727)</f>
        <v>3223</v>
      </c>
      <c r="P727" s="7" t="str">
        <f aca="false">IF(K727="CBAW","Women of child-bearing age","Children")</f>
        <v>Children</v>
      </c>
      <c r="Q727" s="7" t="n">
        <f aca="false">IF(J727="NOT USED",1,0)</f>
        <v>0</v>
      </c>
      <c r="R727" s="7" t="n">
        <f aca="false">IF(AND(P727="Children",Q727=0),1,0)</f>
        <v>1</v>
      </c>
      <c r="S727" s="7" t="n">
        <f aca="false">IF(AND(R727=1,J727="Record or Recall",K727="12-23 m"),1,0)</f>
        <v>0</v>
      </c>
      <c r="T727" s="7" t="n">
        <f aca="false">IF(OR(I727="BCG",I727="DTP1",I727="DTP3",I727="POL3",I727="MCV1",I727="FULL"),1,0)</f>
        <v>1</v>
      </c>
      <c r="U727" s="7" t="n">
        <f aca="false">IF(OR(C727="DHS",C727="MICS"),1,0)</f>
        <v>1</v>
      </c>
      <c r="V727" s="7" t="n">
        <f aca="false">IF(O727="",1,0)</f>
        <v>0</v>
      </c>
      <c r="W727" s="7" t="n">
        <f aca="false">IF(M727="",1,0)</f>
        <v>1</v>
      </c>
      <c r="X727" s="7" t="n">
        <f aca="false">COUNTIFS($B$2:$B$1141,B727,$H$2:$H$1141,H727,$I$2:$I$1141,I727,$J$2:$J$1141,J727,$K$2:$K$1141,K727,$L$2:$L$1141,L727)</f>
        <v>1</v>
      </c>
    </row>
    <row r="728" customFormat="false" ht="15" hidden="false" customHeight="false" outlineLevel="0" collapsed="false">
      <c r="A728" s="7" t="n">
        <f aca="false">ROW()-1</f>
        <v>727</v>
      </c>
      <c r="B728" s="7" t="str">
        <f aca="false">IF(Raw_Nigeria!B728="",TRIM(Raw_Nigeria!C728),TRIM(Raw_Nigeria!B728))</f>
        <v>Nigeria Multiple Indicator Cluster Survey 2021</v>
      </c>
      <c r="C728" s="7" t="str">
        <f aca="false">IF(ISNUMBER(SEARCH("Demographic and Health",B728)),"DHS",IF(OR(ISNUMBER(SEARCH("Multiple Indicator Cluster",B728)),ISNUMBER(SEARCH("MICS",B728))),"MICS",IF(ISNUMBER(SEARCH("Immunization Coverage Survey",B728)),"Coverage survey",IF(ISNUMBER(SEARCH("Nutrition",B728)),"Nutrition survey","Other"))))</f>
        <v>MICS</v>
      </c>
      <c r="D728" s="7" t="n">
        <f aca="false">VALUE(LEFT(Raw_Nigeria!D728,4))</f>
        <v>2021</v>
      </c>
      <c r="E728" s="7" t="n">
        <f aca="false">IF(VALUE(RIGHT(Raw_Nigeria!D728,2))&gt;12,"",VALUE(RIGHT(Raw_Nigeria!D728,2)))</f>
        <v>9</v>
      </c>
      <c r="F728" s="7" t="n">
        <f aca="false">VALUE(LEFT(Raw_Nigeria!E728,4))</f>
        <v>2021</v>
      </c>
      <c r="G728" s="7" t="n">
        <f aca="false">IF(VALUE(RIGHT(Raw_Nigeria!E728,2))&gt;12,"",VALUE(RIGHT(Raw_Nigeria!E728,2)))</f>
        <v>12</v>
      </c>
      <c r="H728" s="7" t="n">
        <f aca="false">Raw_Nigeria!F728</f>
        <v>2019</v>
      </c>
      <c r="I728" s="7" t="str">
        <f aca="false">UPPER(TRIM(Raw_Nigeria!G728))</f>
        <v>HEPB1</v>
      </c>
      <c r="J728" s="7" t="str">
        <f aca="false">Raw_Nigeria!H728</f>
        <v>Record or Recall&lt;12m</v>
      </c>
      <c r="K728" s="7" t="str">
        <f aca="false">Raw_Nigeria!L728</f>
        <v>24-35 m</v>
      </c>
      <c r="L728" s="7" t="str">
        <f aca="false">IF(Raw_Nigeria!K728="","n/a",Raw_Nigeria!K728)</f>
        <v>0-12 m</v>
      </c>
      <c r="M728" s="7" t="str">
        <f aca="false">IF(Raw_Nigeria!I728="","",Raw_Nigeria!I728)</f>
        <v/>
      </c>
      <c r="N728" s="7" t="n">
        <f aca="false">Raw_Nigeria!M728</f>
        <v>68.5</v>
      </c>
      <c r="O728" s="7" t="str">
        <f aca="false">IF(Raw_Nigeria!N728="","",Raw_Nigeria!N728)</f>
        <v/>
      </c>
      <c r="P728" s="7" t="str">
        <f aca="false">IF(K728="CBAW","Women of child-bearing age","Children")</f>
        <v>Children</v>
      </c>
      <c r="Q728" s="7" t="n">
        <f aca="false">IF(J728="NOT USED",1,0)</f>
        <v>0</v>
      </c>
      <c r="R728" s="7" t="n">
        <f aca="false">IF(AND(P728="Children",Q728=0),1,0)</f>
        <v>1</v>
      </c>
      <c r="S728" s="7" t="n">
        <f aca="false">IF(AND(R728=1,J728="Record or Recall",K728="12-23 m"),1,0)</f>
        <v>0</v>
      </c>
      <c r="T728" s="7" t="n">
        <f aca="false">IF(OR(I728="BCG",I728="DTP1",I728="DTP3",I728="POL3",I728="MCV1",I728="FULL"),1,0)</f>
        <v>0</v>
      </c>
      <c r="U728" s="7" t="n">
        <f aca="false">IF(OR(C728="DHS",C728="MICS"),1,0)</f>
        <v>1</v>
      </c>
      <c r="V728" s="7" t="n">
        <f aca="false">IF(O728="",1,0)</f>
        <v>1</v>
      </c>
      <c r="W728" s="7" t="n">
        <f aca="false">IF(M728="",1,0)</f>
        <v>1</v>
      </c>
      <c r="X728" s="7" t="n">
        <f aca="false">COUNTIFS($B$2:$B$1141,B728,$H$2:$H$1141,H728,$I$2:$I$1141,I728,$J$2:$J$1141,J728,$K$2:$K$1141,K728,$L$2:$L$1141,L728)</f>
        <v>1</v>
      </c>
    </row>
    <row r="729" customFormat="false" ht="15" hidden="false" customHeight="false" outlineLevel="0" collapsed="false">
      <c r="A729" s="7" t="n">
        <f aca="false">ROW()-1</f>
        <v>728</v>
      </c>
      <c r="B729" s="7" t="str">
        <f aca="false">IF(Raw_Nigeria!B729="",TRIM(Raw_Nigeria!C729),TRIM(Raw_Nigeria!B729))</f>
        <v>Nigeria Multiple Indicator Cluster Survey 2021</v>
      </c>
      <c r="C729" s="7" t="str">
        <f aca="false">IF(ISNUMBER(SEARCH("Demographic and Health",B729)),"DHS",IF(OR(ISNUMBER(SEARCH("Multiple Indicator Cluster",B729)),ISNUMBER(SEARCH("MICS",B729))),"MICS",IF(ISNUMBER(SEARCH("Immunization Coverage Survey",B729)),"Coverage survey",IF(ISNUMBER(SEARCH("Nutrition",B729)),"Nutrition survey","Other"))))</f>
        <v>MICS</v>
      </c>
      <c r="D729" s="7" t="n">
        <f aca="false">VALUE(LEFT(Raw_Nigeria!D729,4))</f>
        <v>2021</v>
      </c>
      <c r="E729" s="7" t="n">
        <f aca="false">IF(VALUE(RIGHT(Raw_Nigeria!D729,2))&gt;12,"",VALUE(RIGHT(Raw_Nigeria!D729,2)))</f>
        <v>9</v>
      </c>
      <c r="F729" s="7" t="n">
        <f aca="false">VALUE(LEFT(Raw_Nigeria!E729,4))</f>
        <v>2021</v>
      </c>
      <c r="G729" s="7" t="n">
        <f aca="false">IF(VALUE(RIGHT(Raw_Nigeria!E729,2))&gt;12,"",VALUE(RIGHT(Raw_Nigeria!E729,2)))</f>
        <v>12</v>
      </c>
      <c r="H729" s="7" t="n">
        <f aca="false">Raw_Nigeria!F729</f>
        <v>2019</v>
      </c>
      <c r="I729" s="7" t="str">
        <f aca="false">UPPER(TRIM(Raw_Nigeria!G729))</f>
        <v>HEPB1</v>
      </c>
      <c r="J729" s="7" t="str">
        <f aca="false">Raw_Nigeria!H729</f>
        <v>Record</v>
      </c>
      <c r="K729" s="7" t="str">
        <f aca="false">Raw_Nigeria!L729</f>
        <v>24-35 m</v>
      </c>
      <c r="L729" s="7" t="str">
        <f aca="false">IF(Raw_Nigeria!K729="","n/a",Raw_Nigeria!K729)</f>
        <v>0-35 m</v>
      </c>
      <c r="M729" s="7" t="str">
        <f aca="false">IF(Raw_Nigeria!I729="","",Raw_Nigeria!I729)</f>
        <v/>
      </c>
      <c r="N729" s="7" t="n">
        <f aca="false">Raw_Nigeria!M729</f>
        <v>45.3</v>
      </c>
      <c r="O729" s="7" t="n">
        <f aca="false">IF(Raw_Nigeria!N729="","",Raw_Nigeria!N729)</f>
        <v>2877</v>
      </c>
      <c r="P729" s="7" t="str">
        <f aca="false">IF(K729="CBAW","Women of child-bearing age","Children")</f>
        <v>Children</v>
      </c>
      <c r="Q729" s="7" t="n">
        <f aca="false">IF(J729="NOT USED",1,0)</f>
        <v>0</v>
      </c>
      <c r="R729" s="7" t="n">
        <f aca="false">IF(AND(P729="Children",Q729=0),1,0)</f>
        <v>1</v>
      </c>
      <c r="S729" s="7" t="n">
        <f aca="false">IF(AND(R729=1,J729="Record or Recall",K729="12-23 m"),1,0)</f>
        <v>0</v>
      </c>
      <c r="T729" s="7" t="n">
        <f aca="false">IF(OR(I729="BCG",I729="DTP1",I729="DTP3",I729="POL3",I729="MCV1",I729="FULL"),1,0)</f>
        <v>0</v>
      </c>
      <c r="U729" s="7" t="n">
        <f aca="false">IF(OR(C729="DHS",C729="MICS"),1,0)</f>
        <v>1</v>
      </c>
      <c r="V729" s="7" t="n">
        <f aca="false">IF(O729="",1,0)</f>
        <v>0</v>
      </c>
      <c r="W729" s="7" t="n">
        <f aca="false">IF(M729="",1,0)</f>
        <v>1</v>
      </c>
      <c r="X729" s="7" t="n">
        <f aca="false">COUNTIFS($B$2:$B$1141,B729,$H$2:$H$1141,H729,$I$2:$I$1141,I729,$J$2:$J$1141,J729,$K$2:$K$1141,K729,$L$2:$L$1141,L729)</f>
        <v>1</v>
      </c>
    </row>
    <row r="730" customFormat="false" ht="15" hidden="false" customHeight="false" outlineLevel="0" collapsed="false">
      <c r="A730" s="7" t="n">
        <f aca="false">ROW()-1</f>
        <v>729</v>
      </c>
      <c r="B730" s="7" t="str">
        <f aca="false">IF(Raw_Nigeria!B730="",TRIM(Raw_Nigeria!C730),TRIM(Raw_Nigeria!B730))</f>
        <v>Nigeria Multiple Indicator Cluster Survey 2021</v>
      </c>
      <c r="C730" s="7" t="str">
        <f aca="false">IF(ISNUMBER(SEARCH("Demographic and Health",B730)),"DHS",IF(OR(ISNUMBER(SEARCH("Multiple Indicator Cluster",B730)),ISNUMBER(SEARCH("MICS",B730))),"MICS",IF(ISNUMBER(SEARCH("Immunization Coverage Survey",B730)),"Coverage survey",IF(ISNUMBER(SEARCH("Nutrition",B730)),"Nutrition survey","Other"))))</f>
        <v>MICS</v>
      </c>
      <c r="D730" s="7" t="n">
        <f aca="false">VALUE(LEFT(Raw_Nigeria!D730,4))</f>
        <v>2021</v>
      </c>
      <c r="E730" s="7" t="n">
        <f aca="false">IF(VALUE(RIGHT(Raw_Nigeria!D730,2))&gt;12,"",VALUE(RIGHT(Raw_Nigeria!D730,2)))</f>
        <v>9</v>
      </c>
      <c r="F730" s="7" t="n">
        <f aca="false">VALUE(LEFT(Raw_Nigeria!E730,4))</f>
        <v>2021</v>
      </c>
      <c r="G730" s="7" t="n">
        <f aca="false">IF(VALUE(RIGHT(Raw_Nigeria!E730,2))&gt;12,"",VALUE(RIGHT(Raw_Nigeria!E730,2)))</f>
        <v>12</v>
      </c>
      <c r="H730" s="7" t="n">
        <f aca="false">Raw_Nigeria!F730</f>
        <v>2019</v>
      </c>
      <c r="I730" s="7" t="str">
        <f aca="false">UPPER(TRIM(Raw_Nigeria!G730))</f>
        <v>HEPB1</v>
      </c>
      <c r="J730" s="7" t="str">
        <f aca="false">Raw_Nigeria!H730</f>
        <v>Record or Recall</v>
      </c>
      <c r="K730" s="7" t="str">
        <f aca="false">Raw_Nigeria!L730</f>
        <v>24-35 m</v>
      </c>
      <c r="L730" s="7" t="str">
        <f aca="false">IF(Raw_Nigeria!K730="","n/a",Raw_Nigeria!K730)</f>
        <v>0-35 m</v>
      </c>
      <c r="M730" s="7" t="str">
        <f aca="false">IF(Raw_Nigeria!I730="","",Raw_Nigeria!I730)</f>
        <v/>
      </c>
      <c r="N730" s="7" t="n">
        <f aca="false">Raw_Nigeria!M730</f>
        <v>72.3</v>
      </c>
      <c r="O730" s="7" t="n">
        <f aca="false">IF(Raw_Nigeria!N730="","",Raw_Nigeria!N730)</f>
        <v>6100</v>
      </c>
      <c r="P730" s="7" t="str">
        <f aca="false">IF(K730="CBAW","Women of child-bearing age","Children")</f>
        <v>Children</v>
      </c>
      <c r="Q730" s="7" t="n">
        <f aca="false">IF(J730="NOT USED",1,0)</f>
        <v>0</v>
      </c>
      <c r="R730" s="7" t="n">
        <f aca="false">IF(AND(P730="Children",Q730=0),1,0)</f>
        <v>1</v>
      </c>
      <c r="S730" s="7" t="n">
        <f aca="false">IF(AND(R730=1,J730="Record or Recall",K730="12-23 m"),1,0)</f>
        <v>0</v>
      </c>
      <c r="T730" s="7" t="n">
        <f aca="false">IF(OR(I730="BCG",I730="DTP1",I730="DTP3",I730="POL3",I730="MCV1",I730="FULL"),1,0)</f>
        <v>0</v>
      </c>
      <c r="U730" s="7" t="n">
        <f aca="false">IF(OR(C730="DHS",C730="MICS"),1,0)</f>
        <v>1</v>
      </c>
      <c r="V730" s="7" t="n">
        <f aca="false">IF(O730="",1,0)</f>
        <v>0</v>
      </c>
      <c r="W730" s="7" t="n">
        <f aca="false">IF(M730="",1,0)</f>
        <v>1</v>
      </c>
      <c r="X730" s="7" t="n">
        <f aca="false">COUNTIFS($B$2:$B$1141,B730,$H$2:$H$1141,H730,$I$2:$I$1141,I730,$J$2:$J$1141,J730,$K$2:$K$1141,K730,$L$2:$L$1141,L730)</f>
        <v>1</v>
      </c>
    </row>
    <row r="731" customFormat="false" ht="15" hidden="false" customHeight="false" outlineLevel="0" collapsed="false">
      <c r="A731" s="7" t="n">
        <f aca="false">ROW()-1</f>
        <v>730</v>
      </c>
      <c r="B731" s="7" t="str">
        <f aca="false">IF(Raw_Nigeria!B731="",TRIM(Raw_Nigeria!C731),TRIM(Raw_Nigeria!B731))</f>
        <v>Nigeria Multiple Indicator Cluster Survey 2021</v>
      </c>
      <c r="C731" s="7" t="str">
        <f aca="false">IF(ISNUMBER(SEARCH("Demographic and Health",B731)),"DHS",IF(OR(ISNUMBER(SEARCH("Multiple Indicator Cluster",B731)),ISNUMBER(SEARCH("MICS",B731))),"MICS",IF(ISNUMBER(SEARCH("Immunization Coverage Survey",B731)),"Coverage survey",IF(ISNUMBER(SEARCH("Nutrition",B731)),"Nutrition survey","Other"))))</f>
        <v>MICS</v>
      </c>
      <c r="D731" s="7" t="n">
        <f aca="false">VALUE(LEFT(Raw_Nigeria!D731,4))</f>
        <v>2021</v>
      </c>
      <c r="E731" s="7" t="n">
        <f aca="false">IF(VALUE(RIGHT(Raw_Nigeria!D731,2))&gt;12,"",VALUE(RIGHT(Raw_Nigeria!D731,2)))</f>
        <v>9</v>
      </c>
      <c r="F731" s="7" t="n">
        <f aca="false">VALUE(LEFT(Raw_Nigeria!E731,4))</f>
        <v>2021</v>
      </c>
      <c r="G731" s="7" t="n">
        <f aca="false">IF(VALUE(RIGHT(Raw_Nigeria!E731,2))&gt;12,"",VALUE(RIGHT(Raw_Nigeria!E731,2)))</f>
        <v>12</v>
      </c>
      <c r="H731" s="7" t="n">
        <f aca="false">Raw_Nigeria!F731</f>
        <v>2019</v>
      </c>
      <c r="I731" s="7" t="str">
        <f aca="false">UPPER(TRIM(Raw_Nigeria!G731))</f>
        <v>HEPB1</v>
      </c>
      <c r="J731" s="7" t="str">
        <f aca="false">Raw_Nigeria!H731</f>
        <v>Recall</v>
      </c>
      <c r="K731" s="7" t="str">
        <f aca="false">Raw_Nigeria!L731</f>
        <v>24-35 m</v>
      </c>
      <c r="L731" s="7" t="str">
        <f aca="false">IF(Raw_Nigeria!K731="","n/a",Raw_Nigeria!K731)</f>
        <v>0-35 m</v>
      </c>
      <c r="M731" s="7" t="str">
        <f aca="false">IF(Raw_Nigeria!I731="","",Raw_Nigeria!I731)</f>
        <v/>
      </c>
      <c r="N731" s="7" t="n">
        <f aca="false">Raw_Nigeria!M731</f>
        <v>27</v>
      </c>
      <c r="O731" s="7" t="n">
        <f aca="false">IF(Raw_Nigeria!N731="","",Raw_Nigeria!N731)</f>
        <v>3223</v>
      </c>
      <c r="P731" s="7" t="str">
        <f aca="false">IF(K731="CBAW","Women of child-bearing age","Children")</f>
        <v>Children</v>
      </c>
      <c r="Q731" s="7" t="n">
        <f aca="false">IF(J731="NOT USED",1,0)</f>
        <v>0</v>
      </c>
      <c r="R731" s="7" t="n">
        <f aca="false">IF(AND(P731="Children",Q731=0),1,0)</f>
        <v>1</v>
      </c>
      <c r="S731" s="7" t="n">
        <f aca="false">IF(AND(R731=1,J731="Record or Recall",K731="12-23 m"),1,0)</f>
        <v>0</v>
      </c>
      <c r="T731" s="7" t="n">
        <f aca="false">IF(OR(I731="BCG",I731="DTP1",I731="DTP3",I731="POL3",I731="MCV1",I731="FULL"),1,0)</f>
        <v>0</v>
      </c>
      <c r="U731" s="7" t="n">
        <f aca="false">IF(OR(C731="DHS",C731="MICS"),1,0)</f>
        <v>1</v>
      </c>
      <c r="V731" s="7" t="n">
        <f aca="false">IF(O731="",1,0)</f>
        <v>0</v>
      </c>
      <c r="W731" s="7" t="n">
        <f aca="false">IF(M731="",1,0)</f>
        <v>1</v>
      </c>
      <c r="X731" s="7" t="n">
        <f aca="false">COUNTIFS($B$2:$B$1141,B731,$H$2:$H$1141,H731,$I$2:$I$1141,I731,$J$2:$J$1141,J731,$K$2:$K$1141,K731,$L$2:$L$1141,L731)</f>
        <v>1</v>
      </c>
    </row>
    <row r="732" customFormat="false" ht="15" hidden="false" customHeight="false" outlineLevel="0" collapsed="false">
      <c r="A732" s="7" t="n">
        <f aca="false">ROW()-1</f>
        <v>731</v>
      </c>
      <c r="B732" s="7" t="str">
        <f aca="false">IF(Raw_Nigeria!B732="",TRIM(Raw_Nigeria!C732),TRIM(Raw_Nigeria!B732))</f>
        <v>Nigeria Multiple Indicator Cluster Survey 2021</v>
      </c>
      <c r="C732" s="7" t="str">
        <f aca="false">IF(ISNUMBER(SEARCH("Demographic and Health",B732)),"DHS",IF(OR(ISNUMBER(SEARCH("Multiple Indicator Cluster",B732)),ISNUMBER(SEARCH("MICS",B732))),"MICS",IF(ISNUMBER(SEARCH("Immunization Coverage Survey",B732)),"Coverage survey",IF(ISNUMBER(SEARCH("Nutrition",B732)),"Nutrition survey","Other"))))</f>
        <v>MICS</v>
      </c>
      <c r="D732" s="7" t="n">
        <f aca="false">VALUE(LEFT(Raw_Nigeria!D732,4))</f>
        <v>2021</v>
      </c>
      <c r="E732" s="7" t="n">
        <f aca="false">IF(VALUE(RIGHT(Raw_Nigeria!D732,2))&gt;12,"",VALUE(RIGHT(Raw_Nigeria!D732,2)))</f>
        <v>9</v>
      </c>
      <c r="F732" s="7" t="n">
        <f aca="false">VALUE(LEFT(Raw_Nigeria!E732,4))</f>
        <v>2021</v>
      </c>
      <c r="G732" s="7" t="n">
        <f aca="false">IF(VALUE(RIGHT(Raw_Nigeria!E732,2))&gt;12,"",VALUE(RIGHT(Raw_Nigeria!E732,2)))</f>
        <v>12</v>
      </c>
      <c r="H732" s="7" t="n">
        <f aca="false">Raw_Nigeria!F732</f>
        <v>2019</v>
      </c>
      <c r="I732" s="7" t="str">
        <f aca="false">UPPER(TRIM(Raw_Nigeria!G732))</f>
        <v>HEPB2</v>
      </c>
      <c r="J732" s="7" t="str">
        <f aca="false">Raw_Nigeria!H732</f>
        <v>Record or Recall&lt;12m</v>
      </c>
      <c r="K732" s="7" t="str">
        <f aca="false">Raw_Nigeria!L732</f>
        <v>24-35 m</v>
      </c>
      <c r="L732" s="7" t="str">
        <f aca="false">IF(Raw_Nigeria!K732="","n/a",Raw_Nigeria!K732)</f>
        <v>0-12 m</v>
      </c>
      <c r="M732" s="7" t="str">
        <f aca="false">IF(Raw_Nigeria!I732="","",Raw_Nigeria!I732)</f>
        <v/>
      </c>
      <c r="N732" s="7" t="n">
        <f aca="false">Raw_Nigeria!M732</f>
        <v>62.8</v>
      </c>
      <c r="O732" s="7" t="str">
        <f aca="false">IF(Raw_Nigeria!N732="","",Raw_Nigeria!N732)</f>
        <v/>
      </c>
      <c r="P732" s="7" t="str">
        <f aca="false">IF(K732="CBAW","Women of child-bearing age","Children")</f>
        <v>Children</v>
      </c>
      <c r="Q732" s="7" t="n">
        <f aca="false">IF(J732="NOT USED",1,0)</f>
        <v>0</v>
      </c>
      <c r="R732" s="7" t="n">
        <f aca="false">IF(AND(P732="Children",Q732=0),1,0)</f>
        <v>1</v>
      </c>
      <c r="S732" s="7" t="n">
        <f aca="false">IF(AND(R732=1,J732="Record or Recall",K732="12-23 m"),1,0)</f>
        <v>0</v>
      </c>
      <c r="T732" s="7" t="n">
        <f aca="false">IF(OR(I732="BCG",I732="DTP1",I732="DTP3",I732="POL3",I732="MCV1",I732="FULL"),1,0)</f>
        <v>0</v>
      </c>
      <c r="U732" s="7" t="n">
        <f aca="false">IF(OR(C732="DHS",C732="MICS"),1,0)</f>
        <v>1</v>
      </c>
      <c r="V732" s="7" t="n">
        <f aca="false">IF(O732="",1,0)</f>
        <v>1</v>
      </c>
      <c r="W732" s="7" t="n">
        <f aca="false">IF(M732="",1,0)</f>
        <v>1</v>
      </c>
      <c r="X732" s="7" t="n">
        <f aca="false">COUNTIFS($B$2:$B$1141,B732,$H$2:$H$1141,H732,$I$2:$I$1141,I732,$J$2:$J$1141,J732,$K$2:$K$1141,K732,$L$2:$L$1141,L732)</f>
        <v>1</v>
      </c>
    </row>
    <row r="733" customFormat="false" ht="15" hidden="false" customHeight="false" outlineLevel="0" collapsed="false">
      <c r="A733" s="7" t="n">
        <f aca="false">ROW()-1</f>
        <v>732</v>
      </c>
      <c r="B733" s="7" t="str">
        <f aca="false">IF(Raw_Nigeria!B733="",TRIM(Raw_Nigeria!C733),TRIM(Raw_Nigeria!B733))</f>
        <v>Nigeria Multiple Indicator Cluster Survey 2021</v>
      </c>
      <c r="C733" s="7" t="str">
        <f aca="false">IF(ISNUMBER(SEARCH("Demographic and Health",B733)),"DHS",IF(OR(ISNUMBER(SEARCH("Multiple Indicator Cluster",B733)),ISNUMBER(SEARCH("MICS",B733))),"MICS",IF(ISNUMBER(SEARCH("Immunization Coverage Survey",B733)),"Coverage survey",IF(ISNUMBER(SEARCH("Nutrition",B733)),"Nutrition survey","Other"))))</f>
        <v>MICS</v>
      </c>
      <c r="D733" s="7" t="n">
        <f aca="false">VALUE(LEFT(Raw_Nigeria!D733,4))</f>
        <v>2021</v>
      </c>
      <c r="E733" s="7" t="n">
        <f aca="false">IF(VALUE(RIGHT(Raw_Nigeria!D733,2))&gt;12,"",VALUE(RIGHT(Raw_Nigeria!D733,2)))</f>
        <v>9</v>
      </c>
      <c r="F733" s="7" t="n">
        <f aca="false">VALUE(LEFT(Raw_Nigeria!E733,4))</f>
        <v>2021</v>
      </c>
      <c r="G733" s="7" t="n">
        <f aca="false">IF(VALUE(RIGHT(Raw_Nigeria!E733,2))&gt;12,"",VALUE(RIGHT(Raw_Nigeria!E733,2)))</f>
        <v>12</v>
      </c>
      <c r="H733" s="7" t="n">
        <f aca="false">Raw_Nigeria!F733</f>
        <v>2019</v>
      </c>
      <c r="I733" s="7" t="str">
        <f aca="false">UPPER(TRIM(Raw_Nigeria!G733))</f>
        <v>HEPB2</v>
      </c>
      <c r="J733" s="7" t="str">
        <f aca="false">Raw_Nigeria!H733</f>
        <v>Record</v>
      </c>
      <c r="K733" s="7" t="str">
        <f aca="false">Raw_Nigeria!L733</f>
        <v>24-35 m</v>
      </c>
      <c r="L733" s="7" t="str">
        <f aca="false">IF(Raw_Nigeria!K733="","n/a",Raw_Nigeria!K733)</f>
        <v>0-35 m</v>
      </c>
      <c r="M733" s="7" t="str">
        <f aca="false">IF(Raw_Nigeria!I733="","",Raw_Nigeria!I733)</f>
        <v/>
      </c>
      <c r="N733" s="7" t="n">
        <f aca="false">Raw_Nigeria!M733</f>
        <v>43.6</v>
      </c>
      <c r="O733" s="7" t="n">
        <f aca="false">IF(Raw_Nigeria!N733="","",Raw_Nigeria!N733)</f>
        <v>2877</v>
      </c>
      <c r="P733" s="7" t="str">
        <f aca="false">IF(K733="CBAW","Women of child-bearing age","Children")</f>
        <v>Children</v>
      </c>
      <c r="Q733" s="7" t="n">
        <f aca="false">IF(J733="NOT USED",1,0)</f>
        <v>0</v>
      </c>
      <c r="R733" s="7" t="n">
        <f aca="false">IF(AND(P733="Children",Q733=0),1,0)</f>
        <v>1</v>
      </c>
      <c r="S733" s="7" t="n">
        <f aca="false">IF(AND(R733=1,J733="Record or Recall",K733="12-23 m"),1,0)</f>
        <v>0</v>
      </c>
      <c r="T733" s="7" t="n">
        <f aca="false">IF(OR(I733="BCG",I733="DTP1",I733="DTP3",I733="POL3",I733="MCV1",I733="FULL"),1,0)</f>
        <v>0</v>
      </c>
      <c r="U733" s="7" t="n">
        <f aca="false">IF(OR(C733="DHS",C733="MICS"),1,0)</f>
        <v>1</v>
      </c>
      <c r="V733" s="7" t="n">
        <f aca="false">IF(O733="",1,0)</f>
        <v>0</v>
      </c>
      <c r="W733" s="7" t="n">
        <f aca="false">IF(M733="",1,0)</f>
        <v>1</v>
      </c>
      <c r="X733" s="7" t="n">
        <f aca="false">COUNTIFS($B$2:$B$1141,B733,$H$2:$H$1141,H733,$I$2:$I$1141,I733,$J$2:$J$1141,J733,$K$2:$K$1141,K733,$L$2:$L$1141,L733)</f>
        <v>1</v>
      </c>
    </row>
    <row r="734" customFormat="false" ht="15" hidden="false" customHeight="false" outlineLevel="0" collapsed="false">
      <c r="A734" s="7" t="n">
        <f aca="false">ROW()-1</f>
        <v>733</v>
      </c>
      <c r="B734" s="7" t="str">
        <f aca="false">IF(Raw_Nigeria!B734="",TRIM(Raw_Nigeria!C734),TRIM(Raw_Nigeria!B734))</f>
        <v>Nigeria Multiple Indicator Cluster Survey 2021</v>
      </c>
      <c r="C734" s="7" t="str">
        <f aca="false">IF(ISNUMBER(SEARCH("Demographic and Health",B734)),"DHS",IF(OR(ISNUMBER(SEARCH("Multiple Indicator Cluster",B734)),ISNUMBER(SEARCH("MICS",B734))),"MICS",IF(ISNUMBER(SEARCH("Immunization Coverage Survey",B734)),"Coverage survey",IF(ISNUMBER(SEARCH("Nutrition",B734)),"Nutrition survey","Other"))))</f>
        <v>MICS</v>
      </c>
      <c r="D734" s="7" t="n">
        <f aca="false">VALUE(LEFT(Raw_Nigeria!D734,4))</f>
        <v>2021</v>
      </c>
      <c r="E734" s="7" t="n">
        <f aca="false">IF(VALUE(RIGHT(Raw_Nigeria!D734,2))&gt;12,"",VALUE(RIGHT(Raw_Nigeria!D734,2)))</f>
        <v>9</v>
      </c>
      <c r="F734" s="7" t="n">
        <f aca="false">VALUE(LEFT(Raw_Nigeria!E734,4))</f>
        <v>2021</v>
      </c>
      <c r="G734" s="7" t="n">
        <f aca="false">IF(VALUE(RIGHT(Raw_Nigeria!E734,2))&gt;12,"",VALUE(RIGHT(Raw_Nigeria!E734,2)))</f>
        <v>12</v>
      </c>
      <c r="H734" s="7" t="n">
        <f aca="false">Raw_Nigeria!F734</f>
        <v>2019</v>
      </c>
      <c r="I734" s="7" t="str">
        <f aca="false">UPPER(TRIM(Raw_Nigeria!G734))</f>
        <v>HEPB2</v>
      </c>
      <c r="J734" s="7" t="str">
        <f aca="false">Raw_Nigeria!H734</f>
        <v>Record or Recall</v>
      </c>
      <c r="K734" s="7" t="str">
        <f aca="false">Raw_Nigeria!L734</f>
        <v>24-35 m</v>
      </c>
      <c r="L734" s="7" t="str">
        <f aca="false">IF(Raw_Nigeria!K734="","n/a",Raw_Nigeria!K734)</f>
        <v>0-35 m</v>
      </c>
      <c r="M734" s="7" t="str">
        <f aca="false">IF(Raw_Nigeria!I734="","",Raw_Nigeria!I734)</f>
        <v/>
      </c>
      <c r="N734" s="7" t="n">
        <f aca="false">Raw_Nigeria!M734</f>
        <v>66.8</v>
      </c>
      <c r="O734" s="7" t="n">
        <f aca="false">IF(Raw_Nigeria!N734="","",Raw_Nigeria!N734)</f>
        <v>6100</v>
      </c>
      <c r="P734" s="7" t="str">
        <f aca="false">IF(K734="CBAW","Women of child-bearing age","Children")</f>
        <v>Children</v>
      </c>
      <c r="Q734" s="7" t="n">
        <f aca="false">IF(J734="NOT USED",1,0)</f>
        <v>0</v>
      </c>
      <c r="R734" s="7" t="n">
        <f aca="false">IF(AND(P734="Children",Q734=0),1,0)</f>
        <v>1</v>
      </c>
      <c r="S734" s="7" t="n">
        <f aca="false">IF(AND(R734=1,J734="Record or Recall",K734="12-23 m"),1,0)</f>
        <v>0</v>
      </c>
      <c r="T734" s="7" t="n">
        <f aca="false">IF(OR(I734="BCG",I734="DTP1",I734="DTP3",I734="POL3",I734="MCV1",I734="FULL"),1,0)</f>
        <v>0</v>
      </c>
      <c r="U734" s="7" t="n">
        <f aca="false">IF(OR(C734="DHS",C734="MICS"),1,0)</f>
        <v>1</v>
      </c>
      <c r="V734" s="7" t="n">
        <f aca="false">IF(O734="",1,0)</f>
        <v>0</v>
      </c>
      <c r="W734" s="7" t="n">
        <f aca="false">IF(M734="",1,0)</f>
        <v>1</v>
      </c>
      <c r="X734" s="7" t="n">
        <f aca="false">COUNTIFS($B$2:$B$1141,B734,$H$2:$H$1141,H734,$I$2:$I$1141,I734,$J$2:$J$1141,J734,$K$2:$K$1141,K734,$L$2:$L$1141,L734)</f>
        <v>1</v>
      </c>
    </row>
    <row r="735" customFormat="false" ht="15" hidden="false" customHeight="false" outlineLevel="0" collapsed="false">
      <c r="A735" s="7" t="n">
        <f aca="false">ROW()-1</f>
        <v>734</v>
      </c>
      <c r="B735" s="7" t="str">
        <f aca="false">IF(Raw_Nigeria!B735="",TRIM(Raw_Nigeria!C735),TRIM(Raw_Nigeria!B735))</f>
        <v>Nigeria Multiple Indicator Cluster Survey 2021</v>
      </c>
      <c r="C735" s="7" t="str">
        <f aca="false">IF(ISNUMBER(SEARCH("Demographic and Health",B735)),"DHS",IF(OR(ISNUMBER(SEARCH("Multiple Indicator Cluster",B735)),ISNUMBER(SEARCH("MICS",B735))),"MICS",IF(ISNUMBER(SEARCH("Immunization Coverage Survey",B735)),"Coverage survey",IF(ISNUMBER(SEARCH("Nutrition",B735)),"Nutrition survey","Other"))))</f>
        <v>MICS</v>
      </c>
      <c r="D735" s="7" t="n">
        <f aca="false">VALUE(LEFT(Raw_Nigeria!D735,4))</f>
        <v>2021</v>
      </c>
      <c r="E735" s="7" t="n">
        <f aca="false">IF(VALUE(RIGHT(Raw_Nigeria!D735,2))&gt;12,"",VALUE(RIGHT(Raw_Nigeria!D735,2)))</f>
        <v>9</v>
      </c>
      <c r="F735" s="7" t="n">
        <f aca="false">VALUE(LEFT(Raw_Nigeria!E735,4))</f>
        <v>2021</v>
      </c>
      <c r="G735" s="7" t="n">
        <f aca="false">IF(VALUE(RIGHT(Raw_Nigeria!E735,2))&gt;12,"",VALUE(RIGHT(Raw_Nigeria!E735,2)))</f>
        <v>12</v>
      </c>
      <c r="H735" s="7" t="n">
        <f aca="false">Raw_Nigeria!F735</f>
        <v>2019</v>
      </c>
      <c r="I735" s="7" t="str">
        <f aca="false">UPPER(TRIM(Raw_Nigeria!G735))</f>
        <v>HEPB2</v>
      </c>
      <c r="J735" s="7" t="str">
        <f aca="false">Raw_Nigeria!H735</f>
        <v>Recall</v>
      </c>
      <c r="K735" s="7" t="str">
        <f aca="false">Raw_Nigeria!L735</f>
        <v>24-35 m</v>
      </c>
      <c r="L735" s="7" t="str">
        <f aca="false">IF(Raw_Nigeria!K735="","n/a",Raw_Nigeria!K735)</f>
        <v>0-35 m</v>
      </c>
      <c r="M735" s="7" t="str">
        <f aca="false">IF(Raw_Nigeria!I735="","",Raw_Nigeria!I735)</f>
        <v/>
      </c>
      <c r="N735" s="7" t="n">
        <f aca="false">Raw_Nigeria!M735</f>
        <v>23.1</v>
      </c>
      <c r="O735" s="7" t="n">
        <f aca="false">IF(Raw_Nigeria!N735="","",Raw_Nigeria!N735)</f>
        <v>3223</v>
      </c>
      <c r="P735" s="7" t="str">
        <f aca="false">IF(K735="CBAW","Women of child-bearing age","Children")</f>
        <v>Children</v>
      </c>
      <c r="Q735" s="7" t="n">
        <f aca="false">IF(J735="NOT USED",1,0)</f>
        <v>0</v>
      </c>
      <c r="R735" s="7" t="n">
        <f aca="false">IF(AND(P735="Children",Q735=0),1,0)</f>
        <v>1</v>
      </c>
      <c r="S735" s="7" t="n">
        <f aca="false">IF(AND(R735=1,J735="Record or Recall",K735="12-23 m"),1,0)</f>
        <v>0</v>
      </c>
      <c r="T735" s="7" t="n">
        <f aca="false">IF(OR(I735="BCG",I735="DTP1",I735="DTP3",I735="POL3",I735="MCV1",I735="FULL"),1,0)</f>
        <v>0</v>
      </c>
      <c r="U735" s="7" t="n">
        <f aca="false">IF(OR(C735="DHS",C735="MICS"),1,0)</f>
        <v>1</v>
      </c>
      <c r="V735" s="7" t="n">
        <f aca="false">IF(O735="",1,0)</f>
        <v>0</v>
      </c>
      <c r="W735" s="7" t="n">
        <f aca="false">IF(M735="",1,0)</f>
        <v>1</v>
      </c>
      <c r="X735" s="7" t="n">
        <f aca="false">COUNTIFS($B$2:$B$1141,B735,$H$2:$H$1141,H735,$I$2:$I$1141,I735,$J$2:$J$1141,J735,$K$2:$K$1141,K735,$L$2:$L$1141,L735)</f>
        <v>1</v>
      </c>
    </row>
    <row r="736" customFormat="false" ht="15" hidden="false" customHeight="false" outlineLevel="0" collapsed="false">
      <c r="A736" s="7" t="n">
        <f aca="false">ROW()-1</f>
        <v>735</v>
      </c>
      <c r="B736" s="7" t="str">
        <f aca="false">IF(Raw_Nigeria!B736="",TRIM(Raw_Nigeria!C736),TRIM(Raw_Nigeria!B736))</f>
        <v>Nigeria Multiple Indicator Cluster Survey 2021</v>
      </c>
      <c r="C736" s="7" t="str">
        <f aca="false">IF(ISNUMBER(SEARCH("Demographic and Health",B736)),"DHS",IF(OR(ISNUMBER(SEARCH("Multiple Indicator Cluster",B736)),ISNUMBER(SEARCH("MICS",B736))),"MICS",IF(ISNUMBER(SEARCH("Immunization Coverage Survey",B736)),"Coverage survey",IF(ISNUMBER(SEARCH("Nutrition",B736)),"Nutrition survey","Other"))))</f>
        <v>MICS</v>
      </c>
      <c r="D736" s="7" t="n">
        <f aca="false">VALUE(LEFT(Raw_Nigeria!D736,4))</f>
        <v>2021</v>
      </c>
      <c r="E736" s="7" t="n">
        <f aca="false">IF(VALUE(RIGHT(Raw_Nigeria!D736,2))&gt;12,"",VALUE(RIGHT(Raw_Nigeria!D736,2)))</f>
        <v>9</v>
      </c>
      <c r="F736" s="7" t="n">
        <f aca="false">VALUE(LEFT(Raw_Nigeria!E736,4))</f>
        <v>2021</v>
      </c>
      <c r="G736" s="7" t="n">
        <f aca="false">IF(VALUE(RIGHT(Raw_Nigeria!E736,2))&gt;12,"",VALUE(RIGHT(Raw_Nigeria!E736,2)))</f>
        <v>12</v>
      </c>
      <c r="H736" s="7" t="n">
        <f aca="false">Raw_Nigeria!F736</f>
        <v>2019</v>
      </c>
      <c r="I736" s="7" t="str">
        <f aca="false">UPPER(TRIM(Raw_Nigeria!G736))</f>
        <v>HEPB3</v>
      </c>
      <c r="J736" s="7" t="str">
        <f aca="false">Raw_Nigeria!H736</f>
        <v>Record or Recall&lt;12m</v>
      </c>
      <c r="K736" s="7" t="str">
        <f aca="false">Raw_Nigeria!L736</f>
        <v>24-35 m</v>
      </c>
      <c r="L736" s="7" t="str">
        <f aca="false">IF(Raw_Nigeria!K736="","n/a",Raw_Nigeria!K736)</f>
        <v>0-12 m</v>
      </c>
      <c r="M736" s="7" t="str">
        <f aca="false">IF(Raw_Nigeria!I736="","",Raw_Nigeria!I736)</f>
        <v/>
      </c>
      <c r="N736" s="7" t="n">
        <f aca="false">Raw_Nigeria!M736</f>
        <v>54</v>
      </c>
      <c r="O736" s="7" t="str">
        <f aca="false">IF(Raw_Nigeria!N736="","",Raw_Nigeria!N736)</f>
        <v/>
      </c>
      <c r="P736" s="7" t="str">
        <f aca="false">IF(K736="CBAW","Women of child-bearing age","Children")</f>
        <v>Children</v>
      </c>
      <c r="Q736" s="7" t="n">
        <f aca="false">IF(J736="NOT USED",1,0)</f>
        <v>0</v>
      </c>
      <c r="R736" s="7" t="n">
        <f aca="false">IF(AND(P736="Children",Q736=0),1,0)</f>
        <v>1</v>
      </c>
      <c r="S736" s="7" t="n">
        <f aca="false">IF(AND(R736=1,J736="Record or Recall",K736="12-23 m"),1,0)</f>
        <v>0</v>
      </c>
      <c r="T736" s="7" t="n">
        <f aca="false">IF(OR(I736="BCG",I736="DTP1",I736="DTP3",I736="POL3",I736="MCV1",I736="FULL"),1,0)</f>
        <v>0</v>
      </c>
      <c r="U736" s="7" t="n">
        <f aca="false">IF(OR(C736="DHS",C736="MICS"),1,0)</f>
        <v>1</v>
      </c>
      <c r="V736" s="7" t="n">
        <f aca="false">IF(O736="",1,0)</f>
        <v>1</v>
      </c>
      <c r="W736" s="7" t="n">
        <f aca="false">IF(M736="",1,0)</f>
        <v>1</v>
      </c>
      <c r="X736" s="7" t="n">
        <f aca="false">COUNTIFS($B$2:$B$1141,B736,$H$2:$H$1141,H736,$I$2:$I$1141,I736,$J$2:$J$1141,J736,$K$2:$K$1141,K736,$L$2:$L$1141,L736)</f>
        <v>1</v>
      </c>
    </row>
    <row r="737" customFormat="false" ht="15" hidden="false" customHeight="false" outlineLevel="0" collapsed="false">
      <c r="A737" s="7" t="n">
        <f aca="false">ROW()-1</f>
        <v>736</v>
      </c>
      <c r="B737" s="7" t="str">
        <f aca="false">IF(Raw_Nigeria!B737="",TRIM(Raw_Nigeria!C737),TRIM(Raw_Nigeria!B737))</f>
        <v>Nigeria Multiple Indicator Cluster Survey 2021</v>
      </c>
      <c r="C737" s="7" t="str">
        <f aca="false">IF(ISNUMBER(SEARCH("Demographic and Health",B737)),"DHS",IF(OR(ISNUMBER(SEARCH("Multiple Indicator Cluster",B737)),ISNUMBER(SEARCH("MICS",B737))),"MICS",IF(ISNUMBER(SEARCH("Immunization Coverage Survey",B737)),"Coverage survey",IF(ISNUMBER(SEARCH("Nutrition",B737)),"Nutrition survey","Other"))))</f>
        <v>MICS</v>
      </c>
      <c r="D737" s="7" t="n">
        <f aca="false">VALUE(LEFT(Raw_Nigeria!D737,4))</f>
        <v>2021</v>
      </c>
      <c r="E737" s="7" t="n">
        <f aca="false">IF(VALUE(RIGHT(Raw_Nigeria!D737,2))&gt;12,"",VALUE(RIGHT(Raw_Nigeria!D737,2)))</f>
        <v>9</v>
      </c>
      <c r="F737" s="7" t="n">
        <f aca="false">VALUE(LEFT(Raw_Nigeria!E737,4))</f>
        <v>2021</v>
      </c>
      <c r="G737" s="7" t="n">
        <f aca="false">IF(VALUE(RIGHT(Raw_Nigeria!E737,2))&gt;12,"",VALUE(RIGHT(Raw_Nigeria!E737,2)))</f>
        <v>12</v>
      </c>
      <c r="H737" s="7" t="n">
        <f aca="false">Raw_Nigeria!F737</f>
        <v>2019</v>
      </c>
      <c r="I737" s="7" t="str">
        <f aca="false">UPPER(TRIM(Raw_Nigeria!G737))</f>
        <v>HEPB3</v>
      </c>
      <c r="J737" s="7" t="str">
        <f aca="false">Raw_Nigeria!H737</f>
        <v>Record</v>
      </c>
      <c r="K737" s="7" t="str">
        <f aca="false">Raw_Nigeria!L737</f>
        <v>24-35 m</v>
      </c>
      <c r="L737" s="7" t="str">
        <f aca="false">IF(Raw_Nigeria!K737="","n/a",Raw_Nigeria!K737)</f>
        <v>0-35 m</v>
      </c>
      <c r="M737" s="7" t="str">
        <f aca="false">IF(Raw_Nigeria!I737="","",Raw_Nigeria!I737)</f>
        <v/>
      </c>
      <c r="N737" s="7" t="n">
        <f aca="false">Raw_Nigeria!M737</f>
        <v>41.2</v>
      </c>
      <c r="O737" s="7" t="n">
        <f aca="false">IF(Raw_Nigeria!N737="","",Raw_Nigeria!N737)</f>
        <v>2877</v>
      </c>
      <c r="P737" s="7" t="str">
        <f aca="false">IF(K737="CBAW","Women of child-bearing age","Children")</f>
        <v>Children</v>
      </c>
      <c r="Q737" s="7" t="n">
        <f aca="false">IF(J737="NOT USED",1,0)</f>
        <v>0</v>
      </c>
      <c r="R737" s="7" t="n">
        <f aca="false">IF(AND(P737="Children",Q737=0),1,0)</f>
        <v>1</v>
      </c>
      <c r="S737" s="7" t="n">
        <f aca="false">IF(AND(R737=1,J737="Record or Recall",K737="12-23 m"),1,0)</f>
        <v>0</v>
      </c>
      <c r="T737" s="7" t="n">
        <f aca="false">IF(OR(I737="BCG",I737="DTP1",I737="DTP3",I737="POL3",I737="MCV1",I737="FULL"),1,0)</f>
        <v>0</v>
      </c>
      <c r="U737" s="7" t="n">
        <f aca="false">IF(OR(C737="DHS",C737="MICS"),1,0)</f>
        <v>1</v>
      </c>
      <c r="V737" s="7" t="n">
        <f aca="false">IF(O737="",1,0)</f>
        <v>0</v>
      </c>
      <c r="W737" s="7" t="n">
        <f aca="false">IF(M737="",1,0)</f>
        <v>1</v>
      </c>
      <c r="X737" s="7" t="n">
        <f aca="false">COUNTIFS($B$2:$B$1141,B737,$H$2:$H$1141,H737,$I$2:$I$1141,I737,$J$2:$J$1141,J737,$K$2:$K$1141,K737,$L$2:$L$1141,L737)</f>
        <v>1</v>
      </c>
    </row>
    <row r="738" customFormat="false" ht="15" hidden="false" customHeight="false" outlineLevel="0" collapsed="false">
      <c r="A738" s="7" t="n">
        <f aca="false">ROW()-1</f>
        <v>737</v>
      </c>
      <c r="B738" s="7" t="str">
        <f aca="false">IF(Raw_Nigeria!B738="",TRIM(Raw_Nigeria!C738),TRIM(Raw_Nigeria!B738))</f>
        <v>Nigeria Multiple Indicator Cluster Survey 2021</v>
      </c>
      <c r="C738" s="7" t="str">
        <f aca="false">IF(ISNUMBER(SEARCH("Demographic and Health",B738)),"DHS",IF(OR(ISNUMBER(SEARCH("Multiple Indicator Cluster",B738)),ISNUMBER(SEARCH("MICS",B738))),"MICS",IF(ISNUMBER(SEARCH("Immunization Coverage Survey",B738)),"Coverage survey",IF(ISNUMBER(SEARCH("Nutrition",B738)),"Nutrition survey","Other"))))</f>
        <v>MICS</v>
      </c>
      <c r="D738" s="7" t="n">
        <f aca="false">VALUE(LEFT(Raw_Nigeria!D738,4))</f>
        <v>2021</v>
      </c>
      <c r="E738" s="7" t="n">
        <f aca="false">IF(VALUE(RIGHT(Raw_Nigeria!D738,2))&gt;12,"",VALUE(RIGHT(Raw_Nigeria!D738,2)))</f>
        <v>9</v>
      </c>
      <c r="F738" s="7" t="n">
        <f aca="false">VALUE(LEFT(Raw_Nigeria!E738,4))</f>
        <v>2021</v>
      </c>
      <c r="G738" s="7" t="n">
        <f aca="false">IF(VALUE(RIGHT(Raw_Nigeria!E738,2))&gt;12,"",VALUE(RIGHT(Raw_Nigeria!E738,2)))</f>
        <v>12</v>
      </c>
      <c r="H738" s="7" t="n">
        <f aca="false">Raw_Nigeria!F738</f>
        <v>2019</v>
      </c>
      <c r="I738" s="7" t="str">
        <f aca="false">UPPER(TRIM(Raw_Nigeria!G738))</f>
        <v>HEPB3</v>
      </c>
      <c r="J738" s="7" t="str">
        <f aca="false">Raw_Nigeria!H738</f>
        <v>Record or Recall</v>
      </c>
      <c r="K738" s="7" t="str">
        <f aca="false">Raw_Nigeria!L738</f>
        <v>24-35 m</v>
      </c>
      <c r="L738" s="7" t="str">
        <f aca="false">IF(Raw_Nigeria!K738="","n/a",Raw_Nigeria!K738)</f>
        <v>0-35 m</v>
      </c>
      <c r="M738" s="7" t="str">
        <f aca="false">IF(Raw_Nigeria!I738="","",Raw_Nigeria!I738)</f>
        <v/>
      </c>
      <c r="N738" s="7" t="n">
        <f aca="false">Raw_Nigeria!M738</f>
        <v>57.9</v>
      </c>
      <c r="O738" s="7" t="n">
        <f aca="false">IF(Raw_Nigeria!N738="","",Raw_Nigeria!N738)</f>
        <v>6100</v>
      </c>
      <c r="P738" s="7" t="str">
        <f aca="false">IF(K738="CBAW","Women of child-bearing age","Children")</f>
        <v>Children</v>
      </c>
      <c r="Q738" s="7" t="n">
        <f aca="false">IF(J738="NOT USED",1,0)</f>
        <v>0</v>
      </c>
      <c r="R738" s="7" t="n">
        <f aca="false">IF(AND(P738="Children",Q738=0),1,0)</f>
        <v>1</v>
      </c>
      <c r="S738" s="7" t="n">
        <f aca="false">IF(AND(R738=1,J738="Record or Recall",K738="12-23 m"),1,0)</f>
        <v>0</v>
      </c>
      <c r="T738" s="7" t="n">
        <f aca="false">IF(OR(I738="BCG",I738="DTP1",I738="DTP3",I738="POL3",I738="MCV1",I738="FULL"),1,0)</f>
        <v>0</v>
      </c>
      <c r="U738" s="7" t="n">
        <f aca="false">IF(OR(C738="DHS",C738="MICS"),1,0)</f>
        <v>1</v>
      </c>
      <c r="V738" s="7" t="n">
        <f aca="false">IF(O738="",1,0)</f>
        <v>0</v>
      </c>
      <c r="W738" s="7" t="n">
        <f aca="false">IF(M738="",1,0)</f>
        <v>1</v>
      </c>
      <c r="X738" s="7" t="n">
        <f aca="false">COUNTIFS($B$2:$B$1141,B738,$H$2:$H$1141,H738,$I$2:$I$1141,I738,$J$2:$J$1141,J738,$K$2:$K$1141,K738,$L$2:$L$1141,L738)</f>
        <v>1</v>
      </c>
    </row>
    <row r="739" customFormat="false" ht="15" hidden="false" customHeight="false" outlineLevel="0" collapsed="false">
      <c r="A739" s="7" t="n">
        <f aca="false">ROW()-1</f>
        <v>738</v>
      </c>
      <c r="B739" s="7" t="str">
        <f aca="false">IF(Raw_Nigeria!B739="",TRIM(Raw_Nigeria!C739),TRIM(Raw_Nigeria!B739))</f>
        <v>Nigeria Multiple Indicator Cluster Survey 2021</v>
      </c>
      <c r="C739" s="7" t="str">
        <f aca="false">IF(ISNUMBER(SEARCH("Demographic and Health",B739)),"DHS",IF(OR(ISNUMBER(SEARCH("Multiple Indicator Cluster",B739)),ISNUMBER(SEARCH("MICS",B739))),"MICS",IF(ISNUMBER(SEARCH("Immunization Coverage Survey",B739)),"Coverage survey",IF(ISNUMBER(SEARCH("Nutrition",B739)),"Nutrition survey","Other"))))</f>
        <v>MICS</v>
      </c>
      <c r="D739" s="7" t="n">
        <f aca="false">VALUE(LEFT(Raw_Nigeria!D739,4))</f>
        <v>2021</v>
      </c>
      <c r="E739" s="7" t="n">
        <f aca="false">IF(VALUE(RIGHT(Raw_Nigeria!D739,2))&gt;12,"",VALUE(RIGHT(Raw_Nigeria!D739,2)))</f>
        <v>9</v>
      </c>
      <c r="F739" s="7" t="n">
        <f aca="false">VALUE(LEFT(Raw_Nigeria!E739,4))</f>
        <v>2021</v>
      </c>
      <c r="G739" s="7" t="n">
        <f aca="false">IF(VALUE(RIGHT(Raw_Nigeria!E739,2))&gt;12,"",VALUE(RIGHT(Raw_Nigeria!E739,2)))</f>
        <v>12</v>
      </c>
      <c r="H739" s="7" t="n">
        <f aca="false">Raw_Nigeria!F739</f>
        <v>2019</v>
      </c>
      <c r="I739" s="7" t="str">
        <f aca="false">UPPER(TRIM(Raw_Nigeria!G739))</f>
        <v>HEPB3</v>
      </c>
      <c r="J739" s="7" t="str">
        <f aca="false">Raw_Nigeria!H739</f>
        <v>Recall</v>
      </c>
      <c r="K739" s="7" t="str">
        <f aca="false">Raw_Nigeria!L739</f>
        <v>24-35 m</v>
      </c>
      <c r="L739" s="7" t="str">
        <f aca="false">IF(Raw_Nigeria!K739="","n/a",Raw_Nigeria!K739)</f>
        <v>0-35 m</v>
      </c>
      <c r="M739" s="7" t="str">
        <f aca="false">IF(Raw_Nigeria!I739="","",Raw_Nigeria!I739)</f>
        <v/>
      </c>
      <c r="N739" s="7" t="n">
        <f aca="false">Raw_Nigeria!M739</f>
        <v>16.6</v>
      </c>
      <c r="O739" s="7" t="n">
        <f aca="false">IF(Raw_Nigeria!N739="","",Raw_Nigeria!N739)</f>
        <v>3223</v>
      </c>
      <c r="P739" s="7" t="str">
        <f aca="false">IF(K739="CBAW","Women of child-bearing age","Children")</f>
        <v>Children</v>
      </c>
      <c r="Q739" s="7" t="n">
        <f aca="false">IF(J739="NOT USED",1,0)</f>
        <v>0</v>
      </c>
      <c r="R739" s="7" t="n">
        <f aca="false">IF(AND(P739="Children",Q739=0),1,0)</f>
        <v>1</v>
      </c>
      <c r="S739" s="7" t="n">
        <f aca="false">IF(AND(R739=1,J739="Record or Recall",K739="12-23 m"),1,0)</f>
        <v>0</v>
      </c>
      <c r="T739" s="7" t="n">
        <f aca="false">IF(OR(I739="BCG",I739="DTP1",I739="DTP3",I739="POL3",I739="MCV1",I739="FULL"),1,0)</f>
        <v>0</v>
      </c>
      <c r="U739" s="7" t="n">
        <f aca="false">IF(OR(C739="DHS",C739="MICS"),1,0)</f>
        <v>1</v>
      </c>
      <c r="V739" s="7" t="n">
        <f aca="false">IF(O739="",1,0)</f>
        <v>0</v>
      </c>
      <c r="W739" s="7" t="n">
        <f aca="false">IF(M739="",1,0)</f>
        <v>1</v>
      </c>
      <c r="X739" s="7" t="n">
        <f aca="false">COUNTIFS($B$2:$B$1141,B739,$H$2:$H$1141,H739,$I$2:$I$1141,I739,$J$2:$J$1141,J739,$K$2:$K$1141,K739,$L$2:$L$1141,L739)</f>
        <v>1</v>
      </c>
    </row>
    <row r="740" customFormat="false" ht="15" hidden="false" customHeight="false" outlineLevel="0" collapsed="false">
      <c r="A740" s="7" t="n">
        <f aca="false">ROW()-1</f>
        <v>739</v>
      </c>
      <c r="B740" s="7" t="str">
        <f aca="false">IF(Raw_Nigeria!B740="",TRIM(Raw_Nigeria!C740),TRIM(Raw_Nigeria!B740))</f>
        <v>Nigeria Multiple Indicator Cluster Survey 2021</v>
      </c>
      <c r="C740" s="7" t="str">
        <f aca="false">IF(ISNUMBER(SEARCH("Demographic and Health",B740)),"DHS",IF(OR(ISNUMBER(SEARCH("Multiple Indicator Cluster",B740)),ISNUMBER(SEARCH("MICS",B740))),"MICS",IF(ISNUMBER(SEARCH("Immunization Coverage Survey",B740)),"Coverage survey",IF(ISNUMBER(SEARCH("Nutrition",B740)),"Nutrition survey","Other"))))</f>
        <v>MICS</v>
      </c>
      <c r="D740" s="7" t="n">
        <f aca="false">VALUE(LEFT(Raw_Nigeria!D740,4))</f>
        <v>2021</v>
      </c>
      <c r="E740" s="7" t="n">
        <f aca="false">IF(VALUE(RIGHT(Raw_Nigeria!D740,2))&gt;12,"",VALUE(RIGHT(Raw_Nigeria!D740,2)))</f>
        <v>9</v>
      </c>
      <c r="F740" s="7" t="n">
        <f aca="false">VALUE(LEFT(Raw_Nigeria!E740,4))</f>
        <v>2021</v>
      </c>
      <c r="G740" s="7" t="n">
        <f aca="false">IF(VALUE(RIGHT(Raw_Nigeria!E740,2))&gt;12,"",VALUE(RIGHT(Raw_Nigeria!E740,2)))</f>
        <v>12</v>
      </c>
      <c r="H740" s="7" t="n">
        <f aca="false">Raw_Nigeria!F740</f>
        <v>2019</v>
      </c>
      <c r="I740" s="7" t="str">
        <f aca="false">UPPER(TRIM(Raw_Nigeria!G740))</f>
        <v>HEPBB</v>
      </c>
      <c r="J740" s="7" t="str">
        <f aca="false">Raw_Nigeria!H740</f>
        <v>Record</v>
      </c>
      <c r="K740" s="7" t="str">
        <f aca="false">Raw_Nigeria!L740</f>
        <v>24-35 m</v>
      </c>
      <c r="L740" s="7" t="str">
        <f aca="false">IF(Raw_Nigeria!K740="","n/a",Raw_Nigeria!K740)</f>
        <v>0-35 m</v>
      </c>
      <c r="M740" s="7" t="str">
        <f aca="false">IF(Raw_Nigeria!I740="","",Raw_Nigeria!I740)</f>
        <v/>
      </c>
      <c r="N740" s="7" t="n">
        <f aca="false">Raw_Nigeria!M740</f>
        <v>8.4</v>
      </c>
      <c r="O740" s="7" t="n">
        <f aca="false">IF(Raw_Nigeria!N740="","",Raw_Nigeria!N740)</f>
        <v>2877</v>
      </c>
      <c r="P740" s="7" t="str">
        <f aca="false">IF(K740="CBAW","Women of child-bearing age","Children")</f>
        <v>Children</v>
      </c>
      <c r="Q740" s="7" t="n">
        <f aca="false">IF(J740="NOT USED",1,0)</f>
        <v>0</v>
      </c>
      <c r="R740" s="7" t="n">
        <f aca="false">IF(AND(P740="Children",Q740=0),1,0)</f>
        <v>1</v>
      </c>
      <c r="S740" s="7" t="n">
        <f aca="false">IF(AND(R740=1,J740="Record or Recall",K740="12-23 m"),1,0)</f>
        <v>0</v>
      </c>
      <c r="T740" s="7" t="n">
        <f aca="false">IF(OR(I740="BCG",I740="DTP1",I740="DTP3",I740="POL3",I740="MCV1",I740="FULL"),1,0)</f>
        <v>0</v>
      </c>
      <c r="U740" s="7" t="n">
        <f aca="false">IF(OR(C740="DHS",C740="MICS"),1,0)</f>
        <v>1</v>
      </c>
      <c r="V740" s="7" t="n">
        <f aca="false">IF(O740="",1,0)</f>
        <v>0</v>
      </c>
      <c r="W740" s="7" t="n">
        <f aca="false">IF(M740="",1,0)</f>
        <v>1</v>
      </c>
      <c r="X740" s="7" t="n">
        <f aca="false">COUNTIFS($B$2:$B$1141,B740,$H$2:$H$1141,H740,$I$2:$I$1141,I740,$J$2:$J$1141,J740,$K$2:$K$1141,K740,$L$2:$L$1141,L740)</f>
        <v>1</v>
      </c>
    </row>
    <row r="741" customFormat="false" ht="15" hidden="false" customHeight="false" outlineLevel="0" collapsed="false">
      <c r="A741" s="7" t="n">
        <f aca="false">ROW()-1</f>
        <v>740</v>
      </c>
      <c r="B741" s="7" t="str">
        <f aca="false">IF(Raw_Nigeria!B741="",TRIM(Raw_Nigeria!C741),TRIM(Raw_Nigeria!B741))</f>
        <v>Nigeria Multiple Indicator Cluster Survey 2021</v>
      </c>
      <c r="C741" s="7" t="str">
        <f aca="false">IF(ISNUMBER(SEARCH("Demographic and Health",B741)),"DHS",IF(OR(ISNUMBER(SEARCH("Multiple Indicator Cluster",B741)),ISNUMBER(SEARCH("MICS",B741))),"MICS",IF(ISNUMBER(SEARCH("Immunization Coverage Survey",B741)),"Coverage survey",IF(ISNUMBER(SEARCH("Nutrition",B741)),"Nutrition survey","Other"))))</f>
        <v>MICS</v>
      </c>
      <c r="D741" s="7" t="n">
        <f aca="false">VALUE(LEFT(Raw_Nigeria!D741,4))</f>
        <v>2021</v>
      </c>
      <c r="E741" s="7" t="n">
        <f aca="false">IF(VALUE(RIGHT(Raw_Nigeria!D741,2))&gt;12,"",VALUE(RIGHT(Raw_Nigeria!D741,2)))</f>
        <v>9</v>
      </c>
      <c r="F741" s="7" t="n">
        <f aca="false">VALUE(LEFT(Raw_Nigeria!E741,4))</f>
        <v>2021</v>
      </c>
      <c r="G741" s="7" t="n">
        <f aca="false">IF(VALUE(RIGHT(Raw_Nigeria!E741,2))&gt;12,"",VALUE(RIGHT(Raw_Nigeria!E741,2)))</f>
        <v>12</v>
      </c>
      <c r="H741" s="7" t="n">
        <f aca="false">Raw_Nigeria!F741</f>
        <v>2019</v>
      </c>
      <c r="I741" s="7" t="str">
        <f aca="false">UPPER(TRIM(Raw_Nigeria!G741))</f>
        <v>HEPBB</v>
      </c>
      <c r="J741" s="7" t="str">
        <f aca="false">Raw_Nigeria!H741</f>
        <v>Record or Recall</v>
      </c>
      <c r="K741" s="7" t="str">
        <f aca="false">Raw_Nigeria!L741</f>
        <v>24-35 m</v>
      </c>
      <c r="L741" s="7" t="str">
        <f aca="false">IF(Raw_Nigeria!K741="","n/a",Raw_Nigeria!K741)</f>
        <v>0-35 m</v>
      </c>
      <c r="M741" s="7" t="str">
        <f aca="false">IF(Raw_Nigeria!I741="","",Raw_Nigeria!I741)</f>
        <v/>
      </c>
      <c r="N741" s="7" t="n">
        <f aca="false">Raw_Nigeria!M741</f>
        <v>19</v>
      </c>
      <c r="O741" s="7" t="n">
        <f aca="false">IF(Raw_Nigeria!N741="","",Raw_Nigeria!N741)</f>
        <v>6100</v>
      </c>
      <c r="P741" s="7" t="str">
        <f aca="false">IF(K741="CBAW","Women of child-bearing age","Children")</f>
        <v>Children</v>
      </c>
      <c r="Q741" s="7" t="n">
        <f aca="false">IF(J741="NOT USED",1,0)</f>
        <v>0</v>
      </c>
      <c r="R741" s="7" t="n">
        <f aca="false">IF(AND(P741="Children",Q741=0),1,0)</f>
        <v>1</v>
      </c>
      <c r="S741" s="7" t="n">
        <f aca="false">IF(AND(R741=1,J741="Record or Recall",K741="12-23 m"),1,0)</f>
        <v>0</v>
      </c>
      <c r="T741" s="7" t="n">
        <f aca="false">IF(OR(I741="BCG",I741="DTP1",I741="DTP3",I741="POL3",I741="MCV1",I741="FULL"),1,0)</f>
        <v>0</v>
      </c>
      <c r="U741" s="7" t="n">
        <f aca="false">IF(OR(C741="DHS",C741="MICS"),1,0)</f>
        <v>1</v>
      </c>
      <c r="V741" s="7" t="n">
        <f aca="false">IF(O741="",1,0)</f>
        <v>0</v>
      </c>
      <c r="W741" s="7" t="n">
        <f aca="false">IF(M741="",1,0)</f>
        <v>1</v>
      </c>
      <c r="X741" s="7" t="n">
        <f aca="false">COUNTIFS($B$2:$B$1141,B741,$H$2:$H$1141,H741,$I$2:$I$1141,I741,$J$2:$J$1141,J741,$K$2:$K$1141,K741,$L$2:$L$1141,L741)</f>
        <v>1</v>
      </c>
    </row>
    <row r="742" customFormat="false" ht="15" hidden="false" customHeight="false" outlineLevel="0" collapsed="false">
      <c r="A742" s="7" t="n">
        <f aca="false">ROW()-1</f>
        <v>741</v>
      </c>
      <c r="B742" s="7" t="str">
        <f aca="false">IF(Raw_Nigeria!B742="",TRIM(Raw_Nigeria!C742),TRIM(Raw_Nigeria!B742))</f>
        <v>Nigeria Multiple Indicator Cluster Survey 2021</v>
      </c>
      <c r="C742" s="7" t="str">
        <f aca="false">IF(ISNUMBER(SEARCH("Demographic and Health",B742)),"DHS",IF(OR(ISNUMBER(SEARCH("Multiple Indicator Cluster",B742)),ISNUMBER(SEARCH("MICS",B742))),"MICS",IF(ISNUMBER(SEARCH("Immunization Coverage Survey",B742)),"Coverage survey",IF(ISNUMBER(SEARCH("Nutrition",B742)),"Nutrition survey","Other"))))</f>
        <v>MICS</v>
      </c>
      <c r="D742" s="7" t="n">
        <f aca="false">VALUE(LEFT(Raw_Nigeria!D742,4))</f>
        <v>2021</v>
      </c>
      <c r="E742" s="7" t="n">
        <f aca="false">IF(VALUE(RIGHT(Raw_Nigeria!D742,2))&gt;12,"",VALUE(RIGHT(Raw_Nigeria!D742,2)))</f>
        <v>9</v>
      </c>
      <c r="F742" s="7" t="n">
        <f aca="false">VALUE(LEFT(Raw_Nigeria!E742,4))</f>
        <v>2021</v>
      </c>
      <c r="G742" s="7" t="n">
        <f aca="false">IF(VALUE(RIGHT(Raw_Nigeria!E742,2))&gt;12,"",VALUE(RIGHT(Raw_Nigeria!E742,2)))</f>
        <v>12</v>
      </c>
      <c r="H742" s="7" t="n">
        <f aca="false">Raw_Nigeria!F742</f>
        <v>2019</v>
      </c>
      <c r="I742" s="7" t="str">
        <f aca="false">UPPER(TRIM(Raw_Nigeria!G742))</f>
        <v>HEPBB</v>
      </c>
      <c r="J742" s="7" t="str">
        <f aca="false">Raw_Nigeria!H742</f>
        <v>Recall</v>
      </c>
      <c r="K742" s="7" t="str">
        <f aca="false">Raw_Nigeria!L742</f>
        <v>24-35 m</v>
      </c>
      <c r="L742" s="7" t="str">
        <f aca="false">IF(Raw_Nigeria!K742="","n/a",Raw_Nigeria!K742)</f>
        <v>0-35 m</v>
      </c>
      <c r="M742" s="7" t="str">
        <f aca="false">IF(Raw_Nigeria!I742="","",Raw_Nigeria!I742)</f>
        <v/>
      </c>
      <c r="N742" s="7" t="n">
        <f aca="false">Raw_Nigeria!M742</f>
        <v>10.6</v>
      </c>
      <c r="O742" s="7" t="n">
        <f aca="false">IF(Raw_Nigeria!N742="","",Raw_Nigeria!N742)</f>
        <v>3223</v>
      </c>
      <c r="P742" s="7" t="str">
        <f aca="false">IF(K742="CBAW","Women of child-bearing age","Children")</f>
        <v>Children</v>
      </c>
      <c r="Q742" s="7" t="n">
        <f aca="false">IF(J742="NOT USED",1,0)</f>
        <v>0</v>
      </c>
      <c r="R742" s="7" t="n">
        <f aca="false">IF(AND(P742="Children",Q742=0),1,0)</f>
        <v>1</v>
      </c>
      <c r="S742" s="7" t="n">
        <f aca="false">IF(AND(R742=1,J742="Record or Recall",K742="12-23 m"),1,0)</f>
        <v>0</v>
      </c>
      <c r="T742" s="7" t="n">
        <f aca="false">IF(OR(I742="BCG",I742="DTP1",I742="DTP3",I742="POL3",I742="MCV1",I742="FULL"),1,0)</f>
        <v>0</v>
      </c>
      <c r="U742" s="7" t="n">
        <f aca="false">IF(OR(C742="DHS",C742="MICS"),1,0)</f>
        <v>1</v>
      </c>
      <c r="V742" s="7" t="n">
        <f aca="false">IF(O742="",1,0)</f>
        <v>0</v>
      </c>
      <c r="W742" s="7" t="n">
        <f aca="false">IF(M742="",1,0)</f>
        <v>1</v>
      </c>
      <c r="X742" s="7" t="n">
        <f aca="false">COUNTIFS($B$2:$B$1141,B742,$H$2:$H$1141,H742,$I$2:$I$1141,I742,$J$2:$J$1141,J742,$K$2:$K$1141,K742,$L$2:$L$1141,L742)</f>
        <v>1</v>
      </c>
    </row>
    <row r="743" customFormat="false" ht="15" hidden="false" customHeight="false" outlineLevel="0" collapsed="false">
      <c r="A743" s="7" t="n">
        <f aca="false">ROW()-1</f>
        <v>742</v>
      </c>
      <c r="B743" s="7" t="str">
        <f aca="false">IF(Raw_Nigeria!B743="",TRIM(Raw_Nigeria!C743),TRIM(Raw_Nigeria!B743))</f>
        <v>Nigeria Multiple Indicator Cluster Survey 2021</v>
      </c>
      <c r="C743" s="7" t="str">
        <f aca="false">IF(ISNUMBER(SEARCH("Demographic and Health",B743)),"DHS",IF(OR(ISNUMBER(SEARCH("Multiple Indicator Cluster",B743)),ISNUMBER(SEARCH("MICS",B743))),"MICS",IF(ISNUMBER(SEARCH("Immunization Coverage Survey",B743)),"Coverage survey",IF(ISNUMBER(SEARCH("Nutrition",B743)),"Nutrition survey","Other"))))</f>
        <v>MICS</v>
      </c>
      <c r="D743" s="7" t="n">
        <f aca="false">VALUE(LEFT(Raw_Nigeria!D743,4))</f>
        <v>2021</v>
      </c>
      <c r="E743" s="7" t="n">
        <f aca="false">IF(VALUE(RIGHT(Raw_Nigeria!D743,2))&gt;12,"",VALUE(RIGHT(Raw_Nigeria!D743,2)))</f>
        <v>9</v>
      </c>
      <c r="F743" s="7" t="n">
        <f aca="false">VALUE(LEFT(Raw_Nigeria!E743,4))</f>
        <v>2021</v>
      </c>
      <c r="G743" s="7" t="n">
        <f aca="false">IF(VALUE(RIGHT(Raw_Nigeria!E743,2))&gt;12,"",VALUE(RIGHT(Raw_Nigeria!E743,2)))</f>
        <v>12</v>
      </c>
      <c r="H743" s="7" t="n">
        <f aca="false">Raw_Nigeria!F743</f>
        <v>2019</v>
      </c>
      <c r="I743" s="7" t="str">
        <f aca="false">UPPER(TRIM(Raw_Nigeria!G743))</f>
        <v>HIB1</v>
      </c>
      <c r="J743" s="7" t="str">
        <f aca="false">Raw_Nigeria!H743</f>
        <v>Record or Recall&lt;12m</v>
      </c>
      <c r="K743" s="7" t="str">
        <f aca="false">Raw_Nigeria!L743</f>
        <v>24-35 m</v>
      </c>
      <c r="L743" s="7" t="str">
        <f aca="false">IF(Raw_Nigeria!K743="","n/a",Raw_Nigeria!K743)</f>
        <v>0-12 m</v>
      </c>
      <c r="M743" s="7" t="str">
        <f aca="false">IF(Raw_Nigeria!I743="","",Raw_Nigeria!I743)</f>
        <v/>
      </c>
      <c r="N743" s="7" t="n">
        <f aca="false">Raw_Nigeria!M743</f>
        <v>68.5</v>
      </c>
      <c r="O743" s="7" t="str">
        <f aca="false">IF(Raw_Nigeria!N743="","",Raw_Nigeria!N743)</f>
        <v/>
      </c>
      <c r="P743" s="7" t="str">
        <f aca="false">IF(K743="CBAW","Women of child-bearing age","Children")</f>
        <v>Children</v>
      </c>
      <c r="Q743" s="7" t="n">
        <f aca="false">IF(J743="NOT USED",1,0)</f>
        <v>0</v>
      </c>
      <c r="R743" s="7" t="n">
        <f aca="false">IF(AND(P743="Children",Q743=0),1,0)</f>
        <v>1</v>
      </c>
      <c r="S743" s="7" t="n">
        <f aca="false">IF(AND(R743=1,J743="Record or Recall",K743="12-23 m"),1,0)</f>
        <v>0</v>
      </c>
      <c r="T743" s="7" t="n">
        <f aca="false">IF(OR(I743="BCG",I743="DTP1",I743="DTP3",I743="POL3",I743="MCV1",I743="FULL"),1,0)</f>
        <v>0</v>
      </c>
      <c r="U743" s="7" t="n">
        <f aca="false">IF(OR(C743="DHS",C743="MICS"),1,0)</f>
        <v>1</v>
      </c>
      <c r="V743" s="7" t="n">
        <f aca="false">IF(O743="",1,0)</f>
        <v>1</v>
      </c>
      <c r="W743" s="7" t="n">
        <f aca="false">IF(M743="",1,0)</f>
        <v>1</v>
      </c>
      <c r="X743" s="7" t="n">
        <f aca="false">COUNTIFS($B$2:$B$1141,B743,$H$2:$H$1141,H743,$I$2:$I$1141,I743,$J$2:$J$1141,J743,$K$2:$K$1141,K743,$L$2:$L$1141,L743)</f>
        <v>1</v>
      </c>
    </row>
    <row r="744" customFormat="false" ht="15" hidden="false" customHeight="false" outlineLevel="0" collapsed="false">
      <c r="A744" s="7" t="n">
        <f aca="false">ROW()-1</f>
        <v>743</v>
      </c>
      <c r="B744" s="7" t="str">
        <f aca="false">IF(Raw_Nigeria!B744="",TRIM(Raw_Nigeria!C744),TRIM(Raw_Nigeria!B744))</f>
        <v>Nigeria Multiple Indicator Cluster Survey 2021</v>
      </c>
      <c r="C744" s="7" t="str">
        <f aca="false">IF(ISNUMBER(SEARCH("Demographic and Health",B744)),"DHS",IF(OR(ISNUMBER(SEARCH("Multiple Indicator Cluster",B744)),ISNUMBER(SEARCH("MICS",B744))),"MICS",IF(ISNUMBER(SEARCH("Immunization Coverage Survey",B744)),"Coverage survey",IF(ISNUMBER(SEARCH("Nutrition",B744)),"Nutrition survey","Other"))))</f>
        <v>MICS</v>
      </c>
      <c r="D744" s="7" t="n">
        <f aca="false">VALUE(LEFT(Raw_Nigeria!D744,4))</f>
        <v>2021</v>
      </c>
      <c r="E744" s="7" t="n">
        <f aca="false">IF(VALUE(RIGHT(Raw_Nigeria!D744,2))&gt;12,"",VALUE(RIGHT(Raw_Nigeria!D744,2)))</f>
        <v>9</v>
      </c>
      <c r="F744" s="7" t="n">
        <f aca="false">VALUE(LEFT(Raw_Nigeria!E744,4))</f>
        <v>2021</v>
      </c>
      <c r="G744" s="7" t="n">
        <f aca="false">IF(VALUE(RIGHT(Raw_Nigeria!E744,2))&gt;12,"",VALUE(RIGHT(Raw_Nigeria!E744,2)))</f>
        <v>12</v>
      </c>
      <c r="H744" s="7" t="n">
        <f aca="false">Raw_Nigeria!F744</f>
        <v>2019</v>
      </c>
      <c r="I744" s="7" t="str">
        <f aca="false">UPPER(TRIM(Raw_Nigeria!G744))</f>
        <v>HIB1</v>
      </c>
      <c r="J744" s="7" t="str">
        <f aca="false">Raw_Nigeria!H744</f>
        <v>Record</v>
      </c>
      <c r="K744" s="7" t="str">
        <f aca="false">Raw_Nigeria!L744</f>
        <v>24-35 m</v>
      </c>
      <c r="L744" s="7" t="str">
        <f aca="false">IF(Raw_Nigeria!K744="","n/a",Raw_Nigeria!K744)</f>
        <v>0-35 m</v>
      </c>
      <c r="M744" s="7" t="str">
        <f aca="false">IF(Raw_Nigeria!I744="","",Raw_Nigeria!I744)</f>
        <v/>
      </c>
      <c r="N744" s="7" t="n">
        <f aca="false">Raw_Nigeria!M744</f>
        <v>45.3</v>
      </c>
      <c r="O744" s="7" t="n">
        <f aca="false">IF(Raw_Nigeria!N744="","",Raw_Nigeria!N744)</f>
        <v>2877</v>
      </c>
      <c r="P744" s="7" t="str">
        <f aca="false">IF(K744="CBAW","Women of child-bearing age","Children")</f>
        <v>Children</v>
      </c>
      <c r="Q744" s="7" t="n">
        <f aca="false">IF(J744="NOT USED",1,0)</f>
        <v>0</v>
      </c>
      <c r="R744" s="7" t="n">
        <f aca="false">IF(AND(P744="Children",Q744=0),1,0)</f>
        <v>1</v>
      </c>
      <c r="S744" s="7" t="n">
        <f aca="false">IF(AND(R744=1,J744="Record or Recall",K744="12-23 m"),1,0)</f>
        <v>0</v>
      </c>
      <c r="T744" s="7" t="n">
        <f aca="false">IF(OR(I744="BCG",I744="DTP1",I744="DTP3",I744="POL3",I744="MCV1",I744="FULL"),1,0)</f>
        <v>0</v>
      </c>
      <c r="U744" s="7" t="n">
        <f aca="false">IF(OR(C744="DHS",C744="MICS"),1,0)</f>
        <v>1</v>
      </c>
      <c r="V744" s="7" t="n">
        <f aca="false">IF(O744="",1,0)</f>
        <v>0</v>
      </c>
      <c r="W744" s="7" t="n">
        <f aca="false">IF(M744="",1,0)</f>
        <v>1</v>
      </c>
      <c r="X744" s="7" t="n">
        <f aca="false">COUNTIFS($B$2:$B$1141,B744,$H$2:$H$1141,H744,$I$2:$I$1141,I744,$J$2:$J$1141,J744,$K$2:$K$1141,K744,$L$2:$L$1141,L744)</f>
        <v>1</v>
      </c>
    </row>
    <row r="745" customFormat="false" ht="15" hidden="false" customHeight="false" outlineLevel="0" collapsed="false">
      <c r="A745" s="7" t="n">
        <f aca="false">ROW()-1</f>
        <v>744</v>
      </c>
      <c r="B745" s="7" t="str">
        <f aca="false">IF(Raw_Nigeria!B745="",TRIM(Raw_Nigeria!C745),TRIM(Raw_Nigeria!B745))</f>
        <v>Nigeria Multiple Indicator Cluster Survey 2021</v>
      </c>
      <c r="C745" s="7" t="str">
        <f aca="false">IF(ISNUMBER(SEARCH("Demographic and Health",B745)),"DHS",IF(OR(ISNUMBER(SEARCH("Multiple Indicator Cluster",B745)),ISNUMBER(SEARCH("MICS",B745))),"MICS",IF(ISNUMBER(SEARCH("Immunization Coverage Survey",B745)),"Coverage survey",IF(ISNUMBER(SEARCH("Nutrition",B745)),"Nutrition survey","Other"))))</f>
        <v>MICS</v>
      </c>
      <c r="D745" s="7" t="n">
        <f aca="false">VALUE(LEFT(Raw_Nigeria!D745,4))</f>
        <v>2021</v>
      </c>
      <c r="E745" s="7" t="n">
        <f aca="false">IF(VALUE(RIGHT(Raw_Nigeria!D745,2))&gt;12,"",VALUE(RIGHT(Raw_Nigeria!D745,2)))</f>
        <v>9</v>
      </c>
      <c r="F745" s="7" t="n">
        <f aca="false">VALUE(LEFT(Raw_Nigeria!E745,4))</f>
        <v>2021</v>
      </c>
      <c r="G745" s="7" t="n">
        <f aca="false">IF(VALUE(RIGHT(Raw_Nigeria!E745,2))&gt;12,"",VALUE(RIGHT(Raw_Nigeria!E745,2)))</f>
        <v>12</v>
      </c>
      <c r="H745" s="7" t="n">
        <f aca="false">Raw_Nigeria!F745</f>
        <v>2019</v>
      </c>
      <c r="I745" s="7" t="str">
        <f aca="false">UPPER(TRIM(Raw_Nigeria!G745))</f>
        <v>HIB1</v>
      </c>
      <c r="J745" s="7" t="str">
        <f aca="false">Raw_Nigeria!H745</f>
        <v>Record or Recall</v>
      </c>
      <c r="K745" s="7" t="str">
        <f aca="false">Raw_Nigeria!L745</f>
        <v>24-35 m</v>
      </c>
      <c r="L745" s="7" t="str">
        <f aca="false">IF(Raw_Nigeria!K745="","n/a",Raw_Nigeria!K745)</f>
        <v>0-35 m</v>
      </c>
      <c r="M745" s="7" t="str">
        <f aca="false">IF(Raw_Nigeria!I745="","",Raw_Nigeria!I745)</f>
        <v/>
      </c>
      <c r="N745" s="7" t="n">
        <f aca="false">Raw_Nigeria!M745</f>
        <v>72.3</v>
      </c>
      <c r="O745" s="7" t="n">
        <f aca="false">IF(Raw_Nigeria!N745="","",Raw_Nigeria!N745)</f>
        <v>6100</v>
      </c>
      <c r="P745" s="7" t="str">
        <f aca="false">IF(K745="CBAW","Women of child-bearing age","Children")</f>
        <v>Children</v>
      </c>
      <c r="Q745" s="7" t="n">
        <f aca="false">IF(J745="NOT USED",1,0)</f>
        <v>0</v>
      </c>
      <c r="R745" s="7" t="n">
        <f aca="false">IF(AND(P745="Children",Q745=0),1,0)</f>
        <v>1</v>
      </c>
      <c r="S745" s="7" t="n">
        <f aca="false">IF(AND(R745=1,J745="Record or Recall",K745="12-23 m"),1,0)</f>
        <v>0</v>
      </c>
      <c r="T745" s="7" t="n">
        <f aca="false">IF(OR(I745="BCG",I745="DTP1",I745="DTP3",I745="POL3",I745="MCV1",I745="FULL"),1,0)</f>
        <v>0</v>
      </c>
      <c r="U745" s="7" t="n">
        <f aca="false">IF(OR(C745="DHS",C745="MICS"),1,0)</f>
        <v>1</v>
      </c>
      <c r="V745" s="7" t="n">
        <f aca="false">IF(O745="",1,0)</f>
        <v>0</v>
      </c>
      <c r="W745" s="7" t="n">
        <f aca="false">IF(M745="",1,0)</f>
        <v>1</v>
      </c>
      <c r="X745" s="7" t="n">
        <f aca="false">COUNTIFS($B$2:$B$1141,B745,$H$2:$H$1141,H745,$I$2:$I$1141,I745,$J$2:$J$1141,J745,$K$2:$K$1141,K745,$L$2:$L$1141,L745)</f>
        <v>1</v>
      </c>
    </row>
    <row r="746" customFormat="false" ht="15" hidden="false" customHeight="false" outlineLevel="0" collapsed="false">
      <c r="A746" s="7" t="n">
        <f aca="false">ROW()-1</f>
        <v>745</v>
      </c>
      <c r="B746" s="7" t="str">
        <f aca="false">IF(Raw_Nigeria!B746="",TRIM(Raw_Nigeria!C746),TRIM(Raw_Nigeria!B746))</f>
        <v>Nigeria Multiple Indicator Cluster Survey 2021</v>
      </c>
      <c r="C746" s="7" t="str">
        <f aca="false">IF(ISNUMBER(SEARCH("Demographic and Health",B746)),"DHS",IF(OR(ISNUMBER(SEARCH("Multiple Indicator Cluster",B746)),ISNUMBER(SEARCH("MICS",B746))),"MICS",IF(ISNUMBER(SEARCH("Immunization Coverage Survey",B746)),"Coverage survey",IF(ISNUMBER(SEARCH("Nutrition",B746)),"Nutrition survey","Other"))))</f>
        <v>MICS</v>
      </c>
      <c r="D746" s="7" t="n">
        <f aca="false">VALUE(LEFT(Raw_Nigeria!D746,4))</f>
        <v>2021</v>
      </c>
      <c r="E746" s="7" t="n">
        <f aca="false">IF(VALUE(RIGHT(Raw_Nigeria!D746,2))&gt;12,"",VALUE(RIGHT(Raw_Nigeria!D746,2)))</f>
        <v>9</v>
      </c>
      <c r="F746" s="7" t="n">
        <f aca="false">VALUE(LEFT(Raw_Nigeria!E746,4))</f>
        <v>2021</v>
      </c>
      <c r="G746" s="7" t="n">
        <f aca="false">IF(VALUE(RIGHT(Raw_Nigeria!E746,2))&gt;12,"",VALUE(RIGHT(Raw_Nigeria!E746,2)))</f>
        <v>12</v>
      </c>
      <c r="H746" s="7" t="n">
        <f aca="false">Raw_Nigeria!F746</f>
        <v>2019</v>
      </c>
      <c r="I746" s="7" t="str">
        <f aca="false">UPPER(TRIM(Raw_Nigeria!G746))</f>
        <v>HIB1</v>
      </c>
      <c r="J746" s="7" t="str">
        <f aca="false">Raw_Nigeria!H746</f>
        <v>Recall</v>
      </c>
      <c r="K746" s="7" t="str">
        <f aca="false">Raw_Nigeria!L746</f>
        <v>24-35 m</v>
      </c>
      <c r="L746" s="7" t="str">
        <f aca="false">IF(Raw_Nigeria!K746="","n/a",Raw_Nigeria!K746)</f>
        <v>0-35 m</v>
      </c>
      <c r="M746" s="7" t="str">
        <f aca="false">IF(Raw_Nigeria!I746="","",Raw_Nigeria!I746)</f>
        <v/>
      </c>
      <c r="N746" s="7" t="n">
        <f aca="false">Raw_Nigeria!M746</f>
        <v>27</v>
      </c>
      <c r="O746" s="7" t="n">
        <f aca="false">IF(Raw_Nigeria!N746="","",Raw_Nigeria!N746)</f>
        <v>3223</v>
      </c>
      <c r="P746" s="7" t="str">
        <f aca="false">IF(K746="CBAW","Women of child-bearing age","Children")</f>
        <v>Children</v>
      </c>
      <c r="Q746" s="7" t="n">
        <f aca="false">IF(J746="NOT USED",1,0)</f>
        <v>0</v>
      </c>
      <c r="R746" s="7" t="n">
        <f aca="false">IF(AND(P746="Children",Q746=0),1,0)</f>
        <v>1</v>
      </c>
      <c r="S746" s="7" t="n">
        <f aca="false">IF(AND(R746=1,J746="Record or Recall",K746="12-23 m"),1,0)</f>
        <v>0</v>
      </c>
      <c r="T746" s="7" t="n">
        <f aca="false">IF(OR(I746="BCG",I746="DTP1",I746="DTP3",I746="POL3",I746="MCV1",I746="FULL"),1,0)</f>
        <v>0</v>
      </c>
      <c r="U746" s="7" t="n">
        <f aca="false">IF(OR(C746="DHS",C746="MICS"),1,0)</f>
        <v>1</v>
      </c>
      <c r="V746" s="7" t="n">
        <f aca="false">IF(O746="",1,0)</f>
        <v>0</v>
      </c>
      <c r="W746" s="7" t="n">
        <f aca="false">IF(M746="",1,0)</f>
        <v>1</v>
      </c>
      <c r="X746" s="7" t="n">
        <f aca="false">COUNTIFS($B$2:$B$1141,B746,$H$2:$H$1141,H746,$I$2:$I$1141,I746,$J$2:$J$1141,J746,$K$2:$K$1141,K746,$L$2:$L$1141,L746)</f>
        <v>1</v>
      </c>
    </row>
    <row r="747" customFormat="false" ht="15" hidden="false" customHeight="false" outlineLevel="0" collapsed="false">
      <c r="A747" s="7" t="n">
        <f aca="false">ROW()-1</f>
        <v>746</v>
      </c>
      <c r="B747" s="7" t="str">
        <f aca="false">IF(Raw_Nigeria!B747="",TRIM(Raw_Nigeria!C747),TRIM(Raw_Nigeria!B747))</f>
        <v>Nigeria Multiple Indicator Cluster Survey 2021</v>
      </c>
      <c r="C747" s="7" t="str">
        <f aca="false">IF(ISNUMBER(SEARCH("Demographic and Health",B747)),"DHS",IF(OR(ISNUMBER(SEARCH("Multiple Indicator Cluster",B747)),ISNUMBER(SEARCH("MICS",B747))),"MICS",IF(ISNUMBER(SEARCH("Immunization Coverage Survey",B747)),"Coverage survey",IF(ISNUMBER(SEARCH("Nutrition",B747)),"Nutrition survey","Other"))))</f>
        <v>MICS</v>
      </c>
      <c r="D747" s="7" t="n">
        <f aca="false">VALUE(LEFT(Raw_Nigeria!D747,4))</f>
        <v>2021</v>
      </c>
      <c r="E747" s="7" t="n">
        <f aca="false">IF(VALUE(RIGHT(Raw_Nigeria!D747,2))&gt;12,"",VALUE(RIGHT(Raw_Nigeria!D747,2)))</f>
        <v>9</v>
      </c>
      <c r="F747" s="7" t="n">
        <f aca="false">VALUE(LEFT(Raw_Nigeria!E747,4))</f>
        <v>2021</v>
      </c>
      <c r="G747" s="7" t="n">
        <f aca="false">IF(VALUE(RIGHT(Raw_Nigeria!E747,2))&gt;12,"",VALUE(RIGHT(Raw_Nigeria!E747,2)))</f>
        <v>12</v>
      </c>
      <c r="H747" s="7" t="n">
        <f aca="false">Raw_Nigeria!F747</f>
        <v>2019</v>
      </c>
      <c r="I747" s="7" t="str">
        <f aca="false">UPPER(TRIM(Raw_Nigeria!G747))</f>
        <v>HIB2</v>
      </c>
      <c r="J747" s="7" t="str">
        <f aca="false">Raw_Nigeria!H747</f>
        <v>Record or Recall&lt;12m</v>
      </c>
      <c r="K747" s="7" t="str">
        <f aca="false">Raw_Nigeria!L747</f>
        <v>24-35 m</v>
      </c>
      <c r="L747" s="7" t="str">
        <f aca="false">IF(Raw_Nigeria!K747="","n/a",Raw_Nigeria!K747)</f>
        <v>0-12 m</v>
      </c>
      <c r="M747" s="7" t="str">
        <f aca="false">IF(Raw_Nigeria!I747="","",Raw_Nigeria!I747)</f>
        <v/>
      </c>
      <c r="N747" s="7" t="n">
        <f aca="false">Raw_Nigeria!M747</f>
        <v>62.8</v>
      </c>
      <c r="O747" s="7" t="str">
        <f aca="false">IF(Raw_Nigeria!N747="","",Raw_Nigeria!N747)</f>
        <v/>
      </c>
      <c r="P747" s="7" t="str">
        <f aca="false">IF(K747="CBAW","Women of child-bearing age","Children")</f>
        <v>Children</v>
      </c>
      <c r="Q747" s="7" t="n">
        <f aca="false">IF(J747="NOT USED",1,0)</f>
        <v>0</v>
      </c>
      <c r="R747" s="7" t="n">
        <f aca="false">IF(AND(P747="Children",Q747=0),1,0)</f>
        <v>1</v>
      </c>
      <c r="S747" s="7" t="n">
        <f aca="false">IF(AND(R747=1,J747="Record or Recall",K747="12-23 m"),1,0)</f>
        <v>0</v>
      </c>
      <c r="T747" s="7" t="n">
        <f aca="false">IF(OR(I747="BCG",I747="DTP1",I747="DTP3",I747="POL3",I747="MCV1",I747="FULL"),1,0)</f>
        <v>0</v>
      </c>
      <c r="U747" s="7" t="n">
        <f aca="false">IF(OR(C747="DHS",C747="MICS"),1,0)</f>
        <v>1</v>
      </c>
      <c r="V747" s="7" t="n">
        <f aca="false">IF(O747="",1,0)</f>
        <v>1</v>
      </c>
      <c r="W747" s="7" t="n">
        <f aca="false">IF(M747="",1,0)</f>
        <v>1</v>
      </c>
      <c r="X747" s="7" t="n">
        <f aca="false">COUNTIFS($B$2:$B$1141,B747,$H$2:$H$1141,H747,$I$2:$I$1141,I747,$J$2:$J$1141,J747,$K$2:$K$1141,K747,$L$2:$L$1141,L747)</f>
        <v>1</v>
      </c>
    </row>
    <row r="748" customFormat="false" ht="15" hidden="false" customHeight="false" outlineLevel="0" collapsed="false">
      <c r="A748" s="7" t="n">
        <f aca="false">ROW()-1</f>
        <v>747</v>
      </c>
      <c r="B748" s="7" t="str">
        <f aca="false">IF(Raw_Nigeria!B748="",TRIM(Raw_Nigeria!C748),TRIM(Raw_Nigeria!B748))</f>
        <v>Nigeria Multiple Indicator Cluster Survey 2021</v>
      </c>
      <c r="C748" s="7" t="str">
        <f aca="false">IF(ISNUMBER(SEARCH("Demographic and Health",B748)),"DHS",IF(OR(ISNUMBER(SEARCH("Multiple Indicator Cluster",B748)),ISNUMBER(SEARCH("MICS",B748))),"MICS",IF(ISNUMBER(SEARCH("Immunization Coverage Survey",B748)),"Coverage survey",IF(ISNUMBER(SEARCH("Nutrition",B748)),"Nutrition survey","Other"))))</f>
        <v>MICS</v>
      </c>
      <c r="D748" s="7" t="n">
        <f aca="false">VALUE(LEFT(Raw_Nigeria!D748,4))</f>
        <v>2021</v>
      </c>
      <c r="E748" s="7" t="n">
        <f aca="false">IF(VALUE(RIGHT(Raw_Nigeria!D748,2))&gt;12,"",VALUE(RIGHT(Raw_Nigeria!D748,2)))</f>
        <v>9</v>
      </c>
      <c r="F748" s="7" t="n">
        <f aca="false">VALUE(LEFT(Raw_Nigeria!E748,4))</f>
        <v>2021</v>
      </c>
      <c r="G748" s="7" t="n">
        <f aca="false">IF(VALUE(RIGHT(Raw_Nigeria!E748,2))&gt;12,"",VALUE(RIGHT(Raw_Nigeria!E748,2)))</f>
        <v>12</v>
      </c>
      <c r="H748" s="7" t="n">
        <f aca="false">Raw_Nigeria!F748</f>
        <v>2019</v>
      </c>
      <c r="I748" s="7" t="str">
        <f aca="false">UPPER(TRIM(Raw_Nigeria!G748))</f>
        <v>HIB2</v>
      </c>
      <c r="J748" s="7" t="str">
        <f aca="false">Raw_Nigeria!H748</f>
        <v>Record</v>
      </c>
      <c r="K748" s="7" t="str">
        <f aca="false">Raw_Nigeria!L748</f>
        <v>24-35 m</v>
      </c>
      <c r="L748" s="7" t="str">
        <f aca="false">IF(Raw_Nigeria!K748="","n/a",Raw_Nigeria!K748)</f>
        <v>0-35 m</v>
      </c>
      <c r="M748" s="7" t="str">
        <f aca="false">IF(Raw_Nigeria!I748="","",Raw_Nigeria!I748)</f>
        <v/>
      </c>
      <c r="N748" s="7" t="n">
        <f aca="false">Raw_Nigeria!M748</f>
        <v>43.6</v>
      </c>
      <c r="O748" s="7" t="n">
        <f aca="false">IF(Raw_Nigeria!N748="","",Raw_Nigeria!N748)</f>
        <v>2877</v>
      </c>
      <c r="P748" s="7" t="str">
        <f aca="false">IF(K748="CBAW","Women of child-bearing age","Children")</f>
        <v>Children</v>
      </c>
      <c r="Q748" s="7" t="n">
        <f aca="false">IF(J748="NOT USED",1,0)</f>
        <v>0</v>
      </c>
      <c r="R748" s="7" t="n">
        <f aca="false">IF(AND(P748="Children",Q748=0),1,0)</f>
        <v>1</v>
      </c>
      <c r="S748" s="7" t="n">
        <f aca="false">IF(AND(R748=1,J748="Record or Recall",K748="12-23 m"),1,0)</f>
        <v>0</v>
      </c>
      <c r="T748" s="7" t="n">
        <f aca="false">IF(OR(I748="BCG",I748="DTP1",I748="DTP3",I748="POL3",I748="MCV1",I748="FULL"),1,0)</f>
        <v>0</v>
      </c>
      <c r="U748" s="7" t="n">
        <f aca="false">IF(OR(C748="DHS",C748="MICS"),1,0)</f>
        <v>1</v>
      </c>
      <c r="V748" s="7" t="n">
        <f aca="false">IF(O748="",1,0)</f>
        <v>0</v>
      </c>
      <c r="W748" s="7" t="n">
        <f aca="false">IF(M748="",1,0)</f>
        <v>1</v>
      </c>
      <c r="X748" s="7" t="n">
        <f aca="false">COUNTIFS($B$2:$B$1141,B748,$H$2:$H$1141,H748,$I$2:$I$1141,I748,$J$2:$J$1141,J748,$K$2:$K$1141,K748,$L$2:$L$1141,L748)</f>
        <v>1</v>
      </c>
    </row>
    <row r="749" customFormat="false" ht="15" hidden="false" customHeight="false" outlineLevel="0" collapsed="false">
      <c r="A749" s="7" t="n">
        <f aca="false">ROW()-1</f>
        <v>748</v>
      </c>
      <c r="B749" s="7" t="str">
        <f aca="false">IF(Raw_Nigeria!B749="",TRIM(Raw_Nigeria!C749),TRIM(Raw_Nigeria!B749))</f>
        <v>Nigeria Multiple Indicator Cluster Survey 2021</v>
      </c>
      <c r="C749" s="7" t="str">
        <f aca="false">IF(ISNUMBER(SEARCH("Demographic and Health",B749)),"DHS",IF(OR(ISNUMBER(SEARCH("Multiple Indicator Cluster",B749)),ISNUMBER(SEARCH("MICS",B749))),"MICS",IF(ISNUMBER(SEARCH("Immunization Coverage Survey",B749)),"Coverage survey",IF(ISNUMBER(SEARCH("Nutrition",B749)),"Nutrition survey","Other"))))</f>
        <v>MICS</v>
      </c>
      <c r="D749" s="7" t="n">
        <f aca="false">VALUE(LEFT(Raw_Nigeria!D749,4))</f>
        <v>2021</v>
      </c>
      <c r="E749" s="7" t="n">
        <f aca="false">IF(VALUE(RIGHT(Raw_Nigeria!D749,2))&gt;12,"",VALUE(RIGHT(Raw_Nigeria!D749,2)))</f>
        <v>9</v>
      </c>
      <c r="F749" s="7" t="n">
        <f aca="false">VALUE(LEFT(Raw_Nigeria!E749,4))</f>
        <v>2021</v>
      </c>
      <c r="G749" s="7" t="n">
        <f aca="false">IF(VALUE(RIGHT(Raw_Nigeria!E749,2))&gt;12,"",VALUE(RIGHT(Raw_Nigeria!E749,2)))</f>
        <v>12</v>
      </c>
      <c r="H749" s="7" t="n">
        <f aca="false">Raw_Nigeria!F749</f>
        <v>2019</v>
      </c>
      <c r="I749" s="7" t="str">
        <f aca="false">UPPER(TRIM(Raw_Nigeria!G749))</f>
        <v>HIB2</v>
      </c>
      <c r="J749" s="7" t="str">
        <f aca="false">Raw_Nigeria!H749</f>
        <v>Record or Recall</v>
      </c>
      <c r="K749" s="7" t="str">
        <f aca="false">Raw_Nigeria!L749</f>
        <v>24-35 m</v>
      </c>
      <c r="L749" s="7" t="str">
        <f aca="false">IF(Raw_Nigeria!K749="","n/a",Raw_Nigeria!K749)</f>
        <v>0-35 m</v>
      </c>
      <c r="M749" s="7" t="str">
        <f aca="false">IF(Raw_Nigeria!I749="","",Raw_Nigeria!I749)</f>
        <v/>
      </c>
      <c r="N749" s="7" t="n">
        <f aca="false">Raw_Nigeria!M749</f>
        <v>66.8</v>
      </c>
      <c r="O749" s="7" t="n">
        <f aca="false">IF(Raw_Nigeria!N749="","",Raw_Nigeria!N749)</f>
        <v>6100</v>
      </c>
      <c r="P749" s="7" t="str">
        <f aca="false">IF(K749="CBAW","Women of child-bearing age","Children")</f>
        <v>Children</v>
      </c>
      <c r="Q749" s="7" t="n">
        <f aca="false">IF(J749="NOT USED",1,0)</f>
        <v>0</v>
      </c>
      <c r="R749" s="7" t="n">
        <f aca="false">IF(AND(P749="Children",Q749=0),1,0)</f>
        <v>1</v>
      </c>
      <c r="S749" s="7" t="n">
        <f aca="false">IF(AND(R749=1,J749="Record or Recall",K749="12-23 m"),1,0)</f>
        <v>0</v>
      </c>
      <c r="T749" s="7" t="n">
        <f aca="false">IF(OR(I749="BCG",I749="DTP1",I749="DTP3",I749="POL3",I749="MCV1",I749="FULL"),1,0)</f>
        <v>0</v>
      </c>
      <c r="U749" s="7" t="n">
        <f aca="false">IF(OR(C749="DHS",C749="MICS"),1,0)</f>
        <v>1</v>
      </c>
      <c r="V749" s="7" t="n">
        <f aca="false">IF(O749="",1,0)</f>
        <v>0</v>
      </c>
      <c r="W749" s="7" t="n">
        <f aca="false">IF(M749="",1,0)</f>
        <v>1</v>
      </c>
      <c r="X749" s="7" t="n">
        <f aca="false">COUNTIFS($B$2:$B$1141,B749,$H$2:$H$1141,H749,$I$2:$I$1141,I749,$J$2:$J$1141,J749,$K$2:$K$1141,K749,$L$2:$L$1141,L749)</f>
        <v>1</v>
      </c>
    </row>
    <row r="750" customFormat="false" ht="15" hidden="false" customHeight="false" outlineLevel="0" collapsed="false">
      <c r="A750" s="7" t="n">
        <f aca="false">ROW()-1</f>
        <v>749</v>
      </c>
      <c r="B750" s="7" t="str">
        <f aca="false">IF(Raw_Nigeria!B750="",TRIM(Raw_Nigeria!C750),TRIM(Raw_Nigeria!B750))</f>
        <v>Nigeria Multiple Indicator Cluster Survey 2021</v>
      </c>
      <c r="C750" s="7" t="str">
        <f aca="false">IF(ISNUMBER(SEARCH("Demographic and Health",B750)),"DHS",IF(OR(ISNUMBER(SEARCH("Multiple Indicator Cluster",B750)),ISNUMBER(SEARCH("MICS",B750))),"MICS",IF(ISNUMBER(SEARCH("Immunization Coverage Survey",B750)),"Coverage survey",IF(ISNUMBER(SEARCH("Nutrition",B750)),"Nutrition survey","Other"))))</f>
        <v>MICS</v>
      </c>
      <c r="D750" s="7" t="n">
        <f aca="false">VALUE(LEFT(Raw_Nigeria!D750,4))</f>
        <v>2021</v>
      </c>
      <c r="E750" s="7" t="n">
        <f aca="false">IF(VALUE(RIGHT(Raw_Nigeria!D750,2))&gt;12,"",VALUE(RIGHT(Raw_Nigeria!D750,2)))</f>
        <v>9</v>
      </c>
      <c r="F750" s="7" t="n">
        <f aca="false">VALUE(LEFT(Raw_Nigeria!E750,4))</f>
        <v>2021</v>
      </c>
      <c r="G750" s="7" t="n">
        <f aca="false">IF(VALUE(RIGHT(Raw_Nigeria!E750,2))&gt;12,"",VALUE(RIGHT(Raw_Nigeria!E750,2)))</f>
        <v>12</v>
      </c>
      <c r="H750" s="7" t="n">
        <f aca="false">Raw_Nigeria!F750</f>
        <v>2019</v>
      </c>
      <c r="I750" s="7" t="str">
        <f aca="false">UPPER(TRIM(Raw_Nigeria!G750))</f>
        <v>HIB2</v>
      </c>
      <c r="J750" s="7" t="str">
        <f aca="false">Raw_Nigeria!H750</f>
        <v>Recall</v>
      </c>
      <c r="K750" s="7" t="str">
        <f aca="false">Raw_Nigeria!L750</f>
        <v>24-35 m</v>
      </c>
      <c r="L750" s="7" t="str">
        <f aca="false">IF(Raw_Nigeria!K750="","n/a",Raw_Nigeria!K750)</f>
        <v>0-35 m</v>
      </c>
      <c r="M750" s="7" t="str">
        <f aca="false">IF(Raw_Nigeria!I750="","",Raw_Nigeria!I750)</f>
        <v/>
      </c>
      <c r="N750" s="7" t="n">
        <f aca="false">Raw_Nigeria!M750</f>
        <v>23.1</v>
      </c>
      <c r="O750" s="7" t="n">
        <f aca="false">IF(Raw_Nigeria!N750="","",Raw_Nigeria!N750)</f>
        <v>3223</v>
      </c>
      <c r="P750" s="7" t="str">
        <f aca="false">IF(K750="CBAW","Women of child-bearing age","Children")</f>
        <v>Children</v>
      </c>
      <c r="Q750" s="7" t="n">
        <f aca="false">IF(J750="NOT USED",1,0)</f>
        <v>0</v>
      </c>
      <c r="R750" s="7" t="n">
        <f aca="false">IF(AND(P750="Children",Q750=0),1,0)</f>
        <v>1</v>
      </c>
      <c r="S750" s="7" t="n">
        <f aca="false">IF(AND(R750=1,J750="Record or Recall",K750="12-23 m"),1,0)</f>
        <v>0</v>
      </c>
      <c r="T750" s="7" t="n">
        <f aca="false">IF(OR(I750="BCG",I750="DTP1",I750="DTP3",I750="POL3",I750="MCV1",I750="FULL"),1,0)</f>
        <v>0</v>
      </c>
      <c r="U750" s="7" t="n">
        <f aca="false">IF(OR(C750="DHS",C750="MICS"),1,0)</f>
        <v>1</v>
      </c>
      <c r="V750" s="7" t="n">
        <f aca="false">IF(O750="",1,0)</f>
        <v>0</v>
      </c>
      <c r="W750" s="7" t="n">
        <f aca="false">IF(M750="",1,0)</f>
        <v>1</v>
      </c>
      <c r="X750" s="7" t="n">
        <f aca="false">COUNTIFS($B$2:$B$1141,B750,$H$2:$H$1141,H750,$I$2:$I$1141,I750,$J$2:$J$1141,J750,$K$2:$K$1141,K750,$L$2:$L$1141,L750)</f>
        <v>1</v>
      </c>
    </row>
    <row r="751" customFormat="false" ht="15" hidden="false" customHeight="false" outlineLevel="0" collapsed="false">
      <c r="A751" s="7" t="n">
        <f aca="false">ROW()-1</f>
        <v>750</v>
      </c>
      <c r="B751" s="7" t="str">
        <f aca="false">IF(Raw_Nigeria!B751="",TRIM(Raw_Nigeria!C751),TRIM(Raw_Nigeria!B751))</f>
        <v>Nigeria Multiple Indicator Cluster Survey 2021</v>
      </c>
      <c r="C751" s="7" t="str">
        <f aca="false">IF(ISNUMBER(SEARCH("Demographic and Health",B751)),"DHS",IF(OR(ISNUMBER(SEARCH("Multiple Indicator Cluster",B751)),ISNUMBER(SEARCH("MICS",B751))),"MICS",IF(ISNUMBER(SEARCH("Immunization Coverage Survey",B751)),"Coverage survey",IF(ISNUMBER(SEARCH("Nutrition",B751)),"Nutrition survey","Other"))))</f>
        <v>MICS</v>
      </c>
      <c r="D751" s="7" t="n">
        <f aca="false">VALUE(LEFT(Raw_Nigeria!D751,4))</f>
        <v>2021</v>
      </c>
      <c r="E751" s="7" t="n">
        <f aca="false">IF(VALUE(RIGHT(Raw_Nigeria!D751,2))&gt;12,"",VALUE(RIGHT(Raw_Nigeria!D751,2)))</f>
        <v>9</v>
      </c>
      <c r="F751" s="7" t="n">
        <f aca="false">VALUE(LEFT(Raw_Nigeria!E751,4))</f>
        <v>2021</v>
      </c>
      <c r="G751" s="7" t="n">
        <f aca="false">IF(VALUE(RIGHT(Raw_Nigeria!E751,2))&gt;12,"",VALUE(RIGHT(Raw_Nigeria!E751,2)))</f>
        <v>12</v>
      </c>
      <c r="H751" s="7" t="n">
        <f aca="false">Raw_Nigeria!F751</f>
        <v>2019</v>
      </c>
      <c r="I751" s="7" t="str">
        <f aca="false">UPPER(TRIM(Raw_Nigeria!G751))</f>
        <v>HIB3</v>
      </c>
      <c r="J751" s="7" t="str">
        <f aca="false">Raw_Nigeria!H751</f>
        <v>Record or Recall&lt;12m</v>
      </c>
      <c r="K751" s="7" t="str">
        <f aca="false">Raw_Nigeria!L751</f>
        <v>24-35 m</v>
      </c>
      <c r="L751" s="7" t="str">
        <f aca="false">IF(Raw_Nigeria!K751="","n/a",Raw_Nigeria!K751)</f>
        <v>0-12 m</v>
      </c>
      <c r="M751" s="7" t="str">
        <f aca="false">IF(Raw_Nigeria!I751="","",Raw_Nigeria!I751)</f>
        <v/>
      </c>
      <c r="N751" s="7" t="n">
        <f aca="false">Raw_Nigeria!M751</f>
        <v>54</v>
      </c>
      <c r="O751" s="7" t="str">
        <f aca="false">IF(Raw_Nigeria!N751="","",Raw_Nigeria!N751)</f>
        <v/>
      </c>
      <c r="P751" s="7" t="str">
        <f aca="false">IF(K751="CBAW","Women of child-bearing age","Children")</f>
        <v>Children</v>
      </c>
      <c r="Q751" s="7" t="n">
        <f aca="false">IF(J751="NOT USED",1,0)</f>
        <v>0</v>
      </c>
      <c r="R751" s="7" t="n">
        <f aca="false">IF(AND(P751="Children",Q751=0),1,0)</f>
        <v>1</v>
      </c>
      <c r="S751" s="7" t="n">
        <f aca="false">IF(AND(R751=1,J751="Record or Recall",K751="12-23 m"),1,0)</f>
        <v>0</v>
      </c>
      <c r="T751" s="7" t="n">
        <f aca="false">IF(OR(I751="BCG",I751="DTP1",I751="DTP3",I751="POL3",I751="MCV1",I751="FULL"),1,0)</f>
        <v>0</v>
      </c>
      <c r="U751" s="7" t="n">
        <f aca="false">IF(OR(C751="DHS",C751="MICS"),1,0)</f>
        <v>1</v>
      </c>
      <c r="V751" s="7" t="n">
        <f aca="false">IF(O751="",1,0)</f>
        <v>1</v>
      </c>
      <c r="W751" s="7" t="n">
        <f aca="false">IF(M751="",1,0)</f>
        <v>1</v>
      </c>
      <c r="X751" s="7" t="n">
        <f aca="false">COUNTIFS($B$2:$B$1141,B751,$H$2:$H$1141,H751,$I$2:$I$1141,I751,$J$2:$J$1141,J751,$K$2:$K$1141,K751,$L$2:$L$1141,L751)</f>
        <v>1</v>
      </c>
    </row>
    <row r="752" customFormat="false" ht="15" hidden="false" customHeight="false" outlineLevel="0" collapsed="false">
      <c r="A752" s="7" t="n">
        <f aca="false">ROW()-1</f>
        <v>751</v>
      </c>
      <c r="B752" s="7" t="str">
        <f aca="false">IF(Raw_Nigeria!B752="",TRIM(Raw_Nigeria!C752),TRIM(Raw_Nigeria!B752))</f>
        <v>Nigeria Multiple Indicator Cluster Survey 2021</v>
      </c>
      <c r="C752" s="7" t="str">
        <f aca="false">IF(ISNUMBER(SEARCH("Demographic and Health",B752)),"DHS",IF(OR(ISNUMBER(SEARCH("Multiple Indicator Cluster",B752)),ISNUMBER(SEARCH("MICS",B752))),"MICS",IF(ISNUMBER(SEARCH("Immunization Coverage Survey",B752)),"Coverage survey",IF(ISNUMBER(SEARCH("Nutrition",B752)),"Nutrition survey","Other"))))</f>
        <v>MICS</v>
      </c>
      <c r="D752" s="7" t="n">
        <f aca="false">VALUE(LEFT(Raw_Nigeria!D752,4))</f>
        <v>2021</v>
      </c>
      <c r="E752" s="7" t="n">
        <f aca="false">IF(VALUE(RIGHT(Raw_Nigeria!D752,2))&gt;12,"",VALUE(RIGHT(Raw_Nigeria!D752,2)))</f>
        <v>9</v>
      </c>
      <c r="F752" s="7" t="n">
        <f aca="false">VALUE(LEFT(Raw_Nigeria!E752,4))</f>
        <v>2021</v>
      </c>
      <c r="G752" s="7" t="n">
        <f aca="false">IF(VALUE(RIGHT(Raw_Nigeria!E752,2))&gt;12,"",VALUE(RIGHT(Raw_Nigeria!E752,2)))</f>
        <v>12</v>
      </c>
      <c r="H752" s="7" t="n">
        <f aca="false">Raw_Nigeria!F752</f>
        <v>2019</v>
      </c>
      <c r="I752" s="7" t="str">
        <f aca="false">UPPER(TRIM(Raw_Nigeria!G752))</f>
        <v>HIB3</v>
      </c>
      <c r="J752" s="7" t="str">
        <f aca="false">Raw_Nigeria!H752</f>
        <v>Record</v>
      </c>
      <c r="K752" s="7" t="str">
        <f aca="false">Raw_Nigeria!L752</f>
        <v>24-35 m</v>
      </c>
      <c r="L752" s="7" t="str">
        <f aca="false">IF(Raw_Nigeria!K752="","n/a",Raw_Nigeria!K752)</f>
        <v>0-35 m</v>
      </c>
      <c r="M752" s="7" t="str">
        <f aca="false">IF(Raw_Nigeria!I752="","",Raw_Nigeria!I752)</f>
        <v/>
      </c>
      <c r="N752" s="7" t="n">
        <f aca="false">Raw_Nigeria!M752</f>
        <v>41.2</v>
      </c>
      <c r="O752" s="7" t="n">
        <f aca="false">IF(Raw_Nigeria!N752="","",Raw_Nigeria!N752)</f>
        <v>2877</v>
      </c>
      <c r="P752" s="7" t="str">
        <f aca="false">IF(K752="CBAW","Women of child-bearing age","Children")</f>
        <v>Children</v>
      </c>
      <c r="Q752" s="7" t="n">
        <f aca="false">IF(J752="NOT USED",1,0)</f>
        <v>0</v>
      </c>
      <c r="R752" s="7" t="n">
        <f aca="false">IF(AND(P752="Children",Q752=0),1,0)</f>
        <v>1</v>
      </c>
      <c r="S752" s="7" t="n">
        <f aca="false">IF(AND(R752=1,J752="Record or Recall",K752="12-23 m"),1,0)</f>
        <v>0</v>
      </c>
      <c r="T752" s="7" t="n">
        <f aca="false">IF(OR(I752="BCG",I752="DTP1",I752="DTP3",I752="POL3",I752="MCV1",I752="FULL"),1,0)</f>
        <v>0</v>
      </c>
      <c r="U752" s="7" t="n">
        <f aca="false">IF(OR(C752="DHS",C752="MICS"),1,0)</f>
        <v>1</v>
      </c>
      <c r="V752" s="7" t="n">
        <f aca="false">IF(O752="",1,0)</f>
        <v>0</v>
      </c>
      <c r="W752" s="7" t="n">
        <f aca="false">IF(M752="",1,0)</f>
        <v>1</v>
      </c>
      <c r="X752" s="7" t="n">
        <f aca="false">COUNTIFS($B$2:$B$1141,B752,$H$2:$H$1141,H752,$I$2:$I$1141,I752,$J$2:$J$1141,J752,$K$2:$K$1141,K752,$L$2:$L$1141,L752)</f>
        <v>1</v>
      </c>
    </row>
    <row r="753" customFormat="false" ht="15" hidden="false" customHeight="false" outlineLevel="0" collapsed="false">
      <c r="A753" s="7" t="n">
        <f aca="false">ROW()-1</f>
        <v>752</v>
      </c>
      <c r="B753" s="7" t="str">
        <f aca="false">IF(Raw_Nigeria!B753="",TRIM(Raw_Nigeria!C753),TRIM(Raw_Nigeria!B753))</f>
        <v>Nigeria Multiple Indicator Cluster Survey 2021</v>
      </c>
      <c r="C753" s="7" t="str">
        <f aca="false">IF(ISNUMBER(SEARCH("Demographic and Health",B753)),"DHS",IF(OR(ISNUMBER(SEARCH("Multiple Indicator Cluster",B753)),ISNUMBER(SEARCH("MICS",B753))),"MICS",IF(ISNUMBER(SEARCH("Immunization Coverage Survey",B753)),"Coverage survey",IF(ISNUMBER(SEARCH("Nutrition",B753)),"Nutrition survey","Other"))))</f>
        <v>MICS</v>
      </c>
      <c r="D753" s="7" t="n">
        <f aca="false">VALUE(LEFT(Raw_Nigeria!D753,4))</f>
        <v>2021</v>
      </c>
      <c r="E753" s="7" t="n">
        <f aca="false">IF(VALUE(RIGHT(Raw_Nigeria!D753,2))&gt;12,"",VALUE(RIGHT(Raw_Nigeria!D753,2)))</f>
        <v>9</v>
      </c>
      <c r="F753" s="7" t="n">
        <f aca="false">VALUE(LEFT(Raw_Nigeria!E753,4))</f>
        <v>2021</v>
      </c>
      <c r="G753" s="7" t="n">
        <f aca="false">IF(VALUE(RIGHT(Raw_Nigeria!E753,2))&gt;12,"",VALUE(RIGHT(Raw_Nigeria!E753,2)))</f>
        <v>12</v>
      </c>
      <c r="H753" s="7" t="n">
        <f aca="false">Raw_Nigeria!F753</f>
        <v>2019</v>
      </c>
      <c r="I753" s="7" t="str">
        <f aca="false">UPPER(TRIM(Raw_Nigeria!G753))</f>
        <v>HIB3</v>
      </c>
      <c r="J753" s="7" t="str">
        <f aca="false">Raw_Nigeria!H753</f>
        <v>Record or Recall</v>
      </c>
      <c r="K753" s="7" t="str">
        <f aca="false">Raw_Nigeria!L753</f>
        <v>24-35 m</v>
      </c>
      <c r="L753" s="7" t="str">
        <f aca="false">IF(Raw_Nigeria!K753="","n/a",Raw_Nigeria!K753)</f>
        <v>0-35 m</v>
      </c>
      <c r="M753" s="7" t="str">
        <f aca="false">IF(Raw_Nigeria!I753="","",Raw_Nigeria!I753)</f>
        <v/>
      </c>
      <c r="N753" s="7" t="n">
        <f aca="false">Raw_Nigeria!M753</f>
        <v>57.9</v>
      </c>
      <c r="O753" s="7" t="n">
        <f aca="false">IF(Raw_Nigeria!N753="","",Raw_Nigeria!N753)</f>
        <v>6100</v>
      </c>
      <c r="P753" s="7" t="str">
        <f aca="false">IF(K753="CBAW","Women of child-bearing age","Children")</f>
        <v>Children</v>
      </c>
      <c r="Q753" s="7" t="n">
        <f aca="false">IF(J753="NOT USED",1,0)</f>
        <v>0</v>
      </c>
      <c r="R753" s="7" t="n">
        <f aca="false">IF(AND(P753="Children",Q753=0),1,0)</f>
        <v>1</v>
      </c>
      <c r="S753" s="7" t="n">
        <f aca="false">IF(AND(R753=1,J753="Record or Recall",K753="12-23 m"),1,0)</f>
        <v>0</v>
      </c>
      <c r="T753" s="7" t="n">
        <f aca="false">IF(OR(I753="BCG",I753="DTP1",I753="DTP3",I753="POL3",I753="MCV1",I753="FULL"),1,0)</f>
        <v>0</v>
      </c>
      <c r="U753" s="7" t="n">
        <f aca="false">IF(OR(C753="DHS",C753="MICS"),1,0)</f>
        <v>1</v>
      </c>
      <c r="V753" s="7" t="n">
        <f aca="false">IF(O753="",1,0)</f>
        <v>0</v>
      </c>
      <c r="W753" s="7" t="n">
        <f aca="false">IF(M753="",1,0)</f>
        <v>1</v>
      </c>
      <c r="X753" s="7" t="n">
        <f aca="false">COUNTIFS($B$2:$B$1141,B753,$H$2:$H$1141,H753,$I$2:$I$1141,I753,$J$2:$J$1141,J753,$K$2:$K$1141,K753,$L$2:$L$1141,L753)</f>
        <v>1</v>
      </c>
    </row>
    <row r="754" customFormat="false" ht="15" hidden="false" customHeight="false" outlineLevel="0" collapsed="false">
      <c r="A754" s="7" t="n">
        <f aca="false">ROW()-1</f>
        <v>753</v>
      </c>
      <c r="B754" s="7" t="str">
        <f aca="false">IF(Raw_Nigeria!B754="",TRIM(Raw_Nigeria!C754),TRIM(Raw_Nigeria!B754))</f>
        <v>Nigeria Multiple Indicator Cluster Survey 2021</v>
      </c>
      <c r="C754" s="7" t="str">
        <f aca="false">IF(ISNUMBER(SEARCH("Demographic and Health",B754)),"DHS",IF(OR(ISNUMBER(SEARCH("Multiple Indicator Cluster",B754)),ISNUMBER(SEARCH("MICS",B754))),"MICS",IF(ISNUMBER(SEARCH("Immunization Coverage Survey",B754)),"Coverage survey",IF(ISNUMBER(SEARCH("Nutrition",B754)),"Nutrition survey","Other"))))</f>
        <v>MICS</v>
      </c>
      <c r="D754" s="7" t="n">
        <f aca="false">VALUE(LEFT(Raw_Nigeria!D754,4))</f>
        <v>2021</v>
      </c>
      <c r="E754" s="7" t="n">
        <f aca="false">IF(VALUE(RIGHT(Raw_Nigeria!D754,2))&gt;12,"",VALUE(RIGHT(Raw_Nigeria!D754,2)))</f>
        <v>9</v>
      </c>
      <c r="F754" s="7" t="n">
        <f aca="false">VALUE(LEFT(Raw_Nigeria!E754,4))</f>
        <v>2021</v>
      </c>
      <c r="G754" s="7" t="n">
        <f aca="false">IF(VALUE(RIGHT(Raw_Nigeria!E754,2))&gt;12,"",VALUE(RIGHT(Raw_Nigeria!E754,2)))</f>
        <v>12</v>
      </c>
      <c r="H754" s="7" t="n">
        <f aca="false">Raw_Nigeria!F754</f>
        <v>2019</v>
      </c>
      <c r="I754" s="7" t="str">
        <f aca="false">UPPER(TRIM(Raw_Nigeria!G754))</f>
        <v>HIB3</v>
      </c>
      <c r="J754" s="7" t="str">
        <f aca="false">Raw_Nigeria!H754</f>
        <v>Recall</v>
      </c>
      <c r="K754" s="7" t="str">
        <f aca="false">Raw_Nigeria!L754</f>
        <v>24-35 m</v>
      </c>
      <c r="L754" s="7" t="str">
        <f aca="false">IF(Raw_Nigeria!K754="","n/a",Raw_Nigeria!K754)</f>
        <v>0-35 m</v>
      </c>
      <c r="M754" s="7" t="str">
        <f aca="false">IF(Raw_Nigeria!I754="","",Raw_Nigeria!I754)</f>
        <v/>
      </c>
      <c r="N754" s="7" t="n">
        <f aca="false">Raw_Nigeria!M754</f>
        <v>16.6</v>
      </c>
      <c r="O754" s="7" t="n">
        <f aca="false">IF(Raw_Nigeria!N754="","",Raw_Nigeria!N754)</f>
        <v>3223</v>
      </c>
      <c r="P754" s="7" t="str">
        <f aca="false">IF(K754="CBAW","Women of child-bearing age","Children")</f>
        <v>Children</v>
      </c>
      <c r="Q754" s="7" t="n">
        <f aca="false">IF(J754="NOT USED",1,0)</f>
        <v>0</v>
      </c>
      <c r="R754" s="7" t="n">
        <f aca="false">IF(AND(P754="Children",Q754=0),1,0)</f>
        <v>1</v>
      </c>
      <c r="S754" s="7" t="n">
        <f aca="false">IF(AND(R754=1,J754="Record or Recall",K754="12-23 m"),1,0)</f>
        <v>0</v>
      </c>
      <c r="T754" s="7" t="n">
        <f aca="false">IF(OR(I754="BCG",I754="DTP1",I754="DTP3",I754="POL3",I754="MCV1",I754="FULL"),1,0)</f>
        <v>0</v>
      </c>
      <c r="U754" s="7" t="n">
        <f aca="false">IF(OR(C754="DHS",C754="MICS"),1,0)</f>
        <v>1</v>
      </c>
      <c r="V754" s="7" t="n">
        <f aca="false">IF(O754="",1,0)</f>
        <v>0</v>
      </c>
      <c r="W754" s="7" t="n">
        <f aca="false">IF(M754="",1,0)</f>
        <v>1</v>
      </c>
      <c r="X754" s="7" t="n">
        <f aca="false">COUNTIFS($B$2:$B$1141,B754,$H$2:$H$1141,H754,$I$2:$I$1141,I754,$J$2:$J$1141,J754,$K$2:$K$1141,K754,$L$2:$L$1141,L754)</f>
        <v>1</v>
      </c>
    </row>
    <row r="755" customFormat="false" ht="15" hidden="false" customHeight="false" outlineLevel="0" collapsed="false">
      <c r="A755" s="7" t="n">
        <f aca="false">ROW()-1</f>
        <v>754</v>
      </c>
      <c r="B755" s="7" t="str">
        <f aca="false">IF(Raw_Nigeria!B755="",TRIM(Raw_Nigeria!C755),TRIM(Raw_Nigeria!B755))</f>
        <v>Nigeria Multiple Indicator Cluster Survey 2021</v>
      </c>
      <c r="C755" s="7" t="str">
        <f aca="false">IF(ISNUMBER(SEARCH("Demographic and Health",B755)),"DHS",IF(OR(ISNUMBER(SEARCH("Multiple Indicator Cluster",B755)),ISNUMBER(SEARCH("MICS",B755))),"MICS",IF(ISNUMBER(SEARCH("Immunization Coverage Survey",B755)),"Coverage survey",IF(ISNUMBER(SEARCH("Nutrition",B755)),"Nutrition survey","Other"))))</f>
        <v>MICS</v>
      </c>
      <c r="D755" s="7" t="n">
        <f aca="false">VALUE(LEFT(Raw_Nigeria!D755,4))</f>
        <v>2021</v>
      </c>
      <c r="E755" s="7" t="n">
        <f aca="false">IF(VALUE(RIGHT(Raw_Nigeria!D755,2))&gt;12,"",VALUE(RIGHT(Raw_Nigeria!D755,2)))</f>
        <v>9</v>
      </c>
      <c r="F755" s="7" t="n">
        <f aca="false">VALUE(LEFT(Raw_Nigeria!E755,4))</f>
        <v>2021</v>
      </c>
      <c r="G755" s="7" t="n">
        <f aca="false">IF(VALUE(RIGHT(Raw_Nigeria!E755,2))&gt;12,"",VALUE(RIGHT(Raw_Nigeria!E755,2)))</f>
        <v>12</v>
      </c>
      <c r="H755" s="7" t="n">
        <f aca="false">Raw_Nigeria!F755</f>
        <v>2019</v>
      </c>
      <c r="I755" s="7" t="str">
        <f aca="false">UPPER(TRIM(Raw_Nigeria!G755))</f>
        <v>IPV1</v>
      </c>
      <c r="J755" s="7" t="str">
        <f aca="false">Raw_Nigeria!H755</f>
        <v>Record or Recall&lt;12m</v>
      </c>
      <c r="K755" s="7" t="str">
        <f aca="false">Raw_Nigeria!L755</f>
        <v>24-35 m</v>
      </c>
      <c r="L755" s="7" t="str">
        <f aca="false">IF(Raw_Nigeria!K755="","n/a",Raw_Nigeria!K755)</f>
        <v>0-12 m</v>
      </c>
      <c r="M755" s="7" t="str">
        <f aca="false">IF(Raw_Nigeria!I755="","",Raw_Nigeria!I755)</f>
        <v/>
      </c>
      <c r="N755" s="7" t="n">
        <f aca="false">Raw_Nigeria!M755</f>
        <v>61.5</v>
      </c>
      <c r="O755" s="7" t="str">
        <f aca="false">IF(Raw_Nigeria!N755="","",Raw_Nigeria!N755)</f>
        <v/>
      </c>
      <c r="P755" s="7" t="str">
        <f aca="false">IF(K755="CBAW","Women of child-bearing age","Children")</f>
        <v>Children</v>
      </c>
      <c r="Q755" s="7" t="n">
        <f aca="false">IF(J755="NOT USED",1,0)</f>
        <v>0</v>
      </c>
      <c r="R755" s="7" t="n">
        <f aca="false">IF(AND(P755="Children",Q755=0),1,0)</f>
        <v>1</v>
      </c>
      <c r="S755" s="7" t="n">
        <f aca="false">IF(AND(R755=1,J755="Record or Recall",K755="12-23 m"),1,0)</f>
        <v>0</v>
      </c>
      <c r="T755" s="7" t="n">
        <f aca="false">IF(OR(I755="BCG",I755="DTP1",I755="DTP3",I755="POL3",I755="MCV1",I755="FULL"),1,0)</f>
        <v>0</v>
      </c>
      <c r="U755" s="7" t="n">
        <f aca="false">IF(OR(C755="DHS",C755="MICS"),1,0)</f>
        <v>1</v>
      </c>
      <c r="V755" s="7" t="n">
        <f aca="false">IF(O755="",1,0)</f>
        <v>1</v>
      </c>
      <c r="W755" s="7" t="n">
        <f aca="false">IF(M755="",1,0)</f>
        <v>1</v>
      </c>
      <c r="X755" s="7" t="n">
        <f aca="false">COUNTIFS($B$2:$B$1141,B755,$H$2:$H$1141,H755,$I$2:$I$1141,I755,$J$2:$J$1141,J755,$K$2:$K$1141,K755,$L$2:$L$1141,L755)</f>
        <v>1</v>
      </c>
    </row>
    <row r="756" customFormat="false" ht="15" hidden="false" customHeight="false" outlineLevel="0" collapsed="false">
      <c r="A756" s="7" t="n">
        <f aca="false">ROW()-1</f>
        <v>755</v>
      </c>
      <c r="B756" s="7" t="str">
        <f aca="false">IF(Raw_Nigeria!B756="",TRIM(Raw_Nigeria!C756),TRIM(Raw_Nigeria!B756))</f>
        <v>Nigeria Multiple Indicator Cluster Survey 2021</v>
      </c>
      <c r="C756" s="7" t="str">
        <f aca="false">IF(ISNUMBER(SEARCH("Demographic and Health",B756)),"DHS",IF(OR(ISNUMBER(SEARCH("Multiple Indicator Cluster",B756)),ISNUMBER(SEARCH("MICS",B756))),"MICS",IF(ISNUMBER(SEARCH("Immunization Coverage Survey",B756)),"Coverage survey",IF(ISNUMBER(SEARCH("Nutrition",B756)),"Nutrition survey","Other"))))</f>
        <v>MICS</v>
      </c>
      <c r="D756" s="7" t="n">
        <f aca="false">VALUE(LEFT(Raw_Nigeria!D756,4))</f>
        <v>2021</v>
      </c>
      <c r="E756" s="7" t="n">
        <f aca="false">IF(VALUE(RIGHT(Raw_Nigeria!D756,2))&gt;12,"",VALUE(RIGHT(Raw_Nigeria!D756,2)))</f>
        <v>9</v>
      </c>
      <c r="F756" s="7" t="n">
        <f aca="false">VALUE(LEFT(Raw_Nigeria!E756,4))</f>
        <v>2021</v>
      </c>
      <c r="G756" s="7" t="n">
        <f aca="false">IF(VALUE(RIGHT(Raw_Nigeria!E756,2))&gt;12,"",VALUE(RIGHT(Raw_Nigeria!E756,2)))</f>
        <v>12</v>
      </c>
      <c r="H756" s="7" t="n">
        <f aca="false">Raw_Nigeria!F756</f>
        <v>2019</v>
      </c>
      <c r="I756" s="7" t="str">
        <f aca="false">UPPER(TRIM(Raw_Nigeria!G756))</f>
        <v>IPV1</v>
      </c>
      <c r="J756" s="7" t="str">
        <f aca="false">Raw_Nigeria!H756</f>
        <v>Record</v>
      </c>
      <c r="K756" s="7" t="str">
        <f aca="false">Raw_Nigeria!L756</f>
        <v>24-35 m</v>
      </c>
      <c r="L756" s="7" t="str">
        <f aca="false">IF(Raw_Nigeria!K756="","n/a",Raw_Nigeria!K756)</f>
        <v>0-35 m</v>
      </c>
      <c r="M756" s="7" t="str">
        <f aca="false">IF(Raw_Nigeria!I756="","",Raw_Nigeria!I756)</f>
        <v/>
      </c>
      <c r="N756" s="7" t="n">
        <f aca="false">Raw_Nigeria!M756</f>
        <v>39.3</v>
      </c>
      <c r="O756" s="7" t="n">
        <f aca="false">IF(Raw_Nigeria!N756="","",Raw_Nigeria!N756)</f>
        <v>2877</v>
      </c>
      <c r="P756" s="7" t="str">
        <f aca="false">IF(K756="CBAW","Women of child-bearing age","Children")</f>
        <v>Children</v>
      </c>
      <c r="Q756" s="7" t="n">
        <f aca="false">IF(J756="NOT USED",1,0)</f>
        <v>0</v>
      </c>
      <c r="R756" s="7" t="n">
        <f aca="false">IF(AND(P756="Children",Q756=0),1,0)</f>
        <v>1</v>
      </c>
      <c r="S756" s="7" t="n">
        <f aca="false">IF(AND(R756=1,J756="Record or Recall",K756="12-23 m"),1,0)</f>
        <v>0</v>
      </c>
      <c r="T756" s="7" t="n">
        <f aca="false">IF(OR(I756="BCG",I756="DTP1",I756="DTP3",I756="POL3",I756="MCV1",I756="FULL"),1,0)</f>
        <v>0</v>
      </c>
      <c r="U756" s="7" t="n">
        <f aca="false">IF(OR(C756="DHS",C756="MICS"),1,0)</f>
        <v>1</v>
      </c>
      <c r="V756" s="7" t="n">
        <f aca="false">IF(O756="",1,0)</f>
        <v>0</v>
      </c>
      <c r="W756" s="7" t="n">
        <f aca="false">IF(M756="",1,0)</f>
        <v>1</v>
      </c>
      <c r="X756" s="7" t="n">
        <f aca="false">COUNTIFS($B$2:$B$1141,B756,$H$2:$H$1141,H756,$I$2:$I$1141,I756,$J$2:$J$1141,J756,$K$2:$K$1141,K756,$L$2:$L$1141,L756)</f>
        <v>1</v>
      </c>
    </row>
    <row r="757" customFormat="false" ht="15" hidden="false" customHeight="false" outlineLevel="0" collapsed="false">
      <c r="A757" s="7" t="n">
        <f aca="false">ROW()-1</f>
        <v>756</v>
      </c>
      <c r="B757" s="7" t="str">
        <f aca="false">IF(Raw_Nigeria!B757="",TRIM(Raw_Nigeria!C757),TRIM(Raw_Nigeria!B757))</f>
        <v>Nigeria Multiple Indicator Cluster Survey 2021</v>
      </c>
      <c r="C757" s="7" t="str">
        <f aca="false">IF(ISNUMBER(SEARCH("Demographic and Health",B757)),"DHS",IF(OR(ISNUMBER(SEARCH("Multiple Indicator Cluster",B757)),ISNUMBER(SEARCH("MICS",B757))),"MICS",IF(ISNUMBER(SEARCH("Immunization Coverage Survey",B757)),"Coverage survey",IF(ISNUMBER(SEARCH("Nutrition",B757)),"Nutrition survey","Other"))))</f>
        <v>MICS</v>
      </c>
      <c r="D757" s="7" t="n">
        <f aca="false">VALUE(LEFT(Raw_Nigeria!D757,4))</f>
        <v>2021</v>
      </c>
      <c r="E757" s="7" t="n">
        <f aca="false">IF(VALUE(RIGHT(Raw_Nigeria!D757,2))&gt;12,"",VALUE(RIGHT(Raw_Nigeria!D757,2)))</f>
        <v>9</v>
      </c>
      <c r="F757" s="7" t="n">
        <f aca="false">VALUE(LEFT(Raw_Nigeria!E757,4))</f>
        <v>2021</v>
      </c>
      <c r="G757" s="7" t="n">
        <f aca="false">IF(VALUE(RIGHT(Raw_Nigeria!E757,2))&gt;12,"",VALUE(RIGHT(Raw_Nigeria!E757,2)))</f>
        <v>12</v>
      </c>
      <c r="H757" s="7" t="n">
        <f aca="false">Raw_Nigeria!F757</f>
        <v>2019</v>
      </c>
      <c r="I757" s="7" t="str">
        <f aca="false">UPPER(TRIM(Raw_Nigeria!G757))</f>
        <v>IPV1</v>
      </c>
      <c r="J757" s="7" t="str">
        <f aca="false">Raw_Nigeria!H757</f>
        <v>Record or Recall</v>
      </c>
      <c r="K757" s="7" t="str">
        <f aca="false">Raw_Nigeria!L757</f>
        <v>24-35 m</v>
      </c>
      <c r="L757" s="7" t="str">
        <f aca="false">IF(Raw_Nigeria!K757="","n/a",Raw_Nigeria!K757)</f>
        <v>0-35 m</v>
      </c>
      <c r="M757" s="7" t="str">
        <f aca="false">IF(Raw_Nigeria!I757="","",Raw_Nigeria!I757)</f>
        <v/>
      </c>
      <c r="N757" s="7" t="n">
        <f aca="false">Raw_Nigeria!M757</f>
        <v>66.2</v>
      </c>
      <c r="O757" s="7" t="n">
        <f aca="false">IF(Raw_Nigeria!N757="","",Raw_Nigeria!N757)</f>
        <v>6100</v>
      </c>
      <c r="P757" s="7" t="str">
        <f aca="false">IF(K757="CBAW","Women of child-bearing age","Children")</f>
        <v>Children</v>
      </c>
      <c r="Q757" s="7" t="n">
        <f aca="false">IF(J757="NOT USED",1,0)</f>
        <v>0</v>
      </c>
      <c r="R757" s="7" t="n">
        <f aca="false">IF(AND(P757="Children",Q757=0),1,0)</f>
        <v>1</v>
      </c>
      <c r="S757" s="7" t="n">
        <f aca="false">IF(AND(R757=1,J757="Record or Recall",K757="12-23 m"),1,0)</f>
        <v>0</v>
      </c>
      <c r="T757" s="7" t="n">
        <f aca="false">IF(OR(I757="BCG",I757="DTP1",I757="DTP3",I757="POL3",I757="MCV1",I757="FULL"),1,0)</f>
        <v>0</v>
      </c>
      <c r="U757" s="7" t="n">
        <f aca="false">IF(OR(C757="DHS",C757="MICS"),1,0)</f>
        <v>1</v>
      </c>
      <c r="V757" s="7" t="n">
        <f aca="false">IF(O757="",1,0)</f>
        <v>0</v>
      </c>
      <c r="W757" s="7" t="n">
        <f aca="false">IF(M757="",1,0)</f>
        <v>1</v>
      </c>
      <c r="X757" s="7" t="n">
        <f aca="false">COUNTIFS($B$2:$B$1141,B757,$H$2:$H$1141,H757,$I$2:$I$1141,I757,$J$2:$J$1141,J757,$K$2:$K$1141,K757,$L$2:$L$1141,L757)</f>
        <v>1</v>
      </c>
    </row>
    <row r="758" customFormat="false" ht="15" hidden="false" customHeight="false" outlineLevel="0" collapsed="false">
      <c r="A758" s="7" t="n">
        <f aca="false">ROW()-1</f>
        <v>757</v>
      </c>
      <c r="B758" s="7" t="str">
        <f aca="false">IF(Raw_Nigeria!B758="",TRIM(Raw_Nigeria!C758),TRIM(Raw_Nigeria!B758))</f>
        <v>Nigeria Multiple Indicator Cluster Survey 2021</v>
      </c>
      <c r="C758" s="7" t="str">
        <f aca="false">IF(ISNUMBER(SEARCH("Demographic and Health",B758)),"DHS",IF(OR(ISNUMBER(SEARCH("Multiple Indicator Cluster",B758)),ISNUMBER(SEARCH("MICS",B758))),"MICS",IF(ISNUMBER(SEARCH("Immunization Coverage Survey",B758)),"Coverage survey",IF(ISNUMBER(SEARCH("Nutrition",B758)),"Nutrition survey","Other"))))</f>
        <v>MICS</v>
      </c>
      <c r="D758" s="7" t="n">
        <f aca="false">VALUE(LEFT(Raw_Nigeria!D758,4))</f>
        <v>2021</v>
      </c>
      <c r="E758" s="7" t="n">
        <f aca="false">IF(VALUE(RIGHT(Raw_Nigeria!D758,2))&gt;12,"",VALUE(RIGHT(Raw_Nigeria!D758,2)))</f>
        <v>9</v>
      </c>
      <c r="F758" s="7" t="n">
        <f aca="false">VALUE(LEFT(Raw_Nigeria!E758,4))</f>
        <v>2021</v>
      </c>
      <c r="G758" s="7" t="n">
        <f aca="false">IF(VALUE(RIGHT(Raw_Nigeria!E758,2))&gt;12,"",VALUE(RIGHT(Raw_Nigeria!E758,2)))</f>
        <v>12</v>
      </c>
      <c r="H758" s="7" t="n">
        <f aca="false">Raw_Nigeria!F758</f>
        <v>2019</v>
      </c>
      <c r="I758" s="7" t="str">
        <f aca="false">UPPER(TRIM(Raw_Nigeria!G758))</f>
        <v>IPV1</v>
      </c>
      <c r="J758" s="7" t="str">
        <f aca="false">Raw_Nigeria!H758</f>
        <v>Recall</v>
      </c>
      <c r="K758" s="7" t="str">
        <f aca="false">Raw_Nigeria!L758</f>
        <v>24-35 m</v>
      </c>
      <c r="L758" s="7" t="str">
        <f aca="false">IF(Raw_Nigeria!K758="","n/a",Raw_Nigeria!K758)</f>
        <v>0-35 m</v>
      </c>
      <c r="M758" s="7" t="str">
        <f aca="false">IF(Raw_Nigeria!I758="","",Raw_Nigeria!I758)</f>
        <v/>
      </c>
      <c r="N758" s="7" t="n">
        <f aca="false">Raw_Nigeria!M758</f>
        <v>26.8</v>
      </c>
      <c r="O758" s="7" t="n">
        <f aca="false">IF(Raw_Nigeria!N758="","",Raw_Nigeria!N758)</f>
        <v>3223</v>
      </c>
      <c r="P758" s="7" t="str">
        <f aca="false">IF(K758="CBAW","Women of child-bearing age","Children")</f>
        <v>Children</v>
      </c>
      <c r="Q758" s="7" t="n">
        <f aca="false">IF(J758="NOT USED",1,0)</f>
        <v>0</v>
      </c>
      <c r="R758" s="7" t="n">
        <f aca="false">IF(AND(P758="Children",Q758=0),1,0)</f>
        <v>1</v>
      </c>
      <c r="S758" s="7" t="n">
        <f aca="false">IF(AND(R758=1,J758="Record or Recall",K758="12-23 m"),1,0)</f>
        <v>0</v>
      </c>
      <c r="T758" s="7" t="n">
        <f aca="false">IF(OR(I758="BCG",I758="DTP1",I758="DTP3",I758="POL3",I758="MCV1",I758="FULL"),1,0)</f>
        <v>0</v>
      </c>
      <c r="U758" s="7" t="n">
        <f aca="false">IF(OR(C758="DHS",C758="MICS"),1,0)</f>
        <v>1</v>
      </c>
      <c r="V758" s="7" t="n">
        <f aca="false">IF(O758="",1,0)</f>
        <v>0</v>
      </c>
      <c r="W758" s="7" t="n">
        <f aca="false">IF(M758="",1,0)</f>
        <v>1</v>
      </c>
      <c r="X758" s="7" t="n">
        <f aca="false">COUNTIFS($B$2:$B$1141,B758,$H$2:$H$1141,H758,$I$2:$I$1141,I758,$J$2:$J$1141,J758,$K$2:$K$1141,K758,$L$2:$L$1141,L758)</f>
        <v>1</v>
      </c>
    </row>
    <row r="759" customFormat="false" ht="15" hidden="false" customHeight="false" outlineLevel="0" collapsed="false">
      <c r="A759" s="7" t="n">
        <f aca="false">ROW()-1</f>
        <v>758</v>
      </c>
      <c r="B759" s="7" t="str">
        <f aca="false">IF(Raw_Nigeria!B759="",TRIM(Raw_Nigeria!C759),TRIM(Raw_Nigeria!B759))</f>
        <v>Nigeria Multiple Indicator Cluster Survey 2021</v>
      </c>
      <c r="C759" s="7" t="str">
        <f aca="false">IF(ISNUMBER(SEARCH("Demographic and Health",B759)),"DHS",IF(OR(ISNUMBER(SEARCH("Multiple Indicator Cluster",B759)),ISNUMBER(SEARCH("MICS",B759))),"MICS",IF(ISNUMBER(SEARCH("Immunization Coverage Survey",B759)),"Coverage survey",IF(ISNUMBER(SEARCH("Nutrition",B759)),"Nutrition survey","Other"))))</f>
        <v>MICS</v>
      </c>
      <c r="D759" s="7" t="n">
        <f aca="false">VALUE(LEFT(Raw_Nigeria!D759,4))</f>
        <v>2021</v>
      </c>
      <c r="E759" s="7" t="n">
        <f aca="false">IF(VALUE(RIGHT(Raw_Nigeria!D759,2))&gt;12,"",VALUE(RIGHT(Raw_Nigeria!D759,2)))</f>
        <v>9</v>
      </c>
      <c r="F759" s="7" t="n">
        <f aca="false">VALUE(LEFT(Raw_Nigeria!E759,4))</f>
        <v>2021</v>
      </c>
      <c r="G759" s="7" t="n">
        <f aca="false">IF(VALUE(RIGHT(Raw_Nigeria!E759,2))&gt;12,"",VALUE(RIGHT(Raw_Nigeria!E759,2)))</f>
        <v>12</v>
      </c>
      <c r="H759" s="7" t="n">
        <f aca="false">Raw_Nigeria!F759</f>
        <v>2019</v>
      </c>
      <c r="I759" s="7" t="str">
        <f aca="false">UPPER(TRIM(Raw_Nigeria!G759))</f>
        <v>MCV1</v>
      </c>
      <c r="J759" s="7" t="str">
        <f aca="false">Raw_Nigeria!H759</f>
        <v>Record or Recall&lt;12m</v>
      </c>
      <c r="K759" s="7" t="str">
        <f aca="false">Raw_Nigeria!L759</f>
        <v>24-35 m</v>
      </c>
      <c r="L759" s="7" t="str">
        <f aca="false">IF(Raw_Nigeria!K759="","n/a",Raw_Nigeria!K759)</f>
        <v>0-12 m</v>
      </c>
      <c r="M759" s="7" t="str">
        <f aca="false">IF(Raw_Nigeria!I759="","",Raw_Nigeria!I759)</f>
        <v/>
      </c>
      <c r="N759" s="7" t="n">
        <f aca="false">Raw_Nigeria!M759</f>
        <v>59.9</v>
      </c>
      <c r="O759" s="7" t="str">
        <f aca="false">IF(Raw_Nigeria!N759="","",Raw_Nigeria!N759)</f>
        <v/>
      </c>
      <c r="P759" s="7" t="str">
        <f aca="false">IF(K759="CBAW","Women of child-bearing age","Children")</f>
        <v>Children</v>
      </c>
      <c r="Q759" s="7" t="n">
        <f aca="false">IF(J759="NOT USED",1,0)</f>
        <v>0</v>
      </c>
      <c r="R759" s="7" t="n">
        <f aca="false">IF(AND(P759="Children",Q759=0),1,0)</f>
        <v>1</v>
      </c>
      <c r="S759" s="7" t="n">
        <f aca="false">IF(AND(R759=1,J759="Record or Recall",K759="12-23 m"),1,0)</f>
        <v>0</v>
      </c>
      <c r="T759" s="7" t="n">
        <f aca="false">IF(OR(I759="BCG",I759="DTP1",I759="DTP3",I759="POL3",I759="MCV1",I759="FULL"),1,0)</f>
        <v>1</v>
      </c>
      <c r="U759" s="7" t="n">
        <f aca="false">IF(OR(C759="DHS",C759="MICS"),1,0)</f>
        <v>1</v>
      </c>
      <c r="V759" s="7" t="n">
        <f aca="false">IF(O759="",1,0)</f>
        <v>1</v>
      </c>
      <c r="W759" s="7" t="n">
        <f aca="false">IF(M759="",1,0)</f>
        <v>1</v>
      </c>
      <c r="X759" s="7" t="n">
        <f aca="false">COUNTIFS($B$2:$B$1141,B759,$H$2:$H$1141,H759,$I$2:$I$1141,I759,$J$2:$J$1141,J759,$K$2:$K$1141,K759,$L$2:$L$1141,L759)</f>
        <v>1</v>
      </c>
    </row>
    <row r="760" customFormat="false" ht="15" hidden="false" customHeight="false" outlineLevel="0" collapsed="false">
      <c r="A760" s="7" t="n">
        <f aca="false">ROW()-1</f>
        <v>759</v>
      </c>
      <c r="B760" s="7" t="str">
        <f aca="false">IF(Raw_Nigeria!B760="",TRIM(Raw_Nigeria!C760),TRIM(Raw_Nigeria!B760))</f>
        <v>Nigeria Multiple Indicator Cluster Survey 2021</v>
      </c>
      <c r="C760" s="7" t="str">
        <f aca="false">IF(ISNUMBER(SEARCH("Demographic and Health",B760)),"DHS",IF(OR(ISNUMBER(SEARCH("Multiple Indicator Cluster",B760)),ISNUMBER(SEARCH("MICS",B760))),"MICS",IF(ISNUMBER(SEARCH("Immunization Coverage Survey",B760)),"Coverage survey",IF(ISNUMBER(SEARCH("Nutrition",B760)),"Nutrition survey","Other"))))</f>
        <v>MICS</v>
      </c>
      <c r="D760" s="7" t="n">
        <f aca="false">VALUE(LEFT(Raw_Nigeria!D760,4))</f>
        <v>2021</v>
      </c>
      <c r="E760" s="7" t="n">
        <f aca="false">IF(VALUE(RIGHT(Raw_Nigeria!D760,2))&gt;12,"",VALUE(RIGHT(Raw_Nigeria!D760,2)))</f>
        <v>9</v>
      </c>
      <c r="F760" s="7" t="n">
        <f aca="false">VALUE(LEFT(Raw_Nigeria!E760,4))</f>
        <v>2021</v>
      </c>
      <c r="G760" s="7" t="n">
        <f aca="false">IF(VALUE(RIGHT(Raw_Nigeria!E760,2))&gt;12,"",VALUE(RIGHT(Raw_Nigeria!E760,2)))</f>
        <v>12</v>
      </c>
      <c r="H760" s="7" t="n">
        <f aca="false">Raw_Nigeria!F760</f>
        <v>2019</v>
      </c>
      <c r="I760" s="7" t="str">
        <f aca="false">UPPER(TRIM(Raw_Nigeria!G760))</f>
        <v>MCV1</v>
      </c>
      <c r="J760" s="7" t="str">
        <f aca="false">Raw_Nigeria!H760</f>
        <v>Record</v>
      </c>
      <c r="K760" s="7" t="str">
        <f aca="false">Raw_Nigeria!L760</f>
        <v>24-35 m</v>
      </c>
      <c r="L760" s="7" t="str">
        <f aca="false">IF(Raw_Nigeria!K760="","n/a",Raw_Nigeria!K760)</f>
        <v>0-35 m</v>
      </c>
      <c r="M760" s="7" t="str">
        <f aca="false">IF(Raw_Nigeria!I760="","",Raw_Nigeria!I760)</f>
        <v/>
      </c>
      <c r="N760" s="7" t="n">
        <f aca="false">Raw_Nigeria!M760</f>
        <v>37.8</v>
      </c>
      <c r="O760" s="7" t="n">
        <f aca="false">IF(Raw_Nigeria!N760="","",Raw_Nigeria!N760)</f>
        <v>2877</v>
      </c>
      <c r="P760" s="7" t="str">
        <f aca="false">IF(K760="CBAW","Women of child-bearing age","Children")</f>
        <v>Children</v>
      </c>
      <c r="Q760" s="7" t="n">
        <f aca="false">IF(J760="NOT USED",1,0)</f>
        <v>0</v>
      </c>
      <c r="R760" s="7" t="n">
        <f aca="false">IF(AND(P760="Children",Q760=0),1,0)</f>
        <v>1</v>
      </c>
      <c r="S760" s="7" t="n">
        <f aca="false">IF(AND(R760=1,J760="Record or Recall",K760="12-23 m"),1,0)</f>
        <v>0</v>
      </c>
      <c r="T760" s="7" t="n">
        <f aca="false">IF(OR(I760="BCG",I760="DTP1",I760="DTP3",I760="POL3",I760="MCV1",I760="FULL"),1,0)</f>
        <v>1</v>
      </c>
      <c r="U760" s="7" t="n">
        <f aca="false">IF(OR(C760="DHS",C760="MICS"),1,0)</f>
        <v>1</v>
      </c>
      <c r="V760" s="7" t="n">
        <f aca="false">IF(O760="",1,0)</f>
        <v>0</v>
      </c>
      <c r="W760" s="7" t="n">
        <f aca="false">IF(M760="",1,0)</f>
        <v>1</v>
      </c>
      <c r="X760" s="7" t="n">
        <f aca="false">COUNTIFS($B$2:$B$1141,B760,$H$2:$H$1141,H760,$I$2:$I$1141,I760,$J$2:$J$1141,J760,$K$2:$K$1141,K760,$L$2:$L$1141,L760)</f>
        <v>1</v>
      </c>
    </row>
    <row r="761" customFormat="false" ht="15" hidden="false" customHeight="false" outlineLevel="0" collapsed="false">
      <c r="A761" s="7" t="n">
        <f aca="false">ROW()-1</f>
        <v>760</v>
      </c>
      <c r="B761" s="7" t="str">
        <f aca="false">IF(Raw_Nigeria!B761="",TRIM(Raw_Nigeria!C761),TRIM(Raw_Nigeria!B761))</f>
        <v>Nigeria Multiple Indicator Cluster Survey 2021</v>
      </c>
      <c r="C761" s="7" t="str">
        <f aca="false">IF(ISNUMBER(SEARCH("Demographic and Health",B761)),"DHS",IF(OR(ISNUMBER(SEARCH("Multiple Indicator Cluster",B761)),ISNUMBER(SEARCH("MICS",B761))),"MICS",IF(ISNUMBER(SEARCH("Immunization Coverage Survey",B761)),"Coverage survey",IF(ISNUMBER(SEARCH("Nutrition",B761)),"Nutrition survey","Other"))))</f>
        <v>MICS</v>
      </c>
      <c r="D761" s="7" t="n">
        <f aca="false">VALUE(LEFT(Raw_Nigeria!D761,4))</f>
        <v>2021</v>
      </c>
      <c r="E761" s="7" t="n">
        <f aca="false">IF(VALUE(RIGHT(Raw_Nigeria!D761,2))&gt;12,"",VALUE(RIGHT(Raw_Nigeria!D761,2)))</f>
        <v>9</v>
      </c>
      <c r="F761" s="7" t="n">
        <f aca="false">VALUE(LEFT(Raw_Nigeria!E761,4))</f>
        <v>2021</v>
      </c>
      <c r="G761" s="7" t="n">
        <f aca="false">IF(VALUE(RIGHT(Raw_Nigeria!E761,2))&gt;12,"",VALUE(RIGHT(Raw_Nigeria!E761,2)))</f>
        <v>12</v>
      </c>
      <c r="H761" s="7" t="n">
        <f aca="false">Raw_Nigeria!F761</f>
        <v>2019</v>
      </c>
      <c r="I761" s="7" t="str">
        <f aca="false">UPPER(TRIM(Raw_Nigeria!G761))</f>
        <v>MCV1</v>
      </c>
      <c r="J761" s="7" t="str">
        <f aca="false">Raw_Nigeria!H761</f>
        <v>Record or Recall</v>
      </c>
      <c r="K761" s="7" t="str">
        <f aca="false">Raw_Nigeria!L761</f>
        <v>24-35 m</v>
      </c>
      <c r="L761" s="7" t="str">
        <f aca="false">IF(Raw_Nigeria!K761="","n/a",Raw_Nigeria!K761)</f>
        <v>0-35 m</v>
      </c>
      <c r="M761" s="7" t="str">
        <f aca="false">IF(Raw_Nigeria!I761="","",Raw_Nigeria!I761)</f>
        <v/>
      </c>
      <c r="N761" s="7" t="n">
        <f aca="false">Raw_Nigeria!M761</f>
        <v>73.2</v>
      </c>
      <c r="O761" s="7" t="n">
        <f aca="false">IF(Raw_Nigeria!N761="","",Raw_Nigeria!N761)</f>
        <v>6100</v>
      </c>
      <c r="P761" s="7" t="str">
        <f aca="false">IF(K761="CBAW","Women of child-bearing age","Children")</f>
        <v>Children</v>
      </c>
      <c r="Q761" s="7" t="n">
        <f aca="false">IF(J761="NOT USED",1,0)</f>
        <v>0</v>
      </c>
      <c r="R761" s="7" t="n">
        <f aca="false">IF(AND(P761="Children",Q761=0),1,0)</f>
        <v>1</v>
      </c>
      <c r="S761" s="7" t="n">
        <f aca="false">IF(AND(R761=1,J761="Record or Recall",K761="12-23 m"),1,0)</f>
        <v>0</v>
      </c>
      <c r="T761" s="7" t="n">
        <f aca="false">IF(OR(I761="BCG",I761="DTP1",I761="DTP3",I761="POL3",I761="MCV1",I761="FULL"),1,0)</f>
        <v>1</v>
      </c>
      <c r="U761" s="7" t="n">
        <f aca="false">IF(OR(C761="DHS",C761="MICS"),1,0)</f>
        <v>1</v>
      </c>
      <c r="V761" s="7" t="n">
        <f aca="false">IF(O761="",1,0)</f>
        <v>0</v>
      </c>
      <c r="W761" s="7" t="n">
        <f aca="false">IF(M761="",1,0)</f>
        <v>1</v>
      </c>
      <c r="X761" s="7" t="n">
        <f aca="false">COUNTIFS($B$2:$B$1141,B761,$H$2:$H$1141,H761,$I$2:$I$1141,I761,$J$2:$J$1141,J761,$K$2:$K$1141,K761,$L$2:$L$1141,L761)</f>
        <v>1</v>
      </c>
    </row>
    <row r="762" customFormat="false" ht="15" hidden="false" customHeight="false" outlineLevel="0" collapsed="false">
      <c r="A762" s="7" t="n">
        <f aca="false">ROW()-1</f>
        <v>761</v>
      </c>
      <c r="B762" s="7" t="str">
        <f aca="false">IF(Raw_Nigeria!B762="",TRIM(Raw_Nigeria!C762),TRIM(Raw_Nigeria!B762))</f>
        <v>Nigeria Multiple Indicator Cluster Survey 2021</v>
      </c>
      <c r="C762" s="7" t="str">
        <f aca="false">IF(ISNUMBER(SEARCH("Demographic and Health",B762)),"DHS",IF(OR(ISNUMBER(SEARCH("Multiple Indicator Cluster",B762)),ISNUMBER(SEARCH("MICS",B762))),"MICS",IF(ISNUMBER(SEARCH("Immunization Coverage Survey",B762)),"Coverage survey",IF(ISNUMBER(SEARCH("Nutrition",B762)),"Nutrition survey","Other"))))</f>
        <v>MICS</v>
      </c>
      <c r="D762" s="7" t="n">
        <f aca="false">VALUE(LEFT(Raw_Nigeria!D762,4))</f>
        <v>2021</v>
      </c>
      <c r="E762" s="7" t="n">
        <f aca="false">IF(VALUE(RIGHT(Raw_Nigeria!D762,2))&gt;12,"",VALUE(RIGHT(Raw_Nigeria!D762,2)))</f>
        <v>9</v>
      </c>
      <c r="F762" s="7" t="n">
        <f aca="false">VALUE(LEFT(Raw_Nigeria!E762,4))</f>
        <v>2021</v>
      </c>
      <c r="G762" s="7" t="n">
        <f aca="false">IF(VALUE(RIGHT(Raw_Nigeria!E762,2))&gt;12,"",VALUE(RIGHT(Raw_Nigeria!E762,2)))</f>
        <v>12</v>
      </c>
      <c r="H762" s="7" t="n">
        <f aca="false">Raw_Nigeria!F762</f>
        <v>2019</v>
      </c>
      <c r="I762" s="7" t="str">
        <f aca="false">UPPER(TRIM(Raw_Nigeria!G762))</f>
        <v>MCV1</v>
      </c>
      <c r="J762" s="7" t="str">
        <f aca="false">Raw_Nigeria!H762</f>
        <v>Recall</v>
      </c>
      <c r="K762" s="7" t="str">
        <f aca="false">Raw_Nigeria!L762</f>
        <v>24-35 m</v>
      </c>
      <c r="L762" s="7" t="str">
        <f aca="false">IF(Raw_Nigeria!K762="","n/a",Raw_Nigeria!K762)</f>
        <v>0-35 m</v>
      </c>
      <c r="M762" s="7" t="str">
        <f aca="false">IF(Raw_Nigeria!I762="","",Raw_Nigeria!I762)</f>
        <v/>
      </c>
      <c r="N762" s="7" t="n">
        <f aca="false">Raw_Nigeria!M762</f>
        <v>35.5</v>
      </c>
      <c r="O762" s="7" t="n">
        <f aca="false">IF(Raw_Nigeria!N762="","",Raw_Nigeria!N762)</f>
        <v>3223</v>
      </c>
      <c r="P762" s="7" t="str">
        <f aca="false">IF(K762="CBAW","Women of child-bearing age","Children")</f>
        <v>Children</v>
      </c>
      <c r="Q762" s="7" t="n">
        <f aca="false">IF(J762="NOT USED",1,0)</f>
        <v>0</v>
      </c>
      <c r="R762" s="7" t="n">
        <f aca="false">IF(AND(P762="Children",Q762=0),1,0)</f>
        <v>1</v>
      </c>
      <c r="S762" s="7" t="n">
        <f aca="false">IF(AND(R762=1,J762="Record or Recall",K762="12-23 m"),1,0)</f>
        <v>0</v>
      </c>
      <c r="T762" s="7" t="n">
        <f aca="false">IF(OR(I762="BCG",I762="DTP1",I762="DTP3",I762="POL3",I762="MCV1",I762="FULL"),1,0)</f>
        <v>1</v>
      </c>
      <c r="U762" s="7" t="n">
        <f aca="false">IF(OR(C762="DHS",C762="MICS"),1,0)</f>
        <v>1</v>
      </c>
      <c r="V762" s="7" t="n">
        <f aca="false">IF(O762="",1,0)</f>
        <v>0</v>
      </c>
      <c r="W762" s="7" t="n">
        <f aca="false">IF(M762="",1,0)</f>
        <v>1</v>
      </c>
      <c r="X762" s="7" t="n">
        <f aca="false">COUNTIFS($B$2:$B$1141,B762,$H$2:$H$1141,H762,$I$2:$I$1141,I762,$J$2:$J$1141,J762,$K$2:$K$1141,K762,$L$2:$L$1141,L762)</f>
        <v>1</v>
      </c>
    </row>
    <row r="763" customFormat="false" ht="15" hidden="false" customHeight="false" outlineLevel="0" collapsed="false">
      <c r="A763" s="7" t="n">
        <f aca="false">ROW()-1</f>
        <v>762</v>
      </c>
      <c r="B763" s="7" t="str">
        <f aca="false">IF(Raw_Nigeria!B763="",TRIM(Raw_Nigeria!C763),TRIM(Raw_Nigeria!B763))</f>
        <v>Nigeria Multiple Indicator Cluster Survey 2021</v>
      </c>
      <c r="C763" s="7" t="str">
        <f aca="false">IF(ISNUMBER(SEARCH("Demographic and Health",B763)),"DHS",IF(OR(ISNUMBER(SEARCH("Multiple Indicator Cluster",B763)),ISNUMBER(SEARCH("MICS",B763))),"MICS",IF(ISNUMBER(SEARCH("Immunization Coverage Survey",B763)),"Coverage survey",IF(ISNUMBER(SEARCH("Nutrition",B763)),"Nutrition survey","Other"))))</f>
        <v>MICS</v>
      </c>
      <c r="D763" s="7" t="n">
        <f aca="false">VALUE(LEFT(Raw_Nigeria!D763,4))</f>
        <v>2021</v>
      </c>
      <c r="E763" s="7" t="n">
        <f aca="false">IF(VALUE(RIGHT(Raw_Nigeria!D763,2))&gt;12,"",VALUE(RIGHT(Raw_Nigeria!D763,2)))</f>
        <v>9</v>
      </c>
      <c r="F763" s="7" t="n">
        <f aca="false">VALUE(LEFT(Raw_Nigeria!E763,4))</f>
        <v>2021</v>
      </c>
      <c r="G763" s="7" t="n">
        <f aca="false">IF(VALUE(RIGHT(Raw_Nigeria!E763,2))&gt;12,"",VALUE(RIGHT(Raw_Nigeria!E763,2)))</f>
        <v>12</v>
      </c>
      <c r="H763" s="7" t="n">
        <f aca="false">Raw_Nigeria!F763</f>
        <v>2019</v>
      </c>
      <c r="I763" s="7" t="str">
        <f aca="false">UPPER(TRIM(Raw_Nigeria!G763))</f>
        <v>MENGA</v>
      </c>
      <c r="J763" s="7" t="str">
        <f aca="false">Raw_Nigeria!H763</f>
        <v>Record or Recall&lt;12m</v>
      </c>
      <c r="K763" s="7" t="str">
        <f aca="false">Raw_Nigeria!L763</f>
        <v>24-35 m</v>
      </c>
      <c r="L763" s="7" t="str">
        <f aca="false">IF(Raw_Nigeria!K763="","n/a",Raw_Nigeria!K763)</f>
        <v>0-12 m</v>
      </c>
      <c r="M763" s="7" t="str">
        <f aca="false">IF(Raw_Nigeria!I763="","",Raw_Nigeria!I763)</f>
        <v/>
      </c>
      <c r="N763" s="7" t="n">
        <f aca="false">Raw_Nigeria!M763</f>
        <v>55.2</v>
      </c>
      <c r="O763" s="7" t="str">
        <f aca="false">IF(Raw_Nigeria!N763="","",Raw_Nigeria!N763)</f>
        <v/>
      </c>
      <c r="P763" s="7" t="str">
        <f aca="false">IF(K763="CBAW","Women of child-bearing age","Children")</f>
        <v>Children</v>
      </c>
      <c r="Q763" s="7" t="n">
        <f aca="false">IF(J763="NOT USED",1,0)</f>
        <v>0</v>
      </c>
      <c r="R763" s="7" t="n">
        <f aca="false">IF(AND(P763="Children",Q763=0),1,0)</f>
        <v>1</v>
      </c>
      <c r="S763" s="7" t="n">
        <f aca="false">IF(AND(R763=1,J763="Record or Recall",K763="12-23 m"),1,0)</f>
        <v>0</v>
      </c>
      <c r="T763" s="7" t="n">
        <f aca="false">IF(OR(I763="BCG",I763="DTP1",I763="DTP3",I763="POL3",I763="MCV1",I763="FULL"),1,0)</f>
        <v>0</v>
      </c>
      <c r="U763" s="7" t="n">
        <f aca="false">IF(OR(C763="DHS",C763="MICS"),1,0)</f>
        <v>1</v>
      </c>
      <c r="V763" s="7" t="n">
        <f aca="false">IF(O763="",1,0)</f>
        <v>1</v>
      </c>
      <c r="W763" s="7" t="n">
        <f aca="false">IF(M763="",1,0)</f>
        <v>1</v>
      </c>
      <c r="X763" s="7" t="n">
        <f aca="false">COUNTIFS($B$2:$B$1141,B763,$H$2:$H$1141,H763,$I$2:$I$1141,I763,$J$2:$J$1141,J763,$K$2:$K$1141,K763,$L$2:$L$1141,L763)</f>
        <v>1</v>
      </c>
    </row>
    <row r="764" customFormat="false" ht="15" hidden="false" customHeight="false" outlineLevel="0" collapsed="false">
      <c r="A764" s="7" t="n">
        <f aca="false">ROW()-1</f>
        <v>763</v>
      </c>
      <c r="B764" s="7" t="str">
        <f aca="false">IF(Raw_Nigeria!B764="",TRIM(Raw_Nigeria!C764),TRIM(Raw_Nigeria!B764))</f>
        <v>Nigeria Multiple Indicator Cluster Survey 2021</v>
      </c>
      <c r="C764" s="7" t="str">
        <f aca="false">IF(ISNUMBER(SEARCH("Demographic and Health",B764)),"DHS",IF(OR(ISNUMBER(SEARCH("Multiple Indicator Cluster",B764)),ISNUMBER(SEARCH("MICS",B764))),"MICS",IF(ISNUMBER(SEARCH("Immunization Coverage Survey",B764)),"Coverage survey",IF(ISNUMBER(SEARCH("Nutrition",B764)),"Nutrition survey","Other"))))</f>
        <v>MICS</v>
      </c>
      <c r="D764" s="7" t="n">
        <f aca="false">VALUE(LEFT(Raw_Nigeria!D764,4))</f>
        <v>2021</v>
      </c>
      <c r="E764" s="7" t="n">
        <f aca="false">IF(VALUE(RIGHT(Raw_Nigeria!D764,2))&gt;12,"",VALUE(RIGHT(Raw_Nigeria!D764,2)))</f>
        <v>9</v>
      </c>
      <c r="F764" s="7" t="n">
        <f aca="false">VALUE(LEFT(Raw_Nigeria!E764,4))</f>
        <v>2021</v>
      </c>
      <c r="G764" s="7" t="n">
        <f aca="false">IF(VALUE(RIGHT(Raw_Nigeria!E764,2))&gt;12,"",VALUE(RIGHT(Raw_Nigeria!E764,2)))</f>
        <v>12</v>
      </c>
      <c r="H764" s="7" t="n">
        <f aca="false">Raw_Nigeria!F764</f>
        <v>2019</v>
      </c>
      <c r="I764" s="7" t="str">
        <f aca="false">UPPER(TRIM(Raw_Nigeria!G764))</f>
        <v>MENGA</v>
      </c>
      <c r="J764" s="7" t="str">
        <f aca="false">Raw_Nigeria!H764</f>
        <v>Record</v>
      </c>
      <c r="K764" s="7" t="str">
        <f aca="false">Raw_Nigeria!L764</f>
        <v>24-35 m</v>
      </c>
      <c r="L764" s="7" t="str">
        <f aca="false">IF(Raw_Nigeria!K764="","n/a",Raw_Nigeria!K764)</f>
        <v>0-35 m</v>
      </c>
      <c r="M764" s="7" t="str">
        <f aca="false">IF(Raw_Nigeria!I764="","",Raw_Nigeria!I764)</f>
        <v/>
      </c>
      <c r="N764" s="7" t="n">
        <f aca="false">Raw_Nigeria!M764</f>
        <v>32.3</v>
      </c>
      <c r="O764" s="7" t="n">
        <f aca="false">IF(Raw_Nigeria!N764="","",Raw_Nigeria!N764)</f>
        <v>2877</v>
      </c>
      <c r="P764" s="7" t="str">
        <f aca="false">IF(K764="CBAW","Women of child-bearing age","Children")</f>
        <v>Children</v>
      </c>
      <c r="Q764" s="7" t="n">
        <f aca="false">IF(J764="NOT USED",1,0)</f>
        <v>0</v>
      </c>
      <c r="R764" s="7" t="n">
        <f aca="false">IF(AND(P764="Children",Q764=0),1,0)</f>
        <v>1</v>
      </c>
      <c r="S764" s="7" t="n">
        <f aca="false">IF(AND(R764=1,J764="Record or Recall",K764="12-23 m"),1,0)</f>
        <v>0</v>
      </c>
      <c r="T764" s="7" t="n">
        <f aca="false">IF(OR(I764="BCG",I764="DTP1",I764="DTP3",I764="POL3",I764="MCV1",I764="FULL"),1,0)</f>
        <v>0</v>
      </c>
      <c r="U764" s="7" t="n">
        <f aca="false">IF(OR(C764="DHS",C764="MICS"),1,0)</f>
        <v>1</v>
      </c>
      <c r="V764" s="7" t="n">
        <f aca="false">IF(O764="",1,0)</f>
        <v>0</v>
      </c>
      <c r="W764" s="7" t="n">
        <f aca="false">IF(M764="",1,0)</f>
        <v>1</v>
      </c>
      <c r="X764" s="7" t="n">
        <f aca="false">COUNTIFS($B$2:$B$1141,B764,$H$2:$H$1141,H764,$I$2:$I$1141,I764,$J$2:$J$1141,J764,$K$2:$K$1141,K764,$L$2:$L$1141,L764)</f>
        <v>1</v>
      </c>
    </row>
    <row r="765" customFormat="false" ht="15" hidden="false" customHeight="false" outlineLevel="0" collapsed="false">
      <c r="A765" s="7" t="n">
        <f aca="false">ROW()-1</f>
        <v>764</v>
      </c>
      <c r="B765" s="7" t="str">
        <f aca="false">IF(Raw_Nigeria!B765="",TRIM(Raw_Nigeria!C765),TRIM(Raw_Nigeria!B765))</f>
        <v>Nigeria Multiple Indicator Cluster Survey 2021</v>
      </c>
      <c r="C765" s="7" t="str">
        <f aca="false">IF(ISNUMBER(SEARCH("Demographic and Health",B765)),"DHS",IF(OR(ISNUMBER(SEARCH("Multiple Indicator Cluster",B765)),ISNUMBER(SEARCH("MICS",B765))),"MICS",IF(ISNUMBER(SEARCH("Immunization Coverage Survey",B765)),"Coverage survey",IF(ISNUMBER(SEARCH("Nutrition",B765)),"Nutrition survey","Other"))))</f>
        <v>MICS</v>
      </c>
      <c r="D765" s="7" t="n">
        <f aca="false">VALUE(LEFT(Raw_Nigeria!D765,4))</f>
        <v>2021</v>
      </c>
      <c r="E765" s="7" t="n">
        <f aca="false">IF(VALUE(RIGHT(Raw_Nigeria!D765,2))&gt;12,"",VALUE(RIGHT(Raw_Nigeria!D765,2)))</f>
        <v>9</v>
      </c>
      <c r="F765" s="7" t="n">
        <f aca="false">VALUE(LEFT(Raw_Nigeria!E765,4))</f>
        <v>2021</v>
      </c>
      <c r="G765" s="7" t="n">
        <f aca="false">IF(VALUE(RIGHT(Raw_Nigeria!E765,2))&gt;12,"",VALUE(RIGHT(Raw_Nigeria!E765,2)))</f>
        <v>12</v>
      </c>
      <c r="H765" s="7" t="n">
        <f aca="false">Raw_Nigeria!F765</f>
        <v>2019</v>
      </c>
      <c r="I765" s="7" t="str">
        <f aca="false">UPPER(TRIM(Raw_Nigeria!G765))</f>
        <v>MENGA</v>
      </c>
      <c r="J765" s="7" t="str">
        <f aca="false">Raw_Nigeria!H765</f>
        <v>Record or Recall</v>
      </c>
      <c r="K765" s="7" t="str">
        <f aca="false">Raw_Nigeria!L765</f>
        <v>24-35 m</v>
      </c>
      <c r="L765" s="7" t="str">
        <f aca="false">IF(Raw_Nigeria!K765="","n/a",Raw_Nigeria!K765)</f>
        <v>0-35 m</v>
      </c>
      <c r="M765" s="7" t="str">
        <f aca="false">IF(Raw_Nigeria!I765="","",Raw_Nigeria!I765)</f>
        <v/>
      </c>
      <c r="N765" s="7" t="n">
        <f aca="false">Raw_Nigeria!M765</f>
        <v>68.4</v>
      </c>
      <c r="O765" s="7" t="n">
        <f aca="false">IF(Raw_Nigeria!N765="","",Raw_Nigeria!N765)</f>
        <v>6100</v>
      </c>
      <c r="P765" s="7" t="str">
        <f aca="false">IF(K765="CBAW","Women of child-bearing age","Children")</f>
        <v>Children</v>
      </c>
      <c r="Q765" s="7" t="n">
        <f aca="false">IF(J765="NOT USED",1,0)</f>
        <v>0</v>
      </c>
      <c r="R765" s="7" t="n">
        <f aca="false">IF(AND(P765="Children",Q765=0),1,0)</f>
        <v>1</v>
      </c>
      <c r="S765" s="7" t="n">
        <f aca="false">IF(AND(R765=1,J765="Record or Recall",K765="12-23 m"),1,0)</f>
        <v>0</v>
      </c>
      <c r="T765" s="7" t="n">
        <f aca="false">IF(OR(I765="BCG",I765="DTP1",I765="DTP3",I765="POL3",I765="MCV1",I765="FULL"),1,0)</f>
        <v>0</v>
      </c>
      <c r="U765" s="7" t="n">
        <f aca="false">IF(OR(C765="DHS",C765="MICS"),1,0)</f>
        <v>1</v>
      </c>
      <c r="V765" s="7" t="n">
        <f aca="false">IF(O765="",1,0)</f>
        <v>0</v>
      </c>
      <c r="W765" s="7" t="n">
        <f aca="false">IF(M765="",1,0)</f>
        <v>1</v>
      </c>
      <c r="X765" s="7" t="n">
        <f aca="false">COUNTIFS($B$2:$B$1141,B765,$H$2:$H$1141,H765,$I$2:$I$1141,I765,$J$2:$J$1141,J765,$K$2:$K$1141,K765,$L$2:$L$1141,L765)</f>
        <v>1</v>
      </c>
    </row>
    <row r="766" customFormat="false" ht="15" hidden="false" customHeight="false" outlineLevel="0" collapsed="false">
      <c r="A766" s="7" t="n">
        <f aca="false">ROW()-1</f>
        <v>765</v>
      </c>
      <c r="B766" s="7" t="str">
        <f aca="false">IF(Raw_Nigeria!B766="",TRIM(Raw_Nigeria!C766),TRIM(Raw_Nigeria!B766))</f>
        <v>Nigeria Multiple Indicator Cluster Survey 2021</v>
      </c>
      <c r="C766" s="7" t="str">
        <f aca="false">IF(ISNUMBER(SEARCH("Demographic and Health",B766)),"DHS",IF(OR(ISNUMBER(SEARCH("Multiple Indicator Cluster",B766)),ISNUMBER(SEARCH("MICS",B766))),"MICS",IF(ISNUMBER(SEARCH("Immunization Coverage Survey",B766)),"Coverage survey",IF(ISNUMBER(SEARCH("Nutrition",B766)),"Nutrition survey","Other"))))</f>
        <v>MICS</v>
      </c>
      <c r="D766" s="7" t="n">
        <f aca="false">VALUE(LEFT(Raw_Nigeria!D766,4))</f>
        <v>2021</v>
      </c>
      <c r="E766" s="7" t="n">
        <f aca="false">IF(VALUE(RIGHT(Raw_Nigeria!D766,2))&gt;12,"",VALUE(RIGHT(Raw_Nigeria!D766,2)))</f>
        <v>9</v>
      </c>
      <c r="F766" s="7" t="n">
        <f aca="false">VALUE(LEFT(Raw_Nigeria!E766,4))</f>
        <v>2021</v>
      </c>
      <c r="G766" s="7" t="n">
        <f aca="false">IF(VALUE(RIGHT(Raw_Nigeria!E766,2))&gt;12,"",VALUE(RIGHT(Raw_Nigeria!E766,2)))</f>
        <v>12</v>
      </c>
      <c r="H766" s="7" t="n">
        <f aca="false">Raw_Nigeria!F766</f>
        <v>2019</v>
      </c>
      <c r="I766" s="7" t="str">
        <f aca="false">UPPER(TRIM(Raw_Nigeria!G766))</f>
        <v>MENGA</v>
      </c>
      <c r="J766" s="7" t="str">
        <f aca="false">Raw_Nigeria!H766</f>
        <v>Recall</v>
      </c>
      <c r="K766" s="7" t="str">
        <f aca="false">Raw_Nigeria!L766</f>
        <v>24-35 m</v>
      </c>
      <c r="L766" s="7" t="str">
        <f aca="false">IF(Raw_Nigeria!K766="","n/a",Raw_Nigeria!K766)</f>
        <v>0-35 m</v>
      </c>
      <c r="M766" s="7" t="str">
        <f aca="false">IF(Raw_Nigeria!I766="","",Raw_Nigeria!I766)</f>
        <v/>
      </c>
      <c r="N766" s="7" t="n">
        <f aca="false">Raw_Nigeria!M766</f>
        <v>36.1</v>
      </c>
      <c r="O766" s="7" t="n">
        <f aca="false">IF(Raw_Nigeria!N766="","",Raw_Nigeria!N766)</f>
        <v>3223</v>
      </c>
      <c r="P766" s="7" t="str">
        <f aca="false">IF(K766="CBAW","Women of child-bearing age","Children")</f>
        <v>Children</v>
      </c>
      <c r="Q766" s="7" t="n">
        <f aca="false">IF(J766="NOT USED",1,0)</f>
        <v>0</v>
      </c>
      <c r="R766" s="7" t="n">
        <f aca="false">IF(AND(P766="Children",Q766=0),1,0)</f>
        <v>1</v>
      </c>
      <c r="S766" s="7" t="n">
        <f aca="false">IF(AND(R766=1,J766="Record or Recall",K766="12-23 m"),1,0)</f>
        <v>0</v>
      </c>
      <c r="T766" s="7" t="n">
        <f aca="false">IF(OR(I766="BCG",I766="DTP1",I766="DTP3",I766="POL3",I766="MCV1",I766="FULL"),1,0)</f>
        <v>0</v>
      </c>
      <c r="U766" s="7" t="n">
        <f aca="false">IF(OR(C766="DHS",C766="MICS"),1,0)</f>
        <v>1</v>
      </c>
      <c r="V766" s="7" t="n">
        <f aca="false">IF(O766="",1,0)</f>
        <v>0</v>
      </c>
      <c r="W766" s="7" t="n">
        <f aca="false">IF(M766="",1,0)</f>
        <v>1</v>
      </c>
      <c r="X766" s="7" t="n">
        <f aca="false">COUNTIFS($B$2:$B$1141,B766,$H$2:$H$1141,H766,$I$2:$I$1141,I766,$J$2:$J$1141,J766,$K$2:$K$1141,K766,$L$2:$L$1141,L766)</f>
        <v>1</v>
      </c>
    </row>
    <row r="767" customFormat="false" ht="15" hidden="false" customHeight="false" outlineLevel="0" collapsed="false">
      <c r="A767" s="7" t="n">
        <f aca="false">ROW()-1</f>
        <v>766</v>
      </c>
      <c r="B767" s="7" t="str">
        <f aca="false">IF(Raw_Nigeria!B767="",TRIM(Raw_Nigeria!C767),TRIM(Raw_Nigeria!B767))</f>
        <v>Nigeria Multiple Indicator Cluster Survey 2021</v>
      </c>
      <c r="C767" s="7" t="str">
        <f aca="false">IF(ISNUMBER(SEARCH("Demographic and Health",B767)),"DHS",IF(OR(ISNUMBER(SEARCH("Multiple Indicator Cluster",B767)),ISNUMBER(SEARCH("MICS",B767))),"MICS",IF(ISNUMBER(SEARCH("Immunization Coverage Survey",B767)),"Coverage survey",IF(ISNUMBER(SEARCH("Nutrition",B767)),"Nutrition survey","Other"))))</f>
        <v>MICS</v>
      </c>
      <c r="D767" s="7" t="n">
        <f aca="false">VALUE(LEFT(Raw_Nigeria!D767,4))</f>
        <v>2021</v>
      </c>
      <c r="E767" s="7" t="n">
        <f aca="false">IF(VALUE(RIGHT(Raw_Nigeria!D767,2))&gt;12,"",VALUE(RIGHT(Raw_Nigeria!D767,2)))</f>
        <v>9</v>
      </c>
      <c r="F767" s="7" t="n">
        <f aca="false">VALUE(LEFT(Raw_Nigeria!E767,4))</f>
        <v>2021</v>
      </c>
      <c r="G767" s="7" t="n">
        <f aca="false">IF(VALUE(RIGHT(Raw_Nigeria!E767,2))&gt;12,"",VALUE(RIGHT(Raw_Nigeria!E767,2)))</f>
        <v>12</v>
      </c>
      <c r="H767" s="7" t="n">
        <f aca="false">Raw_Nigeria!F767</f>
        <v>2019</v>
      </c>
      <c r="I767" s="7" t="str">
        <f aca="false">UPPER(TRIM(Raw_Nigeria!G767))</f>
        <v>PCV1</v>
      </c>
      <c r="J767" s="7" t="str">
        <f aca="false">Raw_Nigeria!H767</f>
        <v>Record or Recall&lt;12m</v>
      </c>
      <c r="K767" s="7" t="str">
        <f aca="false">Raw_Nigeria!L767</f>
        <v>24-35 m</v>
      </c>
      <c r="L767" s="7" t="str">
        <f aca="false">IF(Raw_Nigeria!K767="","n/a",Raw_Nigeria!K767)</f>
        <v>0-12 m</v>
      </c>
      <c r="M767" s="7" t="str">
        <f aca="false">IF(Raw_Nigeria!I767="","",Raw_Nigeria!I767)</f>
        <v/>
      </c>
      <c r="N767" s="7" t="n">
        <f aca="false">Raw_Nigeria!M767</f>
        <v>66.3</v>
      </c>
      <c r="O767" s="7" t="str">
        <f aca="false">IF(Raw_Nigeria!N767="","",Raw_Nigeria!N767)</f>
        <v/>
      </c>
      <c r="P767" s="7" t="str">
        <f aca="false">IF(K767="CBAW","Women of child-bearing age","Children")</f>
        <v>Children</v>
      </c>
      <c r="Q767" s="7" t="n">
        <f aca="false">IF(J767="NOT USED",1,0)</f>
        <v>0</v>
      </c>
      <c r="R767" s="7" t="n">
        <f aca="false">IF(AND(P767="Children",Q767=0),1,0)</f>
        <v>1</v>
      </c>
      <c r="S767" s="7" t="n">
        <f aca="false">IF(AND(R767=1,J767="Record or Recall",K767="12-23 m"),1,0)</f>
        <v>0</v>
      </c>
      <c r="T767" s="7" t="n">
        <f aca="false">IF(OR(I767="BCG",I767="DTP1",I767="DTP3",I767="POL3",I767="MCV1",I767="FULL"),1,0)</f>
        <v>0</v>
      </c>
      <c r="U767" s="7" t="n">
        <f aca="false">IF(OR(C767="DHS",C767="MICS"),1,0)</f>
        <v>1</v>
      </c>
      <c r="V767" s="7" t="n">
        <f aca="false">IF(O767="",1,0)</f>
        <v>1</v>
      </c>
      <c r="W767" s="7" t="n">
        <f aca="false">IF(M767="",1,0)</f>
        <v>1</v>
      </c>
      <c r="X767" s="7" t="n">
        <f aca="false">COUNTIFS($B$2:$B$1141,B767,$H$2:$H$1141,H767,$I$2:$I$1141,I767,$J$2:$J$1141,J767,$K$2:$K$1141,K767,$L$2:$L$1141,L767)</f>
        <v>1</v>
      </c>
    </row>
    <row r="768" customFormat="false" ht="15" hidden="false" customHeight="false" outlineLevel="0" collapsed="false">
      <c r="A768" s="7" t="n">
        <f aca="false">ROW()-1</f>
        <v>767</v>
      </c>
      <c r="B768" s="7" t="str">
        <f aca="false">IF(Raw_Nigeria!B768="",TRIM(Raw_Nigeria!C768),TRIM(Raw_Nigeria!B768))</f>
        <v>Nigeria Multiple Indicator Cluster Survey 2021</v>
      </c>
      <c r="C768" s="7" t="str">
        <f aca="false">IF(ISNUMBER(SEARCH("Demographic and Health",B768)),"DHS",IF(OR(ISNUMBER(SEARCH("Multiple Indicator Cluster",B768)),ISNUMBER(SEARCH("MICS",B768))),"MICS",IF(ISNUMBER(SEARCH("Immunization Coverage Survey",B768)),"Coverage survey",IF(ISNUMBER(SEARCH("Nutrition",B768)),"Nutrition survey","Other"))))</f>
        <v>MICS</v>
      </c>
      <c r="D768" s="7" t="n">
        <f aca="false">VALUE(LEFT(Raw_Nigeria!D768,4))</f>
        <v>2021</v>
      </c>
      <c r="E768" s="7" t="n">
        <f aca="false">IF(VALUE(RIGHT(Raw_Nigeria!D768,2))&gt;12,"",VALUE(RIGHT(Raw_Nigeria!D768,2)))</f>
        <v>9</v>
      </c>
      <c r="F768" s="7" t="n">
        <f aca="false">VALUE(LEFT(Raw_Nigeria!E768,4))</f>
        <v>2021</v>
      </c>
      <c r="G768" s="7" t="n">
        <f aca="false">IF(VALUE(RIGHT(Raw_Nigeria!E768,2))&gt;12,"",VALUE(RIGHT(Raw_Nigeria!E768,2)))</f>
        <v>12</v>
      </c>
      <c r="H768" s="7" t="n">
        <f aca="false">Raw_Nigeria!F768</f>
        <v>2019</v>
      </c>
      <c r="I768" s="7" t="str">
        <f aca="false">UPPER(TRIM(Raw_Nigeria!G768))</f>
        <v>PCV1</v>
      </c>
      <c r="J768" s="7" t="str">
        <f aca="false">Raw_Nigeria!H768</f>
        <v>Record</v>
      </c>
      <c r="K768" s="7" t="str">
        <f aca="false">Raw_Nigeria!L768</f>
        <v>24-35 m</v>
      </c>
      <c r="L768" s="7" t="str">
        <f aca="false">IF(Raw_Nigeria!K768="","n/a",Raw_Nigeria!K768)</f>
        <v>0-35 m</v>
      </c>
      <c r="M768" s="7" t="str">
        <f aca="false">IF(Raw_Nigeria!I768="","",Raw_Nigeria!I768)</f>
        <v/>
      </c>
      <c r="N768" s="7" t="n">
        <f aca="false">Raw_Nigeria!M768</f>
        <v>45.3</v>
      </c>
      <c r="O768" s="7" t="n">
        <f aca="false">IF(Raw_Nigeria!N768="","",Raw_Nigeria!N768)</f>
        <v>2877</v>
      </c>
      <c r="P768" s="7" t="str">
        <f aca="false">IF(K768="CBAW","Women of child-bearing age","Children")</f>
        <v>Children</v>
      </c>
      <c r="Q768" s="7" t="n">
        <f aca="false">IF(J768="NOT USED",1,0)</f>
        <v>0</v>
      </c>
      <c r="R768" s="7" t="n">
        <f aca="false">IF(AND(P768="Children",Q768=0),1,0)</f>
        <v>1</v>
      </c>
      <c r="S768" s="7" t="n">
        <f aca="false">IF(AND(R768=1,J768="Record or Recall",K768="12-23 m"),1,0)</f>
        <v>0</v>
      </c>
      <c r="T768" s="7" t="n">
        <f aca="false">IF(OR(I768="BCG",I768="DTP1",I768="DTP3",I768="POL3",I768="MCV1",I768="FULL"),1,0)</f>
        <v>0</v>
      </c>
      <c r="U768" s="7" t="n">
        <f aca="false">IF(OR(C768="DHS",C768="MICS"),1,0)</f>
        <v>1</v>
      </c>
      <c r="V768" s="7" t="n">
        <f aca="false">IF(O768="",1,0)</f>
        <v>0</v>
      </c>
      <c r="W768" s="7" t="n">
        <f aca="false">IF(M768="",1,0)</f>
        <v>1</v>
      </c>
      <c r="X768" s="7" t="n">
        <f aca="false">COUNTIFS($B$2:$B$1141,B768,$H$2:$H$1141,H768,$I$2:$I$1141,I768,$J$2:$J$1141,J768,$K$2:$K$1141,K768,$L$2:$L$1141,L768)</f>
        <v>1</v>
      </c>
    </row>
    <row r="769" customFormat="false" ht="15" hidden="false" customHeight="false" outlineLevel="0" collapsed="false">
      <c r="A769" s="7" t="n">
        <f aca="false">ROW()-1</f>
        <v>768</v>
      </c>
      <c r="B769" s="7" t="str">
        <f aca="false">IF(Raw_Nigeria!B769="",TRIM(Raw_Nigeria!C769),TRIM(Raw_Nigeria!B769))</f>
        <v>Nigeria Multiple Indicator Cluster Survey 2021</v>
      </c>
      <c r="C769" s="7" t="str">
        <f aca="false">IF(ISNUMBER(SEARCH("Demographic and Health",B769)),"DHS",IF(OR(ISNUMBER(SEARCH("Multiple Indicator Cluster",B769)),ISNUMBER(SEARCH("MICS",B769))),"MICS",IF(ISNUMBER(SEARCH("Immunization Coverage Survey",B769)),"Coverage survey",IF(ISNUMBER(SEARCH("Nutrition",B769)),"Nutrition survey","Other"))))</f>
        <v>MICS</v>
      </c>
      <c r="D769" s="7" t="n">
        <f aca="false">VALUE(LEFT(Raw_Nigeria!D769,4))</f>
        <v>2021</v>
      </c>
      <c r="E769" s="7" t="n">
        <f aca="false">IF(VALUE(RIGHT(Raw_Nigeria!D769,2))&gt;12,"",VALUE(RIGHT(Raw_Nigeria!D769,2)))</f>
        <v>9</v>
      </c>
      <c r="F769" s="7" t="n">
        <f aca="false">VALUE(LEFT(Raw_Nigeria!E769,4))</f>
        <v>2021</v>
      </c>
      <c r="G769" s="7" t="n">
        <f aca="false">IF(VALUE(RIGHT(Raw_Nigeria!E769,2))&gt;12,"",VALUE(RIGHT(Raw_Nigeria!E769,2)))</f>
        <v>12</v>
      </c>
      <c r="H769" s="7" t="n">
        <f aca="false">Raw_Nigeria!F769</f>
        <v>2019</v>
      </c>
      <c r="I769" s="7" t="str">
        <f aca="false">UPPER(TRIM(Raw_Nigeria!G769))</f>
        <v>PCV1</v>
      </c>
      <c r="J769" s="7" t="str">
        <f aca="false">Raw_Nigeria!H769</f>
        <v>Record or Recall</v>
      </c>
      <c r="K769" s="7" t="str">
        <f aca="false">Raw_Nigeria!L769</f>
        <v>24-35 m</v>
      </c>
      <c r="L769" s="7" t="str">
        <f aca="false">IF(Raw_Nigeria!K769="","n/a",Raw_Nigeria!K769)</f>
        <v>0-35 m</v>
      </c>
      <c r="M769" s="7" t="str">
        <f aca="false">IF(Raw_Nigeria!I769="","",Raw_Nigeria!I769)</f>
        <v/>
      </c>
      <c r="N769" s="7" t="n">
        <f aca="false">Raw_Nigeria!M769</f>
        <v>70.1</v>
      </c>
      <c r="O769" s="7" t="n">
        <f aca="false">IF(Raw_Nigeria!N769="","",Raw_Nigeria!N769)</f>
        <v>6100</v>
      </c>
      <c r="P769" s="7" t="str">
        <f aca="false">IF(K769="CBAW","Women of child-bearing age","Children")</f>
        <v>Children</v>
      </c>
      <c r="Q769" s="7" t="n">
        <f aca="false">IF(J769="NOT USED",1,0)</f>
        <v>0</v>
      </c>
      <c r="R769" s="7" t="n">
        <f aca="false">IF(AND(P769="Children",Q769=0),1,0)</f>
        <v>1</v>
      </c>
      <c r="S769" s="7" t="n">
        <f aca="false">IF(AND(R769=1,J769="Record or Recall",K769="12-23 m"),1,0)</f>
        <v>0</v>
      </c>
      <c r="T769" s="7" t="n">
        <f aca="false">IF(OR(I769="BCG",I769="DTP1",I769="DTP3",I769="POL3",I769="MCV1",I769="FULL"),1,0)</f>
        <v>0</v>
      </c>
      <c r="U769" s="7" t="n">
        <f aca="false">IF(OR(C769="DHS",C769="MICS"),1,0)</f>
        <v>1</v>
      </c>
      <c r="V769" s="7" t="n">
        <f aca="false">IF(O769="",1,0)</f>
        <v>0</v>
      </c>
      <c r="W769" s="7" t="n">
        <f aca="false">IF(M769="",1,0)</f>
        <v>1</v>
      </c>
      <c r="X769" s="7" t="n">
        <f aca="false">COUNTIFS($B$2:$B$1141,B769,$H$2:$H$1141,H769,$I$2:$I$1141,I769,$J$2:$J$1141,J769,$K$2:$K$1141,K769,$L$2:$L$1141,L769)</f>
        <v>1</v>
      </c>
    </row>
    <row r="770" customFormat="false" ht="15" hidden="false" customHeight="false" outlineLevel="0" collapsed="false">
      <c r="A770" s="7" t="n">
        <f aca="false">ROW()-1</f>
        <v>769</v>
      </c>
      <c r="B770" s="7" t="str">
        <f aca="false">IF(Raw_Nigeria!B770="",TRIM(Raw_Nigeria!C770),TRIM(Raw_Nigeria!B770))</f>
        <v>Nigeria Multiple Indicator Cluster Survey 2021</v>
      </c>
      <c r="C770" s="7" t="str">
        <f aca="false">IF(ISNUMBER(SEARCH("Demographic and Health",B770)),"DHS",IF(OR(ISNUMBER(SEARCH("Multiple Indicator Cluster",B770)),ISNUMBER(SEARCH("MICS",B770))),"MICS",IF(ISNUMBER(SEARCH("Immunization Coverage Survey",B770)),"Coverage survey",IF(ISNUMBER(SEARCH("Nutrition",B770)),"Nutrition survey","Other"))))</f>
        <v>MICS</v>
      </c>
      <c r="D770" s="7" t="n">
        <f aca="false">VALUE(LEFT(Raw_Nigeria!D770,4))</f>
        <v>2021</v>
      </c>
      <c r="E770" s="7" t="n">
        <f aca="false">IF(VALUE(RIGHT(Raw_Nigeria!D770,2))&gt;12,"",VALUE(RIGHT(Raw_Nigeria!D770,2)))</f>
        <v>9</v>
      </c>
      <c r="F770" s="7" t="n">
        <f aca="false">VALUE(LEFT(Raw_Nigeria!E770,4))</f>
        <v>2021</v>
      </c>
      <c r="G770" s="7" t="n">
        <f aca="false">IF(VALUE(RIGHT(Raw_Nigeria!E770,2))&gt;12,"",VALUE(RIGHT(Raw_Nigeria!E770,2)))</f>
        <v>12</v>
      </c>
      <c r="H770" s="7" t="n">
        <f aca="false">Raw_Nigeria!F770</f>
        <v>2019</v>
      </c>
      <c r="I770" s="7" t="str">
        <f aca="false">UPPER(TRIM(Raw_Nigeria!G770))</f>
        <v>PCV1</v>
      </c>
      <c r="J770" s="7" t="str">
        <f aca="false">Raw_Nigeria!H770</f>
        <v>Recall</v>
      </c>
      <c r="K770" s="7" t="str">
        <f aca="false">Raw_Nigeria!L770</f>
        <v>24-35 m</v>
      </c>
      <c r="L770" s="7" t="str">
        <f aca="false">IF(Raw_Nigeria!K770="","n/a",Raw_Nigeria!K770)</f>
        <v>0-35 m</v>
      </c>
      <c r="M770" s="7" t="str">
        <f aca="false">IF(Raw_Nigeria!I770="","",Raw_Nigeria!I770)</f>
        <v/>
      </c>
      <c r="N770" s="7" t="n">
        <f aca="false">Raw_Nigeria!M770</f>
        <v>24.8</v>
      </c>
      <c r="O770" s="7" t="n">
        <f aca="false">IF(Raw_Nigeria!N770="","",Raw_Nigeria!N770)</f>
        <v>3223</v>
      </c>
      <c r="P770" s="7" t="str">
        <f aca="false">IF(K770="CBAW","Women of child-bearing age","Children")</f>
        <v>Children</v>
      </c>
      <c r="Q770" s="7" t="n">
        <f aca="false">IF(J770="NOT USED",1,0)</f>
        <v>0</v>
      </c>
      <c r="R770" s="7" t="n">
        <f aca="false">IF(AND(P770="Children",Q770=0),1,0)</f>
        <v>1</v>
      </c>
      <c r="S770" s="7" t="n">
        <f aca="false">IF(AND(R770=1,J770="Record or Recall",K770="12-23 m"),1,0)</f>
        <v>0</v>
      </c>
      <c r="T770" s="7" t="n">
        <f aca="false">IF(OR(I770="BCG",I770="DTP1",I770="DTP3",I770="POL3",I770="MCV1",I770="FULL"),1,0)</f>
        <v>0</v>
      </c>
      <c r="U770" s="7" t="n">
        <f aca="false">IF(OR(C770="DHS",C770="MICS"),1,0)</f>
        <v>1</v>
      </c>
      <c r="V770" s="7" t="n">
        <f aca="false">IF(O770="",1,0)</f>
        <v>0</v>
      </c>
      <c r="W770" s="7" t="n">
        <f aca="false">IF(M770="",1,0)</f>
        <v>1</v>
      </c>
      <c r="X770" s="7" t="n">
        <f aca="false">COUNTIFS($B$2:$B$1141,B770,$H$2:$H$1141,H770,$I$2:$I$1141,I770,$J$2:$J$1141,J770,$K$2:$K$1141,K770,$L$2:$L$1141,L770)</f>
        <v>1</v>
      </c>
    </row>
    <row r="771" customFormat="false" ht="15" hidden="false" customHeight="false" outlineLevel="0" collapsed="false">
      <c r="A771" s="7" t="n">
        <f aca="false">ROW()-1</f>
        <v>770</v>
      </c>
      <c r="B771" s="7" t="str">
        <f aca="false">IF(Raw_Nigeria!B771="",TRIM(Raw_Nigeria!C771),TRIM(Raw_Nigeria!B771))</f>
        <v>Nigeria Multiple Indicator Cluster Survey 2021</v>
      </c>
      <c r="C771" s="7" t="str">
        <f aca="false">IF(ISNUMBER(SEARCH("Demographic and Health",B771)),"DHS",IF(OR(ISNUMBER(SEARCH("Multiple Indicator Cluster",B771)),ISNUMBER(SEARCH("MICS",B771))),"MICS",IF(ISNUMBER(SEARCH("Immunization Coverage Survey",B771)),"Coverage survey",IF(ISNUMBER(SEARCH("Nutrition",B771)),"Nutrition survey","Other"))))</f>
        <v>MICS</v>
      </c>
      <c r="D771" s="7" t="n">
        <f aca="false">VALUE(LEFT(Raw_Nigeria!D771,4))</f>
        <v>2021</v>
      </c>
      <c r="E771" s="7" t="n">
        <f aca="false">IF(VALUE(RIGHT(Raw_Nigeria!D771,2))&gt;12,"",VALUE(RIGHT(Raw_Nigeria!D771,2)))</f>
        <v>9</v>
      </c>
      <c r="F771" s="7" t="n">
        <f aca="false">VALUE(LEFT(Raw_Nigeria!E771,4))</f>
        <v>2021</v>
      </c>
      <c r="G771" s="7" t="n">
        <f aca="false">IF(VALUE(RIGHT(Raw_Nigeria!E771,2))&gt;12,"",VALUE(RIGHT(Raw_Nigeria!E771,2)))</f>
        <v>12</v>
      </c>
      <c r="H771" s="7" t="n">
        <f aca="false">Raw_Nigeria!F771</f>
        <v>2019</v>
      </c>
      <c r="I771" s="7" t="str">
        <f aca="false">UPPER(TRIM(Raw_Nigeria!G771))</f>
        <v>PCV2</v>
      </c>
      <c r="J771" s="7" t="str">
        <f aca="false">Raw_Nigeria!H771</f>
        <v>Record or Recall&lt;12m</v>
      </c>
      <c r="K771" s="7" t="str">
        <f aca="false">Raw_Nigeria!L771</f>
        <v>24-35 m</v>
      </c>
      <c r="L771" s="7" t="str">
        <f aca="false">IF(Raw_Nigeria!K771="","n/a",Raw_Nigeria!K771)</f>
        <v>0-12 m</v>
      </c>
      <c r="M771" s="7" t="str">
        <f aca="false">IF(Raw_Nigeria!I771="","",Raw_Nigeria!I771)</f>
        <v/>
      </c>
      <c r="N771" s="7" t="n">
        <f aca="false">Raw_Nigeria!M771</f>
        <v>59.9</v>
      </c>
      <c r="O771" s="7" t="str">
        <f aca="false">IF(Raw_Nigeria!N771="","",Raw_Nigeria!N771)</f>
        <v/>
      </c>
      <c r="P771" s="7" t="str">
        <f aca="false">IF(K771="CBAW","Women of child-bearing age","Children")</f>
        <v>Children</v>
      </c>
      <c r="Q771" s="7" t="n">
        <f aca="false">IF(J771="NOT USED",1,0)</f>
        <v>0</v>
      </c>
      <c r="R771" s="7" t="n">
        <f aca="false">IF(AND(P771="Children",Q771=0),1,0)</f>
        <v>1</v>
      </c>
      <c r="S771" s="7" t="n">
        <f aca="false">IF(AND(R771=1,J771="Record or Recall",K771="12-23 m"),1,0)</f>
        <v>0</v>
      </c>
      <c r="T771" s="7" t="n">
        <f aca="false">IF(OR(I771="BCG",I771="DTP1",I771="DTP3",I771="POL3",I771="MCV1",I771="FULL"),1,0)</f>
        <v>0</v>
      </c>
      <c r="U771" s="7" t="n">
        <f aca="false">IF(OR(C771="DHS",C771="MICS"),1,0)</f>
        <v>1</v>
      </c>
      <c r="V771" s="7" t="n">
        <f aca="false">IF(O771="",1,0)</f>
        <v>1</v>
      </c>
      <c r="W771" s="7" t="n">
        <f aca="false">IF(M771="",1,0)</f>
        <v>1</v>
      </c>
      <c r="X771" s="7" t="n">
        <f aca="false">COUNTIFS($B$2:$B$1141,B771,$H$2:$H$1141,H771,$I$2:$I$1141,I771,$J$2:$J$1141,J771,$K$2:$K$1141,K771,$L$2:$L$1141,L771)</f>
        <v>1</v>
      </c>
    </row>
    <row r="772" customFormat="false" ht="15" hidden="false" customHeight="false" outlineLevel="0" collapsed="false">
      <c r="A772" s="7" t="n">
        <f aca="false">ROW()-1</f>
        <v>771</v>
      </c>
      <c r="B772" s="7" t="str">
        <f aca="false">IF(Raw_Nigeria!B772="",TRIM(Raw_Nigeria!C772),TRIM(Raw_Nigeria!B772))</f>
        <v>Nigeria Multiple Indicator Cluster Survey 2021</v>
      </c>
      <c r="C772" s="7" t="str">
        <f aca="false">IF(ISNUMBER(SEARCH("Demographic and Health",B772)),"DHS",IF(OR(ISNUMBER(SEARCH("Multiple Indicator Cluster",B772)),ISNUMBER(SEARCH("MICS",B772))),"MICS",IF(ISNUMBER(SEARCH("Immunization Coverage Survey",B772)),"Coverage survey",IF(ISNUMBER(SEARCH("Nutrition",B772)),"Nutrition survey","Other"))))</f>
        <v>MICS</v>
      </c>
      <c r="D772" s="7" t="n">
        <f aca="false">VALUE(LEFT(Raw_Nigeria!D772,4))</f>
        <v>2021</v>
      </c>
      <c r="E772" s="7" t="n">
        <f aca="false">IF(VALUE(RIGHT(Raw_Nigeria!D772,2))&gt;12,"",VALUE(RIGHT(Raw_Nigeria!D772,2)))</f>
        <v>9</v>
      </c>
      <c r="F772" s="7" t="n">
        <f aca="false">VALUE(LEFT(Raw_Nigeria!E772,4))</f>
        <v>2021</v>
      </c>
      <c r="G772" s="7" t="n">
        <f aca="false">IF(VALUE(RIGHT(Raw_Nigeria!E772,2))&gt;12,"",VALUE(RIGHT(Raw_Nigeria!E772,2)))</f>
        <v>12</v>
      </c>
      <c r="H772" s="7" t="n">
        <f aca="false">Raw_Nigeria!F772</f>
        <v>2019</v>
      </c>
      <c r="I772" s="7" t="str">
        <f aca="false">UPPER(TRIM(Raw_Nigeria!G772))</f>
        <v>PCV2</v>
      </c>
      <c r="J772" s="7" t="str">
        <f aca="false">Raw_Nigeria!H772</f>
        <v>Record</v>
      </c>
      <c r="K772" s="7" t="str">
        <f aca="false">Raw_Nigeria!L772</f>
        <v>24-35 m</v>
      </c>
      <c r="L772" s="7" t="str">
        <f aca="false">IF(Raw_Nigeria!K772="","n/a",Raw_Nigeria!K772)</f>
        <v>0-35 m</v>
      </c>
      <c r="M772" s="7" t="str">
        <f aca="false">IF(Raw_Nigeria!I772="","",Raw_Nigeria!I772)</f>
        <v/>
      </c>
      <c r="N772" s="7" t="n">
        <f aca="false">Raw_Nigeria!M772</f>
        <v>43.5</v>
      </c>
      <c r="O772" s="7" t="n">
        <f aca="false">IF(Raw_Nigeria!N772="","",Raw_Nigeria!N772)</f>
        <v>2877</v>
      </c>
      <c r="P772" s="7" t="str">
        <f aca="false">IF(K772="CBAW","Women of child-bearing age","Children")</f>
        <v>Children</v>
      </c>
      <c r="Q772" s="7" t="n">
        <f aca="false">IF(J772="NOT USED",1,0)</f>
        <v>0</v>
      </c>
      <c r="R772" s="7" t="n">
        <f aca="false">IF(AND(P772="Children",Q772=0),1,0)</f>
        <v>1</v>
      </c>
      <c r="S772" s="7" t="n">
        <f aca="false">IF(AND(R772=1,J772="Record or Recall",K772="12-23 m"),1,0)</f>
        <v>0</v>
      </c>
      <c r="T772" s="7" t="n">
        <f aca="false">IF(OR(I772="BCG",I772="DTP1",I772="DTP3",I772="POL3",I772="MCV1",I772="FULL"),1,0)</f>
        <v>0</v>
      </c>
      <c r="U772" s="7" t="n">
        <f aca="false">IF(OR(C772="DHS",C772="MICS"),1,0)</f>
        <v>1</v>
      </c>
      <c r="V772" s="7" t="n">
        <f aca="false">IF(O772="",1,0)</f>
        <v>0</v>
      </c>
      <c r="W772" s="7" t="n">
        <f aca="false">IF(M772="",1,0)</f>
        <v>1</v>
      </c>
      <c r="X772" s="7" t="n">
        <f aca="false">COUNTIFS($B$2:$B$1141,B772,$H$2:$H$1141,H772,$I$2:$I$1141,I772,$J$2:$J$1141,J772,$K$2:$K$1141,K772,$L$2:$L$1141,L772)</f>
        <v>1</v>
      </c>
    </row>
    <row r="773" customFormat="false" ht="15" hidden="false" customHeight="false" outlineLevel="0" collapsed="false">
      <c r="A773" s="7" t="n">
        <f aca="false">ROW()-1</f>
        <v>772</v>
      </c>
      <c r="B773" s="7" t="str">
        <f aca="false">IF(Raw_Nigeria!B773="",TRIM(Raw_Nigeria!C773),TRIM(Raw_Nigeria!B773))</f>
        <v>Nigeria Multiple Indicator Cluster Survey 2021</v>
      </c>
      <c r="C773" s="7" t="str">
        <f aca="false">IF(ISNUMBER(SEARCH("Demographic and Health",B773)),"DHS",IF(OR(ISNUMBER(SEARCH("Multiple Indicator Cluster",B773)),ISNUMBER(SEARCH("MICS",B773))),"MICS",IF(ISNUMBER(SEARCH("Immunization Coverage Survey",B773)),"Coverage survey",IF(ISNUMBER(SEARCH("Nutrition",B773)),"Nutrition survey","Other"))))</f>
        <v>MICS</v>
      </c>
      <c r="D773" s="7" t="n">
        <f aca="false">VALUE(LEFT(Raw_Nigeria!D773,4))</f>
        <v>2021</v>
      </c>
      <c r="E773" s="7" t="n">
        <f aca="false">IF(VALUE(RIGHT(Raw_Nigeria!D773,2))&gt;12,"",VALUE(RIGHT(Raw_Nigeria!D773,2)))</f>
        <v>9</v>
      </c>
      <c r="F773" s="7" t="n">
        <f aca="false">VALUE(LEFT(Raw_Nigeria!E773,4))</f>
        <v>2021</v>
      </c>
      <c r="G773" s="7" t="n">
        <f aca="false">IF(VALUE(RIGHT(Raw_Nigeria!E773,2))&gt;12,"",VALUE(RIGHT(Raw_Nigeria!E773,2)))</f>
        <v>12</v>
      </c>
      <c r="H773" s="7" t="n">
        <f aca="false">Raw_Nigeria!F773</f>
        <v>2019</v>
      </c>
      <c r="I773" s="7" t="str">
        <f aca="false">UPPER(TRIM(Raw_Nigeria!G773))</f>
        <v>PCV2</v>
      </c>
      <c r="J773" s="7" t="str">
        <f aca="false">Raw_Nigeria!H773</f>
        <v>Record or Recall</v>
      </c>
      <c r="K773" s="7" t="str">
        <f aca="false">Raw_Nigeria!L773</f>
        <v>24-35 m</v>
      </c>
      <c r="L773" s="7" t="str">
        <f aca="false">IF(Raw_Nigeria!K773="","n/a",Raw_Nigeria!K773)</f>
        <v>0-35 m</v>
      </c>
      <c r="M773" s="7" t="str">
        <f aca="false">IF(Raw_Nigeria!I773="","",Raw_Nigeria!I773)</f>
        <v/>
      </c>
      <c r="N773" s="7" t="n">
        <f aca="false">Raw_Nigeria!M773</f>
        <v>63.7</v>
      </c>
      <c r="O773" s="7" t="n">
        <f aca="false">IF(Raw_Nigeria!N773="","",Raw_Nigeria!N773)</f>
        <v>6100</v>
      </c>
      <c r="P773" s="7" t="str">
        <f aca="false">IF(K773="CBAW","Women of child-bearing age","Children")</f>
        <v>Children</v>
      </c>
      <c r="Q773" s="7" t="n">
        <f aca="false">IF(J773="NOT USED",1,0)</f>
        <v>0</v>
      </c>
      <c r="R773" s="7" t="n">
        <f aca="false">IF(AND(P773="Children",Q773=0),1,0)</f>
        <v>1</v>
      </c>
      <c r="S773" s="7" t="n">
        <f aca="false">IF(AND(R773=1,J773="Record or Recall",K773="12-23 m"),1,0)</f>
        <v>0</v>
      </c>
      <c r="T773" s="7" t="n">
        <f aca="false">IF(OR(I773="BCG",I773="DTP1",I773="DTP3",I773="POL3",I773="MCV1",I773="FULL"),1,0)</f>
        <v>0</v>
      </c>
      <c r="U773" s="7" t="n">
        <f aca="false">IF(OR(C773="DHS",C773="MICS"),1,0)</f>
        <v>1</v>
      </c>
      <c r="V773" s="7" t="n">
        <f aca="false">IF(O773="",1,0)</f>
        <v>0</v>
      </c>
      <c r="W773" s="7" t="n">
        <f aca="false">IF(M773="",1,0)</f>
        <v>1</v>
      </c>
      <c r="X773" s="7" t="n">
        <f aca="false">COUNTIFS($B$2:$B$1141,B773,$H$2:$H$1141,H773,$I$2:$I$1141,I773,$J$2:$J$1141,J773,$K$2:$K$1141,K773,$L$2:$L$1141,L773)</f>
        <v>1</v>
      </c>
    </row>
    <row r="774" customFormat="false" ht="15" hidden="false" customHeight="false" outlineLevel="0" collapsed="false">
      <c r="A774" s="7" t="n">
        <f aca="false">ROW()-1</f>
        <v>773</v>
      </c>
      <c r="B774" s="7" t="str">
        <f aca="false">IF(Raw_Nigeria!B774="",TRIM(Raw_Nigeria!C774),TRIM(Raw_Nigeria!B774))</f>
        <v>Nigeria Multiple Indicator Cluster Survey 2021</v>
      </c>
      <c r="C774" s="7" t="str">
        <f aca="false">IF(ISNUMBER(SEARCH("Demographic and Health",B774)),"DHS",IF(OR(ISNUMBER(SEARCH("Multiple Indicator Cluster",B774)),ISNUMBER(SEARCH("MICS",B774))),"MICS",IF(ISNUMBER(SEARCH("Immunization Coverage Survey",B774)),"Coverage survey",IF(ISNUMBER(SEARCH("Nutrition",B774)),"Nutrition survey","Other"))))</f>
        <v>MICS</v>
      </c>
      <c r="D774" s="7" t="n">
        <f aca="false">VALUE(LEFT(Raw_Nigeria!D774,4))</f>
        <v>2021</v>
      </c>
      <c r="E774" s="7" t="n">
        <f aca="false">IF(VALUE(RIGHT(Raw_Nigeria!D774,2))&gt;12,"",VALUE(RIGHT(Raw_Nigeria!D774,2)))</f>
        <v>9</v>
      </c>
      <c r="F774" s="7" t="n">
        <f aca="false">VALUE(LEFT(Raw_Nigeria!E774,4))</f>
        <v>2021</v>
      </c>
      <c r="G774" s="7" t="n">
        <f aca="false">IF(VALUE(RIGHT(Raw_Nigeria!E774,2))&gt;12,"",VALUE(RIGHT(Raw_Nigeria!E774,2)))</f>
        <v>12</v>
      </c>
      <c r="H774" s="7" t="n">
        <f aca="false">Raw_Nigeria!F774</f>
        <v>2019</v>
      </c>
      <c r="I774" s="7" t="str">
        <f aca="false">UPPER(TRIM(Raw_Nigeria!G774))</f>
        <v>PCV2</v>
      </c>
      <c r="J774" s="7" t="str">
        <f aca="false">Raw_Nigeria!H774</f>
        <v>Recall</v>
      </c>
      <c r="K774" s="7" t="str">
        <f aca="false">Raw_Nigeria!L774</f>
        <v>24-35 m</v>
      </c>
      <c r="L774" s="7" t="str">
        <f aca="false">IF(Raw_Nigeria!K774="","n/a",Raw_Nigeria!K774)</f>
        <v>0-35 m</v>
      </c>
      <c r="M774" s="7" t="str">
        <f aca="false">IF(Raw_Nigeria!I774="","",Raw_Nigeria!I774)</f>
        <v/>
      </c>
      <c r="N774" s="7" t="n">
        <f aca="false">Raw_Nigeria!M774</f>
        <v>20.2</v>
      </c>
      <c r="O774" s="7" t="n">
        <f aca="false">IF(Raw_Nigeria!N774="","",Raw_Nigeria!N774)</f>
        <v>3223</v>
      </c>
      <c r="P774" s="7" t="str">
        <f aca="false">IF(K774="CBAW","Women of child-bearing age","Children")</f>
        <v>Children</v>
      </c>
      <c r="Q774" s="7" t="n">
        <f aca="false">IF(J774="NOT USED",1,0)</f>
        <v>0</v>
      </c>
      <c r="R774" s="7" t="n">
        <f aca="false">IF(AND(P774="Children",Q774=0),1,0)</f>
        <v>1</v>
      </c>
      <c r="S774" s="7" t="n">
        <f aca="false">IF(AND(R774=1,J774="Record or Recall",K774="12-23 m"),1,0)</f>
        <v>0</v>
      </c>
      <c r="T774" s="7" t="n">
        <f aca="false">IF(OR(I774="BCG",I774="DTP1",I774="DTP3",I774="POL3",I774="MCV1",I774="FULL"),1,0)</f>
        <v>0</v>
      </c>
      <c r="U774" s="7" t="n">
        <f aca="false">IF(OR(C774="DHS",C774="MICS"),1,0)</f>
        <v>1</v>
      </c>
      <c r="V774" s="7" t="n">
        <f aca="false">IF(O774="",1,0)</f>
        <v>0</v>
      </c>
      <c r="W774" s="7" t="n">
        <f aca="false">IF(M774="",1,0)</f>
        <v>1</v>
      </c>
      <c r="X774" s="7" t="n">
        <f aca="false">COUNTIFS($B$2:$B$1141,B774,$H$2:$H$1141,H774,$I$2:$I$1141,I774,$J$2:$J$1141,J774,$K$2:$K$1141,K774,$L$2:$L$1141,L774)</f>
        <v>1</v>
      </c>
    </row>
    <row r="775" customFormat="false" ht="15" hidden="false" customHeight="false" outlineLevel="0" collapsed="false">
      <c r="A775" s="7" t="n">
        <f aca="false">ROW()-1</f>
        <v>774</v>
      </c>
      <c r="B775" s="7" t="str">
        <f aca="false">IF(Raw_Nigeria!B775="",TRIM(Raw_Nigeria!C775),TRIM(Raw_Nigeria!B775))</f>
        <v>Nigeria Multiple Indicator Cluster Survey 2021</v>
      </c>
      <c r="C775" s="7" t="str">
        <f aca="false">IF(ISNUMBER(SEARCH("Demographic and Health",B775)),"DHS",IF(OR(ISNUMBER(SEARCH("Multiple Indicator Cluster",B775)),ISNUMBER(SEARCH("MICS",B775))),"MICS",IF(ISNUMBER(SEARCH("Immunization Coverage Survey",B775)),"Coverage survey",IF(ISNUMBER(SEARCH("Nutrition",B775)),"Nutrition survey","Other"))))</f>
        <v>MICS</v>
      </c>
      <c r="D775" s="7" t="n">
        <f aca="false">VALUE(LEFT(Raw_Nigeria!D775,4))</f>
        <v>2021</v>
      </c>
      <c r="E775" s="7" t="n">
        <f aca="false">IF(VALUE(RIGHT(Raw_Nigeria!D775,2))&gt;12,"",VALUE(RIGHT(Raw_Nigeria!D775,2)))</f>
        <v>9</v>
      </c>
      <c r="F775" s="7" t="n">
        <f aca="false">VALUE(LEFT(Raw_Nigeria!E775,4))</f>
        <v>2021</v>
      </c>
      <c r="G775" s="7" t="n">
        <f aca="false">IF(VALUE(RIGHT(Raw_Nigeria!E775,2))&gt;12,"",VALUE(RIGHT(Raw_Nigeria!E775,2)))</f>
        <v>12</v>
      </c>
      <c r="H775" s="7" t="n">
        <f aca="false">Raw_Nigeria!F775</f>
        <v>2019</v>
      </c>
      <c r="I775" s="7" t="str">
        <f aca="false">UPPER(TRIM(Raw_Nigeria!G775))</f>
        <v>PCVC</v>
      </c>
      <c r="J775" s="7" t="str">
        <f aca="false">Raw_Nigeria!H775</f>
        <v>Record or Recall&lt;12m</v>
      </c>
      <c r="K775" s="7" t="str">
        <f aca="false">Raw_Nigeria!L775</f>
        <v>24-35 m</v>
      </c>
      <c r="L775" s="7" t="str">
        <f aca="false">IF(Raw_Nigeria!K775="","n/a",Raw_Nigeria!K775)</f>
        <v>0-12 m</v>
      </c>
      <c r="M775" s="7" t="str">
        <f aca="false">IF(Raw_Nigeria!I775="","",Raw_Nigeria!I775)</f>
        <v/>
      </c>
      <c r="N775" s="7" t="n">
        <f aca="false">Raw_Nigeria!M775</f>
        <v>50.4</v>
      </c>
      <c r="O775" s="7" t="str">
        <f aca="false">IF(Raw_Nigeria!N775="","",Raw_Nigeria!N775)</f>
        <v/>
      </c>
      <c r="P775" s="7" t="str">
        <f aca="false">IF(K775="CBAW","Women of child-bearing age","Children")</f>
        <v>Children</v>
      </c>
      <c r="Q775" s="7" t="n">
        <f aca="false">IF(J775="NOT USED",1,0)</f>
        <v>0</v>
      </c>
      <c r="R775" s="7" t="n">
        <f aca="false">IF(AND(P775="Children",Q775=0),1,0)</f>
        <v>1</v>
      </c>
      <c r="S775" s="7" t="n">
        <f aca="false">IF(AND(R775=1,J775="Record or Recall",K775="12-23 m"),1,0)</f>
        <v>0</v>
      </c>
      <c r="T775" s="7" t="n">
        <f aca="false">IF(OR(I775="BCG",I775="DTP1",I775="DTP3",I775="POL3",I775="MCV1",I775="FULL"),1,0)</f>
        <v>0</v>
      </c>
      <c r="U775" s="7" t="n">
        <f aca="false">IF(OR(C775="DHS",C775="MICS"),1,0)</f>
        <v>1</v>
      </c>
      <c r="V775" s="7" t="n">
        <f aca="false">IF(O775="",1,0)</f>
        <v>1</v>
      </c>
      <c r="W775" s="7" t="n">
        <f aca="false">IF(M775="",1,0)</f>
        <v>1</v>
      </c>
      <c r="X775" s="7" t="n">
        <f aca="false">COUNTIFS($B$2:$B$1141,B775,$H$2:$H$1141,H775,$I$2:$I$1141,I775,$J$2:$J$1141,J775,$K$2:$K$1141,K775,$L$2:$L$1141,L775)</f>
        <v>1</v>
      </c>
    </row>
    <row r="776" customFormat="false" ht="15" hidden="false" customHeight="false" outlineLevel="0" collapsed="false">
      <c r="A776" s="7" t="n">
        <f aca="false">ROW()-1</f>
        <v>775</v>
      </c>
      <c r="B776" s="7" t="str">
        <f aca="false">IF(Raw_Nigeria!B776="",TRIM(Raw_Nigeria!C776),TRIM(Raw_Nigeria!B776))</f>
        <v>Nigeria Multiple Indicator Cluster Survey 2021</v>
      </c>
      <c r="C776" s="7" t="str">
        <f aca="false">IF(ISNUMBER(SEARCH("Demographic and Health",B776)),"DHS",IF(OR(ISNUMBER(SEARCH("Multiple Indicator Cluster",B776)),ISNUMBER(SEARCH("MICS",B776))),"MICS",IF(ISNUMBER(SEARCH("Immunization Coverage Survey",B776)),"Coverage survey",IF(ISNUMBER(SEARCH("Nutrition",B776)),"Nutrition survey","Other"))))</f>
        <v>MICS</v>
      </c>
      <c r="D776" s="7" t="n">
        <f aca="false">VALUE(LEFT(Raw_Nigeria!D776,4))</f>
        <v>2021</v>
      </c>
      <c r="E776" s="7" t="n">
        <f aca="false">IF(VALUE(RIGHT(Raw_Nigeria!D776,2))&gt;12,"",VALUE(RIGHT(Raw_Nigeria!D776,2)))</f>
        <v>9</v>
      </c>
      <c r="F776" s="7" t="n">
        <f aca="false">VALUE(LEFT(Raw_Nigeria!E776,4))</f>
        <v>2021</v>
      </c>
      <c r="G776" s="7" t="n">
        <f aca="false">IF(VALUE(RIGHT(Raw_Nigeria!E776,2))&gt;12,"",VALUE(RIGHT(Raw_Nigeria!E776,2)))</f>
        <v>12</v>
      </c>
      <c r="H776" s="7" t="n">
        <f aca="false">Raw_Nigeria!F776</f>
        <v>2019</v>
      </c>
      <c r="I776" s="7" t="str">
        <f aca="false">UPPER(TRIM(Raw_Nigeria!G776))</f>
        <v>PCVC</v>
      </c>
      <c r="J776" s="7" t="str">
        <f aca="false">Raw_Nigeria!H776</f>
        <v>Record</v>
      </c>
      <c r="K776" s="7" t="str">
        <f aca="false">Raw_Nigeria!L776</f>
        <v>24-35 m</v>
      </c>
      <c r="L776" s="7" t="str">
        <f aca="false">IF(Raw_Nigeria!K776="","n/a",Raw_Nigeria!K776)</f>
        <v>0-35 m</v>
      </c>
      <c r="M776" s="7" t="str">
        <f aca="false">IF(Raw_Nigeria!I776="","",Raw_Nigeria!I776)</f>
        <v/>
      </c>
      <c r="N776" s="7" t="n">
        <f aca="false">Raw_Nigeria!M776</f>
        <v>41.3</v>
      </c>
      <c r="O776" s="7" t="n">
        <f aca="false">IF(Raw_Nigeria!N776="","",Raw_Nigeria!N776)</f>
        <v>2877</v>
      </c>
      <c r="P776" s="7" t="str">
        <f aca="false">IF(K776="CBAW","Women of child-bearing age","Children")</f>
        <v>Children</v>
      </c>
      <c r="Q776" s="7" t="n">
        <f aca="false">IF(J776="NOT USED",1,0)</f>
        <v>0</v>
      </c>
      <c r="R776" s="7" t="n">
        <f aca="false">IF(AND(P776="Children",Q776=0),1,0)</f>
        <v>1</v>
      </c>
      <c r="S776" s="7" t="n">
        <f aca="false">IF(AND(R776=1,J776="Record or Recall",K776="12-23 m"),1,0)</f>
        <v>0</v>
      </c>
      <c r="T776" s="7" t="n">
        <f aca="false">IF(OR(I776="BCG",I776="DTP1",I776="DTP3",I776="POL3",I776="MCV1",I776="FULL"),1,0)</f>
        <v>0</v>
      </c>
      <c r="U776" s="7" t="n">
        <f aca="false">IF(OR(C776="DHS",C776="MICS"),1,0)</f>
        <v>1</v>
      </c>
      <c r="V776" s="7" t="n">
        <f aca="false">IF(O776="",1,0)</f>
        <v>0</v>
      </c>
      <c r="W776" s="7" t="n">
        <f aca="false">IF(M776="",1,0)</f>
        <v>1</v>
      </c>
      <c r="X776" s="7" t="n">
        <f aca="false">COUNTIFS($B$2:$B$1141,B776,$H$2:$H$1141,H776,$I$2:$I$1141,I776,$J$2:$J$1141,J776,$K$2:$K$1141,K776,$L$2:$L$1141,L776)</f>
        <v>1</v>
      </c>
    </row>
    <row r="777" customFormat="false" ht="15" hidden="false" customHeight="false" outlineLevel="0" collapsed="false">
      <c r="A777" s="7" t="n">
        <f aca="false">ROW()-1</f>
        <v>776</v>
      </c>
      <c r="B777" s="7" t="str">
        <f aca="false">IF(Raw_Nigeria!B777="",TRIM(Raw_Nigeria!C777),TRIM(Raw_Nigeria!B777))</f>
        <v>Nigeria Multiple Indicator Cluster Survey 2021</v>
      </c>
      <c r="C777" s="7" t="str">
        <f aca="false">IF(ISNUMBER(SEARCH("Demographic and Health",B777)),"DHS",IF(OR(ISNUMBER(SEARCH("Multiple Indicator Cluster",B777)),ISNUMBER(SEARCH("MICS",B777))),"MICS",IF(ISNUMBER(SEARCH("Immunization Coverage Survey",B777)),"Coverage survey",IF(ISNUMBER(SEARCH("Nutrition",B777)),"Nutrition survey","Other"))))</f>
        <v>MICS</v>
      </c>
      <c r="D777" s="7" t="n">
        <f aca="false">VALUE(LEFT(Raw_Nigeria!D777,4))</f>
        <v>2021</v>
      </c>
      <c r="E777" s="7" t="n">
        <f aca="false">IF(VALUE(RIGHT(Raw_Nigeria!D777,2))&gt;12,"",VALUE(RIGHT(Raw_Nigeria!D777,2)))</f>
        <v>9</v>
      </c>
      <c r="F777" s="7" t="n">
        <f aca="false">VALUE(LEFT(Raw_Nigeria!E777,4))</f>
        <v>2021</v>
      </c>
      <c r="G777" s="7" t="n">
        <f aca="false">IF(VALUE(RIGHT(Raw_Nigeria!E777,2))&gt;12,"",VALUE(RIGHT(Raw_Nigeria!E777,2)))</f>
        <v>12</v>
      </c>
      <c r="H777" s="7" t="n">
        <f aca="false">Raw_Nigeria!F777</f>
        <v>2019</v>
      </c>
      <c r="I777" s="7" t="str">
        <f aca="false">UPPER(TRIM(Raw_Nigeria!G777))</f>
        <v>PCVC</v>
      </c>
      <c r="J777" s="7" t="str">
        <f aca="false">Raw_Nigeria!H777</f>
        <v>Record or Recall</v>
      </c>
      <c r="K777" s="7" t="str">
        <f aca="false">Raw_Nigeria!L777</f>
        <v>24-35 m</v>
      </c>
      <c r="L777" s="7" t="str">
        <f aca="false">IF(Raw_Nigeria!K777="","n/a",Raw_Nigeria!K777)</f>
        <v>0-35 m</v>
      </c>
      <c r="M777" s="7" t="str">
        <f aca="false">IF(Raw_Nigeria!I777="","",Raw_Nigeria!I777)</f>
        <v/>
      </c>
      <c r="N777" s="7" t="n">
        <f aca="false">Raw_Nigeria!M777</f>
        <v>54.1</v>
      </c>
      <c r="O777" s="7" t="n">
        <f aca="false">IF(Raw_Nigeria!N777="","",Raw_Nigeria!N777)</f>
        <v>6100</v>
      </c>
      <c r="P777" s="7" t="str">
        <f aca="false">IF(K777="CBAW","Women of child-bearing age","Children")</f>
        <v>Children</v>
      </c>
      <c r="Q777" s="7" t="n">
        <f aca="false">IF(J777="NOT USED",1,0)</f>
        <v>0</v>
      </c>
      <c r="R777" s="7" t="n">
        <f aca="false">IF(AND(P777="Children",Q777=0),1,0)</f>
        <v>1</v>
      </c>
      <c r="S777" s="7" t="n">
        <f aca="false">IF(AND(R777=1,J777="Record or Recall",K777="12-23 m"),1,0)</f>
        <v>0</v>
      </c>
      <c r="T777" s="7" t="n">
        <f aca="false">IF(OR(I777="BCG",I777="DTP1",I777="DTP3",I777="POL3",I777="MCV1",I777="FULL"),1,0)</f>
        <v>0</v>
      </c>
      <c r="U777" s="7" t="n">
        <f aca="false">IF(OR(C777="DHS",C777="MICS"),1,0)</f>
        <v>1</v>
      </c>
      <c r="V777" s="7" t="n">
        <f aca="false">IF(O777="",1,0)</f>
        <v>0</v>
      </c>
      <c r="W777" s="7" t="n">
        <f aca="false">IF(M777="",1,0)</f>
        <v>1</v>
      </c>
      <c r="X777" s="7" t="n">
        <f aca="false">COUNTIFS($B$2:$B$1141,B777,$H$2:$H$1141,H777,$I$2:$I$1141,I777,$J$2:$J$1141,J777,$K$2:$K$1141,K777,$L$2:$L$1141,L777)</f>
        <v>1</v>
      </c>
    </row>
    <row r="778" customFormat="false" ht="15" hidden="false" customHeight="false" outlineLevel="0" collapsed="false">
      <c r="A778" s="7" t="n">
        <f aca="false">ROW()-1</f>
        <v>777</v>
      </c>
      <c r="B778" s="7" t="str">
        <f aca="false">IF(Raw_Nigeria!B778="",TRIM(Raw_Nigeria!C778),TRIM(Raw_Nigeria!B778))</f>
        <v>Nigeria Multiple Indicator Cluster Survey 2021</v>
      </c>
      <c r="C778" s="7" t="str">
        <f aca="false">IF(ISNUMBER(SEARCH("Demographic and Health",B778)),"DHS",IF(OR(ISNUMBER(SEARCH("Multiple Indicator Cluster",B778)),ISNUMBER(SEARCH("MICS",B778))),"MICS",IF(ISNUMBER(SEARCH("Immunization Coverage Survey",B778)),"Coverage survey",IF(ISNUMBER(SEARCH("Nutrition",B778)),"Nutrition survey","Other"))))</f>
        <v>MICS</v>
      </c>
      <c r="D778" s="7" t="n">
        <f aca="false">VALUE(LEFT(Raw_Nigeria!D778,4))</f>
        <v>2021</v>
      </c>
      <c r="E778" s="7" t="n">
        <f aca="false">IF(VALUE(RIGHT(Raw_Nigeria!D778,2))&gt;12,"",VALUE(RIGHT(Raw_Nigeria!D778,2)))</f>
        <v>9</v>
      </c>
      <c r="F778" s="7" t="n">
        <f aca="false">VALUE(LEFT(Raw_Nigeria!E778,4))</f>
        <v>2021</v>
      </c>
      <c r="G778" s="7" t="n">
        <f aca="false">IF(VALUE(RIGHT(Raw_Nigeria!E778,2))&gt;12,"",VALUE(RIGHT(Raw_Nigeria!E778,2)))</f>
        <v>12</v>
      </c>
      <c r="H778" s="7" t="n">
        <f aca="false">Raw_Nigeria!F778</f>
        <v>2019</v>
      </c>
      <c r="I778" s="7" t="str">
        <f aca="false">UPPER(TRIM(Raw_Nigeria!G778))</f>
        <v>PCVC</v>
      </c>
      <c r="J778" s="7" t="str">
        <f aca="false">Raw_Nigeria!H778</f>
        <v>Recall</v>
      </c>
      <c r="K778" s="7" t="str">
        <f aca="false">Raw_Nigeria!L778</f>
        <v>24-35 m</v>
      </c>
      <c r="L778" s="7" t="str">
        <f aca="false">IF(Raw_Nigeria!K778="","n/a",Raw_Nigeria!K778)</f>
        <v>0-35 m</v>
      </c>
      <c r="M778" s="7" t="str">
        <f aca="false">IF(Raw_Nigeria!I778="","",Raw_Nigeria!I778)</f>
        <v/>
      </c>
      <c r="N778" s="7" t="n">
        <f aca="false">Raw_Nigeria!M778</f>
        <v>12.8</v>
      </c>
      <c r="O778" s="7" t="n">
        <f aca="false">IF(Raw_Nigeria!N778="","",Raw_Nigeria!N778)</f>
        <v>3223</v>
      </c>
      <c r="P778" s="7" t="str">
        <f aca="false">IF(K778="CBAW","Women of child-bearing age","Children")</f>
        <v>Children</v>
      </c>
      <c r="Q778" s="7" t="n">
        <f aca="false">IF(J778="NOT USED",1,0)</f>
        <v>0</v>
      </c>
      <c r="R778" s="7" t="n">
        <f aca="false">IF(AND(P778="Children",Q778=0),1,0)</f>
        <v>1</v>
      </c>
      <c r="S778" s="7" t="n">
        <f aca="false">IF(AND(R778=1,J778="Record or Recall",K778="12-23 m"),1,0)</f>
        <v>0</v>
      </c>
      <c r="T778" s="7" t="n">
        <f aca="false">IF(OR(I778="BCG",I778="DTP1",I778="DTP3",I778="POL3",I778="MCV1",I778="FULL"),1,0)</f>
        <v>0</v>
      </c>
      <c r="U778" s="7" t="n">
        <f aca="false">IF(OR(C778="DHS",C778="MICS"),1,0)</f>
        <v>1</v>
      </c>
      <c r="V778" s="7" t="n">
        <f aca="false">IF(O778="",1,0)</f>
        <v>0</v>
      </c>
      <c r="W778" s="7" t="n">
        <f aca="false">IF(M778="",1,0)</f>
        <v>1</v>
      </c>
      <c r="X778" s="7" t="n">
        <f aca="false">COUNTIFS($B$2:$B$1141,B778,$H$2:$H$1141,H778,$I$2:$I$1141,I778,$J$2:$J$1141,J778,$K$2:$K$1141,K778,$L$2:$L$1141,L778)</f>
        <v>1</v>
      </c>
    </row>
    <row r="779" customFormat="false" ht="15" hidden="false" customHeight="false" outlineLevel="0" collapsed="false">
      <c r="A779" s="7" t="n">
        <f aca="false">ROW()-1</f>
        <v>778</v>
      </c>
      <c r="B779" s="7" t="str">
        <f aca="false">IF(Raw_Nigeria!B779="",TRIM(Raw_Nigeria!C779),TRIM(Raw_Nigeria!B779))</f>
        <v>Nigeria Multiple Indicator Cluster Survey 2021</v>
      </c>
      <c r="C779" s="7" t="str">
        <f aca="false">IF(ISNUMBER(SEARCH("Demographic and Health",B779)),"DHS",IF(OR(ISNUMBER(SEARCH("Multiple Indicator Cluster",B779)),ISNUMBER(SEARCH("MICS",B779))),"MICS",IF(ISNUMBER(SEARCH("Immunization Coverage Survey",B779)),"Coverage survey",IF(ISNUMBER(SEARCH("Nutrition",B779)),"Nutrition survey","Other"))))</f>
        <v>MICS</v>
      </c>
      <c r="D779" s="7" t="n">
        <f aca="false">VALUE(LEFT(Raw_Nigeria!D779,4))</f>
        <v>2021</v>
      </c>
      <c r="E779" s="7" t="n">
        <f aca="false">IF(VALUE(RIGHT(Raw_Nigeria!D779,2))&gt;12,"",VALUE(RIGHT(Raw_Nigeria!D779,2)))</f>
        <v>9</v>
      </c>
      <c r="F779" s="7" t="n">
        <f aca="false">VALUE(LEFT(Raw_Nigeria!E779,4))</f>
        <v>2021</v>
      </c>
      <c r="G779" s="7" t="n">
        <f aca="false">IF(VALUE(RIGHT(Raw_Nigeria!E779,2))&gt;12,"",VALUE(RIGHT(Raw_Nigeria!E779,2)))</f>
        <v>12</v>
      </c>
      <c r="H779" s="7" t="n">
        <f aca="false">Raw_Nigeria!F779</f>
        <v>2019</v>
      </c>
      <c r="I779" s="7" t="str">
        <f aca="false">UPPER(TRIM(Raw_Nigeria!G779))</f>
        <v>POL0</v>
      </c>
      <c r="J779" s="7" t="str">
        <f aca="false">Raw_Nigeria!H779</f>
        <v>Record or Recall&lt;12m</v>
      </c>
      <c r="K779" s="7" t="str">
        <f aca="false">Raw_Nigeria!L779</f>
        <v>24-35 m</v>
      </c>
      <c r="L779" s="7" t="str">
        <f aca="false">IF(Raw_Nigeria!K779="","n/a",Raw_Nigeria!K779)</f>
        <v>0-12 m</v>
      </c>
      <c r="M779" s="7" t="str">
        <f aca="false">IF(Raw_Nigeria!I779="","",Raw_Nigeria!I779)</f>
        <v/>
      </c>
      <c r="N779" s="7" t="n">
        <f aca="false">Raw_Nigeria!M779</f>
        <v>68.3</v>
      </c>
      <c r="O779" s="7" t="str">
        <f aca="false">IF(Raw_Nigeria!N779="","",Raw_Nigeria!N779)</f>
        <v/>
      </c>
      <c r="P779" s="7" t="str">
        <f aca="false">IF(K779="CBAW","Women of child-bearing age","Children")</f>
        <v>Children</v>
      </c>
      <c r="Q779" s="7" t="n">
        <f aca="false">IF(J779="NOT USED",1,0)</f>
        <v>0</v>
      </c>
      <c r="R779" s="7" t="n">
        <f aca="false">IF(AND(P779="Children",Q779=0),1,0)</f>
        <v>1</v>
      </c>
      <c r="S779" s="7" t="n">
        <f aca="false">IF(AND(R779=1,J779="Record or Recall",K779="12-23 m"),1,0)</f>
        <v>0</v>
      </c>
      <c r="T779" s="7" t="n">
        <f aca="false">IF(OR(I779="BCG",I779="DTP1",I779="DTP3",I779="POL3",I779="MCV1",I779="FULL"),1,0)</f>
        <v>0</v>
      </c>
      <c r="U779" s="7" t="n">
        <f aca="false">IF(OR(C779="DHS",C779="MICS"),1,0)</f>
        <v>1</v>
      </c>
      <c r="V779" s="7" t="n">
        <f aca="false">IF(O779="",1,0)</f>
        <v>1</v>
      </c>
      <c r="W779" s="7" t="n">
        <f aca="false">IF(M779="",1,0)</f>
        <v>1</v>
      </c>
      <c r="X779" s="7" t="n">
        <f aca="false">COUNTIFS($B$2:$B$1141,B779,$H$2:$H$1141,H779,$I$2:$I$1141,I779,$J$2:$J$1141,J779,$K$2:$K$1141,K779,$L$2:$L$1141,L779)</f>
        <v>1</v>
      </c>
    </row>
    <row r="780" customFormat="false" ht="15" hidden="false" customHeight="false" outlineLevel="0" collapsed="false">
      <c r="A780" s="7" t="n">
        <f aca="false">ROW()-1</f>
        <v>779</v>
      </c>
      <c r="B780" s="7" t="str">
        <f aca="false">IF(Raw_Nigeria!B780="",TRIM(Raw_Nigeria!C780),TRIM(Raw_Nigeria!B780))</f>
        <v>Nigeria Multiple Indicator Cluster Survey 2021</v>
      </c>
      <c r="C780" s="7" t="str">
        <f aca="false">IF(ISNUMBER(SEARCH("Demographic and Health",B780)),"DHS",IF(OR(ISNUMBER(SEARCH("Multiple Indicator Cluster",B780)),ISNUMBER(SEARCH("MICS",B780))),"MICS",IF(ISNUMBER(SEARCH("Immunization Coverage Survey",B780)),"Coverage survey",IF(ISNUMBER(SEARCH("Nutrition",B780)),"Nutrition survey","Other"))))</f>
        <v>MICS</v>
      </c>
      <c r="D780" s="7" t="n">
        <f aca="false">VALUE(LEFT(Raw_Nigeria!D780,4))</f>
        <v>2021</v>
      </c>
      <c r="E780" s="7" t="n">
        <f aca="false">IF(VALUE(RIGHT(Raw_Nigeria!D780,2))&gt;12,"",VALUE(RIGHT(Raw_Nigeria!D780,2)))</f>
        <v>9</v>
      </c>
      <c r="F780" s="7" t="n">
        <f aca="false">VALUE(LEFT(Raw_Nigeria!E780,4))</f>
        <v>2021</v>
      </c>
      <c r="G780" s="7" t="n">
        <f aca="false">IF(VALUE(RIGHT(Raw_Nigeria!E780,2))&gt;12,"",VALUE(RIGHT(Raw_Nigeria!E780,2)))</f>
        <v>12</v>
      </c>
      <c r="H780" s="7" t="n">
        <f aca="false">Raw_Nigeria!F780</f>
        <v>2019</v>
      </c>
      <c r="I780" s="7" t="str">
        <f aca="false">UPPER(TRIM(Raw_Nigeria!G780))</f>
        <v>POL0</v>
      </c>
      <c r="J780" s="7" t="str">
        <f aca="false">Raw_Nigeria!H780</f>
        <v>Record</v>
      </c>
      <c r="K780" s="7" t="str">
        <f aca="false">Raw_Nigeria!L780</f>
        <v>24-35 m</v>
      </c>
      <c r="L780" s="7" t="str">
        <f aca="false">IF(Raw_Nigeria!K780="","n/a",Raw_Nigeria!K780)</f>
        <v>0-35 m</v>
      </c>
      <c r="M780" s="7" t="str">
        <f aca="false">IF(Raw_Nigeria!I780="","",Raw_Nigeria!I780)</f>
        <v/>
      </c>
      <c r="N780" s="7" t="n">
        <f aca="false">Raw_Nigeria!M780</f>
        <v>43.5</v>
      </c>
      <c r="O780" s="7" t="n">
        <f aca="false">IF(Raw_Nigeria!N780="","",Raw_Nigeria!N780)</f>
        <v>2877</v>
      </c>
      <c r="P780" s="7" t="str">
        <f aca="false">IF(K780="CBAW","Women of child-bearing age","Children")</f>
        <v>Children</v>
      </c>
      <c r="Q780" s="7" t="n">
        <f aca="false">IF(J780="NOT USED",1,0)</f>
        <v>0</v>
      </c>
      <c r="R780" s="7" t="n">
        <f aca="false">IF(AND(P780="Children",Q780=0),1,0)</f>
        <v>1</v>
      </c>
      <c r="S780" s="7" t="n">
        <f aca="false">IF(AND(R780=1,J780="Record or Recall",K780="12-23 m"),1,0)</f>
        <v>0</v>
      </c>
      <c r="T780" s="7" t="n">
        <f aca="false">IF(OR(I780="BCG",I780="DTP1",I780="DTP3",I780="POL3",I780="MCV1",I780="FULL"),1,0)</f>
        <v>0</v>
      </c>
      <c r="U780" s="7" t="n">
        <f aca="false">IF(OR(C780="DHS",C780="MICS"),1,0)</f>
        <v>1</v>
      </c>
      <c r="V780" s="7" t="n">
        <f aca="false">IF(O780="",1,0)</f>
        <v>0</v>
      </c>
      <c r="W780" s="7" t="n">
        <f aca="false">IF(M780="",1,0)</f>
        <v>1</v>
      </c>
      <c r="X780" s="7" t="n">
        <f aca="false">COUNTIFS($B$2:$B$1141,B780,$H$2:$H$1141,H780,$I$2:$I$1141,I780,$J$2:$J$1141,J780,$K$2:$K$1141,K780,$L$2:$L$1141,L780)</f>
        <v>1</v>
      </c>
    </row>
    <row r="781" customFormat="false" ht="15" hidden="false" customHeight="false" outlineLevel="0" collapsed="false">
      <c r="A781" s="7" t="n">
        <f aca="false">ROW()-1</f>
        <v>780</v>
      </c>
      <c r="B781" s="7" t="str">
        <f aca="false">IF(Raw_Nigeria!B781="",TRIM(Raw_Nigeria!C781),TRIM(Raw_Nigeria!B781))</f>
        <v>Nigeria Multiple Indicator Cluster Survey 2021</v>
      </c>
      <c r="C781" s="7" t="str">
        <f aca="false">IF(ISNUMBER(SEARCH("Demographic and Health",B781)),"DHS",IF(OR(ISNUMBER(SEARCH("Multiple Indicator Cluster",B781)),ISNUMBER(SEARCH("MICS",B781))),"MICS",IF(ISNUMBER(SEARCH("Immunization Coverage Survey",B781)),"Coverage survey",IF(ISNUMBER(SEARCH("Nutrition",B781)),"Nutrition survey","Other"))))</f>
        <v>MICS</v>
      </c>
      <c r="D781" s="7" t="n">
        <f aca="false">VALUE(LEFT(Raw_Nigeria!D781,4))</f>
        <v>2021</v>
      </c>
      <c r="E781" s="7" t="n">
        <f aca="false">IF(VALUE(RIGHT(Raw_Nigeria!D781,2))&gt;12,"",VALUE(RIGHT(Raw_Nigeria!D781,2)))</f>
        <v>9</v>
      </c>
      <c r="F781" s="7" t="n">
        <f aca="false">VALUE(LEFT(Raw_Nigeria!E781,4))</f>
        <v>2021</v>
      </c>
      <c r="G781" s="7" t="n">
        <f aca="false">IF(VALUE(RIGHT(Raw_Nigeria!E781,2))&gt;12,"",VALUE(RIGHT(Raw_Nigeria!E781,2)))</f>
        <v>12</v>
      </c>
      <c r="H781" s="7" t="n">
        <f aca="false">Raw_Nigeria!F781</f>
        <v>2019</v>
      </c>
      <c r="I781" s="7" t="str">
        <f aca="false">UPPER(TRIM(Raw_Nigeria!G781))</f>
        <v>POL0</v>
      </c>
      <c r="J781" s="7" t="str">
        <f aca="false">Raw_Nigeria!H781</f>
        <v>Record or Recall</v>
      </c>
      <c r="K781" s="7" t="str">
        <f aca="false">Raw_Nigeria!L781</f>
        <v>24-35 m</v>
      </c>
      <c r="L781" s="7" t="str">
        <f aca="false">IF(Raw_Nigeria!K781="","n/a",Raw_Nigeria!K781)</f>
        <v>0-35 m</v>
      </c>
      <c r="M781" s="7" t="str">
        <f aca="false">IF(Raw_Nigeria!I781="","",Raw_Nigeria!I781)</f>
        <v/>
      </c>
      <c r="N781" s="7" t="n">
        <f aca="false">Raw_Nigeria!M781</f>
        <v>70.4</v>
      </c>
      <c r="O781" s="7" t="n">
        <f aca="false">IF(Raw_Nigeria!N781="","",Raw_Nigeria!N781)</f>
        <v>6100</v>
      </c>
      <c r="P781" s="7" t="str">
        <f aca="false">IF(K781="CBAW","Women of child-bearing age","Children")</f>
        <v>Children</v>
      </c>
      <c r="Q781" s="7" t="n">
        <f aca="false">IF(J781="NOT USED",1,0)</f>
        <v>0</v>
      </c>
      <c r="R781" s="7" t="n">
        <f aca="false">IF(AND(P781="Children",Q781=0),1,0)</f>
        <v>1</v>
      </c>
      <c r="S781" s="7" t="n">
        <f aca="false">IF(AND(R781=1,J781="Record or Recall",K781="12-23 m"),1,0)</f>
        <v>0</v>
      </c>
      <c r="T781" s="7" t="n">
        <f aca="false">IF(OR(I781="BCG",I781="DTP1",I781="DTP3",I781="POL3",I781="MCV1",I781="FULL"),1,0)</f>
        <v>0</v>
      </c>
      <c r="U781" s="7" t="n">
        <f aca="false">IF(OR(C781="DHS",C781="MICS"),1,0)</f>
        <v>1</v>
      </c>
      <c r="V781" s="7" t="n">
        <f aca="false">IF(O781="",1,0)</f>
        <v>0</v>
      </c>
      <c r="W781" s="7" t="n">
        <f aca="false">IF(M781="",1,0)</f>
        <v>1</v>
      </c>
      <c r="X781" s="7" t="n">
        <f aca="false">COUNTIFS($B$2:$B$1141,B781,$H$2:$H$1141,H781,$I$2:$I$1141,I781,$J$2:$J$1141,J781,$K$2:$K$1141,K781,$L$2:$L$1141,L781)</f>
        <v>1</v>
      </c>
    </row>
    <row r="782" customFormat="false" ht="15" hidden="false" customHeight="false" outlineLevel="0" collapsed="false">
      <c r="A782" s="7" t="n">
        <f aca="false">ROW()-1</f>
        <v>781</v>
      </c>
      <c r="B782" s="7" t="str">
        <f aca="false">IF(Raw_Nigeria!B782="",TRIM(Raw_Nigeria!C782),TRIM(Raw_Nigeria!B782))</f>
        <v>Nigeria Multiple Indicator Cluster Survey 2021</v>
      </c>
      <c r="C782" s="7" t="str">
        <f aca="false">IF(ISNUMBER(SEARCH("Demographic and Health",B782)),"DHS",IF(OR(ISNUMBER(SEARCH("Multiple Indicator Cluster",B782)),ISNUMBER(SEARCH("MICS",B782))),"MICS",IF(ISNUMBER(SEARCH("Immunization Coverage Survey",B782)),"Coverage survey",IF(ISNUMBER(SEARCH("Nutrition",B782)),"Nutrition survey","Other"))))</f>
        <v>MICS</v>
      </c>
      <c r="D782" s="7" t="n">
        <f aca="false">VALUE(LEFT(Raw_Nigeria!D782,4))</f>
        <v>2021</v>
      </c>
      <c r="E782" s="7" t="n">
        <f aca="false">IF(VALUE(RIGHT(Raw_Nigeria!D782,2))&gt;12,"",VALUE(RIGHT(Raw_Nigeria!D782,2)))</f>
        <v>9</v>
      </c>
      <c r="F782" s="7" t="n">
        <f aca="false">VALUE(LEFT(Raw_Nigeria!E782,4))</f>
        <v>2021</v>
      </c>
      <c r="G782" s="7" t="n">
        <f aca="false">IF(VALUE(RIGHT(Raw_Nigeria!E782,2))&gt;12,"",VALUE(RIGHT(Raw_Nigeria!E782,2)))</f>
        <v>12</v>
      </c>
      <c r="H782" s="7" t="n">
        <f aca="false">Raw_Nigeria!F782</f>
        <v>2019</v>
      </c>
      <c r="I782" s="7" t="str">
        <f aca="false">UPPER(TRIM(Raw_Nigeria!G782))</f>
        <v>POL0</v>
      </c>
      <c r="J782" s="7" t="str">
        <f aca="false">Raw_Nigeria!H782</f>
        <v>Recall</v>
      </c>
      <c r="K782" s="7" t="str">
        <f aca="false">Raw_Nigeria!L782</f>
        <v>24-35 m</v>
      </c>
      <c r="L782" s="7" t="str">
        <f aca="false">IF(Raw_Nigeria!K782="","n/a",Raw_Nigeria!K782)</f>
        <v>0-35 m</v>
      </c>
      <c r="M782" s="7" t="str">
        <f aca="false">IF(Raw_Nigeria!I782="","",Raw_Nigeria!I782)</f>
        <v/>
      </c>
      <c r="N782" s="7" t="n">
        <f aca="false">Raw_Nigeria!M782</f>
        <v>26.8</v>
      </c>
      <c r="O782" s="7" t="n">
        <f aca="false">IF(Raw_Nigeria!N782="","",Raw_Nigeria!N782)</f>
        <v>3223</v>
      </c>
      <c r="P782" s="7" t="str">
        <f aca="false">IF(K782="CBAW","Women of child-bearing age","Children")</f>
        <v>Children</v>
      </c>
      <c r="Q782" s="7" t="n">
        <f aca="false">IF(J782="NOT USED",1,0)</f>
        <v>0</v>
      </c>
      <c r="R782" s="7" t="n">
        <f aca="false">IF(AND(P782="Children",Q782=0),1,0)</f>
        <v>1</v>
      </c>
      <c r="S782" s="7" t="n">
        <f aca="false">IF(AND(R782=1,J782="Record or Recall",K782="12-23 m"),1,0)</f>
        <v>0</v>
      </c>
      <c r="T782" s="7" t="n">
        <f aca="false">IF(OR(I782="BCG",I782="DTP1",I782="DTP3",I782="POL3",I782="MCV1",I782="FULL"),1,0)</f>
        <v>0</v>
      </c>
      <c r="U782" s="7" t="n">
        <f aca="false">IF(OR(C782="DHS",C782="MICS"),1,0)</f>
        <v>1</v>
      </c>
      <c r="V782" s="7" t="n">
        <f aca="false">IF(O782="",1,0)</f>
        <v>0</v>
      </c>
      <c r="W782" s="7" t="n">
        <f aca="false">IF(M782="",1,0)</f>
        <v>1</v>
      </c>
      <c r="X782" s="7" t="n">
        <f aca="false">COUNTIFS($B$2:$B$1141,B782,$H$2:$H$1141,H782,$I$2:$I$1141,I782,$J$2:$J$1141,J782,$K$2:$K$1141,K782,$L$2:$L$1141,L782)</f>
        <v>1</v>
      </c>
    </row>
    <row r="783" customFormat="false" ht="15" hidden="false" customHeight="false" outlineLevel="0" collapsed="false">
      <c r="A783" s="7" t="n">
        <f aca="false">ROW()-1</f>
        <v>782</v>
      </c>
      <c r="B783" s="7" t="str">
        <f aca="false">IF(Raw_Nigeria!B783="",TRIM(Raw_Nigeria!C783),TRIM(Raw_Nigeria!B783))</f>
        <v>Nigeria Multiple Indicator Cluster Survey 2021</v>
      </c>
      <c r="C783" s="7" t="str">
        <f aca="false">IF(ISNUMBER(SEARCH("Demographic and Health",B783)),"DHS",IF(OR(ISNUMBER(SEARCH("Multiple Indicator Cluster",B783)),ISNUMBER(SEARCH("MICS",B783))),"MICS",IF(ISNUMBER(SEARCH("Immunization Coverage Survey",B783)),"Coverage survey",IF(ISNUMBER(SEARCH("Nutrition",B783)),"Nutrition survey","Other"))))</f>
        <v>MICS</v>
      </c>
      <c r="D783" s="7" t="n">
        <f aca="false">VALUE(LEFT(Raw_Nigeria!D783,4))</f>
        <v>2021</v>
      </c>
      <c r="E783" s="7" t="n">
        <f aca="false">IF(VALUE(RIGHT(Raw_Nigeria!D783,2))&gt;12,"",VALUE(RIGHT(Raw_Nigeria!D783,2)))</f>
        <v>9</v>
      </c>
      <c r="F783" s="7" t="n">
        <f aca="false">VALUE(LEFT(Raw_Nigeria!E783,4))</f>
        <v>2021</v>
      </c>
      <c r="G783" s="7" t="n">
        <f aca="false">IF(VALUE(RIGHT(Raw_Nigeria!E783,2))&gt;12,"",VALUE(RIGHT(Raw_Nigeria!E783,2)))</f>
        <v>12</v>
      </c>
      <c r="H783" s="7" t="n">
        <f aca="false">Raw_Nigeria!F783</f>
        <v>2019</v>
      </c>
      <c r="I783" s="7" t="str">
        <f aca="false">UPPER(TRIM(Raw_Nigeria!G783))</f>
        <v>POL1</v>
      </c>
      <c r="J783" s="7" t="str">
        <f aca="false">Raw_Nigeria!H783</f>
        <v>Record or Recall&lt;12m</v>
      </c>
      <c r="K783" s="7" t="str">
        <f aca="false">Raw_Nigeria!L783</f>
        <v>24-35 m</v>
      </c>
      <c r="L783" s="7" t="str">
        <f aca="false">IF(Raw_Nigeria!K783="","n/a",Raw_Nigeria!K783)</f>
        <v>0-12 m</v>
      </c>
      <c r="M783" s="7" t="str">
        <f aca="false">IF(Raw_Nigeria!I783="","",Raw_Nigeria!I783)</f>
        <v/>
      </c>
      <c r="N783" s="7" t="n">
        <f aca="false">Raw_Nigeria!M783</f>
        <v>77.5</v>
      </c>
      <c r="O783" s="7" t="str">
        <f aca="false">IF(Raw_Nigeria!N783="","",Raw_Nigeria!N783)</f>
        <v/>
      </c>
      <c r="P783" s="7" t="str">
        <f aca="false">IF(K783="CBAW","Women of child-bearing age","Children")</f>
        <v>Children</v>
      </c>
      <c r="Q783" s="7" t="n">
        <f aca="false">IF(J783="NOT USED",1,0)</f>
        <v>0</v>
      </c>
      <c r="R783" s="7" t="n">
        <f aca="false">IF(AND(P783="Children",Q783=0),1,0)</f>
        <v>1</v>
      </c>
      <c r="S783" s="7" t="n">
        <f aca="false">IF(AND(R783=1,J783="Record or Recall",K783="12-23 m"),1,0)</f>
        <v>0</v>
      </c>
      <c r="T783" s="7" t="n">
        <f aca="false">IF(OR(I783="BCG",I783="DTP1",I783="DTP3",I783="POL3",I783="MCV1",I783="FULL"),1,0)</f>
        <v>0</v>
      </c>
      <c r="U783" s="7" t="n">
        <f aca="false">IF(OR(C783="DHS",C783="MICS"),1,0)</f>
        <v>1</v>
      </c>
      <c r="V783" s="7" t="n">
        <f aca="false">IF(O783="",1,0)</f>
        <v>1</v>
      </c>
      <c r="W783" s="7" t="n">
        <f aca="false">IF(M783="",1,0)</f>
        <v>1</v>
      </c>
      <c r="X783" s="7" t="n">
        <f aca="false">COUNTIFS($B$2:$B$1141,B783,$H$2:$H$1141,H783,$I$2:$I$1141,I783,$J$2:$J$1141,J783,$K$2:$K$1141,K783,$L$2:$L$1141,L783)</f>
        <v>1</v>
      </c>
    </row>
    <row r="784" customFormat="false" ht="15" hidden="false" customHeight="false" outlineLevel="0" collapsed="false">
      <c r="A784" s="7" t="n">
        <f aca="false">ROW()-1</f>
        <v>783</v>
      </c>
      <c r="B784" s="7" t="str">
        <f aca="false">IF(Raw_Nigeria!B784="",TRIM(Raw_Nigeria!C784),TRIM(Raw_Nigeria!B784))</f>
        <v>Nigeria Multiple Indicator Cluster Survey 2021</v>
      </c>
      <c r="C784" s="7" t="str">
        <f aca="false">IF(ISNUMBER(SEARCH("Demographic and Health",B784)),"DHS",IF(OR(ISNUMBER(SEARCH("Multiple Indicator Cluster",B784)),ISNUMBER(SEARCH("MICS",B784))),"MICS",IF(ISNUMBER(SEARCH("Immunization Coverage Survey",B784)),"Coverage survey",IF(ISNUMBER(SEARCH("Nutrition",B784)),"Nutrition survey","Other"))))</f>
        <v>MICS</v>
      </c>
      <c r="D784" s="7" t="n">
        <f aca="false">VALUE(LEFT(Raw_Nigeria!D784,4))</f>
        <v>2021</v>
      </c>
      <c r="E784" s="7" t="n">
        <f aca="false">IF(VALUE(RIGHT(Raw_Nigeria!D784,2))&gt;12,"",VALUE(RIGHT(Raw_Nigeria!D784,2)))</f>
        <v>9</v>
      </c>
      <c r="F784" s="7" t="n">
        <f aca="false">VALUE(LEFT(Raw_Nigeria!E784,4))</f>
        <v>2021</v>
      </c>
      <c r="G784" s="7" t="n">
        <f aca="false">IF(VALUE(RIGHT(Raw_Nigeria!E784,2))&gt;12,"",VALUE(RIGHT(Raw_Nigeria!E784,2)))</f>
        <v>12</v>
      </c>
      <c r="H784" s="7" t="n">
        <f aca="false">Raw_Nigeria!F784</f>
        <v>2019</v>
      </c>
      <c r="I784" s="7" t="str">
        <f aca="false">UPPER(TRIM(Raw_Nigeria!G784))</f>
        <v>POL1</v>
      </c>
      <c r="J784" s="7" t="str">
        <f aca="false">Raw_Nigeria!H784</f>
        <v>Record</v>
      </c>
      <c r="K784" s="7" t="str">
        <f aca="false">Raw_Nigeria!L784</f>
        <v>24-35 m</v>
      </c>
      <c r="L784" s="7" t="str">
        <f aca="false">IF(Raw_Nigeria!K784="","n/a",Raw_Nigeria!K784)</f>
        <v>0-35 m</v>
      </c>
      <c r="M784" s="7" t="str">
        <f aca="false">IF(Raw_Nigeria!I784="","",Raw_Nigeria!I784)</f>
        <v/>
      </c>
      <c r="N784" s="7" t="n">
        <f aca="false">Raw_Nigeria!M784</f>
        <v>45.4</v>
      </c>
      <c r="O784" s="7" t="n">
        <f aca="false">IF(Raw_Nigeria!N784="","",Raw_Nigeria!N784)</f>
        <v>2877</v>
      </c>
      <c r="P784" s="7" t="str">
        <f aca="false">IF(K784="CBAW","Women of child-bearing age","Children")</f>
        <v>Children</v>
      </c>
      <c r="Q784" s="7" t="n">
        <f aca="false">IF(J784="NOT USED",1,0)</f>
        <v>0</v>
      </c>
      <c r="R784" s="7" t="n">
        <f aca="false">IF(AND(P784="Children",Q784=0),1,0)</f>
        <v>1</v>
      </c>
      <c r="S784" s="7" t="n">
        <f aca="false">IF(AND(R784=1,J784="Record or Recall",K784="12-23 m"),1,0)</f>
        <v>0</v>
      </c>
      <c r="T784" s="7" t="n">
        <f aca="false">IF(OR(I784="BCG",I784="DTP1",I784="DTP3",I784="POL3",I784="MCV1",I784="FULL"),1,0)</f>
        <v>0</v>
      </c>
      <c r="U784" s="7" t="n">
        <f aca="false">IF(OR(C784="DHS",C784="MICS"),1,0)</f>
        <v>1</v>
      </c>
      <c r="V784" s="7" t="n">
        <f aca="false">IF(O784="",1,0)</f>
        <v>0</v>
      </c>
      <c r="W784" s="7" t="n">
        <f aca="false">IF(M784="",1,0)</f>
        <v>1</v>
      </c>
      <c r="X784" s="7" t="n">
        <f aca="false">COUNTIFS($B$2:$B$1141,B784,$H$2:$H$1141,H784,$I$2:$I$1141,I784,$J$2:$J$1141,J784,$K$2:$K$1141,K784,$L$2:$L$1141,L784)</f>
        <v>1</v>
      </c>
    </row>
    <row r="785" customFormat="false" ht="15" hidden="false" customHeight="false" outlineLevel="0" collapsed="false">
      <c r="A785" s="7" t="n">
        <f aca="false">ROW()-1</f>
        <v>784</v>
      </c>
      <c r="B785" s="7" t="str">
        <f aca="false">IF(Raw_Nigeria!B785="",TRIM(Raw_Nigeria!C785),TRIM(Raw_Nigeria!B785))</f>
        <v>Nigeria Multiple Indicator Cluster Survey 2021</v>
      </c>
      <c r="C785" s="7" t="str">
        <f aca="false">IF(ISNUMBER(SEARCH("Demographic and Health",B785)),"DHS",IF(OR(ISNUMBER(SEARCH("Multiple Indicator Cluster",B785)),ISNUMBER(SEARCH("MICS",B785))),"MICS",IF(ISNUMBER(SEARCH("Immunization Coverage Survey",B785)),"Coverage survey",IF(ISNUMBER(SEARCH("Nutrition",B785)),"Nutrition survey","Other"))))</f>
        <v>MICS</v>
      </c>
      <c r="D785" s="7" t="n">
        <f aca="false">VALUE(LEFT(Raw_Nigeria!D785,4))</f>
        <v>2021</v>
      </c>
      <c r="E785" s="7" t="n">
        <f aca="false">IF(VALUE(RIGHT(Raw_Nigeria!D785,2))&gt;12,"",VALUE(RIGHT(Raw_Nigeria!D785,2)))</f>
        <v>9</v>
      </c>
      <c r="F785" s="7" t="n">
        <f aca="false">VALUE(LEFT(Raw_Nigeria!E785,4))</f>
        <v>2021</v>
      </c>
      <c r="G785" s="7" t="n">
        <f aca="false">IF(VALUE(RIGHT(Raw_Nigeria!E785,2))&gt;12,"",VALUE(RIGHT(Raw_Nigeria!E785,2)))</f>
        <v>12</v>
      </c>
      <c r="H785" s="7" t="n">
        <f aca="false">Raw_Nigeria!F785</f>
        <v>2019</v>
      </c>
      <c r="I785" s="7" t="str">
        <f aca="false">UPPER(TRIM(Raw_Nigeria!G785))</f>
        <v>POL1</v>
      </c>
      <c r="J785" s="7" t="str">
        <f aca="false">Raw_Nigeria!H785</f>
        <v>Record or Recall</v>
      </c>
      <c r="K785" s="7" t="str">
        <f aca="false">Raw_Nigeria!L785</f>
        <v>24-35 m</v>
      </c>
      <c r="L785" s="7" t="str">
        <f aca="false">IF(Raw_Nigeria!K785="","n/a",Raw_Nigeria!K785)</f>
        <v>0-35 m</v>
      </c>
      <c r="M785" s="7" t="str">
        <f aca="false">IF(Raw_Nigeria!I785="","",Raw_Nigeria!I785)</f>
        <v/>
      </c>
      <c r="N785" s="7" t="n">
        <f aca="false">Raw_Nigeria!M785</f>
        <v>83.3</v>
      </c>
      <c r="O785" s="7" t="n">
        <f aca="false">IF(Raw_Nigeria!N785="","",Raw_Nigeria!N785)</f>
        <v>6100</v>
      </c>
      <c r="P785" s="7" t="str">
        <f aca="false">IF(K785="CBAW","Women of child-bearing age","Children")</f>
        <v>Children</v>
      </c>
      <c r="Q785" s="7" t="n">
        <f aca="false">IF(J785="NOT USED",1,0)</f>
        <v>0</v>
      </c>
      <c r="R785" s="7" t="n">
        <f aca="false">IF(AND(P785="Children",Q785=0),1,0)</f>
        <v>1</v>
      </c>
      <c r="S785" s="7" t="n">
        <f aca="false">IF(AND(R785=1,J785="Record or Recall",K785="12-23 m"),1,0)</f>
        <v>0</v>
      </c>
      <c r="T785" s="7" t="n">
        <f aca="false">IF(OR(I785="BCG",I785="DTP1",I785="DTP3",I785="POL3",I785="MCV1",I785="FULL"),1,0)</f>
        <v>0</v>
      </c>
      <c r="U785" s="7" t="n">
        <f aca="false">IF(OR(C785="DHS",C785="MICS"),1,0)</f>
        <v>1</v>
      </c>
      <c r="V785" s="7" t="n">
        <f aca="false">IF(O785="",1,0)</f>
        <v>0</v>
      </c>
      <c r="W785" s="7" t="n">
        <f aca="false">IF(M785="",1,0)</f>
        <v>1</v>
      </c>
      <c r="X785" s="7" t="n">
        <f aca="false">COUNTIFS($B$2:$B$1141,B785,$H$2:$H$1141,H785,$I$2:$I$1141,I785,$J$2:$J$1141,J785,$K$2:$K$1141,K785,$L$2:$L$1141,L785)</f>
        <v>1</v>
      </c>
    </row>
    <row r="786" customFormat="false" ht="15" hidden="false" customHeight="false" outlineLevel="0" collapsed="false">
      <c r="A786" s="7" t="n">
        <f aca="false">ROW()-1</f>
        <v>785</v>
      </c>
      <c r="B786" s="7" t="str">
        <f aca="false">IF(Raw_Nigeria!B786="",TRIM(Raw_Nigeria!C786),TRIM(Raw_Nigeria!B786))</f>
        <v>Nigeria Multiple Indicator Cluster Survey 2021</v>
      </c>
      <c r="C786" s="7" t="str">
        <f aca="false">IF(ISNUMBER(SEARCH("Demographic and Health",B786)),"DHS",IF(OR(ISNUMBER(SEARCH("Multiple Indicator Cluster",B786)),ISNUMBER(SEARCH("MICS",B786))),"MICS",IF(ISNUMBER(SEARCH("Immunization Coverage Survey",B786)),"Coverage survey",IF(ISNUMBER(SEARCH("Nutrition",B786)),"Nutrition survey","Other"))))</f>
        <v>MICS</v>
      </c>
      <c r="D786" s="7" t="n">
        <f aca="false">VALUE(LEFT(Raw_Nigeria!D786,4))</f>
        <v>2021</v>
      </c>
      <c r="E786" s="7" t="n">
        <f aca="false">IF(VALUE(RIGHT(Raw_Nigeria!D786,2))&gt;12,"",VALUE(RIGHT(Raw_Nigeria!D786,2)))</f>
        <v>9</v>
      </c>
      <c r="F786" s="7" t="n">
        <f aca="false">VALUE(LEFT(Raw_Nigeria!E786,4))</f>
        <v>2021</v>
      </c>
      <c r="G786" s="7" t="n">
        <f aca="false">IF(VALUE(RIGHT(Raw_Nigeria!E786,2))&gt;12,"",VALUE(RIGHT(Raw_Nigeria!E786,2)))</f>
        <v>12</v>
      </c>
      <c r="H786" s="7" t="n">
        <f aca="false">Raw_Nigeria!F786</f>
        <v>2019</v>
      </c>
      <c r="I786" s="7" t="str">
        <f aca="false">UPPER(TRIM(Raw_Nigeria!G786))</f>
        <v>POL1</v>
      </c>
      <c r="J786" s="7" t="str">
        <f aca="false">Raw_Nigeria!H786</f>
        <v>Recall</v>
      </c>
      <c r="K786" s="7" t="str">
        <f aca="false">Raw_Nigeria!L786</f>
        <v>24-35 m</v>
      </c>
      <c r="L786" s="7" t="str">
        <f aca="false">IF(Raw_Nigeria!K786="","n/a",Raw_Nigeria!K786)</f>
        <v>0-35 m</v>
      </c>
      <c r="M786" s="7" t="str">
        <f aca="false">IF(Raw_Nigeria!I786="","",Raw_Nigeria!I786)</f>
        <v/>
      </c>
      <c r="N786" s="7" t="n">
        <f aca="false">Raw_Nigeria!M786</f>
        <v>37.9</v>
      </c>
      <c r="O786" s="7" t="n">
        <f aca="false">IF(Raw_Nigeria!N786="","",Raw_Nigeria!N786)</f>
        <v>3223</v>
      </c>
      <c r="P786" s="7" t="str">
        <f aca="false">IF(K786="CBAW","Women of child-bearing age","Children")</f>
        <v>Children</v>
      </c>
      <c r="Q786" s="7" t="n">
        <f aca="false">IF(J786="NOT USED",1,0)</f>
        <v>0</v>
      </c>
      <c r="R786" s="7" t="n">
        <f aca="false">IF(AND(P786="Children",Q786=0),1,0)</f>
        <v>1</v>
      </c>
      <c r="S786" s="7" t="n">
        <f aca="false">IF(AND(R786=1,J786="Record or Recall",K786="12-23 m"),1,0)</f>
        <v>0</v>
      </c>
      <c r="T786" s="7" t="n">
        <f aca="false">IF(OR(I786="BCG",I786="DTP1",I786="DTP3",I786="POL3",I786="MCV1",I786="FULL"),1,0)</f>
        <v>0</v>
      </c>
      <c r="U786" s="7" t="n">
        <f aca="false">IF(OR(C786="DHS",C786="MICS"),1,0)</f>
        <v>1</v>
      </c>
      <c r="V786" s="7" t="n">
        <f aca="false">IF(O786="",1,0)</f>
        <v>0</v>
      </c>
      <c r="W786" s="7" t="n">
        <f aca="false">IF(M786="",1,0)</f>
        <v>1</v>
      </c>
      <c r="X786" s="7" t="n">
        <f aca="false">COUNTIFS($B$2:$B$1141,B786,$H$2:$H$1141,H786,$I$2:$I$1141,I786,$J$2:$J$1141,J786,$K$2:$K$1141,K786,$L$2:$L$1141,L786)</f>
        <v>1</v>
      </c>
    </row>
    <row r="787" customFormat="false" ht="15" hidden="false" customHeight="false" outlineLevel="0" collapsed="false">
      <c r="A787" s="7" t="n">
        <f aca="false">ROW()-1</f>
        <v>786</v>
      </c>
      <c r="B787" s="7" t="str">
        <f aca="false">IF(Raw_Nigeria!B787="",TRIM(Raw_Nigeria!C787),TRIM(Raw_Nigeria!B787))</f>
        <v>Nigeria Multiple Indicator Cluster Survey 2021</v>
      </c>
      <c r="C787" s="7" t="str">
        <f aca="false">IF(ISNUMBER(SEARCH("Demographic and Health",B787)),"DHS",IF(OR(ISNUMBER(SEARCH("Multiple Indicator Cluster",B787)),ISNUMBER(SEARCH("MICS",B787))),"MICS",IF(ISNUMBER(SEARCH("Immunization Coverage Survey",B787)),"Coverage survey",IF(ISNUMBER(SEARCH("Nutrition",B787)),"Nutrition survey","Other"))))</f>
        <v>MICS</v>
      </c>
      <c r="D787" s="7" t="n">
        <f aca="false">VALUE(LEFT(Raw_Nigeria!D787,4))</f>
        <v>2021</v>
      </c>
      <c r="E787" s="7" t="n">
        <f aca="false">IF(VALUE(RIGHT(Raw_Nigeria!D787,2))&gt;12,"",VALUE(RIGHT(Raw_Nigeria!D787,2)))</f>
        <v>9</v>
      </c>
      <c r="F787" s="7" t="n">
        <f aca="false">VALUE(LEFT(Raw_Nigeria!E787,4))</f>
        <v>2021</v>
      </c>
      <c r="G787" s="7" t="n">
        <f aca="false">IF(VALUE(RIGHT(Raw_Nigeria!E787,2))&gt;12,"",VALUE(RIGHT(Raw_Nigeria!E787,2)))</f>
        <v>12</v>
      </c>
      <c r="H787" s="7" t="n">
        <f aca="false">Raw_Nigeria!F787</f>
        <v>2019</v>
      </c>
      <c r="I787" s="7" t="str">
        <f aca="false">UPPER(TRIM(Raw_Nigeria!G787))</f>
        <v>POL2</v>
      </c>
      <c r="J787" s="7" t="str">
        <f aca="false">Raw_Nigeria!H787</f>
        <v>Record or Recall&lt;12m</v>
      </c>
      <c r="K787" s="7" t="str">
        <f aca="false">Raw_Nigeria!L787</f>
        <v>24-35 m</v>
      </c>
      <c r="L787" s="7" t="str">
        <f aca="false">IF(Raw_Nigeria!K787="","n/a",Raw_Nigeria!K787)</f>
        <v>0-12 m</v>
      </c>
      <c r="M787" s="7" t="str">
        <f aca="false">IF(Raw_Nigeria!I787="","",Raw_Nigeria!I787)</f>
        <v/>
      </c>
      <c r="N787" s="7" t="n">
        <f aca="false">Raw_Nigeria!M787</f>
        <v>65</v>
      </c>
      <c r="O787" s="7" t="str">
        <f aca="false">IF(Raw_Nigeria!N787="","",Raw_Nigeria!N787)</f>
        <v/>
      </c>
      <c r="P787" s="7" t="str">
        <f aca="false">IF(K787="CBAW","Women of child-bearing age","Children")</f>
        <v>Children</v>
      </c>
      <c r="Q787" s="7" t="n">
        <f aca="false">IF(J787="NOT USED",1,0)</f>
        <v>0</v>
      </c>
      <c r="R787" s="7" t="n">
        <f aca="false">IF(AND(P787="Children",Q787=0),1,0)</f>
        <v>1</v>
      </c>
      <c r="S787" s="7" t="n">
        <f aca="false">IF(AND(R787=1,J787="Record or Recall",K787="12-23 m"),1,0)</f>
        <v>0</v>
      </c>
      <c r="T787" s="7" t="n">
        <f aca="false">IF(OR(I787="BCG",I787="DTP1",I787="DTP3",I787="POL3",I787="MCV1",I787="FULL"),1,0)</f>
        <v>0</v>
      </c>
      <c r="U787" s="7" t="n">
        <f aca="false">IF(OR(C787="DHS",C787="MICS"),1,0)</f>
        <v>1</v>
      </c>
      <c r="V787" s="7" t="n">
        <f aca="false">IF(O787="",1,0)</f>
        <v>1</v>
      </c>
      <c r="W787" s="7" t="n">
        <f aca="false">IF(M787="",1,0)</f>
        <v>1</v>
      </c>
      <c r="X787" s="7" t="n">
        <f aca="false">COUNTIFS($B$2:$B$1141,B787,$H$2:$H$1141,H787,$I$2:$I$1141,I787,$J$2:$J$1141,J787,$K$2:$K$1141,K787,$L$2:$L$1141,L787)</f>
        <v>1</v>
      </c>
    </row>
    <row r="788" customFormat="false" ht="15" hidden="false" customHeight="false" outlineLevel="0" collapsed="false">
      <c r="A788" s="7" t="n">
        <f aca="false">ROW()-1</f>
        <v>787</v>
      </c>
      <c r="B788" s="7" t="str">
        <f aca="false">IF(Raw_Nigeria!B788="",TRIM(Raw_Nigeria!C788),TRIM(Raw_Nigeria!B788))</f>
        <v>Nigeria Multiple Indicator Cluster Survey 2021</v>
      </c>
      <c r="C788" s="7" t="str">
        <f aca="false">IF(ISNUMBER(SEARCH("Demographic and Health",B788)),"DHS",IF(OR(ISNUMBER(SEARCH("Multiple Indicator Cluster",B788)),ISNUMBER(SEARCH("MICS",B788))),"MICS",IF(ISNUMBER(SEARCH("Immunization Coverage Survey",B788)),"Coverage survey",IF(ISNUMBER(SEARCH("Nutrition",B788)),"Nutrition survey","Other"))))</f>
        <v>MICS</v>
      </c>
      <c r="D788" s="7" t="n">
        <f aca="false">VALUE(LEFT(Raw_Nigeria!D788,4))</f>
        <v>2021</v>
      </c>
      <c r="E788" s="7" t="n">
        <f aca="false">IF(VALUE(RIGHT(Raw_Nigeria!D788,2))&gt;12,"",VALUE(RIGHT(Raw_Nigeria!D788,2)))</f>
        <v>9</v>
      </c>
      <c r="F788" s="7" t="n">
        <f aca="false">VALUE(LEFT(Raw_Nigeria!E788,4))</f>
        <v>2021</v>
      </c>
      <c r="G788" s="7" t="n">
        <f aca="false">IF(VALUE(RIGHT(Raw_Nigeria!E788,2))&gt;12,"",VALUE(RIGHT(Raw_Nigeria!E788,2)))</f>
        <v>12</v>
      </c>
      <c r="H788" s="7" t="n">
        <f aca="false">Raw_Nigeria!F788</f>
        <v>2019</v>
      </c>
      <c r="I788" s="7" t="str">
        <f aca="false">UPPER(TRIM(Raw_Nigeria!G788))</f>
        <v>POL2</v>
      </c>
      <c r="J788" s="7" t="str">
        <f aca="false">Raw_Nigeria!H788</f>
        <v>Record</v>
      </c>
      <c r="K788" s="7" t="str">
        <f aca="false">Raw_Nigeria!L788</f>
        <v>24-35 m</v>
      </c>
      <c r="L788" s="7" t="str">
        <f aca="false">IF(Raw_Nigeria!K788="","n/a",Raw_Nigeria!K788)</f>
        <v>0-35 m</v>
      </c>
      <c r="M788" s="7" t="str">
        <f aca="false">IF(Raw_Nigeria!I788="","",Raw_Nigeria!I788)</f>
        <v/>
      </c>
      <c r="N788" s="7" t="n">
        <f aca="false">Raw_Nigeria!M788</f>
        <v>43.6</v>
      </c>
      <c r="O788" s="7" t="n">
        <f aca="false">IF(Raw_Nigeria!N788="","",Raw_Nigeria!N788)</f>
        <v>2877</v>
      </c>
      <c r="P788" s="7" t="str">
        <f aca="false">IF(K788="CBAW","Women of child-bearing age","Children")</f>
        <v>Children</v>
      </c>
      <c r="Q788" s="7" t="n">
        <f aca="false">IF(J788="NOT USED",1,0)</f>
        <v>0</v>
      </c>
      <c r="R788" s="7" t="n">
        <f aca="false">IF(AND(P788="Children",Q788=0),1,0)</f>
        <v>1</v>
      </c>
      <c r="S788" s="7" t="n">
        <f aca="false">IF(AND(R788=1,J788="Record or Recall",K788="12-23 m"),1,0)</f>
        <v>0</v>
      </c>
      <c r="T788" s="7" t="n">
        <f aca="false">IF(OR(I788="BCG",I788="DTP1",I788="DTP3",I788="POL3",I788="MCV1",I788="FULL"),1,0)</f>
        <v>0</v>
      </c>
      <c r="U788" s="7" t="n">
        <f aca="false">IF(OR(C788="DHS",C788="MICS"),1,0)</f>
        <v>1</v>
      </c>
      <c r="V788" s="7" t="n">
        <f aca="false">IF(O788="",1,0)</f>
        <v>0</v>
      </c>
      <c r="W788" s="7" t="n">
        <f aca="false">IF(M788="",1,0)</f>
        <v>1</v>
      </c>
      <c r="X788" s="7" t="n">
        <f aca="false">COUNTIFS($B$2:$B$1141,B788,$H$2:$H$1141,H788,$I$2:$I$1141,I788,$J$2:$J$1141,J788,$K$2:$K$1141,K788,$L$2:$L$1141,L788)</f>
        <v>1</v>
      </c>
    </row>
    <row r="789" customFormat="false" ht="15" hidden="false" customHeight="false" outlineLevel="0" collapsed="false">
      <c r="A789" s="7" t="n">
        <f aca="false">ROW()-1</f>
        <v>788</v>
      </c>
      <c r="B789" s="7" t="str">
        <f aca="false">IF(Raw_Nigeria!B789="",TRIM(Raw_Nigeria!C789),TRIM(Raw_Nigeria!B789))</f>
        <v>Nigeria Multiple Indicator Cluster Survey 2021</v>
      </c>
      <c r="C789" s="7" t="str">
        <f aca="false">IF(ISNUMBER(SEARCH("Demographic and Health",B789)),"DHS",IF(OR(ISNUMBER(SEARCH("Multiple Indicator Cluster",B789)),ISNUMBER(SEARCH("MICS",B789))),"MICS",IF(ISNUMBER(SEARCH("Immunization Coverage Survey",B789)),"Coverage survey",IF(ISNUMBER(SEARCH("Nutrition",B789)),"Nutrition survey","Other"))))</f>
        <v>MICS</v>
      </c>
      <c r="D789" s="7" t="n">
        <f aca="false">VALUE(LEFT(Raw_Nigeria!D789,4))</f>
        <v>2021</v>
      </c>
      <c r="E789" s="7" t="n">
        <f aca="false">IF(VALUE(RIGHT(Raw_Nigeria!D789,2))&gt;12,"",VALUE(RIGHT(Raw_Nigeria!D789,2)))</f>
        <v>9</v>
      </c>
      <c r="F789" s="7" t="n">
        <f aca="false">VALUE(LEFT(Raw_Nigeria!E789,4))</f>
        <v>2021</v>
      </c>
      <c r="G789" s="7" t="n">
        <f aca="false">IF(VALUE(RIGHT(Raw_Nigeria!E789,2))&gt;12,"",VALUE(RIGHT(Raw_Nigeria!E789,2)))</f>
        <v>12</v>
      </c>
      <c r="H789" s="7" t="n">
        <f aca="false">Raw_Nigeria!F789</f>
        <v>2019</v>
      </c>
      <c r="I789" s="7" t="str">
        <f aca="false">UPPER(TRIM(Raw_Nigeria!G789))</f>
        <v>POL2</v>
      </c>
      <c r="J789" s="7" t="str">
        <f aca="false">Raw_Nigeria!H789</f>
        <v>Record or Recall</v>
      </c>
      <c r="K789" s="7" t="str">
        <f aca="false">Raw_Nigeria!L789</f>
        <v>24-35 m</v>
      </c>
      <c r="L789" s="7" t="str">
        <f aca="false">IF(Raw_Nigeria!K789="","n/a",Raw_Nigeria!K789)</f>
        <v>0-35 m</v>
      </c>
      <c r="M789" s="7" t="str">
        <f aca="false">IF(Raw_Nigeria!I789="","",Raw_Nigeria!I789)</f>
        <v/>
      </c>
      <c r="N789" s="7" t="n">
        <f aca="false">Raw_Nigeria!M789</f>
        <v>70.2</v>
      </c>
      <c r="O789" s="7" t="n">
        <f aca="false">IF(Raw_Nigeria!N789="","",Raw_Nigeria!N789)</f>
        <v>6100</v>
      </c>
      <c r="P789" s="7" t="str">
        <f aca="false">IF(K789="CBAW","Women of child-bearing age","Children")</f>
        <v>Children</v>
      </c>
      <c r="Q789" s="7" t="n">
        <f aca="false">IF(J789="NOT USED",1,0)</f>
        <v>0</v>
      </c>
      <c r="R789" s="7" t="n">
        <f aca="false">IF(AND(P789="Children",Q789=0),1,0)</f>
        <v>1</v>
      </c>
      <c r="S789" s="7" t="n">
        <f aca="false">IF(AND(R789=1,J789="Record or Recall",K789="12-23 m"),1,0)</f>
        <v>0</v>
      </c>
      <c r="T789" s="7" t="n">
        <f aca="false">IF(OR(I789="BCG",I789="DTP1",I789="DTP3",I789="POL3",I789="MCV1",I789="FULL"),1,0)</f>
        <v>0</v>
      </c>
      <c r="U789" s="7" t="n">
        <f aca="false">IF(OR(C789="DHS",C789="MICS"),1,0)</f>
        <v>1</v>
      </c>
      <c r="V789" s="7" t="n">
        <f aca="false">IF(O789="",1,0)</f>
        <v>0</v>
      </c>
      <c r="W789" s="7" t="n">
        <f aca="false">IF(M789="",1,0)</f>
        <v>1</v>
      </c>
      <c r="X789" s="7" t="n">
        <f aca="false">COUNTIFS($B$2:$B$1141,B789,$H$2:$H$1141,H789,$I$2:$I$1141,I789,$J$2:$J$1141,J789,$K$2:$K$1141,K789,$L$2:$L$1141,L789)</f>
        <v>1</v>
      </c>
    </row>
    <row r="790" customFormat="false" ht="15" hidden="false" customHeight="false" outlineLevel="0" collapsed="false">
      <c r="A790" s="7" t="n">
        <f aca="false">ROW()-1</f>
        <v>789</v>
      </c>
      <c r="B790" s="7" t="str">
        <f aca="false">IF(Raw_Nigeria!B790="",TRIM(Raw_Nigeria!C790),TRIM(Raw_Nigeria!B790))</f>
        <v>Nigeria Multiple Indicator Cluster Survey 2021</v>
      </c>
      <c r="C790" s="7" t="str">
        <f aca="false">IF(ISNUMBER(SEARCH("Demographic and Health",B790)),"DHS",IF(OR(ISNUMBER(SEARCH("Multiple Indicator Cluster",B790)),ISNUMBER(SEARCH("MICS",B790))),"MICS",IF(ISNUMBER(SEARCH("Immunization Coverage Survey",B790)),"Coverage survey",IF(ISNUMBER(SEARCH("Nutrition",B790)),"Nutrition survey","Other"))))</f>
        <v>MICS</v>
      </c>
      <c r="D790" s="7" t="n">
        <f aca="false">VALUE(LEFT(Raw_Nigeria!D790,4))</f>
        <v>2021</v>
      </c>
      <c r="E790" s="7" t="n">
        <f aca="false">IF(VALUE(RIGHT(Raw_Nigeria!D790,2))&gt;12,"",VALUE(RIGHT(Raw_Nigeria!D790,2)))</f>
        <v>9</v>
      </c>
      <c r="F790" s="7" t="n">
        <f aca="false">VALUE(LEFT(Raw_Nigeria!E790,4))</f>
        <v>2021</v>
      </c>
      <c r="G790" s="7" t="n">
        <f aca="false">IF(VALUE(RIGHT(Raw_Nigeria!E790,2))&gt;12,"",VALUE(RIGHT(Raw_Nigeria!E790,2)))</f>
        <v>12</v>
      </c>
      <c r="H790" s="7" t="n">
        <f aca="false">Raw_Nigeria!F790</f>
        <v>2019</v>
      </c>
      <c r="I790" s="7" t="str">
        <f aca="false">UPPER(TRIM(Raw_Nigeria!G790))</f>
        <v>POL2</v>
      </c>
      <c r="J790" s="7" t="str">
        <f aca="false">Raw_Nigeria!H790</f>
        <v>Recall</v>
      </c>
      <c r="K790" s="7" t="str">
        <f aca="false">Raw_Nigeria!L790</f>
        <v>24-35 m</v>
      </c>
      <c r="L790" s="7" t="str">
        <f aca="false">IF(Raw_Nigeria!K790="","n/a",Raw_Nigeria!K790)</f>
        <v>0-35 m</v>
      </c>
      <c r="M790" s="7" t="str">
        <f aca="false">IF(Raw_Nigeria!I790="","",Raw_Nigeria!I790)</f>
        <v/>
      </c>
      <c r="N790" s="7" t="n">
        <f aca="false">Raw_Nigeria!M790</f>
        <v>26.6</v>
      </c>
      <c r="O790" s="7" t="n">
        <f aca="false">IF(Raw_Nigeria!N790="","",Raw_Nigeria!N790)</f>
        <v>3223</v>
      </c>
      <c r="P790" s="7" t="str">
        <f aca="false">IF(K790="CBAW","Women of child-bearing age","Children")</f>
        <v>Children</v>
      </c>
      <c r="Q790" s="7" t="n">
        <f aca="false">IF(J790="NOT USED",1,0)</f>
        <v>0</v>
      </c>
      <c r="R790" s="7" t="n">
        <f aca="false">IF(AND(P790="Children",Q790=0),1,0)</f>
        <v>1</v>
      </c>
      <c r="S790" s="7" t="n">
        <f aca="false">IF(AND(R790=1,J790="Record or Recall",K790="12-23 m"),1,0)</f>
        <v>0</v>
      </c>
      <c r="T790" s="7" t="n">
        <f aca="false">IF(OR(I790="BCG",I790="DTP1",I790="DTP3",I790="POL3",I790="MCV1",I790="FULL"),1,0)</f>
        <v>0</v>
      </c>
      <c r="U790" s="7" t="n">
        <f aca="false">IF(OR(C790="DHS",C790="MICS"),1,0)</f>
        <v>1</v>
      </c>
      <c r="V790" s="7" t="n">
        <f aca="false">IF(O790="",1,0)</f>
        <v>0</v>
      </c>
      <c r="W790" s="7" t="n">
        <f aca="false">IF(M790="",1,0)</f>
        <v>1</v>
      </c>
      <c r="X790" s="7" t="n">
        <f aca="false">COUNTIFS($B$2:$B$1141,B790,$H$2:$H$1141,H790,$I$2:$I$1141,I790,$J$2:$J$1141,J790,$K$2:$K$1141,K790,$L$2:$L$1141,L790)</f>
        <v>1</v>
      </c>
    </row>
    <row r="791" customFormat="false" ht="15" hidden="false" customHeight="false" outlineLevel="0" collapsed="false">
      <c r="A791" s="7" t="n">
        <f aca="false">ROW()-1</f>
        <v>790</v>
      </c>
      <c r="B791" s="7" t="str">
        <f aca="false">IF(Raw_Nigeria!B791="",TRIM(Raw_Nigeria!C791),TRIM(Raw_Nigeria!B791))</f>
        <v>Nigeria Multiple Indicator Cluster Survey 2021</v>
      </c>
      <c r="C791" s="7" t="str">
        <f aca="false">IF(ISNUMBER(SEARCH("Demographic and Health",B791)),"DHS",IF(OR(ISNUMBER(SEARCH("Multiple Indicator Cluster",B791)),ISNUMBER(SEARCH("MICS",B791))),"MICS",IF(ISNUMBER(SEARCH("Immunization Coverage Survey",B791)),"Coverage survey",IF(ISNUMBER(SEARCH("Nutrition",B791)),"Nutrition survey","Other"))))</f>
        <v>MICS</v>
      </c>
      <c r="D791" s="7" t="n">
        <f aca="false">VALUE(LEFT(Raw_Nigeria!D791,4))</f>
        <v>2021</v>
      </c>
      <c r="E791" s="7" t="n">
        <f aca="false">IF(VALUE(RIGHT(Raw_Nigeria!D791,2))&gt;12,"",VALUE(RIGHT(Raw_Nigeria!D791,2)))</f>
        <v>9</v>
      </c>
      <c r="F791" s="7" t="n">
        <f aca="false">VALUE(LEFT(Raw_Nigeria!E791,4))</f>
        <v>2021</v>
      </c>
      <c r="G791" s="7" t="n">
        <f aca="false">IF(VALUE(RIGHT(Raw_Nigeria!E791,2))&gt;12,"",VALUE(RIGHT(Raw_Nigeria!E791,2)))</f>
        <v>12</v>
      </c>
      <c r="H791" s="7" t="n">
        <f aca="false">Raw_Nigeria!F791</f>
        <v>2019</v>
      </c>
      <c r="I791" s="7" t="str">
        <f aca="false">UPPER(TRIM(Raw_Nigeria!G791))</f>
        <v>POL3</v>
      </c>
      <c r="J791" s="7" t="str">
        <f aca="false">Raw_Nigeria!H791</f>
        <v>Record or Recall&lt;12m</v>
      </c>
      <c r="K791" s="7" t="str">
        <f aca="false">Raw_Nigeria!L791</f>
        <v>24-35 m</v>
      </c>
      <c r="L791" s="7" t="str">
        <f aca="false">IF(Raw_Nigeria!K791="","n/a",Raw_Nigeria!K791)</f>
        <v>0-12 m</v>
      </c>
      <c r="M791" s="7" t="str">
        <f aca="false">IF(Raw_Nigeria!I791="","",Raw_Nigeria!I791)</f>
        <v/>
      </c>
      <c r="N791" s="7" t="n">
        <f aca="false">Raw_Nigeria!M791</f>
        <v>51.1</v>
      </c>
      <c r="O791" s="7" t="str">
        <f aca="false">IF(Raw_Nigeria!N791="","",Raw_Nigeria!N791)</f>
        <v/>
      </c>
      <c r="P791" s="7" t="str">
        <f aca="false">IF(K791="CBAW","Women of child-bearing age","Children")</f>
        <v>Children</v>
      </c>
      <c r="Q791" s="7" t="n">
        <f aca="false">IF(J791="NOT USED",1,0)</f>
        <v>0</v>
      </c>
      <c r="R791" s="7" t="n">
        <f aca="false">IF(AND(P791="Children",Q791=0),1,0)</f>
        <v>1</v>
      </c>
      <c r="S791" s="7" t="n">
        <f aca="false">IF(AND(R791=1,J791="Record or Recall",K791="12-23 m"),1,0)</f>
        <v>0</v>
      </c>
      <c r="T791" s="7" t="n">
        <f aca="false">IF(OR(I791="BCG",I791="DTP1",I791="DTP3",I791="POL3",I791="MCV1",I791="FULL"),1,0)</f>
        <v>1</v>
      </c>
      <c r="U791" s="7" t="n">
        <f aca="false">IF(OR(C791="DHS",C791="MICS"),1,0)</f>
        <v>1</v>
      </c>
      <c r="V791" s="7" t="n">
        <f aca="false">IF(O791="",1,0)</f>
        <v>1</v>
      </c>
      <c r="W791" s="7" t="n">
        <f aca="false">IF(M791="",1,0)</f>
        <v>1</v>
      </c>
      <c r="X791" s="7" t="n">
        <f aca="false">COUNTIFS($B$2:$B$1141,B791,$H$2:$H$1141,H791,$I$2:$I$1141,I791,$J$2:$J$1141,J791,$K$2:$K$1141,K791,$L$2:$L$1141,L791)</f>
        <v>1</v>
      </c>
    </row>
    <row r="792" customFormat="false" ht="15" hidden="false" customHeight="false" outlineLevel="0" collapsed="false">
      <c r="A792" s="7" t="n">
        <f aca="false">ROW()-1</f>
        <v>791</v>
      </c>
      <c r="B792" s="7" t="str">
        <f aca="false">IF(Raw_Nigeria!B792="",TRIM(Raw_Nigeria!C792),TRIM(Raw_Nigeria!B792))</f>
        <v>Nigeria Multiple Indicator Cluster Survey 2021</v>
      </c>
      <c r="C792" s="7" t="str">
        <f aca="false">IF(ISNUMBER(SEARCH("Demographic and Health",B792)),"DHS",IF(OR(ISNUMBER(SEARCH("Multiple Indicator Cluster",B792)),ISNUMBER(SEARCH("MICS",B792))),"MICS",IF(ISNUMBER(SEARCH("Immunization Coverage Survey",B792)),"Coverage survey",IF(ISNUMBER(SEARCH("Nutrition",B792)),"Nutrition survey","Other"))))</f>
        <v>MICS</v>
      </c>
      <c r="D792" s="7" t="n">
        <f aca="false">VALUE(LEFT(Raw_Nigeria!D792,4))</f>
        <v>2021</v>
      </c>
      <c r="E792" s="7" t="n">
        <f aca="false">IF(VALUE(RIGHT(Raw_Nigeria!D792,2))&gt;12,"",VALUE(RIGHT(Raw_Nigeria!D792,2)))</f>
        <v>9</v>
      </c>
      <c r="F792" s="7" t="n">
        <f aca="false">VALUE(LEFT(Raw_Nigeria!E792,4))</f>
        <v>2021</v>
      </c>
      <c r="G792" s="7" t="n">
        <f aca="false">IF(VALUE(RIGHT(Raw_Nigeria!E792,2))&gt;12,"",VALUE(RIGHT(Raw_Nigeria!E792,2)))</f>
        <v>12</v>
      </c>
      <c r="H792" s="7" t="n">
        <f aca="false">Raw_Nigeria!F792</f>
        <v>2019</v>
      </c>
      <c r="I792" s="7" t="str">
        <f aca="false">UPPER(TRIM(Raw_Nigeria!G792))</f>
        <v>POL3</v>
      </c>
      <c r="J792" s="7" t="str">
        <f aca="false">Raw_Nigeria!H792</f>
        <v>Record</v>
      </c>
      <c r="K792" s="7" t="str">
        <f aca="false">Raw_Nigeria!L792</f>
        <v>24-35 m</v>
      </c>
      <c r="L792" s="7" t="str">
        <f aca="false">IF(Raw_Nigeria!K792="","n/a",Raw_Nigeria!K792)</f>
        <v>0-35 m</v>
      </c>
      <c r="M792" s="7" t="str">
        <f aca="false">IF(Raw_Nigeria!I792="","",Raw_Nigeria!I792)</f>
        <v/>
      </c>
      <c r="N792" s="7" t="n">
        <f aca="false">Raw_Nigeria!M792</f>
        <v>41.5</v>
      </c>
      <c r="O792" s="7" t="n">
        <f aca="false">IF(Raw_Nigeria!N792="","",Raw_Nigeria!N792)</f>
        <v>2877</v>
      </c>
      <c r="P792" s="7" t="str">
        <f aca="false">IF(K792="CBAW","Women of child-bearing age","Children")</f>
        <v>Children</v>
      </c>
      <c r="Q792" s="7" t="n">
        <f aca="false">IF(J792="NOT USED",1,0)</f>
        <v>0</v>
      </c>
      <c r="R792" s="7" t="n">
        <f aca="false">IF(AND(P792="Children",Q792=0),1,0)</f>
        <v>1</v>
      </c>
      <c r="S792" s="7" t="n">
        <f aca="false">IF(AND(R792=1,J792="Record or Recall",K792="12-23 m"),1,0)</f>
        <v>0</v>
      </c>
      <c r="T792" s="7" t="n">
        <f aca="false">IF(OR(I792="BCG",I792="DTP1",I792="DTP3",I792="POL3",I792="MCV1",I792="FULL"),1,0)</f>
        <v>1</v>
      </c>
      <c r="U792" s="7" t="n">
        <f aca="false">IF(OR(C792="DHS",C792="MICS"),1,0)</f>
        <v>1</v>
      </c>
      <c r="V792" s="7" t="n">
        <f aca="false">IF(O792="",1,0)</f>
        <v>0</v>
      </c>
      <c r="W792" s="7" t="n">
        <f aca="false">IF(M792="",1,0)</f>
        <v>1</v>
      </c>
      <c r="X792" s="7" t="n">
        <f aca="false">COUNTIFS($B$2:$B$1141,B792,$H$2:$H$1141,H792,$I$2:$I$1141,I792,$J$2:$J$1141,J792,$K$2:$K$1141,K792,$L$2:$L$1141,L792)</f>
        <v>1</v>
      </c>
    </row>
    <row r="793" customFormat="false" ht="15" hidden="false" customHeight="false" outlineLevel="0" collapsed="false">
      <c r="A793" s="7" t="n">
        <f aca="false">ROW()-1</f>
        <v>792</v>
      </c>
      <c r="B793" s="7" t="str">
        <f aca="false">IF(Raw_Nigeria!B793="",TRIM(Raw_Nigeria!C793),TRIM(Raw_Nigeria!B793))</f>
        <v>Nigeria Multiple Indicator Cluster Survey 2021</v>
      </c>
      <c r="C793" s="7" t="str">
        <f aca="false">IF(ISNUMBER(SEARCH("Demographic and Health",B793)),"DHS",IF(OR(ISNUMBER(SEARCH("Multiple Indicator Cluster",B793)),ISNUMBER(SEARCH("MICS",B793))),"MICS",IF(ISNUMBER(SEARCH("Immunization Coverage Survey",B793)),"Coverage survey",IF(ISNUMBER(SEARCH("Nutrition",B793)),"Nutrition survey","Other"))))</f>
        <v>MICS</v>
      </c>
      <c r="D793" s="7" t="n">
        <f aca="false">VALUE(LEFT(Raw_Nigeria!D793,4))</f>
        <v>2021</v>
      </c>
      <c r="E793" s="7" t="n">
        <f aca="false">IF(VALUE(RIGHT(Raw_Nigeria!D793,2))&gt;12,"",VALUE(RIGHT(Raw_Nigeria!D793,2)))</f>
        <v>9</v>
      </c>
      <c r="F793" s="7" t="n">
        <f aca="false">VALUE(LEFT(Raw_Nigeria!E793,4))</f>
        <v>2021</v>
      </c>
      <c r="G793" s="7" t="n">
        <f aca="false">IF(VALUE(RIGHT(Raw_Nigeria!E793,2))&gt;12,"",VALUE(RIGHT(Raw_Nigeria!E793,2)))</f>
        <v>12</v>
      </c>
      <c r="H793" s="7" t="n">
        <f aca="false">Raw_Nigeria!F793</f>
        <v>2019</v>
      </c>
      <c r="I793" s="7" t="str">
        <f aca="false">UPPER(TRIM(Raw_Nigeria!G793))</f>
        <v>POL3</v>
      </c>
      <c r="J793" s="7" t="str">
        <f aca="false">Raw_Nigeria!H793</f>
        <v>Record or Recall</v>
      </c>
      <c r="K793" s="7" t="str">
        <f aca="false">Raw_Nigeria!L793</f>
        <v>24-35 m</v>
      </c>
      <c r="L793" s="7" t="str">
        <f aca="false">IF(Raw_Nigeria!K793="","n/a",Raw_Nigeria!K793)</f>
        <v>0-35 m</v>
      </c>
      <c r="M793" s="7" t="str">
        <f aca="false">IF(Raw_Nigeria!I793="","",Raw_Nigeria!I793)</f>
        <v/>
      </c>
      <c r="N793" s="7" t="n">
        <f aca="false">Raw_Nigeria!M793</f>
        <v>55.1</v>
      </c>
      <c r="O793" s="7" t="n">
        <f aca="false">IF(Raw_Nigeria!N793="","",Raw_Nigeria!N793)</f>
        <v>6100</v>
      </c>
      <c r="P793" s="7" t="str">
        <f aca="false">IF(K793="CBAW","Women of child-bearing age","Children")</f>
        <v>Children</v>
      </c>
      <c r="Q793" s="7" t="n">
        <f aca="false">IF(J793="NOT USED",1,0)</f>
        <v>0</v>
      </c>
      <c r="R793" s="7" t="n">
        <f aca="false">IF(AND(P793="Children",Q793=0),1,0)</f>
        <v>1</v>
      </c>
      <c r="S793" s="7" t="n">
        <f aca="false">IF(AND(R793=1,J793="Record or Recall",K793="12-23 m"),1,0)</f>
        <v>0</v>
      </c>
      <c r="T793" s="7" t="n">
        <f aca="false">IF(OR(I793="BCG",I793="DTP1",I793="DTP3",I793="POL3",I793="MCV1",I793="FULL"),1,0)</f>
        <v>1</v>
      </c>
      <c r="U793" s="7" t="n">
        <f aca="false">IF(OR(C793="DHS",C793="MICS"),1,0)</f>
        <v>1</v>
      </c>
      <c r="V793" s="7" t="n">
        <f aca="false">IF(O793="",1,0)</f>
        <v>0</v>
      </c>
      <c r="W793" s="7" t="n">
        <f aca="false">IF(M793="",1,0)</f>
        <v>1</v>
      </c>
      <c r="X793" s="7" t="n">
        <f aca="false">COUNTIFS($B$2:$B$1141,B793,$H$2:$H$1141,H793,$I$2:$I$1141,I793,$J$2:$J$1141,J793,$K$2:$K$1141,K793,$L$2:$L$1141,L793)</f>
        <v>1</v>
      </c>
    </row>
    <row r="794" customFormat="false" ht="15" hidden="false" customHeight="false" outlineLevel="0" collapsed="false">
      <c r="A794" s="7" t="n">
        <f aca="false">ROW()-1</f>
        <v>793</v>
      </c>
      <c r="B794" s="7" t="str">
        <f aca="false">IF(Raw_Nigeria!B794="",TRIM(Raw_Nigeria!C794),TRIM(Raw_Nigeria!B794))</f>
        <v>Nigeria Multiple Indicator Cluster Survey 2021</v>
      </c>
      <c r="C794" s="7" t="str">
        <f aca="false">IF(ISNUMBER(SEARCH("Demographic and Health",B794)),"DHS",IF(OR(ISNUMBER(SEARCH("Multiple Indicator Cluster",B794)),ISNUMBER(SEARCH("MICS",B794))),"MICS",IF(ISNUMBER(SEARCH("Immunization Coverage Survey",B794)),"Coverage survey",IF(ISNUMBER(SEARCH("Nutrition",B794)),"Nutrition survey","Other"))))</f>
        <v>MICS</v>
      </c>
      <c r="D794" s="7" t="n">
        <f aca="false">VALUE(LEFT(Raw_Nigeria!D794,4))</f>
        <v>2021</v>
      </c>
      <c r="E794" s="7" t="n">
        <f aca="false">IF(VALUE(RIGHT(Raw_Nigeria!D794,2))&gt;12,"",VALUE(RIGHT(Raw_Nigeria!D794,2)))</f>
        <v>9</v>
      </c>
      <c r="F794" s="7" t="n">
        <f aca="false">VALUE(LEFT(Raw_Nigeria!E794,4))</f>
        <v>2021</v>
      </c>
      <c r="G794" s="7" t="n">
        <f aca="false">IF(VALUE(RIGHT(Raw_Nigeria!E794,2))&gt;12,"",VALUE(RIGHT(Raw_Nigeria!E794,2)))</f>
        <v>12</v>
      </c>
      <c r="H794" s="7" t="n">
        <f aca="false">Raw_Nigeria!F794</f>
        <v>2019</v>
      </c>
      <c r="I794" s="7" t="str">
        <f aca="false">UPPER(TRIM(Raw_Nigeria!G794))</f>
        <v>POL3</v>
      </c>
      <c r="J794" s="7" t="str">
        <f aca="false">Raw_Nigeria!H794</f>
        <v>Recall</v>
      </c>
      <c r="K794" s="7" t="str">
        <f aca="false">Raw_Nigeria!L794</f>
        <v>24-35 m</v>
      </c>
      <c r="L794" s="7" t="str">
        <f aca="false">IF(Raw_Nigeria!K794="","n/a",Raw_Nigeria!K794)</f>
        <v>0-35 m</v>
      </c>
      <c r="M794" s="7" t="str">
        <f aca="false">IF(Raw_Nigeria!I794="","",Raw_Nigeria!I794)</f>
        <v/>
      </c>
      <c r="N794" s="7" t="n">
        <f aca="false">Raw_Nigeria!M794</f>
        <v>13.6</v>
      </c>
      <c r="O794" s="7" t="n">
        <f aca="false">IF(Raw_Nigeria!N794="","",Raw_Nigeria!N794)</f>
        <v>3223</v>
      </c>
      <c r="P794" s="7" t="str">
        <f aca="false">IF(K794="CBAW","Women of child-bearing age","Children")</f>
        <v>Children</v>
      </c>
      <c r="Q794" s="7" t="n">
        <f aca="false">IF(J794="NOT USED",1,0)</f>
        <v>0</v>
      </c>
      <c r="R794" s="7" t="n">
        <f aca="false">IF(AND(P794="Children",Q794=0),1,0)</f>
        <v>1</v>
      </c>
      <c r="S794" s="7" t="n">
        <f aca="false">IF(AND(R794=1,J794="Record or Recall",K794="12-23 m"),1,0)</f>
        <v>0</v>
      </c>
      <c r="T794" s="7" t="n">
        <f aca="false">IF(OR(I794="BCG",I794="DTP1",I794="DTP3",I794="POL3",I794="MCV1",I794="FULL"),1,0)</f>
        <v>1</v>
      </c>
      <c r="U794" s="7" t="n">
        <f aca="false">IF(OR(C794="DHS",C794="MICS"),1,0)</f>
        <v>1</v>
      </c>
      <c r="V794" s="7" t="n">
        <f aca="false">IF(O794="",1,0)</f>
        <v>0</v>
      </c>
      <c r="W794" s="7" t="n">
        <f aca="false">IF(M794="",1,0)</f>
        <v>1</v>
      </c>
      <c r="X794" s="7" t="n">
        <f aca="false">COUNTIFS($B$2:$B$1141,B794,$H$2:$H$1141,H794,$I$2:$I$1141,I794,$J$2:$J$1141,J794,$K$2:$K$1141,K794,$L$2:$L$1141,L794)</f>
        <v>1</v>
      </c>
    </row>
    <row r="795" customFormat="false" ht="15" hidden="false" customHeight="false" outlineLevel="0" collapsed="false">
      <c r="A795" s="7" t="n">
        <f aca="false">ROW()-1</f>
        <v>794</v>
      </c>
      <c r="B795" s="7" t="str">
        <f aca="false">IF(Raw_Nigeria!B795="",TRIM(Raw_Nigeria!C795),TRIM(Raw_Nigeria!B795))</f>
        <v>Nigeria Multiple Indicator Cluster Survey 2021</v>
      </c>
      <c r="C795" s="7" t="str">
        <f aca="false">IF(ISNUMBER(SEARCH("Demographic and Health",B795)),"DHS",IF(OR(ISNUMBER(SEARCH("Multiple Indicator Cluster",B795)),ISNUMBER(SEARCH("MICS",B795))),"MICS",IF(ISNUMBER(SEARCH("Immunization Coverage Survey",B795)),"Coverage survey",IF(ISNUMBER(SEARCH("Nutrition",B795)),"Nutrition survey","Other"))))</f>
        <v>MICS</v>
      </c>
      <c r="D795" s="7" t="n">
        <f aca="false">VALUE(LEFT(Raw_Nigeria!D795,4))</f>
        <v>2021</v>
      </c>
      <c r="E795" s="7" t="n">
        <f aca="false">IF(VALUE(RIGHT(Raw_Nigeria!D795,2))&gt;12,"",VALUE(RIGHT(Raw_Nigeria!D795,2)))</f>
        <v>9</v>
      </c>
      <c r="F795" s="7" t="n">
        <f aca="false">VALUE(LEFT(Raw_Nigeria!E795,4))</f>
        <v>2021</v>
      </c>
      <c r="G795" s="7" t="n">
        <f aca="false">IF(VALUE(RIGHT(Raw_Nigeria!E795,2))&gt;12,"",VALUE(RIGHT(Raw_Nigeria!E795,2)))</f>
        <v>12</v>
      </c>
      <c r="H795" s="7" t="n">
        <f aca="false">Raw_Nigeria!F795</f>
        <v>2019</v>
      </c>
      <c r="I795" s="7" t="str">
        <f aca="false">UPPER(TRIM(Raw_Nigeria!G795))</f>
        <v>POL3+IPV1</v>
      </c>
      <c r="J795" s="7" t="str">
        <f aca="false">Raw_Nigeria!H795</f>
        <v>Record or Recall&lt;12m</v>
      </c>
      <c r="K795" s="7" t="str">
        <f aca="false">Raw_Nigeria!L795</f>
        <v>24-35 m</v>
      </c>
      <c r="L795" s="7" t="str">
        <f aca="false">IF(Raw_Nigeria!K795="","n/a",Raw_Nigeria!K795)</f>
        <v>0-12 m</v>
      </c>
      <c r="M795" s="7" t="str">
        <f aca="false">IF(Raw_Nigeria!I795="","",Raw_Nigeria!I795)</f>
        <v/>
      </c>
      <c r="N795" s="7" t="n">
        <f aca="false">Raw_Nigeria!M795</f>
        <v>46.3</v>
      </c>
      <c r="O795" s="7" t="str">
        <f aca="false">IF(Raw_Nigeria!N795="","",Raw_Nigeria!N795)</f>
        <v/>
      </c>
      <c r="P795" s="7" t="str">
        <f aca="false">IF(K795="CBAW","Women of child-bearing age","Children")</f>
        <v>Children</v>
      </c>
      <c r="Q795" s="7" t="n">
        <f aca="false">IF(J795="NOT USED",1,0)</f>
        <v>0</v>
      </c>
      <c r="R795" s="7" t="n">
        <f aca="false">IF(AND(P795="Children",Q795=0),1,0)</f>
        <v>1</v>
      </c>
      <c r="S795" s="7" t="n">
        <f aca="false">IF(AND(R795=1,J795="Record or Recall",K795="12-23 m"),1,0)</f>
        <v>0</v>
      </c>
      <c r="T795" s="7" t="n">
        <f aca="false">IF(OR(I795="BCG",I795="DTP1",I795="DTP3",I795="POL3",I795="MCV1",I795="FULL"),1,0)</f>
        <v>0</v>
      </c>
      <c r="U795" s="7" t="n">
        <f aca="false">IF(OR(C795="DHS",C795="MICS"),1,0)</f>
        <v>1</v>
      </c>
      <c r="V795" s="7" t="n">
        <f aca="false">IF(O795="",1,0)</f>
        <v>1</v>
      </c>
      <c r="W795" s="7" t="n">
        <f aca="false">IF(M795="",1,0)</f>
        <v>1</v>
      </c>
      <c r="X795" s="7" t="n">
        <f aca="false">COUNTIFS($B$2:$B$1141,B795,$H$2:$H$1141,H795,$I$2:$I$1141,I795,$J$2:$J$1141,J795,$K$2:$K$1141,K795,$L$2:$L$1141,L795)</f>
        <v>1</v>
      </c>
    </row>
    <row r="796" customFormat="false" ht="15" hidden="false" customHeight="false" outlineLevel="0" collapsed="false">
      <c r="A796" s="7" t="n">
        <f aca="false">ROW()-1</f>
        <v>795</v>
      </c>
      <c r="B796" s="7" t="str">
        <f aca="false">IF(Raw_Nigeria!B796="",TRIM(Raw_Nigeria!C796),TRIM(Raw_Nigeria!B796))</f>
        <v>Nigeria Multiple Indicator Cluster Survey 2021</v>
      </c>
      <c r="C796" s="7" t="str">
        <f aca="false">IF(ISNUMBER(SEARCH("Demographic and Health",B796)),"DHS",IF(OR(ISNUMBER(SEARCH("Multiple Indicator Cluster",B796)),ISNUMBER(SEARCH("MICS",B796))),"MICS",IF(ISNUMBER(SEARCH("Immunization Coverage Survey",B796)),"Coverage survey",IF(ISNUMBER(SEARCH("Nutrition",B796)),"Nutrition survey","Other"))))</f>
        <v>MICS</v>
      </c>
      <c r="D796" s="7" t="n">
        <f aca="false">VALUE(LEFT(Raw_Nigeria!D796,4))</f>
        <v>2021</v>
      </c>
      <c r="E796" s="7" t="n">
        <f aca="false">IF(VALUE(RIGHT(Raw_Nigeria!D796,2))&gt;12,"",VALUE(RIGHT(Raw_Nigeria!D796,2)))</f>
        <v>9</v>
      </c>
      <c r="F796" s="7" t="n">
        <f aca="false">VALUE(LEFT(Raw_Nigeria!E796,4))</f>
        <v>2021</v>
      </c>
      <c r="G796" s="7" t="n">
        <f aca="false">IF(VALUE(RIGHT(Raw_Nigeria!E796,2))&gt;12,"",VALUE(RIGHT(Raw_Nigeria!E796,2)))</f>
        <v>12</v>
      </c>
      <c r="H796" s="7" t="n">
        <f aca="false">Raw_Nigeria!F796</f>
        <v>2019</v>
      </c>
      <c r="I796" s="7" t="str">
        <f aca="false">UPPER(TRIM(Raw_Nigeria!G796))</f>
        <v>POL3+IPV1</v>
      </c>
      <c r="J796" s="7" t="str">
        <f aca="false">Raw_Nigeria!H796</f>
        <v>Record</v>
      </c>
      <c r="K796" s="7" t="str">
        <f aca="false">Raw_Nigeria!L796</f>
        <v>24-35 m</v>
      </c>
      <c r="L796" s="7" t="str">
        <f aca="false">IF(Raw_Nigeria!K796="","n/a",Raw_Nigeria!K796)</f>
        <v>0-35 m</v>
      </c>
      <c r="M796" s="7" t="str">
        <f aca="false">IF(Raw_Nigeria!I796="","",Raw_Nigeria!I796)</f>
        <v/>
      </c>
      <c r="N796" s="7" t="n">
        <f aca="false">Raw_Nigeria!M796</f>
        <v>39.1</v>
      </c>
      <c r="O796" s="7" t="n">
        <f aca="false">IF(Raw_Nigeria!N796="","",Raw_Nigeria!N796)</f>
        <v>2877</v>
      </c>
      <c r="P796" s="7" t="str">
        <f aca="false">IF(K796="CBAW","Women of child-bearing age","Children")</f>
        <v>Children</v>
      </c>
      <c r="Q796" s="7" t="n">
        <f aca="false">IF(J796="NOT USED",1,0)</f>
        <v>0</v>
      </c>
      <c r="R796" s="7" t="n">
        <f aca="false">IF(AND(P796="Children",Q796=0),1,0)</f>
        <v>1</v>
      </c>
      <c r="S796" s="7" t="n">
        <f aca="false">IF(AND(R796=1,J796="Record or Recall",K796="12-23 m"),1,0)</f>
        <v>0</v>
      </c>
      <c r="T796" s="7" t="n">
        <f aca="false">IF(OR(I796="BCG",I796="DTP1",I796="DTP3",I796="POL3",I796="MCV1",I796="FULL"),1,0)</f>
        <v>0</v>
      </c>
      <c r="U796" s="7" t="n">
        <f aca="false">IF(OR(C796="DHS",C796="MICS"),1,0)</f>
        <v>1</v>
      </c>
      <c r="V796" s="7" t="n">
        <f aca="false">IF(O796="",1,0)</f>
        <v>0</v>
      </c>
      <c r="W796" s="7" t="n">
        <f aca="false">IF(M796="",1,0)</f>
        <v>1</v>
      </c>
      <c r="X796" s="7" t="n">
        <f aca="false">COUNTIFS($B$2:$B$1141,B796,$H$2:$H$1141,H796,$I$2:$I$1141,I796,$J$2:$J$1141,J796,$K$2:$K$1141,K796,$L$2:$L$1141,L796)</f>
        <v>1</v>
      </c>
    </row>
    <row r="797" customFormat="false" ht="15" hidden="false" customHeight="false" outlineLevel="0" collapsed="false">
      <c r="A797" s="7" t="n">
        <f aca="false">ROW()-1</f>
        <v>796</v>
      </c>
      <c r="B797" s="7" t="str">
        <f aca="false">IF(Raw_Nigeria!B797="",TRIM(Raw_Nigeria!C797),TRIM(Raw_Nigeria!B797))</f>
        <v>Nigeria Multiple Indicator Cluster Survey 2021</v>
      </c>
      <c r="C797" s="7" t="str">
        <f aca="false">IF(ISNUMBER(SEARCH("Demographic and Health",B797)),"DHS",IF(OR(ISNUMBER(SEARCH("Multiple Indicator Cluster",B797)),ISNUMBER(SEARCH("MICS",B797))),"MICS",IF(ISNUMBER(SEARCH("Immunization Coverage Survey",B797)),"Coverage survey",IF(ISNUMBER(SEARCH("Nutrition",B797)),"Nutrition survey","Other"))))</f>
        <v>MICS</v>
      </c>
      <c r="D797" s="7" t="n">
        <f aca="false">VALUE(LEFT(Raw_Nigeria!D797,4))</f>
        <v>2021</v>
      </c>
      <c r="E797" s="7" t="n">
        <f aca="false">IF(VALUE(RIGHT(Raw_Nigeria!D797,2))&gt;12,"",VALUE(RIGHT(Raw_Nigeria!D797,2)))</f>
        <v>9</v>
      </c>
      <c r="F797" s="7" t="n">
        <f aca="false">VALUE(LEFT(Raw_Nigeria!E797,4))</f>
        <v>2021</v>
      </c>
      <c r="G797" s="7" t="n">
        <f aca="false">IF(VALUE(RIGHT(Raw_Nigeria!E797,2))&gt;12,"",VALUE(RIGHT(Raw_Nigeria!E797,2)))</f>
        <v>12</v>
      </c>
      <c r="H797" s="7" t="n">
        <f aca="false">Raw_Nigeria!F797</f>
        <v>2019</v>
      </c>
      <c r="I797" s="7" t="str">
        <f aca="false">UPPER(TRIM(Raw_Nigeria!G797))</f>
        <v>POL3+IPV1</v>
      </c>
      <c r="J797" s="7" t="str">
        <f aca="false">Raw_Nigeria!H797</f>
        <v>Record or Recall</v>
      </c>
      <c r="K797" s="7" t="str">
        <f aca="false">Raw_Nigeria!L797</f>
        <v>24-35 m</v>
      </c>
      <c r="L797" s="7" t="str">
        <f aca="false">IF(Raw_Nigeria!K797="","n/a",Raw_Nigeria!K797)</f>
        <v>0-35 m</v>
      </c>
      <c r="M797" s="7" t="str">
        <f aca="false">IF(Raw_Nigeria!I797="","",Raw_Nigeria!I797)</f>
        <v/>
      </c>
      <c r="N797" s="7" t="n">
        <f aca="false">Raw_Nigeria!M797</f>
        <v>46.9</v>
      </c>
      <c r="O797" s="7" t="n">
        <f aca="false">IF(Raw_Nigeria!N797="","",Raw_Nigeria!N797)</f>
        <v>6100</v>
      </c>
      <c r="P797" s="7" t="str">
        <f aca="false">IF(K797="CBAW","Women of child-bearing age","Children")</f>
        <v>Children</v>
      </c>
      <c r="Q797" s="7" t="n">
        <f aca="false">IF(J797="NOT USED",1,0)</f>
        <v>0</v>
      </c>
      <c r="R797" s="7" t="n">
        <f aca="false">IF(AND(P797="Children",Q797=0),1,0)</f>
        <v>1</v>
      </c>
      <c r="S797" s="7" t="n">
        <f aca="false">IF(AND(R797=1,J797="Record or Recall",K797="12-23 m"),1,0)</f>
        <v>0</v>
      </c>
      <c r="T797" s="7" t="n">
        <f aca="false">IF(OR(I797="BCG",I797="DTP1",I797="DTP3",I797="POL3",I797="MCV1",I797="FULL"),1,0)</f>
        <v>0</v>
      </c>
      <c r="U797" s="7" t="n">
        <f aca="false">IF(OR(C797="DHS",C797="MICS"),1,0)</f>
        <v>1</v>
      </c>
      <c r="V797" s="7" t="n">
        <f aca="false">IF(O797="",1,0)</f>
        <v>0</v>
      </c>
      <c r="W797" s="7" t="n">
        <f aca="false">IF(M797="",1,0)</f>
        <v>1</v>
      </c>
      <c r="X797" s="7" t="n">
        <f aca="false">COUNTIFS($B$2:$B$1141,B797,$H$2:$H$1141,H797,$I$2:$I$1141,I797,$J$2:$J$1141,J797,$K$2:$K$1141,K797,$L$2:$L$1141,L797)</f>
        <v>1</v>
      </c>
    </row>
    <row r="798" customFormat="false" ht="15" hidden="false" customHeight="false" outlineLevel="0" collapsed="false">
      <c r="A798" s="7" t="n">
        <f aca="false">ROW()-1</f>
        <v>797</v>
      </c>
      <c r="B798" s="7" t="str">
        <f aca="false">IF(Raw_Nigeria!B798="",TRIM(Raw_Nigeria!C798),TRIM(Raw_Nigeria!B798))</f>
        <v>Nigeria Multiple Indicator Cluster Survey 2021</v>
      </c>
      <c r="C798" s="7" t="str">
        <f aca="false">IF(ISNUMBER(SEARCH("Demographic and Health",B798)),"DHS",IF(OR(ISNUMBER(SEARCH("Multiple Indicator Cluster",B798)),ISNUMBER(SEARCH("MICS",B798))),"MICS",IF(ISNUMBER(SEARCH("Immunization Coverage Survey",B798)),"Coverage survey",IF(ISNUMBER(SEARCH("Nutrition",B798)),"Nutrition survey","Other"))))</f>
        <v>MICS</v>
      </c>
      <c r="D798" s="7" t="n">
        <f aca="false">VALUE(LEFT(Raw_Nigeria!D798,4))</f>
        <v>2021</v>
      </c>
      <c r="E798" s="7" t="n">
        <f aca="false">IF(VALUE(RIGHT(Raw_Nigeria!D798,2))&gt;12,"",VALUE(RIGHT(Raw_Nigeria!D798,2)))</f>
        <v>9</v>
      </c>
      <c r="F798" s="7" t="n">
        <f aca="false">VALUE(LEFT(Raw_Nigeria!E798,4))</f>
        <v>2021</v>
      </c>
      <c r="G798" s="7" t="n">
        <f aca="false">IF(VALUE(RIGHT(Raw_Nigeria!E798,2))&gt;12,"",VALUE(RIGHT(Raw_Nigeria!E798,2)))</f>
        <v>12</v>
      </c>
      <c r="H798" s="7" t="n">
        <f aca="false">Raw_Nigeria!F798</f>
        <v>2019</v>
      </c>
      <c r="I798" s="7" t="str">
        <f aca="false">UPPER(TRIM(Raw_Nigeria!G798))</f>
        <v>POL3+IPV1</v>
      </c>
      <c r="J798" s="7" t="str">
        <f aca="false">Raw_Nigeria!H798</f>
        <v>Recall</v>
      </c>
      <c r="K798" s="7" t="str">
        <f aca="false">Raw_Nigeria!L798</f>
        <v>24-35 m</v>
      </c>
      <c r="L798" s="7" t="str">
        <f aca="false">IF(Raw_Nigeria!K798="","n/a",Raw_Nigeria!K798)</f>
        <v>0-35 m</v>
      </c>
      <c r="M798" s="7" t="str">
        <f aca="false">IF(Raw_Nigeria!I798="","",Raw_Nigeria!I798)</f>
        <v/>
      </c>
      <c r="N798" s="7" t="n">
        <f aca="false">Raw_Nigeria!M798</f>
        <v>7.9</v>
      </c>
      <c r="O798" s="7" t="n">
        <f aca="false">IF(Raw_Nigeria!N798="","",Raw_Nigeria!N798)</f>
        <v>3223</v>
      </c>
      <c r="P798" s="7" t="str">
        <f aca="false">IF(K798="CBAW","Women of child-bearing age","Children")</f>
        <v>Children</v>
      </c>
      <c r="Q798" s="7" t="n">
        <f aca="false">IF(J798="NOT USED",1,0)</f>
        <v>0</v>
      </c>
      <c r="R798" s="7" t="n">
        <f aca="false">IF(AND(P798="Children",Q798=0),1,0)</f>
        <v>1</v>
      </c>
      <c r="S798" s="7" t="n">
        <f aca="false">IF(AND(R798=1,J798="Record or Recall",K798="12-23 m"),1,0)</f>
        <v>0</v>
      </c>
      <c r="T798" s="7" t="n">
        <f aca="false">IF(OR(I798="BCG",I798="DTP1",I798="DTP3",I798="POL3",I798="MCV1",I798="FULL"),1,0)</f>
        <v>0</v>
      </c>
      <c r="U798" s="7" t="n">
        <f aca="false">IF(OR(C798="DHS",C798="MICS"),1,0)</f>
        <v>1</v>
      </c>
      <c r="V798" s="7" t="n">
        <f aca="false">IF(O798="",1,0)</f>
        <v>0</v>
      </c>
      <c r="W798" s="7" t="n">
        <f aca="false">IF(M798="",1,0)</f>
        <v>1</v>
      </c>
      <c r="X798" s="7" t="n">
        <f aca="false">COUNTIFS($B$2:$B$1141,B798,$H$2:$H$1141,H798,$I$2:$I$1141,I798,$J$2:$J$1141,J798,$K$2:$K$1141,K798,$L$2:$L$1141,L798)</f>
        <v>1</v>
      </c>
    </row>
    <row r="799" customFormat="false" ht="15" hidden="false" customHeight="false" outlineLevel="0" collapsed="false">
      <c r="A799" s="7" t="n">
        <f aca="false">ROW()-1</f>
        <v>798</v>
      </c>
      <c r="B799" s="7" t="str">
        <f aca="false">IF(Raw_Nigeria!B799="",TRIM(Raw_Nigeria!C799),TRIM(Raw_Nigeria!B799))</f>
        <v>Nigeria Multiple Indicator Cluster Survey 2021</v>
      </c>
      <c r="C799" s="7" t="str">
        <f aca="false">IF(ISNUMBER(SEARCH("Demographic and Health",B799)),"DHS",IF(OR(ISNUMBER(SEARCH("Multiple Indicator Cluster",B799)),ISNUMBER(SEARCH("MICS",B799))),"MICS",IF(ISNUMBER(SEARCH("Immunization Coverage Survey",B799)),"Coverage survey",IF(ISNUMBER(SEARCH("Nutrition",B799)),"Nutrition survey","Other"))))</f>
        <v>MICS</v>
      </c>
      <c r="D799" s="7" t="n">
        <f aca="false">VALUE(LEFT(Raw_Nigeria!D799,4))</f>
        <v>2021</v>
      </c>
      <c r="E799" s="7" t="n">
        <f aca="false">IF(VALUE(RIGHT(Raw_Nigeria!D799,2))&gt;12,"",VALUE(RIGHT(Raw_Nigeria!D799,2)))</f>
        <v>9</v>
      </c>
      <c r="F799" s="7" t="n">
        <f aca="false">VALUE(LEFT(Raw_Nigeria!E799,4))</f>
        <v>2021</v>
      </c>
      <c r="G799" s="7" t="n">
        <f aca="false">IF(VALUE(RIGHT(Raw_Nigeria!E799,2))&gt;12,"",VALUE(RIGHT(Raw_Nigeria!E799,2)))</f>
        <v>12</v>
      </c>
      <c r="H799" s="7" t="n">
        <f aca="false">Raw_Nigeria!F799</f>
        <v>2019</v>
      </c>
      <c r="I799" s="7" t="str">
        <f aca="false">UPPER(TRIM(Raw_Nigeria!G799))</f>
        <v>YFV</v>
      </c>
      <c r="J799" s="7" t="str">
        <f aca="false">Raw_Nigeria!H799</f>
        <v>Record or Recall&lt;12m</v>
      </c>
      <c r="K799" s="7" t="str">
        <f aca="false">Raw_Nigeria!L799</f>
        <v>24-35 m</v>
      </c>
      <c r="L799" s="7" t="str">
        <f aca="false">IF(Raw_Nigeria!K799="","n/a",Raw_Nigeria!K799)</f>
        <v>0-12 m</v>
      </c>
      <c r="M799" s="7" t="str">
        <f aca="false">IF(Raw_Nigeria!I799="","",Raw_Nigeria!I799)</f>
        <v/>
      </c>
      <c r="N799" s="7" t="n">
        <f aca="false">Raw_Nigeria!M799</f>
        <v>61</v>
      </c>
      <c r="O799" s="7" t="str">
        <f aca="false">IF(Raw_Nigeria!N799="","",Raw_Nigeria!N799)</f>
        <v/>
      </c>
      <c r="P799" s="7" t="str">
        <f aca="false">IF(K799="CBAW","Women of child-bearing age","Children")</f>
        <v>Children</v>
      </c>
      <c r="Q799" s="7" t="n">
        <f aca="false">IF(J799="NOT USED",1,0)</f>
        <v>0</v>
      </c>
      <c r="R799" s="7" t="n">
        <f aca="false">IF(AND(P799="Children",Q799=0),1,0)</f>
        <v>1</v>
      </c>
      <c r="S799" s="7" t="n">
        <f aca="false">IF(AND(R799=1,J799="Record or Recall",K799="12-23 m"),1,0)</f>
        <v>0</v>
      </c>
      <c r="T799" s="7" t="n">
        <f aca="false">IF(OR(I799="BCG",I799="DTP1",I799="DTP3",I799="POL3",I799="MCV1",I799="FULL"),1,0)</f>
        <v>0</v>
      </c>
      <c r="U799" s="7" t="n">
        <f aca="false">IF(OR(C799="DHS",C799="MICS"),1,0)</f>
        <v>1</v>
      </c>
      <c r="V799" s="7" t="n">
        <f aca="false">IF(O799="",1,0)</f>
        <v>1</v>
      </c>
      <c r="W799" s="7" t="n">
        <f aca="false">IF(M799="",1,0)</f>
        <v>1</v>
      </c>
      <c r="X799" s="7" t="n">
        <f aca="false">COUNTIFS($B$2:$B$1141,B799,$H$2:$H$1141,H799,$I$2:$I$1141,I799,$J$2:$J$1141,J799,$K$2:$K$1141,K799,$L$2:$L$1141,L799)</f>
        <v>1</v>
      </c>
    </row>
    <row r="800" customFormat="false" ht="15" hidden="false" customHeight="false" outlineLevel="0" collapsed="false">
      <c r="A800" s="7" t="n">
        <f aca="false">ROW()-1</f>
        <v>799</v>
      </c>
      <c r="B800" s="7" t="str">
        <f aca="false">IF(Raw_Nigeria!B800="",TRIM(Raw_Nigeria!C800),TRIM(Raw_Nigeria!B800))</f>
        <v>Nigeria Multiple Indicator Cluster Survey 2021</v>
      </c>
      <c r="C800" s="7" t="str">
        <f aca="false">IF(ISNUMBER(SEARCH("Demographic and Health",B800)),"DHS",IF(OR(ISNUMBER(SEARCH("Multiple Indicator Cluster",B800)),ISNUMBER(SEARCH("MICS",B800))),"MICS",IF(ISNUMBER(SEARCH("Immunization Coverage Survey",B800)),"Coverage survey",IF(ISNUMBER(SEARCH("Nutrition",B800)),"Nutrition survey","Other"))))</f>
        <v>MICS</v>
      </c>
      <c r="D800" s="7" t="n">
        <f aca="false">VALUE(LEFT(Raw_Nigeria!D800,4))</f>
        <v>2021</v>
      </c>
      <c r="E800" s="7" t="n">
        <f aca="false">IF(VALUE(RIGHT(Raw_Nigeria!D800,2))&gt;12,"",VALUE(RIGHT(Raw_Nigeria!D800,2)))</f>
        <v>9</v>
      </c>
      <c r="F800" s="7" t="n">
        <f aca="false">VALUE(LEFT(Raw_Nigeria!E800,4))</f>
        <v>2021</v>
      </c>
      <c r="G800" s="7" t="n">
        <f aca="false">IF(VALUE(RIGHT(Raw_Nigeria!E800,2))&gt;12,"",VALUE(RIGHT(Raw_Nigeria!E800,2)))</f>
        <v>12</v>
      </c>
      <c r="H800" s="7" t="n">
        <f aca="false">Raw_Nigeria!F800</f>
        <v>2019</v>
      </c>
      <c r="I800" s="7" t="str">
        <f aca="false">UPPER(TRIM(Raw_Nigeria!G800))</f>
        <v>YFV</v>
      </c>
      <c r="J800" s="7" t="str">
        <f aca="false">Raw_Nigeria!H800</f>
        <v>Record</v>
      </c>
      <c r="K800" s="7" t="str">
        <f aca="false">Raw_Nigeria!L800</f>
        <v>24-35 m</v>
      </c>
      <c r="L800" s="7" t="str">
        <f aca="false">IF(Raw_Nigeria!K800="","n/a",Raw_Nigeria!K800)</f>
        <v>0-35 m</v>
      </c>
      <c r="M800" s="7" t="str">
        <f aca="false">IF(Raw_Nigeria!I800="","",Raw_Nigeria!I800)</f>
        <v/>
      </c>
      <c r="N800" s="7" t="n">
        <f aca="false">Raw_Nigeria!M800</f>
        <v>36.9</v>
      </c>
      <c r="O800" s="7" t="n">
        <f aca="false">IF(Raw_Nigeria!N800="","",Raw_Nigeria!N800)</f>
        <v>2877</v>
      </c>
      <c r="P800" s="7" t="str">
        <f aca="false">IF(K800="CBAW","Women of child-bearing age","Children")</f>
        <v>Children</v>
      </c>
      <c r="Q800" s="7" t="n">
        <f aca="false">IF(J800="NOT USED",1,0)</f>
        <v>0</v>
      </c>
      <c r="R800" s="7" t="n">
        <f aca="false">IF(AND(P800="Children",Q800=0),1,0)</f>
        <v>1</v>
      </c>
      <c r="S800" s="7" t="n">
        <f aca="false">IF(AND(R800=1,J800="Record or Recall",K800="12-23 m"),1,0)</f>
        <v>0</v>
      </c>
      <c r="T800" s="7" t="n">
        <f aca="false">IF(OR(I800="BCG",I800="DTP1",I800="DTP3",I800="POL3",I800="MCV1",I800="FULL"),1,0)</f>
        <v>0</v>
      </c>
      <c r="U800" s="7" t="n">
        <f aca="false">IF(OR(C800="DHS",C800="MICS"),1,0)</f>
        <v>1</v>
      </c>
      <c r="V800" s="7" t="n">
        <f aca="false">IF(O800="",1,0)</f>
        <v>0</v>
      </c>
      <c r="W800" s="7" t="n">
        <f aca="false">IF(M800="",1,0)</f>
        <v>1</v>
      </c>
      <c r="X800" s="7" t="n">
        <f aca="false">COUNTIFS($B$2:$B$1141,B800,$H$2:$H$1141,H800,$I$2:$I$1141,I800,$J$2:$J$1141,J800,$K$2:$K$1141,K800,$L$2:$L$1141,L800)</f>
        <v>1</v>
      </c>
    </row>
    <row r="801" customFormat="false" ht="15" hidden="false" customHeight="false" outlineLevel="0" collapsed="false">
      <c r="A801" s="7" t="n">
        <f aca="false">ROW()-1</f>
        <v>800</v>
      </c>
      <c r="B801" s="7" t="str">
        <f aca="false">IF(Raw_Nigeria!B801="",TRIM(Raw_Nigeria!C801),TRIM(Raw_Nigeria!B801))</f>
        <v>Nigeria Multiple Indicator Cluster Survey 2021</v>
      </c>
      <c r="C801" s="7" t="str">
        <f aca="false">IF(ISNUMBER(SEARCH("Demographic and Health",B801)),"DHS",IF(OR(ISNUMBER(SEARCH("Multiple Indicator Cluster",B801)),ISNUMBER(SEARCH("MICS",B801))),"MICS",IF(ISNUMBER(SEARCH("Immunization Coverage Survey",B801)),"Coverage survey",IF(ISNUMBER(SEARCH("Nutrition",B801)),"Nutrition survey","Other"))))</f>
        <v>MICS</v>
      </c>
      <c r="D801" s="7" t="n">
        <f aca="false">VALUE(LEFT(Raw_Nigeria!D801,4))</f>
        <v>2021</v>
      </c>
      <c r="E801" s="7" t="n">
        <f aca="false">IF(VALUE(RIGHT(Raw_Nigeria!D801,2))&gt;12,"",VALUE(RIGHT(Raw_Nigeria!D801,2)))</f>
        <v>9</v>
      </c>
      <c r="F801" s="7" t="n">
        <f aca="false">VALUE(LEFT(Raw_Nigeria!E801,4))</f>
        <v>2021</v>
      </c>
      <c r="G801" s="7" t="n">
        <f aca="false">IF(VALUE(RIGHT(Raw_Nigeria!E801,2))&gt;12,"",VALUE(RIGHT(Raw_Nigeria!E801,2)))</f>
        <v>12</v>
      </c>
      <c r="H801" s="7" t="n">
        <f aca="false">Raw_Nigeria!F801</f>
        <v>2019</v>
      </c>
      <c r="I801" s="7" t="str">
        <f aca="false">UPPER(TRIM(Raw_Nigeria!G801))</f>
        <v>YFV</v>
      </c>
      <c r="J801" s="7" t="str">
        <f aca="false">Raw_Nigeria!H801</f>
        <v>Record or Recall</v>
      </c>
      <c r="K801" s="7" t="str">
        <f aca="false">Raw_Nigeria!L801</f>
        <v>24-35 m</v>
      </c>
      <c r="L801" s="7" t="str">
        <f aca="false">IF(Raw_Nigeria!K801="","n/a",Raw_Nigeria!K801)</f>
        <v>0-35 m</v>
      </c>
      <c r="M801" s="7" t="str">
        <f aca="false">IF(Raw_Nigeria!I801="","",Raw_Nigeria!I801)</f>
        <v/>
      </c>
      <c r="N801" s="7" t="n">
        <f aca="false">Raw_Nigeria!M801</f>
        <v>72.9</v>
      </c>
      <c r="O801" s="7" t="n">
        <f aca="false">IF(Raw_Nigeria!N801="","",Raw_Nigeria!N801)</f>
        <v>6100</v>
      </c>
      <c r="P801" s="7" t="str">
        <f aca="false">IF(K801="CBAW","Women of child-bearing age","Children")</f>
        <v>Children</v>
      </c>
      <c r="Q801" s="7" t="n">
        <f aca="false">IF(J801="NOT USED",1,0)</f>
        <v>0</v>
      </c>
      <c r="R801" s="7" t="n">
        <f aca="false">IF(AND(P801="Children",Q801=0),1,0)</f>
        <v>1</v>
      </c>
      <c r="S801" s="7" t="n">
        <f aca="false">IF(AND(R801=1,J801="Record or Recall",K801="12-23 m"),1,0)</f>
        <v>0</v>
      </c>
      <c r="T801" s="7" t="n">
        <f aca="false">IF(OR(I801="BCG",I801="DTP1",I801="DTP3",I801="POL3",I801="MCV1",I801="FULL"),1,0)</f>
        <v>0</v>
      </c>
      <c r="U801" s="7" t="n">
        <f aca="false">IF(OR(C801="DHS",C801="MICS"),1,0)</f>
        <v>1</v>
      </c>
      <c r="V801" s="7" t="n">
        <f aca="false">IF(O801="",1,0)</f>
        <v>0</v>
      </c>
      <c r="W801" s="7" t="n">
        <f aca="false">IF(M801="",1,0)</f>
        <v>1</v>
      </c>
      <c r="X801" s="7" t="n">
        <f aca="false">COUNTIFS($B$2:$B$1141,B801,$H$2:$H$1141,H801,$I$2:$I$1141,I801,$J$2:$J$1141,J801,$K$2:$K$1141,K801,$L$2:$L$1141,L801)</f>
        <v>1</v>
      </c>
    </row>
    <row r="802" customFormat="false" ht="15" hidden="false" customHeight="false" outlineLevel="0" collapsed="false">
      <c r="A802" s="7" t="n">
        <f aca="false">ROW()-1</f>
        <v>801</v>
      </c>
      <c r="B802" s="7" t="str">
        <f aca="false">IF(Raw_Nigeria!B802="",TRIM(Raw_Nigeria!C802),TRIM(Raw_Nigeria!B802))</f>
        <v>Nigeria Multiple Indicator Cluster Survey 2021</v>
      </c>
      <c r="C802" s="7" t="str">
        <f aca="false">IF(ISNUMBER(SEARCH("Demographic and Health",B802)),"DHS",IF(OR(ISNUMBER(SEARCH("Multiple Indicator Cluster",B802)),ISNUMBER(SEARCH("MICS",B802))),"MICS",IF(ISNUMBER(SEARCH("Immunization Coverage Survey",B802)),"Coverage survey",IF(ISNUMBER(SEARCH("Nutrition",B802)),"Nutrition survey","Other"))))</f>
        <v>MICS</v>
      </c>
      <c r="D802" s="7" t="n">
        <f aca="false">VALUE(LEFT(Raw_Nigeria!D802,4))</f>
        <v>2021</v>
      </c>
      <c r="E802" s="7" t="n">
        <f aca="false">IF(VALUE(RIGHT(Raw_Nigeria!D802,2))&gt;12,"",VALUE(RIGHT(Raw_Nigeria!D802,2)))</f>
        <v>9</v>
      </c>
      <c r="F802" s="7" t="n">
        <f aca="false">VALUE(LEFT(Raw_Nigeria!E802,4))</f>
        <v>2021</v>
      </c>
      <c r="G802" s="7" t="n">
        <f aca="false">IF(VALUE(RIGHT(Raw_Nigeria!E802,2))&gt;12,"",VALUE(RIGHT(Raw_Nigeria!E802,2)))</f>
        <v>12</v>
      </c>
      <c r="H802" s="7" t="n">
        <f aca="false">Raw_Nigeria!F802</f>
        <v>2019</v>
      </c>
      <c r="I802" s="7" t="str">
        <f aca="false">UPPER(TRIM(Raw_Nigeria!G802))</f>
        <v>YFV</v>
      </c>
      <c r="J802" s="7" t="str">
        <f aca="false">Raw_Nigeria!H802</f>
        <v>Recall</v>
      </c>
      <c r="K802" s="7" t="str">
        <f aca="false">Raw_Nigeria!L802</f>
        <v>24-35 m</v>
      </c>
      <c r="L802" s="7" t="str">
        <f aca="false">IF(Raw_Nigeria!K802="","n/a",Raw_Nigeria!K802)</f>
        <v>0-35 m</v>
      </c>
      <c r="M802" s="7" t="str">
        <f aca="false">IF(Raw_Nigeria!I802="","",Raw_Nigeria!I802)</f>
        <v/>
      </c>
      <c r="N802" s="7" t="n">
        <f aca="false">Raw_Nigeria!M802</f>
        <v>36</v>
      </c>
      <c r="O802" s="7" t="n">
        <f aca="false">IF(Raw_Nigeria!N802="","",Raw_Nigeria!N802)</f>
        <v>3223</v>
      </c>
      <c r="P802" s="7" t="str">
        <f aca="false">IF(K802="CBAW","Women of child-bearing age","Children")</f>
        <v>Children</v>
      </c>
      <c r="Q802" s="7" t="n">
        <f aca="false">IF(J802="NOT USED",1,0)</f>
        <v>0</v>
      </c>
      <c r="R802" s="7" t="n">
        <f aca="false">IF(AND(P802="Children",Q802=0),1,0)</f>
        <v>1</v>
      </c>
      <c r="S802" s="7" t="n">
        <f aca="false">IF(AND(R802=1,J802="Record or Recall",K802="12-23 m"),1,0)</f>
        <v>0</v>
      </c>
      <c r="T802" s="7" t="n">
        <f aca="false">IF(OR(I802="BCG",I802="DTP1",I802="DTP3",I802="POL3",I802="MCV1",I802="FULL"),1,0)</f>
        <v>0</v>
      </c>
      <c r="U802" s="7" t="n">
        <f aca="false">IF(OR(C802="DHS",C802="MICS"),1,0)</f>
        <v>1</v>
      </c>
      <c r="V802" s="7" t="n">
        <f aca="false">IF(O802="",1,0)</f>
        <v>0</v>
      </c>
      <c r="W802" s="7" t="n">
        <f aca="false">IF(M802="",1,0)</f>
        <v>1</v>
      </c>
      <c r="X802" s="7" t="n">
        <f aca="false">COUNTIFS($B$2:$B$1141,B802,$H$2:$H$1141,H802,$I$2:$I$1141,I802,$J$2:$J$1141,J802,$K$2:$K$1141,K802,$L$2:$L$1141,L802)</f>
        <v>1</v>
      </c>
    </row>
    <row r="803" customFormat="false" ht="15" hidden="false" customHeight="false" outlineLevel="0" collapsed="false">
      <c r="A803" s="7" t="n">
        <f aca="false">ROW()-1</f>
        <v>802</v>
      </c>
      <c r="B803" s="7" t="str">
        <f aca="false">IF(Raw_Nigeria!B803="",TRIM(Raw_Nigeria!C803),TRIM(Raw_Nigeria!B803))</f>
        <v>Nigeria Multiple Indicator Cluster Survey 2021</v>
      </c>
      <c r="C803" s="7" t="str">
        <f aca="false">IF(ISNUMBER(SEARCH("Demographic and Health",B803)),"DHS",IF(OR(ISNUMBER(SEARCH("Multiple Indicator Cluster",B803)),ISNUMBER(SEARCH("MICS",B803))),"MICS",IF(ISNUMBER(SEARCH("Immunization Coverage Survey",B803)),"Coverage survey",IF(ISNUMBER(SEARCH("Nutrition",B803)),"Nutrition survey","Other"))))</f>
        <v>MICS</v>
      </c>
      <c r="D803" s="7" t="n">
        <f aca="false">VALUE(LEFT(Raw_Nigeria!D803,4))</f>
        <v>2021</v>
      </c>
      <c r="E803" s="7" t="n">
        <f aca="false">IF(VALUE(RIGHT(Raw_Nigeria!D803,2))&gt;12,"",VALUE(RIGHT(Raw_Nigeria!D803,2)))</f>
        <v>9</v>
      </c>
      <c r="F803" s="7" t="n">
        <f aca="false">VALUE(LEFT(Raw_Nigeria!E803,4))</f>
        <v>2021</v>
      </c>
      <c r="G803" s="7" t="n">
        <f aca="false">IF(VALUE(RIGHT(Raw_Nigeria!E803,2))&gt;12,"",VALUE(RIGHT(Raw_Nigeria!E803,2)))</f>
        <v>12</v>
      </c>
      <c r="H803" s="7" t="n">
        <f aca="false">Raw_Nigeria!F803</f>
        <v>2020</v>
      </c>
      <c r="I803" s="7" t="str">
        <f aca="false">UPPER(TRIM(Raw_Nigeria!G803))</f>
        <v>BCG</v>
      </c>
      <c r="J803" s="7" t="str">
        <f aca="false">Raw_Nigeria!H803</f>
        <v>Record or Recall&lt;12m</v>
      </c>
      <c r="K803" s="7" t="str">
        <f aca="false">Raw_Nigeria!L803</f>
        <v>12-23 m</v>
      </c>
      <c r="L803" s="7" t="str">
        <f aca="false">IF(Raw_Nigeria!K803="","n/a",Raw_Nigeria!K803)</f>
        <v>0-12 m</v>
      </c>
      <c r="M803" s="7" t="n">
        <f aca="false">IF(Raw_Nigeria!I803="","",Raw_Nigeria!I803)</f>
        <v>56</v>
      </c>
      <c r="N803" s="7" t="n">
        <f aca="false">Raw_Nigeria!M803</f>
        <v>73.2</v>
      </c>
      <c r="O803" s="7" t="str">
        <f aca="false">IF(Raw_Nigeria!N803="","",Raw_Nigeria!N803)</f>
        <v/>
      </c>
      <c r="P803" s="7" t="str">
        <f aca="false">IF(K803="CBAW","Women of child-bearing age","Children")</f>
        <v>Children</v>
      </c>
      <c r="Q803" s="7" t="n">
        <f aca="false">IF(J803="NOT USED",1,0)</f>
        <v>0</v>
      </c>
      <c r="R803" s="7" t="n">
        <f aca="false">IF(AND(P803="Children",Q803=0),1,0)</f>
        <v>1</v>
      </c>
      <c r="S803" s="7" t="n">
        <f aca="false">IF(AND(R803=1,J803="Record or Recall",K803="12-23 m"),1,0)</f>
        <v>0</v>
      </c>
      <c r="T803" s="7" t="n">
        <f aca="false">IF(OR(I803="BCG",I803="DTP1",I803="DTP3",I803="POL3",I803="MCV1",I803="FULL"),1,0)</f>
        <v>1</v>
      </c>
      <c r="U803" s="7" t="n">
        <f aca="false">IF(OR(C803="DHS",C803="MICS"),1,0)</f>
        <v>1</v>
      </c>
      <c r="V803" s="7" t="n">
        <f aca="false">IF(O803="",1,0)</f>
        <v>1</v>
      </c>
      <c r="W803" s="7" t="n">
        <f aca="false">IF(M803="",1,0)</f>
        <v>0</v>
      </c>
      <c r="X803" s="7" t="n">
        <f aca="false">COUNTIFS($B$2:$B$1141,B803,$H$2:$H$1141,H803,$I$2:$I$1141,I803,$J$2:$J$1141,J803,$K$2:$K$1141,K803,$L$2:$L$1141,L803)</f>
        <v>1</v>
      </c>
    </row>
    <row r="804" customFormat="false" ht="15" hidden="false" customHeight="false" outlineLevel="0" collapsed="false">
      <c r="A804" s="7" t="n">
        <f aca="false">ROW()-1</f>
        <v>803</v>
      </c>
      <c r="B804" s="7" t="str">
        <f aca="false">IF(Raw_Nigeria!B804="",TRIM(Raw_Nigeria!C804),TRIM(Raw_Nigeria!B804))</f>
        <v>Nigeria Multiple Indicator Cluster Survey 2021</v>
      </c>
      <c r="C804" s="7" t="str">
        <f aca="false">IF(ISNUMBER(SEARCH("Demographic and Health",B804)),"DHS",IF(OR(ISNUMBER(SEARCH("Multiple Indicator Cluster",B804)),ISNUMBER(SEARCH("MICS",B804))),"MICS",IF(ISNUMBER(SEARCH("Immunization Coverage Survey",B804)),"Coverage survey",IF(ISNUMBER(SEARCH("Nutrition",B804)),"Nutrition survey","Other"))))</f>
        <v>MICS</v>
      </c>
      <c r="D804" s="7" t="n">
        <f aca="false">VALUE(LEFT(Raw_Nigeria!D804,4))</f>
        <v>2021</v>
      </c>
      <c r="E804" s="7" t="n">
        <f aca="false">IF(VALUE(RIGHT(Raw_Nigeria!D804,2))&gt;12,"",VALUE(RIGHT(Raw_Nigeria!D804,2)))</f>
        <v>9</v>
      </c>
      <c r="F804" s="7" t="n">
        <f aca="false">VALUE(LEFT(Raw_Nigeria!E804,4))</f>
        <v>2021</v>
      </c>
      <c r="G804" s="7" t="n">
        <f aca="false">IF(VALUE(RIGHT(Raw_Nigeria!E804,2))&gt;12,"",VALUE(RIGHT(Raw_Nigeria!E804,2)))</f>
        <v>12</v>
      </c>
      <c r="H804" s="7" t="n">
        <f aca="false">Raw_Nigeria!F804</f>
        <v>2020</v>
      </c>
      <c r="I804" s="7" t="str">
        <f aca="false">UPPER(TRIM(Raw_Nigeria!G804))</f>
        <v>BCG</v>
      </c>
      <c r="J804" s="7" t="str">
        <f aca="false">Raw_Nigeria!H804</f>
        <v>Record</v>
      </c>
      <c r="K804" s="7" t="str">
        <f aca="false">Raw_Nigeria!L804</f>
        <v>12-23 m</v>
      </c>
      <c r="L804" s="7" t="str">
        <f aca="false">IF(Raw_Nigeria!K804="","n/a",Raw_Nigeria!K804)</f>
        <v>0-23 m</v>
      </c>
      <c r="M804" s="7" t="n">
        <f aca="false">IF(Raw_Nigeria!I804="","",Raw_Nigeria!I804)</f>
        <v>56</v>
      </c>
      <c r="N804" s="7" t="n">
        <f aca="false">Raw_Nigeria!M804</f>
        <v>55.1</v>
      </c>
      <c r="O804" s="7" t="n">
        <f aca="false">IF(Raw_Nigeria!N804="","",Raw_Nigeria!N804)</f>
        <v>3163</v>
      </c>
      <c r="P804" s="7" t="str">
        <f aca="false">IF(K804="CBAW","Women of child-bearing age","Children")</f>
        <v>Children</v>
      </c>
      <c r="Q804" s="7" t="n">
        <f aca="false">IF(J804="NOT USED",1,0)</f>
        <v>0</v>
      </c>
      <c r="R804" s="7" t="n">
        <f aca="false">IF(AND(P804="Children",Q804=0),1,0)</f>
        <v>1</v>
      </c>
      <c r="S804" s="7" t="n">
        <f aca="false">IF(AND(R804=1,J804="Record or Recall",K804="12-23 m"),1,0)</f>
        <v>0</v>
      </c>
      <c r="T804" s="7" t="n">
        <f aca="false">IF(OR(I804="BCG",I804="DTP1",I804="DTP3",I804="POL3",I804="MCV1",I804="FULL"),1,0)</f>
        <v>1</v>
      </c>
      <c r="U804" s="7" t="n">
        <f aca="false">IF(OR(C804="DHS",C804="MICS"),1,0)</f>
        <v>1</v>
      </c>
      <c r="V804" s="7" t="n">
        <f aca="false">IF(O804="",1,0)</f>
        <v>0</v>
      </c>
      <c r="W804" s="7" t="n">
        <f aca="false">IF(M804="",1,0)</f>
        <v>0</v>
      </c>
      <c r="X804" s="7" t="n">
        <f aca="false">COUNTIFS($B$2:$B$1141,B804,$H$2:$H$1141,H804,$I$2:$I$1141,I804,$J$2:$J$1141,J804,$K$2:$K$1141,K804,$L$2:$L$1141,L804)</f>
        <v>1</v>
      </c>
    </row>
    <row r="805" customFormat="false" ht="15" hidden="false" customHeight="false" outlineLevel="0" collapsed="false">
      <c r="A805" s="7" t="n">
        <f aca="false">ROW()-1</f>
        <v>804</v>
      </c>
      <c r="B805" s="7" t="str">
        <f aca="false">IF(Raw_Nigeria!B805="",TRIM(Raw_Nigeria!C805),TRIM(Raw_Nigeria!B805))</f>
        <v>Nigeria Multiple Indicator Cluster Survey 2021</v>
      </c>
      <c r="C805" s="7" t="str">
        <f aca="false">IF(ISNUMBER(SEARCH("Demographic and Health",B805)),"DHS",IF(OR(ISNUMBER(SEARCH("Multiple Indicator Cluster",B805)),ISNUMBER(SEARCH("MICS",B805))),"MICS",IF(ISNUMBER(SEARCH("Immunization Coverage Survey",B805)),"Coverage survey",IF(ISNUMBER(SEARCH("Nutrition",B805)),"Nutrition survey","Other"))))</f>
        <v>MICS</v>
      </c>
      <c r="D805" s="7" t="n">
        <f aca="false">VALUE(LEFT(Raw_Nigeria!D805,4))</f>
        <v>2021</v>
      </c>
      <c r="E805" s="7" t="n">
        <f aca="false">IF(VALUE(RIGHT(Raw_Nigeria!D805,2))&gt;12,"",VALUE(RIGHT(Raw_Nigeria!D805,2)))</f>
        <v>9</v>
      </c>
      <c r="F805" s="7" t="n">
        <f aca="false">VALUE(LEFT(Raw_Nigeria!E805,4))</f>
        <v>2021</v>
      </c>
      <c r="G805" s="7" t="n">
        <f aca="false">IF(VALUE(RIGHT(Raw_Nigeria!E805,2))&gt;12,"",VALUE(RIGHT(Raw_Nigeria!E805,2)))</f>
        <v>12</v>
      </c>
      <c r="H805" s="7" t="n">
        <f aca="false">Raw_Nigeria!F805</f>
        <v>2020</v>
      </c>
      <c r="I805" s="7" t="str">
        <f aca="false">UPPER(TRIM(Raw_Nigeria!G805))</f>
        <v>BCG</v>
      </c>
      <c r="J805" s="7" t="str">
        <f aca="false">Raw_Nigeria!H805</f>
        <v>Record or Recall</v>
      </c>
      <c r="K805" s="7" t="str">
        <f aca="false">Raw_Nigeria!L805</f>
        <v>12-23 m</v>
      </c>
      <c r="L805" s="7" t="str">
        <f aca="false">IF(Raw_Nigeria!K805="","n/a",Raw_Nigeria!K805)</f>
        <v>0-23 m</v>
      </c>
      <c r="M805" s="7" t="n">
        <f aca="false">IF(Raw_Nigeria!I805="","",Raw_Nigeria!I805)</f>
        <v>56</v>
      </c>
      <c r="N805" s="7" t="n">
        <f aca="false">Raw_Nigeria!M805</f>
        <v>74.1</v>
      </c>
      <c r="O805" s="7" t="n">
        <f aca="false">IF(Raw_Nigeria!N805="","",Raw_Nigeria!N805)</f>
        <v>5652</v>
      </c>
      <c r="P805" s="7" t="str">
        <f aca="false">IF(K805="CBAW","Women of child-bearing age","Children")</f>
        <v>Children</v>
      </c>
      <c r="Q805" s="7" t="n">
        <f aca="false">IF(J805="NOT USED",1,0)</f>
        <v>0</v>
      </c>
      <c r="R805" s="7" t="n">
        <f aca="false">IF(AND(P805="Children",Q805=0),1,0)</f>
        <v>1</v>
      </c>
      <c r="S805" s="7" t="n">
        <f aca="false">IF(AND(R805=1,J805="Record or Recall",K805="12-23 m"),1,0)</f>
        <v>1</v>
      </c>
      <c r="T805" s="7" t="n">
        <f aca="false">IF(OR(I805="BCG",I805="DTP1",I805="DTP3",I805="POL3",I805="MCV1",I805="FULL"),1,0)</f>
        <v>1</v>
      </c>
      <c r="U805" s="7" t="n">
        <f aca="false">IF(OR(C805="DHS",C805="MICS"),1,0)</f>
        <v>1</v>
      </c>
      <c r="V805" s="7" t="n">
        <f aca="false">IF(O805="",1,0)</f>
        <v>0</v>
      </c>
      <c r="W805" s="7" t="n">
        <f aca="false">IF(M805="",1,0)</f>
        <v>0</v>
      </c>
      <c r="X805" s="7" t="n">
        <f aca="false">COUNTIFS($B$2:$B$1141,B805,$H$2:$H$1141,H805,$I$2:$I$1141,I805,$J$2:$J$1141,J805,$K$2:$K$1141,K805,$L$2:$L$1141,L805)</f>
        <v>1</v>
      </c>
    </row>
    <row r="806" customFormat="false" ht="15" hidden="false" customHeight="false" outlineLevel="0" collapsed="false">
      <c r="A806" s="7" t="n">
        <f aca="false">ROW()-1</f>
        <v>805</v>
      </c>
      <c r="B806" s="7" t="str">
        <f aca="false">IF(Raw_Nigeria!B806="",TRIM(Raw_Nigeria!C806),TRIM(Raw_Nigeria!B806))</f>
        <v>Nigeria Multiple Indicator Cluster Survey 2021</v>
      </c>
      <c r="C806" s="7" t="str">
        <f aca="false">IF(ISNUMBER(SEARCH("Demographic and Health",B806)),"DHS",IF(OR(ISNUMBER(SEARCH("Multiple Indicator Cluster",B806)),ISNUMBER(SEARCH("MICS",B806))),"MICS",IF(ISNUMBER(SEARCH("Immunization Coverage Survey",B806)),"Coverage survey",IF(ISNUMBER(SEARCH("Nutrition",B806)),"Nutrition survey","Other"))))</f>
        <v>MICS</v>
      </c>
      <c r="D806" s="7" t="n">
        <f aca="false">VALUE(LEFT(Raw_Nigeria!D806,4))</f>
        <v>2021</v>
      </c>
      <c r="E806" s="7" t="n">
        <f aca="false">IF(VALUE(RIGHT(Raw_Nigeria!D806,2))&gt;12,"",VALUE(RIGHT(Raw_Nigeria!D806,2)))</f>
        <v>9</v>
      </c>
      <c r="F806" s="7" t="n">
        <f aca="false">VALUE(LEFT(Raw_Nigeria!E806,4))</f>
        <v>2021</v>
      </c>
      <c r="G806" s="7" t="n">
        <f aca="false">IF(VALUE(RIGHT(Raw_Nigeria!E806,2))&gt;12,"",VALUE(RIGHT(Raw_Nigeria!E806,2)))</f>
        <v>12</v>
      </c>
      <c r="H806" s="7" t="n">
        <f aca="false">Raw_Nigeria!F806</f>
        <v>2020</v>
      </c>
      <c r="I806" s="7" t="str">
        <f aca="false">UPPER(TRIM(Raw_Nigeria!G806))</f>
        <v>BCG</v>
      </c>
      <c r="J806" s="7" t="str">
        <f aca="false">Raw_Nigeria!H806</f>
        <v>Recall</v>
      </c>
      <c r="K806" s="7" t="str">
        <f aca="false">Raw_Nigeria!L806</f>
        <v>12-23 m</v>
      </c>
      <c r="L806" s="7" t="str">
        <f aca="false">IF(Raw_Nigeria!K806="","n/a",Raw_Nigeria!K806)</f>
        <v>0-23 m</v>
      </c>
      <c r="M806" s="7" t="n">
        <f aca="false">IF(Raw_Nigeria!I806="","",Raw_Nigeria!I806)</f>
        <v>56</v>
      </c>
      <c r="N806" s="7" t="n">
        <f aca="false">Raw_Nigeria!M806</f>
        <v>18.9</v>
      </c>
      <c r="O806" s="7" t="n">
        <f aca="false">IF(Raw_Nigeria!N806="","",Raw_Nigeria!N806)</f>
        <v>2489</v>
      </c>
      <c r="P806" s="7" t="str">
        <f aca="false">IF(K806="CBAW","Women of child-bearing age","Children")</f>
        <v>Children</v>
      </c>
      <c r="Q806" s="7" t="n">
        <f aca="false">IF(J806="NOT USED",1,0)</f>
        <v>0</v>
      </c>
      <c r="R806" s="7" t="n">
        <f aca="false">IF(AND(P806="Children",Q806=0),1,0)</f>
        <v>1</v>
      </c>
      <c r="S806" s="7" t="n">
        <f aca="false">IF(AND(R806=1,J806="Record or Recall",K806="12-23 m"),1,0)</f>
        <v>0</v>
      </c>
      <c r="T806" s="7" t="n">
        <f aca="false">IF(OR(I806="BCG",I806="DTP1",I806="DTP3",I806="POL3",I806="MCV1",I806="FULL"),1,0)</f>
        <v>1</v>
      </c>
      <c r="U806" s="7" t="n">
        <f aca="false">IF(OR(C806="DHS",C806="MICS"),1,0)</f>
        <v>1</v>
      </c>
      <c r="V806" s="7" t="n">
        <f aca="false">IF(O806="",1,0)</f>
        <v>0</v>
      </c>
      <c r="W806" s="7" t="n">
        <f aca="false">IF(M806="",1,0)</f>
        <v>0</v>
      </c>
      <c r="X806" s="7" t="n">
        <f aca="false">COUNTIFS($B$2:$B$1141,B806,$H$2:$H$1141,H806,$I$2:$I$1141,I806,$J$2:$J$1141,J806,$K$2:$K$1141,K806,$L$2:$L$1141,L806)</f>
        <v>1</v>
      </c>
    </row>
    <row r="807" customFormat="false" ht="15" hidden="false" customHeight="false" outlineLevel="0" collapsed="false">
      <c r="A807" s="7" t="n">
        <f aca="false">ROW()-1</f>
        <v>806</v>
      </c>
      <c r="B807" s="7" t="str">
        <f aca="false">IF(Raw_Nigeria!B807="",TRIM(Raw_Nigeria!C807),TRIM(Raw_Nigeria!B807))</f>
        <v>Nigeria Multiple Indicator Cluster Survey 2021</v>
      </c>
      <c r="C807" s="7" t="str">
        <f aca="false">IF(ISNUMBER(SEARCH("Demographic and Health",B807)),"DHS",IF(OR(ISNUMBER(SEARCH("Multiple Indicator Cluster",B807)),ISNUMBER(SEARCH("MICS",B807))),"MICS",IF(ISNUMBER(SEARCH("Immunization Coverage Survey",B807)),"Coverage survey",IF(ISNUMBER(SEARCH("Nutrition",B807)),"Nutrition survey","Other"))))</f>
        <v>MICS</v>
      </c>
      <c r="D807" s="7" t="n">
        <f aca="false">VALUE(LEFT(Raw_Nigeria!D807,4))</f>
        <v>2021</v>
      </c>
      <c r="E807" s="7" t="n">
        <f aca="false">IF(VALUE(RIGHT(Raw_Nigeria!D807,2))&gt;12,"",VALUE(RIGHT(Raw_Nigeria!D807,2)))</f>
        <v>9</v>
      </c>
      <c r="F807" s="7" t="n">
        <f aca="false">VALUE(LEFT(Raw_Nigeria!E807,4))</f>
        <v>2021</v>
      </c>
      <c r="G807" s="7" t="n">
        <f aca="false">IF(VALUE(RIGHT(Raw_Nigeria!E807,2))&gt;12,"",VALUE(RIGHT(Raw_Nigeria!E807,2)))</f>
        <v>12</v>
      </c>
      <c r="H807" s="7" t="n">
        <f aca="false">Raw_Nigeria!F807</f>
        <v>2020</v>
      </c>
      <c r="I807" s="7" t="str">
        <f aca="false">UPPER(TRIM(Raw_Nigeria!G807))</f>
        <v>DTP1</v>
      </c>
      <c r="J807" s="7" t="str">
        <f aca="false">Raw_Nigeria!H807</f>
        <v>Record or Recall&lt;12m</v>
      </c>
      <c r="K807" s="7" t="str">
        <f aca="false">Raw_Nigeria!L807</f>
        <v>12-23 m</v>
      </c>
      <c r="L807" s="7" t="str">
        <f aca="false">IF(Raw_Nigeria!K807="","n/a",Raw_Nigeria!K807)</f>
        <v>0-12 m</v>
      </c>
      <c r="M807" s="7" t="n">
        <f aca="false">IF(Raw_Nigeria!I807="","",Raw_Nigeria!I807)</f>
        <v>56</v>
      </c>
      <c r="N807" s="7" t="n">
        <f aca="false">Raw_Nigeria!M807</f>
        <v>68</v>
      </c>
      <c r="O807" s="7" t="str">
        <f aca="false">IF(Raw_Nigeria!N807="","",Raw_Nigeria!N807)</f>
        <v/>
      </c>
      <c r="P807" s="7" t="str">
        <f aca="false">IF(K807="CBAW","Women of child-bearing age","Children")</f>
        <v>Children</v>
      </c>
      <c r="Q807" s="7" t="n">
        <f aca="false">IF(J807="NOT USED",1,0)</f>
        <v>0</v>
      </c>
      <c r="R807" s="7" t="n">
        <f aca="false">IF(AND(P807="Children",Q807=0),1,0)</f>
        <v>1</v>
      </c>
      <c r="S807" s="7" t="n">
        <f aca="false">IF(AND(R807=1,J807="Record or Recall",K807="12-23 m"),1,0)</f>
        <v>0</v>
      </c>
      <c r="T807" s="7" t="n">
        <f aca="false">IF(OR(I807="BCG",I807="DTP1",I807="DTP3",I807="POL3",I807="MCV1",I807="FULL"),1,0)</f>
        <v>1</v>
      </c>
      <c r="U807" s="7" t="n">
        <f aca="false">IF(OR(C807="DHS",C807="MICS"),1,0)</f>
        <v>1</v>
      </c>
      <c r="V807" s="7" t="n">
        <f aca="false">IF(O807="",1,0)</f>
        <v>1</v>
      </c>
      <c r="W807" s="7" t="n">
        <f aca="false">IF(M807="",1,0)</f>
        <v>0</v>
      </c>
      <c r="X807" s="7" t="n">
        <f aca="false">COUNTIFS($B$2:$B$1141,B807,$H$2:$H$1141,H807,$I$2:$I$1141,I807,$J$2:$J$1141,J807,$K$2:$K$1141,K807,$L$2:$L$1141,L807)</f>
        <v>1</v>
      </c>
    </row>
    <row r="808" customFormat="false" ht="15" hidden="false" customHeight="false" outlineLevel="0" collapsed="false">
      <c r="A808" s="7" t="n">
        <f aca="false">ROW()-1</f>
        <v>807</v>
      </c>
      <c r="B808" s="7" t="str">
        <f aca="false">IF(Raw_Nigeria!B808="",TRIM(Raw_Nigeria!C808),TRIM(Raw_Nigeria!B808))</f>
        <v>Nigeria Multiple Indicator Cluster Survey 2021</v>
      </c>
      <c r="C808" s="7" t="str">
        <f aca="false">IF(ISNUMBER(SEARCH("Demographic and Health",B808)),"DHS",IF(OR(ISNUMBER(SEARCH("Multiple Indicator Cluster",B808)),ISNUMBER(SEARCH("MICS",B808))),"MICS",IF(ISNUMBER(SEARCH("Immunization Coverage Survey",B808)),"Coverage survey",IF(ISNUMBER(SEARCH("Nutrition",B808)),"Nutrition survey","Other"))))</f>
        <v>MICS</v>
      </c>
      <c r="D808" s="7" t="n">
        <f aca="false">VALUE(LEFT(Raw_Nigeria!D808,4))</f>
        <v>2021</v>
      </c>
      <c r="E808" s="7" t="n">
        <f aca="false">IF(VALUE(RIGHT(Raw_Nigeria!D808,2))&gt;12,"",VALUE(RIGHT(Raw_Nigeria!D808,2)))</f>
        <v>9</v>
      </c>
      <c r="F808" s="7" t="n">
        <f aca="false">VALUE(LEFT(Raw_Nigeria!E808,4))</f>
        <v>2021</v>
      </c>
      <c r="G808" s="7" t="n">
        <f aca="false">IF(VALUE(RIGHT(Raw_Nigeria!E808,2))&gt;12,"",VALUE(RIGHT(Raw_Nigeria!E808,2)))</f>
        <v>12</v>
      </c>
      <c r="H808" s="7" t="n">
        <f aca="false">Raw_Nigeria!F808</f>
        <v>2020</v>
      </c>
      <c r="I808" s="7" t="str">
        <f aca="false">UPPER(TRIM(Raw_Nigeria!G808))</f>
        <v>DTP1</v>
      </c>
      <c r="J808" s="7" t="str">
        <f aca="false">Raw_Nigeria!H808</f>
        <v>Record</v>
      </c>
      <c r="K808" s="7" t="str">
        <f aca="false">Raw_Nigeria!L808</f>
        <v>12-23 m</v>
      </c>
      <c r="L808" s="7" t="str">
        <f aca="false">IF(Raw_Nigeria!K808="","n/a",Raw_Nigeria!K808)</f>
        <v>0-23 m</v>
      </c>
      <c r="M808" s="7" t="n">
        <f aca="false">IF(Raw_Nigeria!I808="","",Raw_Nigeria!I808)</f>
        <v>56</v>
      </c>
      <c r="N808" s="7" t="n">
        <f aca="false">Raw_Nigeria!M808</f>
        <v>53.4</v>
      </c>
      <c r="O808" s="7" t="n">
        <f aca="false">IF(Raw_Nigeria!N808="","",Raw_Nigeria!N808)</f>
        <v>3163</v>
      </c>
      <c r="P808" s="7" t="str">
        <f aca="false">IF(K808="CBAW","Women of child-bearing age","Children")</f>
        <v>Children</v>
      </c>
      <c r="Q808" s="7" t="n">
        <f aca="false">IF(J808="NOT USED",1,0)</f>
        <v>0</v>
      </c>
      <c r="R808" s="7" t="n">
        <f aca="false">IF(AND(P808="Children",Q808=0),1,0)</f>
        <v>1</v>
      </c>
      <c r="S808" s="7" t="n">
        <f aca="false">IF(AND(R808=1,J808="Record or Recall",K808="12-23 m"),1,0)</f>
        <v>0</v>
      </c>
      <c r="T808" s="7" t="n">
        <f aca="false">IF(OR(I808="BCG",I808="DTP1",I808="DTP3",I808="POL3",I808="MCV1",I808="FULL"),1,0)</f>
        <v>1</v>
      </c>
      <c r="U808" s="7" t="n">
        <f aca="false">IF(OR(C808="DHS",C808="MICS"),1,0)</f>
        <v>1</v>
      </c>
      <c r="V808" s="7" t="n">
        <f aca="false">IF(O808="",1,0)</f>
        <v>0</v>
      </c>
      <c r="W808" s="7" t="n">
        <f aca="false">IF(M808="",1,0)</f>
        <v>0</v>
      </c>
      <c r="X808" s="7" t="n">
        <f aca="false">COUNTIFS($B$2:$B$1141,B808,$H$2:$H$1141,H808,$I$2:$I$1141,I808,$J$2:$J$1141,J808,$K$2:$K$1141,K808,$L$2:$L$1141,L808)</f>
        <v>1</v>
      </c>
    </row>
    <row r="809" customFormat="false" ht="15" hidden="false" customHeight="false" outlineLevel="0" collapsed="false">
      <c r="A809" s="7" t="n">
        <f aca="false">ROW()-1</f>
        <v>808</v>
      </c>
      <c r="B809" s="7" t="str">
        <f aca="false">IF(Raw_Nigeria!B809="",TRIM(Raw_Nigeria!C809),TRIM(Raw_Nigeria!B809))</f>
        <v>Nigeria Multiple Indicator Cluster Survey 2021</v>
      </c>
      <c r="C809" s="7" t="str">
        <f aca="false">IF(ISNUMBER(SEARCH("Demographic and Health",B809)),"DHS",IF(OR(ISNUMBER(SEARCH("Multiple Indicator Cluster",B809)),ISNUMBER(SEARCH("MICS",B809))),"MICS",IF(ISNUMBER(SEARCH("Immunization Coverage Survey",B809)),"Coverage survey",IF(ISNUMBER(SEARCH("Nutrition",B809)),"Nutrition survey","Other"))))</f>
        <v>MICS</v>
      </c>
      <c r="D809" s="7" t="n">
        <f aca="false">VALUE(LEFT(Raw_Nigeria!D809,4))</f>
        <v>2021</v>
      </c>
      <c r="E809" s="7" t="n">
        <f aca="false">IF(VALUE(RIGHT(Raw_Nigeria!D809,2))&gt;12,"",VALUE(RIGHT(Raw_Nigeria!D809,2)))</f>
        <v>9</v>
      </c>
      <c r="F809" s="7" t="n">
        <f aca="false">VALUE(LEFT(Raw_Nigeria!E809,4))</f>
        <v>2021</v>
      </c>
      <c r="G809" s="7" t="n">
        <f aca="false">IF(VALUE(RIGHT(Raw_Nigeria!E809,2))&gt;12,"",VALUE(RIGHT(Raw_Nigeria!E809,2)))</f>
        <v>12</v>
      </c>
      <c r="H809" s="7" t="n">
        <f aca="false">Raw_Nigeria!F809</f>
        <v>2020</v>
      </c>
      <c r="I809" s="7" t="str">
        <f aca="false">UPPER(TRIM(Raw_Nigeria!G809))</f>
        <v>DTP1</v>
      </c>
      <c r="J809" s="7" t="str">
        <f aca="false">Raw_Nigeria!H809</f>
        <v>Record or Recall</v>
      </c>
      <c r="K809" s="7" t="str">
        <f aca="false">Raw_Nigeria!L809</f>
        <v>12-23 m</v>
      </c>
      <c r="L809" s="7" t="str">
        <f aca="false">IF(Raw_Nigeria!K809="","n/a",Raw_Nigeria!K809)</f>
        <v>0-23 m</v>
      </c>
      <c r="M809" s="7" t="n">
        <f aca="false">IF(Raw_Nigeria!I809="","",Raw_Nigeria!I809)</f>
        <v>56</v>
      </c>
      <c r="N809" s="7" t="n">
        <f aca="false">Raw_Nigeria!M809</f>
        <v>70.3</v>
      </c>
      <c r="O809" s="7" t="n">
        <f aca="false">IF(Raw_Nigeria!N809="","",Raw_Nigeria!N809)</f>
        <v>5652</v>
      </c>
      <c r="P809" s="7" t="str">
        <f aca="false">IF(K809="CBAW","Women of child-bearing age","Children")</f>
        <v>Children</v>
      </c>
      <c r="Q809" s="7" t="n">
        <f aca="false">IF(J809="NOT USED",1,0)</f>
        <v>0</v>
      </c>
      <c r="R809" s="7" t="n">
        <f aca="false">IF(AND(P809="Children",Q809=0),1,0)</f>
        <v>1</v>
      </c>
      <c r="S809" s="7" t="n">
        <f aca="false">IF(AND(R809=1,J809="Record or Recall",K809="12-23 m"),1,0)</f>
        <v>1</v>
      </c>
      <c r="T809" s="7" t="n">
        <f aca="false">IF(OR(I809="BCG",I809="DTP1",I809="DTP3",I809="POL3",I809="MCV1",I809="FULL"),1,0)</f>
        <v>1</v>
      </c>
      <c r="U809" s="7" t="n">
        <f aca="false">IF(OR(C809="DHS",C809="MICS"),1,0)</f>
        <v>1</v>
      </c>
      <c r="V809" s="7" t="n">
        <f aca="false">IF(O809="",1,0)</f>
        <v>0</v>
      </c>
      <c r="W809" s="7" t="n">
        <f aca="false">IF(M809="",1,0)</f>
        <v>0</v>
      </c>
      <c r="X809" s="7" t="n">
        <f aca="false">COUNTIFS($B$2:$B$1141,B809,$H$2:$H$1141,H809,$I$2:$I$1141,I809,$J$2:$J$1141,J809,$K$2:$K$1141,K809,$L$2:$L$1141,L809)</f>
        <v>1</v>
      </c>
    </row>
    <row r="810" customFormat="false" ht="15" hidden="false" customHeight="false" outlineLevel="0" collapsed="false">
      <c r="A810" s="7" t="n">
        <f aca="false">ROW()-1</f>
        <v>809</v>
      </c>
      <c r="B810" s="7" t="str">
        <f aca="false">IF(Raw_Nigeria!B810="",TRIM(Raw_Nigeria!C810),TRIM(Raw_Nigeria!B810))</f>
        <v>Nigeria Multiple Indicator Cluster Survey 2021</v>
      </c>
      <c r="C810" s="7" t="str">
        <f aca="false">IF(ISNUMBER(SEARCH("Demographic and Health",B810)),"DHS",IF(OR(ISNUMBER(SEARCH("Multiple Indicator Cluster",B810)),ISNUMBER(SEARCH("MICS",B810))),"MICS",IF(ISNUMBER(SEARCH("Immunization Coverage Survey",B810)),"Coverage survey",IF(ISNUMBER(SEARCH("Nutrition",B810)),"Nutrition survey","Other"))))</f>
        <v>MICS</v>
      </c>
      <c r="D810" s="7" t="n">
        <f aca="false">VALUE(LEFT(Raw_Nigeria!D810,4))</f>
        <v>2021</v>
      </c>
      <c r="E810" s="7" t="n">
        <f aca="false">IF(VALUE(RIGHT(Raw_Nigeria!D810,2))&gt;12,"",VALUE(RIGHT(Raw_Nigeria!D810,2)))</f>
        <v>9</v>
      </c>
      <c r="F810" s="7" t="n">
        <f aca="false">VALUE(LEFT(Raw_Nigeria!E810,4))</f>
        <v>2021</v>
      </c>
      <c r="G810" s="7" t="n">
        <f aca="false">IF(VALUE(RIGHT(Raw_Nigeria!E810,2))&gt;12,"",VALUE(RIGHT(Raw_Nigeria!E810,2)))</f>
        <v>12</v>
      </c>
      <c r="H810" s="7" t="n">
        <f aca="false">Raw_Nigeria!F810</f>
        <v>2020</v>
      </c>
      <c r="I810" s="7" t="str">
        <f aca="false">UPPER(TRIM(Raw_Nigeria!G810))</f>
        <v>DTP1</v>
      </c>
      <c r="J810" s="7" t="str">
        <f aca="false">Raw_Nigeria!H810</f>
        <v>Recall</v>
      </c>
      <c r="K810" s="7" t="str">
        <f aca="false">Raw_Nigeria!L810</f>
        <v>12-23 m</v>
      </c>
      <c r="L810" s="7" t="str">
        <f aca="false">IF(Raw_Nigeria!K810="","n/a",Raw_Nigeria!K810)</f>
        <v>0-23 m</v>
      </c>
      <c r="M810" s="7" t="n">
        <f aca="false">IF(Raw_Nigeria!I810="","",Raw_Nigeria!I810)</f>
        <v>56</v>
      </c>
      <c r="N810" s="7" t="n">
        <f aca="false">Raw_Nigeria!M810</f>
        <v>16.9</v>
      </c>
      <c r="O810" s="7" t="n">
        <f aca="false">IF(Raw_Nigeria!N810="","",Raw_Nigeria!N810)</f>
        <v>2489</v>
      </c>
      <c r="P810" s="7" t="str">
        <f aca="false">IF(K810="CBAW","Women of child-bearing age","Children")</f>
        <v>Children</v>
      </c>
      <c r="Q810" s="7" t="n">
        <f aca="false">IF(J810="NOT USED",1,0)</f>
        <v>0</v>
      </c>
      <c r="R810" s="7" t="n">
        <f aca="false">IF(AND(P810="Children",Q810=0),1,0)</f>
        <v>1</v>
      </c>
      <c r="S810" s="7" t="n">
        <f aca="false">IF(AND(R810=1,J810="Record or Recall",K810="12-23 m"),1,0)</f>
        <v>0</v>
      </c>
      <c r="T810" s="7" t="n">
        <f aca="false">IF(OR(I810="BCG",I810="DTP1",I810="DTP3",I810="POL3",I810="MCV1",I810="FULL"),1,0)</f>
        <v>1</v>
      </c>
      <c r="U810" s="7" t="n">
        <f aca="false">IF(OR(C810="DHS",C810="MICS"),1,0)</f>
        <v>1</v>
      </c>
      <c r="V810" s="7" t="n">
        <f aca="false">IF(O810="",1,0)</f>
        <v>0</v>
      </c>
      <c r="W810" s="7" t="n">
        <f aca="false">IF(M810="",1,0)</f>
        <v>0</v>
      </c>
      <c r="X810" s="7" t="n">
        <f aca="false">COUNTIFS($B$2:$B$1141,B810,$H$2:$H$1141,H810,$I$2:$I$1141,I810,$J$2:$J$1141,J810,$K$2:$K$1141,K810,$L$2:$L$1141,L810)</f>
        <v>1</v>
      </c>
    </row>
    <row r="811" customFormat="false" ht="15" hidden="false" customHeight="false" outlineLevel="0" collapsed="false">
      <c r="A811" s="7" t="n">
        <f aca="false">ROW()-1</f>
        <v>810</v>
      </c>
      <c r="B811" s="7" t="str">
        <f aca="false">IF(Raw_Nigeria!B811="",TRIM(Raw_Nigeria!C811),TRIM(Raw_Nigeria!B811))</f>
        <v>Nigeria Multiple Indicator Cluster Survey 2021</v>
      </c>
      <c r="C811" s="7" t="str">
        <f aca="false">IF(ISNUMBER(SEARCH("Demographic and Health",B811)),"DHS",IF(OR(ISNUMBER(SEARCH("Multiple Indicator Cluster",B811)),ISNUMBER(SEARCH("MICS",B811))),"MICS",IF(ISNUMBER(SEARCH("Immunization Coverage Survey",B811)),"Coverage survey",IF(ISNUMBER(SEARCH("Nutrition",B811)),"Nutrition survey","Other"))))</f>
        <v>MICS</v>
      </c>
      <c r="D811" s="7" t="n">
        <f aca="false">VALUE(LEFT(Raw_Nigeria!D811,4))</f>
        <v>2021</v>
      </c>
      <c r="E811" s="7" t="n">
        <f aca="false">IF(VALUE(RIGHT(Raw_Nigeria!D811,2))&gt;12,"",VALUE(RIGHT(Raw_Nigeria!D811,2)))</f>
        <v>9</v>
      </c>
      <c r="F811" s="7" t="n">
        <f aca="false">VALUE(LEFT(Raw_Nigeria!E811,4))</f>
        <v>2021</v>
      </c>
      <c r="G811" s="7" t="n">
        <f aca="false">IF(VALUE(RIGHT(Raw_Nigeria!E811,2))&gt;12,"",VALUE(RIGHT(Raw_Nigeria!E811,2)))</f>
        <v>12</v>
      </c>
      <c r="H811" s="7" t="n">
        <f aca="false">Raw_Nigeria!F811</f>
        <v>2020</v>
      </c>
      <c r="I811" s="7" t="str">
        <f aca="false">UPPER(TRIM(Raw_Nigeria!G811))</f>
        <v>DTP2</v>
      </c>
      <c r="J811" s="7" t="str">
        <f aca="false">Raw_Nigeria!H811</f>
        <v>Record</v>
      </c>
      <c r="K811" s="7" t="str">
        <f aca="false">Raw_Nigeria!L811</f>
        <v>12-23 m</v>
      </c>
      <c r="L811" s="7" t="str">
        <f aca="false">IF(Raw_Nigeria!K811="","n/a",Raw_Nigeria!K811)</f>
        <v>0-23 m</v>
      </c>
      <c r="M811" s="7" t="n">
        <f aca="false">IF(Raw_Nigeria!I811="","",Raw_Nigeria!I811)</f>
        <v>56</v>
      </c>
      <c r="N811" s="7" t="n">
        <f aca="false">Raw_Nigeria!M811</f>
        <v>50.6</v>
      </c>
      <c r="O811" s="7" t="n">
        <f aca="false">IF(Raw_Nigeria!N811="","",Raw_Nigeria!N811)</f>
        <v>3163</v>
      </c>
      <c r="P811" s="7" t="str">
        <f aca="false">IF(K811="CBAW","Women of child-bearing age","Children")</f>
        <v>Children</v>
      </c>
      <c r="Q811" s="7" t="n">
        <f aca="false">IF(J811="NOT USED",1,0)</f>
        <v>0</v>
      </c>
      <c r="R811" s="7" t="n">
        <f aca="false">IF(AND(P811="Children",Q811=0),1,0)</f>
        <v>1</v>
      </c>
      <c r="S811" s="7" t="n">
        <f aca="false">IF(AND(R811=1,J811="Record or Recall",K811="12-23 m"),1,0)</f>
        <v>0</v>
      </c>
      <c r="T811" s="7" t="n">
        <f aca="false">IF(OR(I811="BCG",I811="DTP1",I811="DTP3",I811="POL3",I811="MCV1",I811="FULL"),1,0)</f>
        <v>0</v>
      </c>
      <c r="U811" s="7" t="n">
        <f aca="false">IF(OR(C811="DHS",C811="MICS"),1,0)</f>
        <v>1</v>
      </c>
      <c r="V811" s="7" t="n">
        <f aca="false">IF(O811="",1,0)</f>
        <v>0</v>
      </c>
      <c r="W811" s="7" t="n">
        <f aca="false">IF(M811="",1,0)</f>
        <v>0</v>
      </c>
      <c r="X811" s="7" t="n">
        <f aca="false">COUNTIFS($B$2:$B$1141,B811,$H$2:$H$1141,H811,$I$2:$I$1141,I811,$J$2:$J$1141,J811,$K$2:$K$1141,K811,$L$2:$L$1141,L811)</f>
        <v>1</v>
      </c>
    </row>
    <row r="812" customFormat="false" ht="15" hidden="false" customHeight="false" outlineLevel="0" collapsed="false">
      <c r="A812" s="7" t="n">
        <f aca="false">ROW()-1</f>
        <v>811</v>
      </c>
      <c r="B812" s="7" t="str">
        <f aca="false">IF(Raw_Nigeria!B812="",TRIM(Raw_Nigeria!C812),TRIM(Raw_Nigeria!B812))</f>
        <v>Nigeria Multiple Indicator Cluster Survey 2021</v>
      </c>
      <c r="C812" s="7" t="str">
        <f aca="false">IF(ISNUMBER(SEARCH("Demographic and Health",B812)),"DHS",IF(OR(ISNUMBER(SEARCH("Multiple Indicator Cluster",B812)),ISNUMBER(SEARCH("MICS",B812))),"MICS",IF(ISNUMBER(SEARCH("Immunization Coverage Survey",B812)),"Coverage survey",IF(ISNUMBER(SEARCH("Nutrition",B812)),"Nutrition survey","Other"))))</f>
        <v>MICS</v>
      </c>
      <c r="D812" s="7" t="n">
        <f aca="false">VALUE(LEFT(Raw_Nigeria!D812,4))</f>
        <v>2021</v>
      </c>
      <c r="E812" s="7" t="n">
        <f aca="false">IF(VALUE(RIGHT(Raw_Nigeria!D812,2))&gt;12,"",VALUE(RIGHT(Raw_Nigeria!D812,2)))</f>
        <v>9</v>
      </c>
      <c r="F812" s="7" t="n">
        <f aca="false">VALUE(LEFT(Raw_Nigeria!E812,4))</f>
        <v>2021</v>
      </c>
      <c r="G812" s="7" t="n">
        <f aca="false">IF(VALUE(RIGHT(Raw_Nigeria!E812,2))&gt;12,"",VALUE(RIGHT(Raw_Nigeria!E812,2)))</f>
        <v>12</v>
      </c>
      <c r="H812" s="7" t="n">
        <f aca="false">Raw_Nigeria!F812</f>
        <v>2020</v>
      </c>
      <c r="I812" s="7" t="str">
        <f aca="false">UPPER(TRIM(Raw_Nigeria!G812))</f>
        <v>DTP2</v>
      </c>
      <c r="J812" s="7" t="str">
        <f aca="false">Raw_Nigeria!H812</f>
        <v>Record or Recall</v>
      </c>
      <c r="K812" s="7" t="str">
        <f aca="false">Raw_Nigeria!L812</f>
        <v>12-23 m</v>
      </c>
      <c r="L812" s="7" t="str">
        <f aca="false">IF(Raw_Nigeria!K812="","n/a",Raw_Nigeria!K812)</f>
        <v>0-23 m</v>
      </c>
      <c r="M812" s="7" t="n">
        <f aca="false">IF(Raw_Nigeria!I812="","",Raw_Nigeria!I812)</f>
        <v>56</v>
      </c>
      <c r="N812" s="7" t="n">
        <f aca="false">Raw_Nigeria!M812</f>
        <v>64.6</v>
      </c>
      <c r="O812" s="7" t="n">
        <f aca="false">IF(Raw_Nigeria!N812="","",Raw_Nigeria!N812)</f>
        <v>5652</v>
      </c>
      <c r="P812" s="7" t="str">
        <f aca="false">IF(K812="CBAW","Women of child-bearing age","Children")</f>
        <v>Children</v>
      </c>
      <c r="Q812" s="7" t="n">
        <f aca="false">IF(J812="NOT USED",1,0)</f>
        <v>0</v>
      </c>
      <c r="R812" s="7" t="n">
        <f aca="false">IF(AND(P812="Children",Q812=0),1,0)</f>
        <v>1</v>
      </c>
      <c r="S812" s="7" t="n">
        <f aca="false">IF(AND(R812=1,J812="Record or Recall",K812="12-23 m"),1,0)</f>
        <v>1</v>
      </c>
      <c r="T812" s="7" t="n">
        <f aca="false">IF(OR(I812="BCG",I812="DTP1",I812="DTP3",I812="POL3",I812="MCV1",I812="FULL"),1,0)</f>
        <v>0</v>
      </c>
      <c r="U812" s="7" t="n">
        <f aca="false">IF(OR(C812="DHS",C812="MICS"),1,0)</f>
        <v>1</v>
      </c>
      <c r="V812" s="7" t="n">
        <f aca="false">IF(O812="",1,0)</f>
        <v>0</v>
      </c>
      <c r="W812" s="7" t="n">
        <f aca="false">IF(M812="",1,0)</f>
        <v>0</v>
      </c>
      <c r="X812" s="7" t="n">
        <f aca="false">COUNTIFS($B$2:$B$1141,B812,$H$2:$H$1141,H812,$I$2:$I$1141,I812,$J$2:$J$1141,J812,$K$2:$K$1141,K812,$L$2:$L$1141,L812)</f>
        <v>1</v>
      </c>
    </row>
    <row r="813" customFormat="false" ht="15" hidden="false" customHeight="false" outlineLevel="0" collapsed="false">
      <c r="A813" s="7" t="n">
        <f aca="false">ROW()-1</f>
        <v>812</v>
      </c>
      <c r="B813" s="7" t="str">
        <f aca="false">IF(Raw_Nigeria!B813="",TRIM(Raw_Nigeria!C813),TRIM(Raw_Nigeria!B813))</f>
        <v>Nigeria Multiple Indicator Cluster Survey 2021</v>
      </c>
      <c r="C813" s="7" t="str">
        <f aca="false">IF(ISNUMBER(SEARCH("Demographic and Health",B813)),"DHS",IF(OR(ISNUMBER(SEARCH("Multiple Indicator Cluster",B813)),ISNUMBER(SEARCH("MICS",B813))),"MICS",IF(ISNUMBER(SEARCH("Immunization Coverage Survey",B813)),"Coverage survey",IF(ISNUMBER(SEARCH("Nutrition",B813)),"Nutrition survey","Other"))))</f>
        <v>MICS</v>
      </c>
      <c r="D813" s="7" t="n">
        <f aca="false">VALUE(LEFT(Raw_Nigeria!D813,4))</f>
        <v>2021</v>
      </c>
      <c r="E813" s="7" t="n">
        <f aca="false">IF(VALUE(RIGHT(Raw_Nigeria!D813,2))&gt;12,"",VALUE(RIGHT(Raw_Nigeria!D813,2)))</f>
        <v>9</v>
      </c>
      <c r="F813" s="7" t="n">
        <f aca="false">VALUE(LEFT(Raw_Nigeria!E813,4))</f>
        <v>2021</v>
      </c>
      <c r="G813" s="7" t="n">
        <f aca="false">IF(VALUE(RIGHT(Raw_Nigeria!E813,2))&gt;12,"",VALUE(RIGHT(Raw_Nigeria!E813,2)))</f>
        <v>12</v>
      </c>
      <c r="H813" s="7" t="n">
        <f aca="false">Raw_Nigeria!F813</f>
        <v>2020</v>
      </c>
      <c r="I813" s="7" t="str">
        <f aca="false">UPPER(TRIM(Raw_Nigeria!G813))</f>
        <v>DTP2</v>
      </c>
      <c r="J813" s="7" t="str">
        <f aca="false">Raw_Nigeria!H813</f>
        <v>Recall</v>
      </c>
      <c r="K813" s="7" t="str">
        <f aca="false">Raw_Nigeria!L813</f>
        <v>12-23 m</v>
      </c>
      <c r="L813" s="7" t="str">
        <f aca="false">IF(Raw_Nigeria!K813="","n/a",Raw_Nigeria!K813)</f>
        <v>0-23 m</v>
      </c>
      <c r="M813" s="7" t="n">
        <f aca="false">IF(Raw_Nigeria!I813="","",Raw_Nigeria!I813)</f>
        <v>56</v>
      </c>
      <c r="N813" s="7" t="n">
        <f aca="false">Raw_Nigeria!M813</f>
        <v>14</v>
      </c>
      <c r="O813" s="7" t="n">
        <f aca="false">IF(Raw_Nigeria!N813="","",Raw_Nigeria!N813)</f>
        <v>2489</v>
      </c>
      <c r="P813" s="7" t="str">
        <f aca="false">IF(K813="CBAW","Women of child-bearing age","Children")</f>
        <v>Children</v>
      </c>
      <c r="Q813" s="7" t="n">
        <f aca="false">IF(J813="NOT USED",1,0)</f>
        <v>0</v>
      </c>
      <c r="R813" s="7" t="n">
        <f aca="false">IF(AND(P813="Children",Q813=0),1,0)</f>
        <v>1</v>
      </c>
      <c r="S813" s="7" t="n">
        <f aca="false">IF(AND(R813=1,J813="Record or Recall",K813="12-23 m"),1,0)</f>
        <v>0</v>
      </c>
      <c r="T813" s="7" t="n">
        <f aca="false">IF(OR(I813="BCG",I813="DTP1",I813="DTP3",I813="POL3",I813="MCV1",I813="FULL"),1,0)</f>
        <v>0</v>
      </c>
      <c r="U813" s="7" t="n">
        <f aca="false">IF(OR(C813="DHS",C813="MICS"),1,0)</f>
        <v>1</v>
      </c>
      <c r="V813" s="7" t="n">
        <f aca="false">IF(O813="",1,0)</f>
        <v>0</v>
      </c>
      <c r="W813" s="7" t="n">
        <f aca="false">IF(M813="",1,0)</f>
        <v>0</v>
      </c>
      <c r="X813" s="7" t="n">
        <f aca="false">COUNTIFS($B$2:$B$1141,B813,$H$2:$H$1141,H813,$I$2:$I$1141,I813,$J$2:$J$1141,J813,$K$2:$K$1141,K813,$L$2:$L$1141,L813)</f>
        <v>1</v>
      </c>
    </row>
    <row r="814" customFormat="false" ht="15" hidden="false" customHeight="false" outlineLevel="0" collapsed="false">
      <c r="A814" s="7" t="n">
        <f aca="false">ROW()-1</f>
        <v>813</v>
      </c>
      <c r="B814" s="7" t="str">
        <f aca="false">IF(Raw_Nigeria!B814="",TRIM(Raw_Nigeria!C814),TRIM(Raw_Nigeria!B814))</f>
        <v>Nigeria Multiple Indicator Cluster Survey 2021</v>
      </c>
      <c r="C814" s="7" t="str">
        <f aca="false">IF(ISNUMBER(SEARCH("Demographic and Health",B814)),"DHS",IF(OR(ISNUMBER(SEARCH("Multiple Indicator Cluster",B814)),ISNUMBER(SEARCH("MICS",B814))),"MICS",IF(ISNUMBER(SEARCH("Immunization Coverage Survey",B814)),"Coverage survey",IF(ISNUMBER(SEARCH("Nutrition",B814)),"Nutrition survey","Other"))))</f>
        <v>MICS</v>
      </c>
      <c r="D814" s="7" t="n">
        <f aca="false">VALUE(LEFT(Raw_Nigeria!D814,4))</f>
        <v>2021</v>
      </c>
      <c r="E814" s="7" t="n">
        <f aca="false">IF(VALUE(RIGHT(Raw_Nigeria!D814,2))&gt;12,"",VALUE(RIGHT(Raw_Nigeria!D814,2)))</f>
        <v>9</v>
      </c>
      <c r="F814" s="7" t="n">
        <f aca="false">VALUE(LEFT(Raw_Nigeria!E814,4))</f>
        <v>2021</v>
      </c>
      <c r="G814" s="7" t="n">
        <f aca="false">IF(VALUE(RIGHT(Raw_Nigeria!E814,2))&gt;12,"",VALUE(RIGHT(Raw_Nigeria!E814,2)))</f>
        <v>12</v>
      </c>
      <c r="H814" s="7" t="n">
        <f aca="false">Raw_Nigeria!F814</f>
        <v>2020</v>
      </c>
      <c r="I814" s="7" t="str">
        <f aca="false">UPPER(TRIM(Raw_Nigeria!G814))</f>
        <v>DTP2</v>
      </c>
      <c r="J814" s="7" t="str">
        <f aca="false">Raw_Nigeria!H814</f>
        <v>Record or Recall&lt;12m</v>
      </c>
      <c r="K814" s="7" t="str">
        <f aca="false">Raw_Nigeria!L814</f>
        <v>12-23 m</v>
      </c>
      <c r="L814" s="7" t="str">
        <f aca="false">IF(Raw_Nigeria!K814="","n/a",Raw_Nigeria!K814)</f>
        <v>0-12 m</v>
      </c>
      <c r="M814" s="7" t="n">
        <f aca="false">IF(Raw_Nigeria!I814="","",Raw_Nigeria!I814)</f>
        <v>56</v>
      </c>
      <c r="N814" s="7" t="n">
        <f aca="false">Raw_Nigeria!M814</f>
        <v>61.7</v>
      </c>
      <c r="O814" s="7" t="str">
        <f aca="false">IF(Raw_Nigeria!N814="","",Raw_Nigeria!N814)</f>
        <v/>
      </c>
      <c r="P814" s="7" t="str">
        <f aca="false">IF(K814="CBAW","Women of child-bearing age","Children")</f>
        <v>Children</v>
      </c>
      <c r="Q814" s="7" t="n">
        <f aca="false">IF(J814="NOT USED",1,0)</f>
        <v>0</v>
      </c>
      <c r="R814" s="7" t="n">
        <f aca="false">IF(AND(P814="Children",Q814=0),1,0)</f>
        <v>1</v>
      </c>
      <c r="S814" s="7" t="n">
        <f aca="false">IF(AND(R814=1,J814="Record or Recall",K814="12-23 m"),1,0)</f>
        <v>0</v>
      </c>
      <c r="T814" s="7" t="n">
        <f aca="false">IF(OR(I814="BCG",I814="DTP1",I814="DTP3",I814="POL3",I814="MCV1",I814="FULL"),1,0)</f>
        <v>0</v>
      </c>
      <c r="U814" s="7" t="n">
        <f aca="false">IF(OR(C814="DHS",C814="MICS"),1,0)</f>
        <v>1</v>
      </c>
      <c r="V814" s="7" t="n">
        <f aca="false">IF(O814="",1,0)</f>
        <v>1</v>
      </c>
      <c r="W814" s="7" t="n">
        <f aca="false">IF(M814="",1,0)</f>
        <v>0</v>
      </c>
      <c r="X814" s="7" t="n">
        <f aca="false">COUNTIFS($B$2:$B$1141,B814,$H$2:$H$1141,H814,$I$2:$I$1141,I814,$J$2:$J$1141,J814,$K$2:$K$1141,K814,$L$2:$L$1141,L814)</f>
        <v>1</v>
      </c>
    </row>
    <row r="815" customFormat="false" ht="15" hidden="false" customHeight="false" outlineLevel="0" collapsed="false">
      <c r="A815" s="7" t="n">
        <f aca="false">ROW()-1</f>
        <v>814</v>
      </c>
      <c r="B815" s="7" t="str">
        <f aca="false">IF(Raw_Nigeria!B815="",TRIM(Raw_Nigeria!C815),TRIM(Raw_Nigeria!B815))</f>
        <v>Nigeria Multiple Indicator Cluster Survey 2021</v>
      </c>
      <c r="C815" s="7" t="str">
        <f aca="false">IF(ISNUMBER(SEARCH("Demographic and Health",B815)),"DHS",IF(OR(ISNUMBER(SEARCH("Multiple Indicator Cluster",B815)),ISNUMBER(SEARCH("MICS",B815))),"MICS",IF(ISNUMBER(SEARCH("Immunization Coverage Survey",B815)),"Coverage survey",IF(ISNUMBER(SEARCH("Nutrition",B815)),"Nutrition survey","Other"))))</f>
        <v>MICS</v>
      </c>
      <c r="D815" s="7" t="n">
        <f aca="false">VALUE(LEFT(Raw_Nigeria!D815,4))</f>
        <v>2021</v>
      </c>
      <c r="E815" s="7" t="n">
        <f aca="false">IF(VALUE(RIGHT(Raw_Nigeria!D815,2))&gt;12,"",VALUE(RIGHT(Raw_Nigeria!D815,2)))</f>
        <v>9</v>
      </c>
      <c r="F815" s="7" t="n">
        <f aca="false">VALUE(LEFT(Raw_Nigeria!E815,4))</f>
        <v>2021</v>
      </c>
      <c r="G815" s="7" t="n">
        <f aca="false">IF(VALUE(RIGHT(Raw_Nigeria!E815,2))&gt;12,"",VALUE(RIGHT(Raw_Nigeria!E815,2)))</f>
        <v>12</v>
      </c>
      <c r="H815" s="7" t="n">
        <f aca="false">Raw_Nigeria!F815</f>
        <v>2020</v>
      </c>
      <c r="I815" s="7" t="str">
        <f aca="false">UPPER(TRIM(Raw_Nigeria!G815))</f>
        <v>DTP3</v>
      </c>
      <c r="J815" s="7" t="str">
        <f aca="false">Raw_Nigeria!H815</f>
        <v>Record or Recall&lt;12m</v>
      </c>
      <c r="K815" s="7" t="str">
        <f aca="false">Raw_Nigeria!L815</f>
        <v>12-23 m</v>
      </c>
      <c r="L815" s="7" t="str">
        <f aca="false">IF(Raw_Nigeria!K815="","n/a",Raw_Nigeria!K815)</f>
        <v>0-12 m</v>
      </c>
      <c r="M815" s="7" t="n">
        <f aca="false">IF(Raw_Nigeria!I815="","",Raw_Nigeria!I815)</f>
        <v>56</v>
      </c>
      <c r="N815" s="7" t="n">
        <f aca="false">Raw_Nigeria!M815</f>
        <v>54.3</v>
      </c>
      <c r="O815" s="7" t="str">
        <f aca="false">IF(Raw_Nigeria!N815="","",Raw_Nigeria!N815)</f>
        <v/>
      </c>
      <c r="P815" s="7" t="str">
        <f aca="false">IF(K815="CBAW","Women of child-bearing age","Children")</f>
        <v>Children</v>
      </c>
      <c r="Q815" s="7" t="n">
        <f aca="false">IF(J815="NOT USED",1,0)</f>
        <v>0</v>
      </c>
      <c r="R815" s="7" t="n">
        <f aca="false">IF(AND(P815="Children",Q815=0),1,0)</f>
        <v>1</v>
      </c>
      <c r="S815" s="7" t="n">
        <f aca="false">IF(AND(R815=1,J815="Record or Recall",K815="12-23 m"),1,0)</f>
        <v>0</v>
      </c>
      <c r="T815" s="7" t="n">
        <f aca="false">IF(OR(I815="BCG",I815="DTP1",I815="DTP3",I815="POL3",I815="MCV1",I815="FULL"),1,0)</f>
        <v>1</v>
      </c>
      <c r="U815" s="7" t="n">
        <f aca="false">IF(OR(C815="DHS",C815="MICS"),1,0)</f>
        <v>1</v>
      </c>
      <c r="V815" s="7" t="n">
        <f aca="false">IF(O815="",1,0)</f>
        <v>1</v>
      </c>
      <c r="W815" s="7" t="n">
        <f aca="false">IF(M815="",1,0)</f>
        <v>0</v>
      </c>
      <c r="X815" s="7" t="n">
        <f aca="false">COUNTIFS($B$2:$B$1141,B815,$H$2:$H$1141,H815,$I$2:$I$1141,I815,$J$2:$J$1141,J815,$K$2:$K$1141,K815,$L$2:$L$1141,L815)</f>
        <v>1</v>
      </c>
    </row>
    <row r="816" customFormat="false" ht="15" hidden="false" customHeight="false" outlineLevel="0" collapsed="false">
      <c r="A816" s="7" t="n">
        <f aca="false">ROW()-1</f>
        <v>815</v>
      </c>
      <c r="B816" s="7" t="str">
        <f aca="false">IF(Raw_Nigeria!B816="",TRIM(Raw_Nigeria!C816),TRIM(Raw_Nigeria!B816))</f>
        <v>Nigeria Multiple Indicator Cluster Survey 2021</v>
      </c>
      <c r="C816" s="7" t="str">
        <f aca="false">IF(ISNUMBER(SEARCH("Demographic and Health",B816)),"DHS",IF(OR(ISNUMBER(SEARCH("Multiple Indicator Cluster",B816)),ISNUMBER(SEARCH("MICS",B816))),"MICS",IF(ISNUMBER(SEARCH("Immunization Coverage Survey",B816)),"Coverage survey",IF(ISNUMBER(SEARCH("Nutrition",B816)),"Nutrition survey","Other"))))</f>
        <v>MICS</v>
      </c>
      <c r="D816" s="7" t="n">
        <f aca="false">VALUE(LEFT(Raw_Nigeria!D816,4))</f>
        <v>2021</v>
      </c>
      <c r="E816" s="7" t="n">
        <f aca="false">IF(VALUE(RIGHT(Raw_Nigeria!D816,2))&gt;12,"",VALUE(RIGHT(Raw_Nigeria!D816,2)))</f>
        <v>9</v>
      </c>
      <c r="F816" s="7" t="n">
        <f aca="false">VALUE(LEFT(Raw_Nigeria!E816,4))</f>
        <v>2021</v>
      </c>
      <c r="G816" s="7" t="n">
        <f aca="false">IF(VALUE(RIGHT(Raw_Nigeria!E816,2))&gt;12,"",VALUE(RIGHT(Raw_Nigeria!E816,2)))</f>
        <v>12</v>
      </c>
      <c r="H816" s="7" t="n">
        <f aca="false">Raw_Nigeria!F816</f>
        <v>2020</v>
      </c>
      <c r="I816" s="7" t="str">
        <f aca="false">UPPER(TRIM(Raw_Nigeria!G816))</f>
        <v>DTP3</v>
      </c>
      <c r="J816" s="7" t="str">
        <f aca="false">Raw_Nigeria!H816</f>
        <v>Record</v>
      </c>
      <c r="K816" s="7" t="str">
        <f aca="false">Raw_Nigeria!L816</f>
        <v>12-23 m</v>
      </c>
      <c r="L816" s="7" t="str">
        <f aca="false">IF(Raw_Nigeria!K816="","n/a",Raw_Nigeria!K816)</f>
        <v>0-23 m</v>
      </c>
      <c r="M816" s="7" t="n">
        <f aca="false">IF(Raw_Nigeria!I816="","",Raw_Nigeria!I816)</f>
        <v>56</v>
      </c>
      <c r="N816" s="7" t="n">
        <f aca="false">Raw_Nigeria!M816</f>
        <v>47.4</v>
      </c>
      <c r="O816" s="7" t="n">
        <f aca="false">IF(Raw_Nigeria!N816="","",Raw_Nigeria!N816)</f>
        <v>3163</v>
      </c>
      <c r="P816" s="7" t="str">
        <f aca="false">IF(K816="CBAW","Women of child-bearing age","Children")</f>
        <v>Children</v>
      </c>
      <c r="Q816" s="7" t="n">
        <f aca="false">IF(J816="NOT USED",1,0)</f>
        <v>0</v>
      </c>
      <c r="R816" s="7" t="n">
        <f aca="false">IF(AND(P816="Children",Q816=0),1,0)</f>
        <v>1</v>
      </c>
      <c r="S816" s="7" t="n">
        <f aca="false">IF(AND(R816=1,J816="Record or Recall",K816="12-23 m"),1,0)</f>
        <v>0</v>
      </c>
      <c r="T816" s="7" t="n">
        <f aca="false">IF(OR(I816="BCG",I816="DTP1",I816="DTP3",I816="POL3",I816="MCV1",I816="FULL"),1,0)</f>
        <v>1</v>
      </c>
      <c r="U816" s="7" t="n">
        <f aca="false">IF(OR(C816="DHS",C816="MICS"),1,0)</f>
        <v>1</v>
      </c>
      <c r="V816" s="7" t="n">
        <f aca="false">IF(O816="",1,0)</f>
        <v>0</v>
      </c>
      <c r="W816" s="7" t="n">
        <f aca="false">IF(M816="",1,0)</f>
        <v>0</v>
      </c>
      <c r="X816" s="7" t="n">
        <f aca="false">COUNTIFS($B$2:$B$1141,B816,$H$2:$H$1141,H816,$I$2:$I$1141,I816,$J$2:$J$1141,J816,$K$2:$K$1141,K816,$L$2:$L$1141,L816)</f>
        <v>1</v>
      </c>
    </row>
    <row r="817" customFormat="false" ht="15" hidden="false" customHeight="false" outlineLevel="0" collapsed="false">
      <c r="A817" s="7" t="n">
        <f aca="false">ROW()-1</f>
        <v>816</v>
      </c>
      <c r="B817" s="7" t="str">
        <f aca="false">IF(Raw_Nigeria!B817="",TRIM(Raw_Nigeria!C817),TRIM(Raw_Nigeria!B817))</f>
        <v>Nigeria Multiple Indicator Cluster Survey 2021</v>
      </c>
      <c r="C817" s="7" t="str">
        <f aca="false">IF(ISNUMBER(SEARCH("Demographic and Health",B817)),"DHS",IF(OR(ISNUMBER(SEARCH("Multiple Indicator Cluster",B817)),ISNUMBER(SEARCH("MICS",B817))),"MICS",IF(ISNUMBER(SEARCH("Immunization Coverage Survey",B817)),"Coverage survey",IF(ISNUMBER(SEARCH("Nutrition",B817)),"Nutrition survey","Other"))))</f>
        <v>MICS</v>
      </c>
      <c r="D817" s="7" t="n">
        <f aca="false">VALUE(LEFT(Raw_Nigeria!D817,4))</f>
        <v>2021</v>
      </c>
      <c r="E817" s="7" t="n">
        <f aca="false">IF(VALUE(RIGHT(Raw_Nigeria!D817,2))&gt;12,"",VALUE(RIGHT(Raw_Nigeria!D817,2)))</f>
        <v>9</v>
      </c>
      <c r="F817" s="7" t="n">
        <f aca="false">VALUE(LEFT(Raw_Nigeria!E817,4))</f>
        <v>2021</v>
      </c>
      <c r="G817" s="7" t="n">
        <f aca="false">IF(VALUE(RIGHT(Raw_Nigeria!E817,2))&gt;12,"",VALUE(RIGHT(Raw_Nigeria!E817,2)))</f>
        <v>12</v>
      </c>
      <c r="H817" s="7" t="n">
        <f aca="false">Raw_Nigeria!F817</f>
        <v>2020</v>
      </c>
      <c r="I817" s="7" t="str">
        <f aca="false">UPPER(TRIM(Raw_Nigeria!G817))</f>
        <v>DTP3</v>
      </c>
      <c r="J817" s="7" t="str">
        <f aca="false">Raw_Nigeria!H817</f>
        <v>Record or Recall</v>
      </c>
      <c r="K817" s="7" t="str">
        <f aca="false">Raw_Nigeria!L817</f>
        <v>12-23 m</v>
      </c>
      <c r="L817" s="7" t="str">
        <f aca="false">IF(Raw_Nigeria!K817="","n/a",Raw_Nigeria!K817)</f>
        <v>0-23 m</v>
      </c>
      <c r="M817" s="7" t="n">
        <f aca="false">IF(Raw_Nigeria!I817="","",Raw_Nigeria!I817)</f>
        <v>56</v>
      </c>
      <c r="N817" s="7" t="n">
        <f aca="false">Raw_Nigeria!M817</f>
        <v>56.6</v>
      </c>
      <c r="O817" s="7" t="n">
        <f aca="false">IF(Raw_Nigeria!N817="","",Raw_Nigeria!N817)</f>
        <v>5652</v>
      </c>
      <c r="P817" s="7" t="str">
        <f aca="false">IF(K817="CBAW","Women of child-bearing age","Children")</f>
        <v>Children</v>
      </c>
      <c r="Q817" s="7" t="n">
        <f aca="false">IF(J817="NOT USED",1,0)</f>
        <v>0</v>
      </c>
      <c r="R817" s="7" t="n">
        <f aca="false">IF(AND(P817="Children",Q817=0),1,0)</f>
        <v>1</v>
      </c>
      <c r="S817" s="7" t="n">
        <f aca="false">IF(AND(R817=1,J817="Record or Recall",K817="12-23 m"),1,0)</f>
        <v>1</v>
      </c>
      <c r="T817" s="7" t="n">
        <f aca="false">IF(OR(I817="BCG",I817="DTP1",I817="DTP3",I817="POL3",I817="MCV1",I817="FULL"),1,0)</f>
        <v>1</v>
      </c>
      <c r="U817" s="7" t="n">
        <f aca="false">IF(OR(C817="DHS",C817="MICS"),1,0)</f>
        <v>1</v>
      </c>
      <c r="V817" s="7" t="n">
        <f aca="false">IF(O817="",1,0)</f>
        <v>0</v>
      </c>
      <c r="W817" s="7" t="n">
        <f aca="false">IF(M817="",1,0)</f>
        <v>0</v>
      </c>
      <c r="X817" s="7" t="n">
        <f aca="false">COUNTIFS($B$2:$B$1141,B817,$H$2:$H$1141,H817,$I$2:$I$1141,I817,$J$2:$J$1141,J817,$K$2:$K$1141,K817,$L$2:$L$1141,L817)</f>
        <v>1</v>
      </c>
    </row>
    <row r="818" customFormat="false" ht="15" hidden="false" customHeight="false" outlineLevel="0" collapsed="false">
      <c r="A818" s="7" t="n">
        <f aca="false">ROW()-1</f>
        <v>817</v>
      </c>
      <c r="B818" s="7" t="str">
        <f aca="false">IF(Raw_Nigeria!B818="",TRIM(Raw_Nigeria!C818),TRIM(Raw_Nigeria!B818))</f>
        <v>Nigeria Multiple Indicator Cluster Survey 2021</v>
      </c>
      <c r="C818" s="7" t="str">
        <f aca="false">IF(ISNUMBER(SEARCH("Demographic and Health",B818)),"DHS",IF(OR(ISNUMBER(SEARCH("Multiple Indicator Cluster",B818)),ISNUMBER(SEARCH("MICS",B818))),"MICS",IF(ISNUMBER(SEARCH("Immunization Coverage Survey",B818)),"Coverage survey",IF(ISNUMBER(SEARCH("Nutrition",B818)),"Nutrition survey","Other"))))</f>
        <v>MICS</v>
      </c>
      <c r="D818" s="7" t="n">
        <f aca="false">VALUE(LEFT(Raw_Nigeria!D818,4))</f>
        <v>2021</v>
      </c>
      <c r="E818" s="7" t="n">
        <f aca="false">IF(VALUE(RIGHT(Raw_Nigeria!D818,2))&gt;12,"",VALUE(RIGHT(Raw_Nigeria!D818,2)))</f>
        <v>9</v>
      </c>
      <c r="F818" s="7" t="n">
        <f aca="false">VALUE(LEFT(Raw_Nigeria!E818,4))</f>
        <v>2021</v>
      </c>
      <c r="G818" s="7" t="n">
        <f aca="false">IF(VALUE(RIGHT(Raw_Nigeria!E818,2))&gt;12,"",VALUE(RIGHT(Raw_Nigeria!E818,2)))</f>
        <v>12</v>
      </c>
      <c r="H818" s="7" t="n">
        <f aca="false">Raw_Nigeria!F818</f>
        <v>2020</v>
      </c>
      <c r="I818" s="7" t="str">
        <f aca="false">UPPER(TRIM(Raw_Nigeria!G818))</f>
        <v>DTP3</v>
      </c>
      <c r="J818" s="7" t="str">
        <f aca="false">Raw_Nigeria!H818</f>
        <v>Recall</v>
      </c>
      <c r="K818" s="7" t="str">
        <f aca="false">Raw_Nigeria!L818</f>
        <v>12-23 m</v>
      </c>
      <c r="L818" s="7" t="str">
        <f aca="false">IF(Raw_Nigeria!K818="","n/a",Raw_Nigeria!K818)</f>
        <v>0-23 m</v>
      </c>
      <c r="M818" s="7" t="n">
        <f aca="false">IF(Raw_Nigeria!I818="","",Raw_Nigeria!I818)</f>
        <v>56</v>
      </c>
      <c r="N818" s="7" t="n">
        <f aca="false">Raw_Nigeria!M818</f>
        <v>9.2</v>
      </c>
      <c r="O818" s="7" t="n">
        <f aca="false">IF(Raw_Nigeria!N818="","",Raw_Nigeria!N818)</f>
        <v>2489</v>
      </c>
      <c r="P818" s="7" t="str">
        <f aca="false">IF(K818="CBAW","Women of child-bearing age","Children")</f>
        <v>Children</v>
      </c>
      <c r="Q818" s="7" t="n">
        <f aca="false">IF(J818="NOT USED",1,0)</f>
        <v>0</v>
      </c>
      <c r="R818" s="7" t="n">
        <f aca="false">IF(AND(P818="Children",Q818=0),1,0)</f>
        <v>1</v>
      </c>
      <c r="S818" s="7" t="n">
        <f aca="false">IF(AND(R818=1,J818="Record or Recall",K818="12-23 m"),1,0)</f>
        <v>0</v>
      </c>
      <c r="T818" s="7" t="n">
        <f aca="false">IF(OR(I818="BCG",I818="DTP1",I818="DTP3",I818="POL3",I818="MCV1",I818="FULL"),1,0)</f>
        <v>1</v>
      </c>
      <c r="U818" s="7" t="n">
        <f aca="false">IF(OR(C818="DHS",C818="MICS"),1,0)</f>
        <v>1</v>
      </c>
      <c r="V818" s="7" t="n">
        <f aca="false">IF(O818="",1,0)</f>
        <v>0</v>
      </c>
      <c r="W818" s="7" t="n">
        <f aca="false">IF(M818="",1,0)</f>
        <v>0</v>
      </c>
      <c r="X818" s="7" t="n">
        <f aca="false">COUNTIFS($B$2:$B$1141,B818,$H$2:$H$1141,H818,$I$2:$I$1141,I818,$J$2:$J$1141,J818,$K$2:$K$1141,K818,$L$2:$L$1141,L818)</f>
        <v>1</v>
      </c>
    </row>
    <row r="819" customFormat="false" ht="15" hidden="false" customHeight="false" outlineLevel="0" collapsed="false">
      <c r="A819" s="7" t="n">
        <f aca="false">ROW()-1</f>
        <v>818</v>
      </c>
      <c r="B819" s="7" t="str">
        <f aca="false">IF(Raw_Nigeria!B819="",TRIM(Raw_Nigeria!C819),TRIM(Raw_Nigeria!B819))</f>
        <v>Nigeria Multiple Indicator Cluster Survey 2021</v>
      </c>
      <c r="C819" s="7" t="str">
        <f aca="false">IF(ISNUMBER(SEARCH("Demographic and Health",B819)),"DHS",IF(OR(ISNUMBER(SEARCH("Multiple Indicator Cluster",B819)),ISNUMBER(SEARCH("MICS",B819))),"MICS",IF(ISNUMBER(SEARCH("Immunization Coverage Survey",B819)),"Coverage survey",IF(ISNUMBER(SEARCH("Nutrition",B819)),"Nutrition survey","Other"))))</f>
        <v>MICS</v>
      </c>
      <c r="D819" s="7" t="n">
        <f aca="false">VALUE(LEFT(Raw_Nigeria!D819,4))</f>
        <v>2021</v>
      </c>
      <c r="E819" s="7" t="n">
        <f aca="false">IF(VALUE(RIGHT(Raw_Nigeria!D819,2))&gt;12,"",VALUE(RIGHT(Raw_Nigeria!D819,2)))</f>
        <v>9</v>
      </c>
      <c r="F819" s="7" t="n">
        <f aca="false">VALUE(LEFT(Raw_Nigeria!E819,4))</f>
        <v>2021</v>
      </c>
      <c r="G819" s="7" t="n">
        <f aca="false">IF(VALUE(RIGHT(Raw_Nigeria!E819,2))&gt;12,"",VALUE(RIGHT(Raw_Nigeria!E819,2)))</f>
        <v>12</v>
      </c>
      <c r="H819" s="7" t="n">
        <f aca="false">Raw_Nigeria!F819</f>
        <v>2020</v>
      </c>
      <c r="I819" s="7" t="str">
        <f aca="false">UPPER(TRIM(Raw_Nigeria!G819))</f>
        <v>FULL</v>
      </c>
      <c r="J819" s="7" t="str">
        <f aca="false">Raw_Nigeria!H819</f>
        <v>Record or Recall&lt;12m</v>
      </c>
      <c r="K819" s="7" t="str">
        <f aca="false">Raw_Nigeria!L819</f>
        <v>12-23 m</v>
      </c>
      <c r="L819" s="7" t="str">
        <f aca="false">IF(Raw_Nigeria!K819="","n/a",Raw_Nigeria!K819)</f>
        <v>0-12 m</v>
      </c>
      <c r="M819" s="7" t="n">
        <f aca="false">IF(Raw_Nigeria!I819="","",Raw_Nigeria!I819)</f>
        <v>56</v>
      </c>
      <c r="N819" s="7" t="n">
        <f aca="false">Raw_Nigeria!M819</f>
        <v>36.2</v>
      </c>
      <c r="O819" s="7" t="str">
        <f aca="false">IF(Raw_Nigeria!N819="","",Raw_Nigeria!N819)</f>
        <v/>
      </c>
      <c r="P819" s="7" t="str">
        <f aca="false">IF(K819="CBAW","Women of child-bearing age","Children")</f>
        <v>Children</v>
      </c>
      <c r="Q819" s="7" t="n">
        <f aca="false">IF(J819="NOT USED",1,0)</f>
        <v>0</v>
      </c>
      <c r="R819" s="7" t="n">
        <f aca="false">IF(AND(P819="Children",Q819=0),1,0)</f>
        <v>1</v>
      </c>
      <c r="S819" s="7" t="n">
        <f aca="false">IF(AND(R819=1,J819="Record or Recall",K819="12-23 m"),1,0)</f>
        <v>0</v>
      </c>
      <c r="T819" s="7" t="n">
        <f aca="false">IF(OR(I819="BCG",I819="DTP1",I819="DTP3",I819="POL3",I819="MCV1",I819="FULL"),1,0)</f>
        <v>1</v>
      </c>
      <c r="U819" s="7" t="n">
        <f aca="false">IF(OR(C819="DHS",C819="MICS"),1,0)</f>
        <v>1</v>
      </c>
      <c r="V819" s="7" t="n">
        <f aca="false">IF(O819="",1,0)</f>
        <v>1</v>
      </c>
      <c r="W819" s="7" t="n">
        <f aca="false">IF(M819="",1,0)</f>
        <v>0</v>
      </c>
      <c r="X819" s="7" t="n">
        <f aca="false">COUNTIFS($B$2:$B$1141,B819,$H$2:$H$1141,H819,$I$2:$I$1141,I819,$J$2:$J$1141,J819,$K$2:$K$1141,K819,$L$2:$L$1141,L819)</f>
        <v>1</v>
      </c>
    </row>
    <row r="820" customFormat="false" ht="15" hidden="false" customHeight="false" outlineLevel="0" collapsed="false">
      <c r="A820" s="7" t="n">
        <f aca="false">ROW()-1</f>
        <v>819</v>
      </c>
      <c r="B820" s="7" t="str">
        <f aca="false">IF(Raw_Nigeria!B820="",TRIM(Raw_Nigeria!C820),TRIM(Raw_Nigeria!B820))</f>
        <v>Nigeria Multiple Indicator Cluster Survey 2021</v>
      </c>
      <c r="C820" s="7" t="str">
        <f aca="false">IF(ISNUMBER(SEARCH("Demographic and Health",B820)),"DHS",IF(OR(ISNUMBER(SEARCH("Multiple Indicator Cluster",B820)),ISNUMBER(SEARCH("MICS",B820))),"MICS",IF(ISNUMBER(SEARCH("Immunization Coverage Survey",B820)),"Coverage survey",IF(ISNUMBER(SEARCH("Nutrition",B820)),"Nutrition survey","Other"))))</f>
        <v>MICS</v>
      </c>
      <c r="D820" s="7" t="n">
        <f aca="false">VALUE(LEFT(Raw_Nigeria!D820,4))</f>
        <v>2021</v>
      </c>
      <c r="E820" s="7" t="n">
        <f aca="false">IF(VALUE(RIGHT(Raw_Nigeria!D820,2))&gt;12,"",VALUE(RIGHT(Raw_Nigeria!D820,2)))</f>
        <v>9</v>
      </c>
      <c r="F820" s="7" t="n">
        <f aca="false">VALUE(LEFT(Raw_Nigeria!E820,4))</f>
        <v>2021</v>
      </c>
      <c r="G820" s="7" t="n">
        <f aca="false">IF(VALUE(RIGHT(Raw_Nigeria!E820,2))&gt;12,"",VALUE(RIGHT(Raw_Nigeria!E820,2)))</f>
        <v>12</v>
      </c>
      <c r="H820" s="7" t="n">
        <f aca="false">Raw_Nigeria!F820</f>
        <v>2020</v>
      </c>
      <c r="I820" s="7" t="str">
        <f aca="false">UPPER(TRIM(Raw_Nigeria!G820))</f>
        <v>FULL</v>
      </c>
      <c r="J820" s="7" t="str">
        <f aca="false">Raw_Nigeria!H820</f>
        <v>Record</v>
      </c>
      <c r="K820" s="7" t="str">
        <f aca="false">Raw_Nigeria!L820</f>
        <v>12-23 m</v>
      </c>
      <c r="L820" s="7" t="str">
        <f aca="false">IF(Raw_Nigeria!K820="","n/a",Raw_Nigeria!K820)</f>
        <v>0-23 m</v>
      </c>
      <c r="M820" s="7" t="n">
        <f aca="false">IF(Raw_Nigeria!I820="","",Raw_Nigeria!I820)</f>
        <v>56</v>
      </c>
      <c r="N820" s="7" t="n">
        <f aca="false">Raw_Nigeria!M820</f>
        <v>40.5</v>
      </c>
      <c r="O820" s="7" t="n">
        <f aca="false">IF(Raw_Nigeria!N820="","",Raw_Nigeria!N820)</f>
        <v>3163</v>
      </c>
      <c r="P820" s="7" t="str">
        <f aca="false">IF(K820="CBAW","Women of child-bearing age","Children")</f>
        <v>Children</v>
      </c>
      <c r="Q820" s="7" t="n">
        <f aca="false">IF(J820="NOT USED",1,0)</f>
        <v>0</v>
      </c>
      <c r="R820" s="7" t="n">
        <f aca="false">IF(AND(P820="Children",Q820=0),1,0)</f>
        <v>1</v>
      </c>
      <c r="S820" s="7" t="n">
        <f aca="false">IF(AND(R820=1,J820="Record or Recall",K820="12-23 m"),1,0)</f>
        <v>0</v>
      </c>
      <c r="T820" s="7" t="n">
        <f aca="false">IF(OR(I820="BCG",I820="DTP1",I820="DTP3",I820="POL3",I820="MCV1",I820="FULL"),1,0)</f>
        <v>1</v>
      </c>
      <c r="U820" s="7" t="n">
        <f aca="false">IF(OR(C820="DHS",C820="MICS"),1,0)</f>
        <v>1</v>
      </c>
      <c r="V820" s="7" t="n">
        <f aca="false">IF(O820="",1,0)</f>
        <v>0</v>
      </c>
      <c r="W820" s="7" t="n">
        <f aca="false">IF(M820="",1,0)</f>
        <v>0</v>
      </c>
      <c r="X820" s="7" t="n">
        <f aca="false">COUNTIFS($B$2:$B$1141,B820,$H$2:$H$1141,H820,$I$2:$I$1141,I820,$J$2:$J$1141,J820,$K$2:$K$1141,K820,$L$2:$L$1141,L820)</f>
        <v>1</v>
      </c>
    </row>
    <row r="821" customFormat="false" ht="15" hidden="false" customHeight="false" outlineLevel="0" collapsed="false">
      <c r="A821" s="7" t="n">
        <f aca="false">ROW()-1</f>
        <v>820</v>
      </c>
      <c r="B821" s="7" t="str">
        <f aca="false">IF(Raw_Nigeria!B821="",TRIM(Raw_Nigeria!C821),TRIM(Raw_Nigeria!B821))</f>
        <v>Nigeria Multiple Indicator Cluster Survey 2021</v>
      </c>
      <c r="C821" s="7" t="str">
        <f aca="false">IF(ISNUMBER(SEARCH("Demographic and Health",B821)),"DHS",IF(OR(ISNUMBER(SEARCH("Multiple Indicator Cluster",B821)),ISNUMBER(SEARCH("MICS",B821))),"MICS",IF(ISNUMBER(SEARCH("Immunization Coverage Survey",B821)),"Coverage survey",IF(ISNUMBER(SEARCH("Nutrition",B821)),"Nutrition survey","Other"))))</f>
        <v>MICS</v>
      </c>
      <c r="D821" s="7" t="n">
        <f aca="false">VALUE(LEFT(Raw_Nigeria!D821,4))</f>
        <v>2021</v>
      </c>
      <c r="E821" s="7" t="n">
        <f aca="false">IF(VALUE(RIGHT(Raw_Nigeria!D821,2))&gt;12,"",VALUE(RIGHT(Raw_Nigeria!D821,2)))</f>
        <v>9</v>
      </c>
      <c r="F821" s="7" t="n">
        <f aca="false">VALUE(LEFT(Raw_Nigeria!E821,4))</f>
        <v>2021</v>
      </c>
      <c r="G821" s="7" t="n">
        <f aca="false">IF(VALUE(RIGHT(Raw_Nigeria!E821,2))&gt;12,"",VALUE(RIGHT(Raw_Nigeria!E821,2)))</f>
        <v>12</v>
      </c>
      <c r="H821" s="7" t="n">
        <f aca="false">Raw_Nigeria!F821</f>
        <v>2020</v>
      </c>
      <c r="I821" s="7" t="str">
        <f aca="false">UPPER(TRIM(Raw_Nigeria!G821))</f>
        <v>FULL</v>
      </c>
      <c r="J821" s="7" t="str">
        <f aca="false">Raw_Nigeria!H821</f>
        <v>Record or Recall</v>
      </c>
      <c r="K821" s="7" t="str">
        <f aca="false">Raw_Nigeria!L821</f>
        <v>12-23 m</v>
      </c>
      <c r="L821" s="7" t="str">
        <f aca="false">IF(Raw_Nigeria!K821="","n/a",Raw_Nigeria!K821)</f>
        <v>0-23 m</v>
      </c>
      <c r="M821" s="7" t="n">
        <f aca="false">IF(Raw_Nigeria!I821="","",Raw_Nigeria!I821)</f>
        <v>56</v>
      </c>
      <c r="N821" s="7" t="n">
        <f aca="false">Raw_Nigeria!M821</f>
        <v>44.2</v>
      </c>
      <c r="O821" s="7" t="n">
        <f aca="false">IF(Raw_Nigeria!N821="","",Raw_Nigeria!N821)</f>
        <v>5652</v>
      </c>
      <c r="P821" s="7" t="str">
        <f aca="false">IF(K821="CBAW","Women of child-bearing age","Children")</f>
        <v>Children</v>
      </c>
      <c r="Q821" s="7" t="n">
        <f aca="false">IF(J821="NOT USED",1,0)</f>
        <v>0</v>
      </c>
      <c r="R821" s="7" t="n">
        <f aca="false">IF(AND(P821="Children",Q821=0),1,0)</f>
        <v>1</v>
      </c>
      <c r="S821" s="7" t="n">
        <f aca="false">IF(AND(R821=1,J821="Record or Recall",K821="12-23 m"),1,0)</f>
        <v>1</v>
      </c>
      <c r="T821" s="7" t="n">
        <f aca="false">IF(OR(I821="BCG",I821="DTP1",I821="DTP3",I821="POL3",I821="MCV1",I821="FULL"),1,0)</f>
        <v>1</v>
      </c>
      <c r="U821" s="7" t="n">
        <f aca="false">IF(OR(C821="DHS",C821="MICS"),1,0)</f>
        <v>1</v>
      </c>
      <c r="V821" s="7" t="n">
        <f aca="false">IF(O821="",1,0)</f>
        <v>0</v>
      </c>
      <c r="W821" s="7" t="n">
        <f aca="false">IF(M821="",1,0)</f>
        <v>0</v>
      </c>
      <c r="X821" s="7" t="n">
        <f aca="false">COUNTIFS($B$2:$B$1141,B821,$H$2:$H$1141,H821,$I$2:$I$1141,I821,$J$2:$J$1141,J821,$K$2:$K$1141,K821,$L$2:$L$1141,L821)</f>
        <v>1</v>
      </c>
    </row>
    <row r="822" customFormat="false" ht="15" hidden="false" customHeight="false" outlineLevel="0" collapsed="false">
      <c r="A822" s="7" t="n">
        <f aca="false">ROW()-1</f>
        <v>821</v>
      </c>
      <c r="B822" s="7" t="str">
        <f aca="false">IF(Raw_Nigeria!B822="",TRIM(Raw_Nigeria!C822),TRIM(Raw_Nigeria!B822))</f>
        <v>Nigeria Multiple Indicator Cluster Survey 2021</v>
      </c>
      <c r="C822" s="7" t="str">
        <f aca="false">IF(ISNUMBER(SEARCH("Demographic and Health",B822)),"DHS",IF(OR(ISNUMBER(SEARCH("Multiple Indicator Cluster",B822)),ISNUMBER(SEARCH("MICS",B822))),"MICS",IF(ISNUMBER(SEARCH("Immunization Coverage Survey",B822)),"Coverage survey",IF(ISNUMBER(SEARCH("Nutrition",B822)),"Nutrition survey","Other"))))</f>
        <v>MICS</v>
      </c>
      <c r="D822" s="7" t="n">
        <f aca="false">VALUE(LEFT(Raw_Nigeria!D822,4))</f>
        <v>2021</v>
      </c>
      <c r="E822" s="7" t="n">
        <f aca="false">IF(VALUE(RIGHT(Raw_Nigeria!D822,2))&gt;12,"",VALUE(RIGHT(Raw_Nigeria!D822,2)))</f>
        <v>9</v>
      </c>
      <c r="F822" s="7" t="n">
        <f aca="false">VALUE(LEFT(Raw_Nigeria!E822,4))</f>
        <v>2021</v>
      </c>
      <c r="G822" s="7" t="n">
        <f aca="false">IF(VALUE(RIGHT(Raw_Nigeria!E822,2))&gt;12,"",VALUE(RIGHT(Raw_Nigeria!E822,2)))</f>
        <v>12</v>
      </c>
      <c r="H822" s="7" t="n">
        <f aca="false">Raw_Nigeria!F822</f>
        <v>2020</v>
      </c>
      <c r="I822" s="7" t="str">
        <f aca="false">UPPER(TRIM(Raw_Nigeria!G822))</f>
        <v>FULL</v>
      </c>
      <c r="J822" s="7" t="str">
        <f aca="false">Raw_Nigeria!H822</f>
        <v>Recall</v>
      </c>
      <c r="K822" s="7" t="str">
        <f aca="false">Raw_Nigeria!L822</f>
        <v>12-23 m</v>
      </c>
      <c r="L822" s="7" t="str">
        <f aca="false">IF(Raw_Nigeria!K822="","n/a",Raw_Nigeria!K822)</f>
        <v>0-23 m</v>
      </c>
      <c r="M822" s="7" t="n">
        <f aca="false">IF(Raw_Nigeria!I822="","",Raw_Nigeria!I822)</f>
        <v>56</v>
      </c>
      <c r="N822" s="7" t="n">
        <f aca="false">Raw_Nigeria!M822</f>
        <v>2.6</v>
      </c>
      <c r="O822" s="7" t="n">
        <f aca="false">IF(Raw_Nigeria!N822="","",Raw_Nigeria!N822)</f>
        <v>2489</v>
      </c>
      <c r="P822" s="7" t="str">
        <f aca="false">IF(K822="CBAW","Women of child-bearing age","Children")</f>
        <v>Children</v>
      </c>
      <c r="Q822" s="7" t="n">
        <f aca="false">IF(J822="NOT USED",1,0)</f>
        <v>0</v>
      </c>
      <c r="R822" s="7" t="n">
        <f aca="false">IF(AND(P822="Children",Q822=0),1,0)</f>
        <v>1</v>
      </c>
      <c r="S822" s="7" t="n">
        <f aca="false">IF(AND(R822=1,J822="Record or Recall",K822="12-23 m"),1,0)</f>
        <v>0</v>
      </c>
      <c r="T822" s="7" t="n">
        <f aca="false">IF(OR(I822="BCG",I822="DTP1",I822="DTP3",I822="POL3",I822="MCV1",I822="FULL"),1,0)</f>
        <v>1</v>
      </c>
      <c r="U822" s="7" t="n">
        <f aca="false">IF(OR(C822="DHS",C822="MICS"),1,0)</f>
        <v>1</v>
      </c>
      <c r="V822" s="7" t="n">
        <f aca="false">IF(O822="",1,0)</f>
        <v>0</v>
      </c>
      <c r="W822" s="7" t="n">
        <f aca="false">IF(M822="",1,0)</f>
        <v>0</v>
      </c>
      <c r="X822" s="7" t="n">
        <f aca="false">COUNTIFS($B$2:$B$1141,B822,$H$2:$H$1141,H822,$I$2:$I$1141,I822,$J$2:$J$1141,J822,$K$2:$K$1141,K822,$L$2:$L$1141,L822)</f>
        <v>1</v>
      </c>
    </row>
    <row r="823" customFormat="false" ht="15" hidden="false" customHeight="false" outlineLevel="0" collapsed="false">
      <c r="A823" s="7" t="n">
        <f aca="false">ROW()-1</f>
        <v>822</v>
      </c>
      <c r="B823" s="7" t="str">
        <f aca="false">IF(Raw_Nigeria!B823="",TRIM(Raw_Nigeria!C823),TRIM(Raw_Nigeria!B823))</f>
        <v>Nigeria Multiple Indicator Cluster Survey 2021</v>
      </c>
      <c r="C823" s="7" t="str">
        <f aca="false">IF(ISNUMBER(SEARCH("Demographic and Health",B823)),"DHS",IF(OR(ISNUMBER(SEARCH("Multiple Indicator Cluster",B823)),ISNUMBER(SEARCH("MICS",B823))),"MICS",IF(ISNUMBER(SEARCH("Immunization Coverage Survey",B823)),"Coverage survey",IF(ISNUMBER(SEARCH("Nutrition",B823)),"Nutrition survey","Other"))))</f>
        <v>MICS</v>
      </c>
      <c r="D823" s="7" t="n">
        <f aca="false">VALUE(LEFT(Raw_Nigeria!D823,4))</f>
        <v>2021</v>
      </c>
      <c r="E823" s="7" t="n">
        <f aca="false">IF(VALUE(RIGHT(Raw_Nigeria!D823,2))&gt;12,"",VALUE(RIGHT(Raw_Nigeria!D823,2)))</f>
        <v>9</v>
      </c>
      <c r="F823" s="7" t="n">
        <f aca="false">VALUE(LEFT(Raw_Nigeria!E823,4))</f>
        <v>2021</v>
      </c>
      <c r="G823" s="7" t="n">
        <f aca="false">IF(VALUE(RIGHT(Raw_Nigeria!E823,2))&gt;12,"",VALUE(RIGHT(Raw_Nigeria!E823,2)))</f>
        <v>12</v>
      </c>
      <c r="H823" s="7" t="n">
        <f aca="false">Raw_Nigeria!F823</f>
        <v>2020</v>
      </c>
      <c r="I823" s="7" t="str">
        <f aca="false">UPPER(TRIM(Raw_Nigeria!G823))</f>
        <v>HEPB1</v>
      </c>
      <c r="J823" s="7" t="str">
        <f aca="false">Raw_Nigeria!H823</f>
        <v>Record or Recall&lt;12m</v>
      </c>
      <c r="K823" s="7" t="str">
        <f aca="false">Raw_Nigeria!L823</f>
        <v>12-23 m</v>
      </c>
      <c r="L823" s="7" t="str">
        <f aca="false">IF(Raw_Nigeria!K823="","n/a",Raw_Nigeria!K823)</f>
        <v>0-12 m</v>
      </c>
      <c r="M823" s="7" t="n">
        <f aca="false">IF(Raw_Nigeria!I823="","",Raw_Nigeria!I823)</f>
        <v>56</v>
      </c>
      <c r="N823" s="7" t="n">
        <f aca="false">Raw_Nigeria!M823</f>
        <v>68</v>
      </c>
      <c r="O823" s="7" t="str">
        <f aca="false">IF(Raw_Nigeria!N823="","",Raw_Nigeria!N823)</f>
        <v/>
      </c>
      <c r="P823" s="7" t="str">
        <f aca="false">IF(K823="CBAW","Women of child-bearing age","Children")</f>
        <v>Children</v>
      </c>
      <c r="Q823" s="7" t="n">
        <f aca="false">IF(J823="NOT USED",1,0)</f>
        <v>0</v>
      </c>
      <c r="R823" s="7" t="n">
        <f aca="false">IF(AND(P823="Children",Q823=0),1,0)</f>
        <v>1</v>
      </c>
      <c r="S823" s="7" t="n">
        <f aca="false">IF(AND(R823=1,J823="Record or Recall",K823="12-23 m"),1,0)</f>
        <v>0</v>
      </c>
      <c r="T823" s="7" t="n">
        <f aca="false">IF(OR(I823="BCG",I823="DTP1",I823="DTP3",I823="POL3",I823="MCV1",I823="FULL"),1,0)</f>
        <v>0</v>
      </c>
      <c r="U823" s="7" t="n">
        <f aca="false">IF(OR(C823="DHS",C823="MICS"),1,0)</f>
        <v>1</v>
      </c>
      <c r="V823" s="7" t="n">
        <f aca="false">IF(O823="",1,0)</f>
        <v>1</v>
      </c>
      <c r="W823" s="7" t="n">
        <f aca="false">IF(M823="",1,0)</f>
        <v>0</v>
      </c>
      <c r="X823" s="7" t="n">
        <f aca="false">COUNTIFS($B$2:$B$1141,B823,$H$2:$H$1141,H823,$I$2:$I$1141,I823,$J$2:$J$1141,J823,$K$2:$K$1141,K823,$L$2:$L$1141,L823)</f>
        <v>1</v>
      </c>
    </row>
    <row r="824" customFormat="false" ht="15" hidden="false" customHeight="false" outlineLevel="0" collapsed="false">
      <c r="A824" s="7" t="n">
        <f aca="false">ROW()-1</f>
        <v>823</v>
      </c>
      <c r="B824" s="7" t="str">
        <f aca="false">IF(Raw_Nigeria!B824="",TRIM(Raw_Nigeria!C824),TRIM(Raw_Nigeria!B824))</f>
        <v>Nigeria Multiple Indicator Cluster Survey 2021</v>
      </c>
      <c r="C824" s="7" t="str">
        <f aca="false">IF(ISNUMBER(SEARCH("Demographic and Health",B824)),"DHS",IF(OR(ISNUMBER(SEARCH("Multiple Indicator Cluster",B824)),ISNUMBER(SEARCH("MICS",B824))),"MICS",IF(ISNUMBER(SEARCH("Immunization Coverage Survey",B824)),"Coverage survey",IF(ISNUMBER(SEARCH("Nutrition",B824)),"Nutrition survey","Other"))))</f>
        <v>MICS</v>
      </c>
      <c r="D824" s="7" t="n">
        <f aca="false">VALUE(LEFT(Raw_Nigeria!D824,4))</f>
        <v>2021</v>
      </c>
      <c r="E824" s="7" t="n">
        <f aca="false">IF(VALUE(RIGHT(Raw_Nigeria!D824,2))&gt;12,"",VALUE(RIGHT(Raw_Nigeria!D824,2)))</f>
        <v>9</v>
      </c>
      <c r="F824" s="7" t="n">
        <f aca="false">VALUE(LEFT(Raw_Nigeria!E824,4))</f>
        <v>2021</v>
      </c>
      <c r="G824" s="7" t="n">
        <f aca="false">IF(VALUE(RIGHT(Raw_Nigeria!E824,2))&gt;12,"",VALUE(RIGHT(Raw_Nigeria!E824,2)))</f>
        <v>12</v>
      </c>
      <c r="H824" s="7" t="n">
        <f aca="false">Raw_Nigeria!F824</f>
        <v>2020</v>
      </c>
      <c r="I824" s="7" t="str">
        <f aca="false">UPPER(TRIM(Raw_Nigeria!G824))</f>
        <v>HEPB1</v>
      </c>
      <c r="J824" s="7" t="str">
        <f aca="false">Raw_Nigeria!H824</f>
        <v>Record</v>
      </c>
      <c r="K824" s="7" t="str">
        <f aca="false">Raw_Nigeria!L824</f>
        <v>12-23 m</v>
      </c>
      <c r="L824" s="7" t="str">
        <f aca="false">IF(Raw_Nigeria!K824="","n/a",Raw_Nigeria!K824)</f>
        <v>0-23 m</v>
      </c>
      <c r="M824" s="7" t="n">
        <f aca="false">IF(Raw_Nigeria!I824="","",Raw_Nigeria!I824)</f>
        <v>56</v>
      </c>
      <c r="N824" s="7" t="n">
        <f aca="false">Raw_Nigeria!M824</f>
        <v>53.4</v>
      </c>
      <c r="O824" s="7" t="n">
        <f aca="false">IF(Raw_Nigeria!N824="","",Raw_Nigeria!N824)</f>
        <v>3163</v>
      </c>
      <c r="P824" s="7" t="str">
        <f aca="false">IF(K824="CBAW","Women of child-bearing age","Children")</f>
        <v>Children</v>
      </c>
      <c r="Q824" s="7" t="n">
        <f aca="false">IF(J824="NOT USED",1,0)</f>
        <v>0</v>
      </c>
      <c r="R824" s="7" t="n">
        <f aca="false">IF(AND(P824="Children",Q824=0),1,0)</f>
        <v>1</v>
      </c>
      <c r="S824" s="7" t="n">
        <f aca="false">IF(AND(R824=1,J824="Record or Recall",K824="12-23 m"),1,0)</f>
        <v>0</v>
      </c>
      <c r="T824" s="7" t="n">
        <f aca="false">IF(OR(I824="BCG",I824="DTP1",I824="DTP3",I824="POL3",I824="MCV1",I824="FULL"),1,0)</f>
        <v>0</v>
      </c>
      <c r="U824" s="7" t="n">
        <f aca="false">IF(OR(C824="DHS",C824="MICS"),1,0)</f>
        <v>1</v>
      </c>
      <c r="V824" s="7" t="n">
        <f aca="false">IF(O824="",1,0)</f>
        <v>0</v>
      </c>
      <c r="W824" s="7" t="n">
        <f aca="false">IF(M824="",1,0)</f>
        <v>0</v>
      </c>
      <c r="X824" s="7" t="n">
        <f aca="false">COUNTIFS($B$2:$B$1141,B824,$H$2:$H$1141,H824,$I$2:$I$1141,I824,$J$2:$J$1141,J824,$K$2:$K$1141,K824,$L$2:$L$1141,L824)</f>
        <v>1</v>
      </c>
    </row>
    <row r="825" customFormat="false" ht="15" hidden="false" customHeight="false" outlineLevel="0" collapsed="false">
      <c r="A825" s="7" t="n">
        <f aca="false">ROW()-1</f>
        <v>824</v>
      </c>
      <c r="B825" s="7" t="str">
        <f aca="false">IF(Raw_Nigeria!B825="",TRIM(Raw_Nigeria!C825),TRIM(Raw_Nigeria!B825))</f>
        <v>Nigeria Multiple Indicator Cluster Survey 2021</v>
      </c>
      <c r="C825" s="7" t="str">
        <f aca="false">IF(ISNUMBER(SEARCH("Demographic and Health",B825)),"DHS",IF(OR(ISNUMBER(SEARCH("Multiple Indicator Cluster",B825)),ISNUMBER(SEARCH("MICS",B825))),"MICS",IF(ISNUMBER(SEARCH("Immunization Coverage Survey",B825)),"Coverage survey",IF(ISNUMBER(SEARCH("Nutrition",B825)),"Nutrition survey","Other"))))</f>
        <v>MICS</v>
      </c>
      <c r="D825" s="7" t="n">
        <f aca="false">VALUE(LEFT(Raw_Nigeria!D825,4))</f>
        <v>2021</v>
      </c>
      <c r="E825" s="7" t="n">
        <f aca="false">IF(VALUE(RIGHT(Raw_Nigeria!D825,2))&gt;12,"",VALUE(RIGHT(Raw_Nigeria!D825,2)))</f>
        <v>9</v>
      </c>
      <c r="F825" s="7" t="n">
        <f aca="false">VALUE(LEFT(Raw_Nigeria!E825,4))</f>
        <v>2021</v>
      </c>
      <c r="G825" s="7" t="n">
        <f aca="false">IF(VALUE(RIGHT(Raw_Nigeria!E825,2))&gt;12,"",VALUE(RIGHT(Raw_Nigeria!E825,2)))</f>
        <v>12</v>
      </c>
      <c r="H825" s="7" t="n">
        <f aca="false">Raw_Nigeria!F825</f>
        <v>2020</v>
      </c>
      <c r="I825" s="7" t="str">
        <f aca="false">UPPER(TRIM(Raw_Nigeria!G825))</f>
        <v>HEPB1</v>
      </c>
      <c r="J825" s="7" t="str">
        <f aca="false">Raw_Nigeria!H825</f>
        <v>Record or Recall</v>
      </c>
      <c r="K825" s="7" t="str">
        <f aca="false">Raw_Nigeria!L825</f>
        <v>12-23 m</v>
      </c>
      <c r="L825" s="7" t="str">
        <f aca="false">IF(Raw_Nigeria!K825="","n/a",Raw_Nigeria!K825)</f>
        <v>0-23 m</v>
      </c>
      <c r="M825" s="7" t="n">
        <f aca="false">IF(Raw_Nigeria!I825="","",Raw_Nigeria!I825)</f>
        <v>56</v>
      </c>
      <c r="N825" s="7" t="n">
        <f aca="false">Raw_Nigeria!M825</f>
        <v>70.3</v>
      </c>
      <c r="O825" s="7" t="n">
        <f aca="false">IF(Raw_Nigeria!N825="","",Raw_Nigeria!N825)</f>
        <v>5652</v>
      </c>
      <c r="P825" s="7" t="str">
        <f aca="false">IF(K825="CBAW","Women of child-bearing age","Children")</f>
        <v>Children</v>
      </c>
      <c r="Q825" s="7" t="n">
        <f aca="false">IF(J825="NOT USED",1,0)</f>
        <v>0</v>
      </c>
      <c r="R825" s="7" t="n">
        <f aca="false">IF(AND(P825="Children",Q825=0),1,0)</f>
        <v>1</v>
      </c>
      <c r="S825" s="7" t="n">
        <f aca="false">IF(AND(R825=1,J825="Record or Recall",K825="12-23 m"),1,0)</f>
        <v>1</v>
      </c>
      <c r="T825" s="7" t="n">
        <f aca="false">IF(OR(I825="BCG",I825="DTP1",I825="DTP3",I825="POL3",I825="MCV1",I825="FULL"),1,0)</f>
        <v>0</v>
      </c>
      <c r="U825" s="7" t="n">
        <f aca="false">IF(OR(C825="DHS",C825="MICS"),1,0)</f>
        <v>1</v>
      </c>
      <c r="V825" s="7" t="n">
        <f aca="false">IF(O825="",1,0)</f>
        <v>0</v>
      </c>
      <c r="W825" s="7" t="n">
        <f aca="false">IF(M825="",1,0)</f>
        <v>0</v>
      </c>
      <c r="X825" s="7" t="n">
        <f aca="false">COUNTIFS($B$2:$B$1141,B825,$H$2:$H$1141,H825,$I$2:$I$1141,I825,$J$2:$J$1141,J825,$K$2:$K$1141,K825,$L$2:$L$1141,L825)</f>
        <v>1</v>
      </c>
    </row>
    <row r="826" customFormat="false" ht="15" hidden="false" customHeight="false" outlineLevel="0" collapsed="false">
      <c r="A826" s="7" t="n">
        <f aca="false">ROW()-1</f>
        <v>825</v>
      </c>
      <c r="B826" s="7" t="str">
        <f aca="false">IF(Raw_Nigeria!B826="",TRIM(Raw_Nigeria!C826),TRIM(Raw_Nigeria!B826))</f>
        <v>Nigeria Multiple Indicator Cluster Survey 2021</v>
      </c>
      <c r="C826" s="7" t="str">
        <f aca="false">IF(ISNUMBER(SEARCH("Demographic and Health",B826)),"DHS",IF(OR(ISNUMBER(SEARCH("Multiple Indicator Cluster",B826)),ISNUMBER(SEARCH("MICS",B826))),"MICS",IF(ISNUMBER(SEARCH("Immunization Coverage Survey",B826)),"Coverage survey",IF(ISNUMBER(SEARCH("Nutrition",B826)),"Nutrition survey","Other"))))</f>
        <v>MICS</v>
      </c>
      <c r="D826" s="7" t="n">
        <f aca="false">VALUE(LEFT(Raw_Nigeria!D826,4))</f>
        <v>2021</v>
      </c>
      <c r="E826" s="7" t="n">
        <f aca="false">IF(VALUE(RIGHT(Raw_Nigeria!D826,2))&gt;12,"",VALUE(RIGHT(Raw_Nigeria!D826,2)))</f>
        <v>9</v>
      </c>
      <c r="F826" s="7" t="n">
        <f aca="false">VALUE(LEFT(Raw_Nigeria!E826,4))</f>
        <v>2021</v>
      </c>
      <c r="G826" s="7" t="n">
        <f aca="false">IF(VALUE(RIGHT(Raw_Nigeria!E826,2))&gt;12,"",VALUE(RIGHT(Raw_Nigeria!E826,2)))</f>
        <v>12</v>
      </c>
      <c r="H826" s="7" t="n">
        <f aca="false">Raw_Nigeria!F826</f>
        <v>2020</v>
      </c>
      <c r="I826" s="7" t="str">
        <f aca="false">UPPER(TRIM(Raw_Nigeria!G826))</f>
        <v>HEPB1</v>
      </c>
      <c r="J826" s="7" t="str">
        <f aca="false">Raw_Nigeria!H826</f>
        <v>Recall</v>
      </c>
      <c r="K826" s="7" t="str">
        <f aca="false">Raw_Nigeria!L826</f>
        <v>12-23 m</v>
      </c>
      <c r="L826" s="7" t="str">
        <f aca="false">IF(Raw_Nigeria!K826="","n/a",Raw_Nigeria!K826)</f>
        <v>0-23 m</v>
      </c>
      <c r="M826" s="7" t="n">
        <f aca="false">IF(Raw_Nigeria!I826="","",Raw_Nigeria!I826)</f>
        <v>56</v>
      </c>
      <c r="N826" s="7" t="n">
        <f aca="false">Raw_Nigeria!M826</f>
        <v>16.9</v>
      </c>
      <c r="O826" s="7" t="n">
        <f aca="false">IF(Raw_Nigeria!N826="","",Raw_Nigeria!N826)</f>
        <v>2489</v>
      </c>
      <c r="P826" s="7" t="str">
        <f aca="false">IF(K826="CBAW","Women of child-bearing age","Children")</f>
        <v>Children</v>
      </c>
      <c r="Q826" s="7" t="n">
        <f aca="false">IF(J826="NOT USED",1,0)</f>
        <v>0</v>
      </c>
      <c r="R826" s="7" t="n">
        <f aca="false">IF(AND(P826="Children",Q826=0),1,0)</f>
        <v>1</v>
      </c>
      <c r="S826" s="7" t="n">
        <f aca="false">IF(AND(R826=1,J826="Record or Recall",K826="12-23 m"),1,0)</f>
        <v>0</v>
      </c>
      <c r="T826" s="7" t="n">
        <f aca="false">IF(OR(I826="BCG",I826="DTP1",I826="DTP3",I826="POL3",I826="MCV1",I826="FULL"),1,0)</f>
        <v>0</v>
      </c>
      <c r="U826" s="7" t="n">
        <f aca="false">IF(OR(C826="DHS",C826="MICS"),1,0)</f>
        <v>1</v>
      </c>
      <c r="V826" s="7" t="n">
        <f aca="false">IF(O826="",1,0)</f>
        <v>0</v>
      </c>
      <c r="W826" s="7" t="n">
        <f aca="false">IF(M826="",1,0)</f>
        <v>0</v>
      </c>
      <c r="X826" s="7" t="n">
        <f aca="false">COUNTIFS($B$2:$B$1141,B826,$H$2:$H$1141,H826,$I$2:$I$1141,I826,$J$2:$J$1141,J826,$K$2:$K$1141,K826,$L$2:$L$1141,L826)</f>
        <v>1</v>
      </c>
    </row>
    <row r="827" customFormat="false" ht="15" hidden="false" customHeight="false" outlineLevel="0" collapsed="false">
      <c r="A827" s="7" t="n">
        <f aca="false">ROW()-1</f>
        <v>826</v>
      </c>
      <c r="B827" s="7" t="str">
        <f aca="false">IF(Raw_Nigeria!B827="",TRIM(Raw_Nigeria!C827),TRIM(Raw_Nigeria!B827))</f>
        <v>Nigeria Multiple Indicator Cluster Survey 2021</v>
      </c>
      <c r="C827" s="7" t="str">
        <f aca="false">IF(ISNUMBER(SEARCH("Demographic and Health",B827)),"DHS",IF(OR(ISNUMBER(SEARCH("Multiple Indicator Cluster",B827)),ISNUMBER(SEARCH("MICS",B827))),"MICS",IF(ISNUMBER(SEARCH("Immunization Coverage Survey",B827)),"Coverage survey",IF(ISNUMBER(SEARCH("Nutrition",B827)),"Nutrition survey","Other"))))</f>
        <v>MICS</v>
      </c>
      <c r="D827" s="7" t="n">
        <f aca="false">VALUE(LEFT(Raw_Nigeria!D827,4))</f>
        <v>2021</v>
      </c>
      <c r="E827" s="7" t="n">
        <f aca="false">IF(VALUE(RIGHT(Raw_Nigeria!D827,2))&gt;12,"",VALUE(RIGHT(Raw_Nigeria!D827,2)))</f>
        <v>9</v>
      </c>
      <c r="F827" s="7" t="n">
        <f aca="false">VALUE(LEFT(Raw_Nigeria!E827,4))</f>
        <v>2021</v>
      </c>
      <c r="G827" s="7" t="n">
        <f aca="false">IF(VALUE(RIGHT(Raw_Nigeria!E827,2))&gt;12,"",VALUE(RIGHT(Raw_Nigeria!E827,2)))</f>
        <v>12</v>
      </c>
      <c r="H827" s="7" t="n">
        <f aca="false">Raw_Nigeria!F827</f>
        <v>2020</v>
      </c>
      <c r="I827" s="7" t="str">
        <f aca="false">UPPER(TRIM(Raw_Nigeria!G827))</f>
        <v>HEPB2</v>
      </c>
      <c r="J827" s="7" t="str">
        <f aca="false">Raw_Nigeria!H827</f>
        <v>Record or Recall&lt;12m</v>
      </c>
      <c r="K827" s="7" t="str">
        <f aca="false">Raw_Nigeria!L827</f>
        <v>12-23 m</v>
      </c>
      <c r="L827" s="7" t="str">
        <f aca="false">IF(Raw_Nigeria!K827="","n/a",Raw_Nigeria!K827)</f>
        <v>0-12 m</v>
      </c>
      <c r="M827" s="7" t="n">
        <f aca="false">IF(Raw_Nigeria!I827="","",Raw_Nigeria!I827)</f>
        <v>56</v>
      </c>
      <c r="N827" s="7" t="n">
        <f aca="false">Raw_Nigeria!M827</f>
        <v>61.7</v>
      </c>
      <c r="O827" s="7" t="str">
        <f aca="false">IF(Raw_Nigeria!N827="","",Raw_Nigeria!N827)</f>
        <v/>
      </c>
      <c r="P827" s="7" t="str">
        <f aca="false">IF(K827="CBAW","Women of child-bearing age","Children")</f>
        <v>Children</v>
      </c>
      <c r="Q827" s="7" t="n">
        <f aca="false">IF(J827="NOT USED",1,0)</f>
        <v>0</v>
      </c>
      <c r="R827" s="7" t="n">
        <f aca="false">IF(AND(P827="Children",Q827=0),1,0)</f>
        <v>1</v>
      </c>
      <c r="S827" s="7" t="n">
        <f aca="false">IF(AND(R827=1,J827="Record or Recall",K827="12-23 m"),1,0)</f>
        <v>0</v>
      </c>
      <c r="T827" s="7" t="n">
        <f aca="false">IF(OR(I827="BCG",I827="DTP1",I827="DTP3",I827="POL3",I827="MCV1",I827="FULL"),1,0)</f>
        <v>0</v>
      </c>
      <c r="U827" s="7" t="n">
        <f aca="false">IF(OR(C827="DHS",C827="MICS"),1,0)</f>
        <v>1</v>
      </c>
      <c r="V827" s="7" t="n">
        <f aca="false">IF(O827="",1,0)</f>
        <v>1</v>
      </c>
      <c r="W827" s="7" t="n">
        <f aca="false">IF(M827="",1,0)</f>
        <v>0</v>
      </c>
      <c r="X827" s="7" t="n">
        <f aca="false">COUNTIFS($B$2:$B$1141,B827,$H$2:$H$1141,H827,$I$2:$I$1141,I827,$J$2:$J$1141,J827,$K$2:$K$1141,K827,$L$2:$L$1141,L827)</f>
        <v>1</v>
      </c>
    </row>
    <row r="828" customFormat="false" ht="15" hidden="false" customHeight="false" outlineLevel="0" collapsed="false">
      <c r="A828" s="7" t="n">
        <f aca="false">ROW()-1</f>
        <v>827</v>
      </c>
      <c r="B828" s="7" t="str">
        <f aca="false">IF(Raw_Nigeria!B828="",TRIM(Raw_Nigeria!C828),TRIM(Raw_Nigeria!B828))</f>
        <v>Nigeria Multiple Indicator Cluster Survey 2021</v>
      </c>
      <c r="C828" s="7" t="str">
        <f aca="false">IF(ISNUMBER(SEARCH("Demographic and Health",B828)),"DHS",IF(OR(ISNUMBER(SEARCH("Multiple Indicator Cluster",B828)),ISNUMBER(SEARCH("MICS",B828))),"MICS",IF(ISNUMBER(SEARCH("Immunization Coverage Survey",B828)),"Coverage survey",IF(ISNUMBER(SEARCH("Nutrition",B828)),"Nutrition survey","Other"))))</f>
        <v>MICS</v>
      </c>
      <c r="D828" s="7" t="n">
        <f aca="false">VALUE(LEFT(Raw_Nigeria!D828,4))</f>
        <v>2021</v>
      </c>
      <c r="E828" s="7" t="n">
        <f aca="false">IF(VALUE(RIGHT(Raw_Nigeria!D828,2))&gt;12,"",VALUE(RIGHT(Raw_Nigeria!D828,2)))</f>
        <v>9</v>
      </c>
      <c r="F828" s="7" t="n">
        <f aca="false">VALUE(LEFT(Raw_Nigeria!E828,4))</f>
        <v>2021</v>
      </c>
      <c r="G828" s="7" t="n">
        <f aca="false">IF(VALUE(RIGHT(Raw_Nigeria!E828,2))&gt;12,"",VALUE(RIGHT(Raw_Nigeria!E828,2)))</f>
        <v>12</v>
      </c>
      <c r="H828" s="7" t="n">
        <f aca="false">Raw_Nigeria!F828</f>
        <v>2020</v>
      </c>
      <c r="I828" s="7" t="str">
        <f aca="false">UPPER(TRIM(Raw_Nigeria!G828))</f>
        <v>HEPB2</v>
      </c>
      <c r="J828" s="7" t="str">
        <f aca="false">Raw_Nigeria!H828</f>
        <v>Record</v>
      </c>
      <c r="K828" s="7" t="str">
        <f aca="false">Raw_Nigeria!L828</f>
        <v>12-23 m</v>
      </c>
      <c r="L828" s="7" t="str">
        <f aca="false">IF(Raw_Nigeria!K828="","n/a",Raw_Nigeria!K828)</f>
        <v>0-23 m</v>
      </c>
      <c r="M828" s="7" t="n">
        <f aca="false">IF(Raw_Nigeria!I828="","",Raw_Nigeria!I828)</f>
        <v>56</v>
      </c>
      <c r="N828" s="7" t="n">
        <f aca="false">Raw_Nigeria!M828</f>
        <v>50.6</v>
      </c>
      <c r="O828" s="7" t="n">
        <f aca="false">IF(Raw_Nigeria!N828="","",Raw_Nigeria!N828)</f>
        <v>3163</v>
      </c>
      <c r="P828" s="7" t="str">
        <f aca="false">IF(K828="CBAW","Women of child-bearing age","Children")</f>
        <v>Children</v>
      </c>
      <c r="Q828" s="7" t="n">
        <f aca="false">IF(J828="NOT USED",1,0)</f>
        <v>0</v>
      </c>
      <c r="R828" s="7" t="n">
        <f aca="false">IF(AND(P828="Children",Q828=0),1,0)</f>
        <v>1</v>
      </c>
      <c r="S828" s="7" t="n">
        <f aca="false">IF(AND(R828=1,J828="Record or Recall",K828="12-23 m"),1,0)</f>
        <v>0</v>
      </c>
      <c r="T828" s="7" t="n">
        <f aca="false">IF(OR(I828="BCG",I828="DTP1",I828="DTP3",I828="POL3",I828="MCV1",I828="FULL"),1,0)</f>
        <v>0</v>
      </c>
      <c r="U828" s="7" t="n">
        <f aca="false">IF(OR(C828="DHS",C828="MICS"),1,0)</f>
        <v>1</v>
      </c>
      <c r="V828" s="7" t="n">
        <f aca="false">IF(O828="",1,0)</f>
        <v>0</v>
      </c>
      <c r="W828" s="7" t="n">
        <f aca="false">IF(M828="",1,0)</f>
        <v>0</v>
      </c>
      <c r="X828" s="7" t="n">
        <f aca="false">COUNTIFS($B$2:$B$1141,B828,$H$2:$H$1141,H828,$I$2:$I$1141,I828,$J$2:$J$1141,J828,$K$2:$K$1141,K828,$L$2:$L$1141,L828)</f>
        <v>1</v>
      </c>
    </row>
    <row r="829" customFormat="false" ht="15" hidden="false" customHeight="false" outlineLevel="0" collapsed="false">
      <c r="A829" s="7" t="n">
        <f aca="false">ROW()-1</f>
        <v>828</v>
      </c>
      <c r="B829" s="7" t="str">
        <f aca="false">IF(Raw_Nigeria!B829="",TRIM(Raw_Nigeria!C829),TRIM(Raw_Nigeria!B829))</f>
        <v>Nigeria Multiple Indicator Cluster Survey 2021</v>
      </c>
      <c r="C829" s="7" t="str">
        <f aca="false">IF(ISNUMBER(SEARCH("Demographic and Health",B829)),"DHS",IF(OR(ISNUMBER(SEARCH("Multiple Indicator Cluster",B829)),ISNUMBER(SEARCH("MICS",B829))),"MICS",IF(ISNUMBER(SEARCH("Immunization Coverage Survey",B829)),"Coverage survey",IF(ISNUMBER(SEARCH("Nutrition",B829)),"Nutrition survey","Other"))))</f>
        <v>MICS</v>
      </c>
      <c r="D829" s="7" t="n">
        <f aca="false">VALUE(LEFT(Raw_Nigeria!D829,4))</f>
        <v>2021</v>
      </c>
      <c r="E829" s="7" t="n">
        <f aca="false">IF(VALUE(RIGHT(Raw_Nigeria!D829,2))&gt;12,"",VALUE(RIGHT(Raw_Nigeria!D829,2)))</f>
        <v>9</v>
      </c>
      <c r="F829" s="7" t="n">
        <f aca="false">VALUE(LEFT(Raw_Nigeria!E829,4))</f>
        <v>2021</v>
      </c>
      <c r="G829" s="7" t="n">
        <f aca="false">IF(VALUE(RIGHT(Raw_Nigeria!E829,2))&gt;12,"",VALUE(RIGHT(Raw_Nigeria!E829,2)))</f>
        <v>12</v>
      </c>
      <c r="H829" s="7" t="n">
        <f aca="false">Raw_Nigeria!F829</f>
        <v>2020</v>
      </c>
      <c r="I829" s="7" t="str">
        <f aca="false">UPPER(TRIM(Raw_Nigeria!G829))</f>
        <v>HEPB2</v>
      </c>
      <c r="J829" s="7" t="str">
        <f aca="false">Raw_Nigeria!H829</f>
        <v>Record or Recall</v>
      </c>
      <c r="K829" s="7" t="str">
        <f aca="false">Raw_Nigeria!L829</f>
        <v>12-23 m</v>
      </c>
      <c r="L829" s="7" t="str">
        <f aca="false">IF(Raw_Nigeria!K829="","n/a",Raw_Nigeria!K829)</f>
        <v>0-23 m</v>
      </c>
      <c r="M829" s="7" t="n">
        <f aca="false">IF(Raw_Nigeria!I829="","",Raw_Nigeria!I829)</f>
        <v>56</v>
      </c>
      <c r="N829" s="7" t="n">
        <f aca="false">Raw_Nigeria!M829</f>
        <v>64.6</v>
      </c>
      <c r="O829" s="7" t="n">
        <f aca="false">IF(Raw_Nigeria!N829="","",Raw_Nigeria!N829)</f>
        <v>5652</v>
      </c>
      <c r="P829" s="7" t="str">
        <f aca="false">IF(K829="CBAW","Women of child-bearing age","Children")</f>
        <v>Children</v>
      </c>
      <c r="Q829" s="7" t="n">
        <f aca="false">IF(J829="NOT USED",1,0)</f>
        <v>0</v>
      </c>
      <c r="R829" s="7" t="n">
        <f aca="false">IF(AND(P829="Children",Q829=0),1,0)</f>
        <v>1</v>
      </c>
      <c r="S829" s="7" t="n">
        <f aca="false">IF(AND(R829=1,J829="Record or Recall",K829="12-23 m"),1,0)</f>
        <v>1</v>
      </c>
      <c r="T829" s="7" t="n">
        <f aca="false">IF(OR(I829="BCG",I829="DTP1",I829="DTP3",I829="POL3",I829="MCV1",I829="FULL"),1,0)</f>
        <v>0</v>
      </c>
      <c r="U829" s="7" t="n">
        <f aca="false">IF(OR(C829="DHS",C829="MICS"),1,0)</f>
        <v>1</v>
      </c>
      <c r="V829" s="7" t="n">
        <f aca="false">IF(O829="",1,0)</f>
        <v>0</v>
      </c>
      <c r="W829" s="7" t="n">
        <f aca="false">IF(M829="",1,0)</f>
        <v>0</v>
      </c>
      <c r="X829" s="7" t="n">
        <f aca="false">COUNTIFS($B$2:$B$1141,B829,$H$2:$H$1141,H829,$I$2:$I$1141,I829,$J$2:$J$1141,J829,$K$2:$K$1141,K829,$L$2:$L$1141,L829)</f>
        <v>1</v>
      </c>
    </row>
    <row r="830" customFormat="false" ht="15" hidden="false" customHeight="false" outlineLevel="0" collapsed="false">
      <c r="A830" s="7" t="n">
        <f aca="false">ROW()-1</f>
        <v>829</v>
      </c>
      <c r="B830" s="7" t="str">
        <f aca="false">IF(Raw_Nigeria!B830="",TRIM(Raw_Nigeria!C830),TRIM(Raw_Nigeria!B830))</f>
        <v>Nigeria Multiple Indicator Cluster Survey 2021</v>
      </c>
      <c r="C830" s="7" t="str">
        <f aca="false">IF(ISNUMBER(SEARCH("Demographic and Health",B830)),"DHS",IF(OR(ISNUMBER(SEARCH("Multiple Indicator Cluster",B830)),ISNUMBER(SEARCH("MICS",B830))),"MICS",IF(ISNUMBER(SEARCH("Immunization Coverage Survey",B830)),"Coverage survey",IF(ISNUMBER(SEARCH("Nutrition",B830)),"Nutrition survey","Other"))))</f>
        <v>MICS</v>
      </c>
      <c r="D830" s="7" t="n">
        <f aca="false">VALUE(LEFT(Raw_Nigeria!D830,4))</f>
        <v>2021</v>
      </c>
      <c r="E830" s="7" t="n">
        <f aca="false">IF(VALUE(RIGHT(Raw_Nigeria!D830,2))&gt;12,"",VALUE(RIGHT(Raw_Nigeria!D830,2)))</f>
        <v>9</v>
      </c>
      <c r="F830" s="7" t="n">
        <f aca="false">VALUE(LEFT(Raw_Nigeria!E830,4))</f>
        <v>2021</v>
      </c>
      <c r="G830" s="7" t="n">
        <f aca="false">IF(VALUE(RIGHT(Raw_Nigeria!E830,2))&gt;12,"",VALUE(RIGHT(Raw_Nigeria!E830,2)))</f>
        <v>12</v>
      </c>
      <c r="H830" s="7" t="n">
        <f aca="false">Raw_Nigeria!F830</f>
        <v>2020</v>
      </c>
      <c r="I830" s="7" t="str">
        <f aca="false">UPPER(TRIM(Raw_Nigeria!G830))</f>
        <v>HEPB2</v>
      </c>
      <c r="J830" s="7" t="str">
        <f aca="false">Raw_Nigeria!H830</f>
        <v>Recall</v>
      </c>
      <c r="K830" s="7" t="str">
        <f aca="false">Raw_Nigeria!L830</f>
        <v>12-23 m</v>
      </c>
      <c r="L830" s="7" t="str">
        <f aca="false">IF(Raw_Nigeria!K830="","n/a",Raw_Nigeria!K830)</f>
        <v>0-23 m</v>
      </c>
      <c r="M830" s="7" t="n">
        <f aca="false">IF(Raw_Nigeria!I830="","",Raw_Nigeria!I830)</f>
        <v>56</v>
      </c>
      <c r="N830" s="7" t="n">
        <f aca="false">Raw_Nigeria!M830</f>
        <v>14</v>
      </c>
      <c r="O830" s="7" t="n">
        <f aca="false">IF(Raw_Nigeria!N830="","",Raw_Nigeria!N830)</f>
        <v>2489</v>
      </c>
      <c r="P830" s="7" t="str">
        <f aca="false">IF(K830="CBAW","Women of child-bearing age","Children")</f>
        <v>Children</v>
      </c>
      <c r="Q830" s="7" t="n">
        <f aca="false">IF(J830="NOT USED",1,0)</f>
        <v>0</v>
      </c>
      <c r="R830" s="7" t="n">
        <f aca="false">IF(AND(P830="Children",Q830=0),1,0)</f>
        <v>1</v>
      </c>
      <c r="S830" s="7" t="n">
        <f aca="false">IF(AND(R830=1,J830="Record or Recall",K830="12-23 m"),1,0)</f>
        <v>0</v>
      </c>
      <c r="T830" s="7" t="n">
        <f aca="false">IF(OR(I830="BCG",I830="DTP1",I830="DTP3",I830="POL3",I830="MCV1",I830="FULL"),1,0)</f>
        <v>0</v>
      </c>
      <c r="U830" s="7" t="n">
        <f aca="false">IF(OR(C830="DHS",C830="MICS"),1,0)</f>
        <v>1</v>
      </c>
      <c r="V830" s="7" t="n">
        <f aca="false">IF(O830="",1,0)</f>
        <v>0</v>
      </c>
      <c r="W830" s="7" t="n">
        <f aca="false">IF(M830="",1,0)</f>
        <v>0</v>
      </c>
      <c r="X830" s="7" t="n">
        <f aca="false">COUNTIFS($B$2:$B$1141,B830,$H$2:$H$1141,H830,$I$2:$I$1141,I830,$J$2:$J$1141,J830,$K$2:$K$1141,K830,$L$2:$L$1141,L830)</f>
        <v>1</v>
      </c>
    </row>
    <row r="831" customFormat="false" ht="15" hidden="false" customHeight="false" outlineLevel="0" collapsed="false">
      <c r="A831" s="7" t="n">
        <f aca="false">ROW()-1</f>
        <v>830</v>
      </c>
      <c r="B831" s="7" t="str">
        <f aca="false">IF(Raw_Nigeria!B831="",TRIM(Raw_Nigeria!C831),TRIM(Raw_Nigeria!B831))</f>
        <v>Nigeria Multiple Indicator Cluster Survey 2021</v>
      </c>
      <c r="C831" s="7" t="str">
        <f aca="false">IF(ISNUMBER(SEARCH("Demographic and Health",B831)),"DHS",IF(OR(ISNUMBER(SEARCH("Multiple Indicator Cluster",B831)),ISNUMBER(SEARCH("MICS",B831))),"MICS",IF(ISNUMBER(SEARCH("Immunization Coverage Survey",B831)),"Coverage survey",IF(ISNUMBER(SEARCH("Nutrition",B831)),"Nutrition survey","Other"))))</f>
        <v>MICS</v>
      </c>
      <c r="D831" s="7" t="n">
        <f aca="false">VALUE(LEFT(Raw_Nigeria!D831,4))</f>
        <v>2021</v>
      </c>
      <c r="E831" s="7" t="n">
        <f aca="false">IF(VALUE(RIGHT(Raw_Nigeria!D831,2))&gt;12,"",VALUE(RIGHT(Raw_Nigeria!D831,2)))</f>
        <v>9</v>
      </c>
      <c r="F831" s="7" t="n">
        <f aca="false">VALUE(LEFT(Raw_Nigeria!E831,4))</f>
        <v>2021</v>
      </c>
      <c r="G831" s="7" t="n">
        <f aca="false">IF(VALUE(RIGHT(Raw_Nigeria!E831,2))&gt;12,"",VALUE(RIGHT(Raw_Nigeria!E831,2)))</f>
        <v>12</v>
      </c>
      <c r="H831" s="7" t="n">
        <f aca="false">Raw_Nigeria!F831</f>
        <v>2020</v>
      </c>
      <c r="I831" s="7" t="str">
        <f aca="false">UPPER(TRIM(Raw_Nigeria!G831))</f>
        <v>HEPB3</v>
      </c>
      <c r="J831" s="7" t="str">
        <f aca="false">Raw_Nigeria!H831</f>
        <v>Record or Recall&lt;12m</v>
      </c>
      <c r="K831" s="7" t="str">
        <f aca="false">Raw_Nigeria!L831</f>
        <v>12-23 m</v>
      </c>
      <c r="L831" s="7" t="str">
        <f aca="false">IF(Raw_Nigeria!K831="","n/a",Raw_Nigeria!K831)</f>
        <v>0-12 m</v>
      </c>
      <c r="M831" s="7" t="n">
        <f aca="false">IF(Raw_Nigeria!I831="","",Raw_Nigeria!I831)</f>
        <v>56</v>
      </c>
      <c r="N831" s="7" t="n">
        <f aca="false">Raw_Nigeria!M831</f>
        <v>54.3</v>
      </c>
      <c r="O831" s="7" t="str">
        <f aca="false">IF(Raw_Nigeria!N831="","",Raw_Nigeria!N831)</f>
        <v/>
      </c>
      <c r="P831" s="7" t="str">
        <f aca="false">IF(K831="CBAW","Women of child-bearing age","Children")</f>
        <v>Children</v>
      </c>
      <c r="Q831" s="7" t="n">
        <f aca="false">IF(J831="NOT USED",1,0)</f>
        <v>0</v>
      </c>
      <c r="R831" s="7" t="n">
        <f aca="false">IF(AND(P831="Children",Q831=0),1,0)</f>
        <v>1</v>
      </c>
      <c r="S831" s="7" t="n">
        <f aca="false">IF(AND(R831=1,J831="Record or Recall",K831="12-23 m"),1,0)</f>
        <v>0</v>
      </c>
      <c r="T831" s="7" t="n">
        <f aca="false">IF(OR(I831="BCG",I831="DTP1",I831="DTP3",I831="POL3",I831="MCV1",I831="FULL"),1,0)</f>
        <v>0</v>
      </c>
      <c r="U831" s="7" t="n">
        <f aca="false">IF(OR(C831="DHS",C831="MICS"),1,0)</f>
        <v>1</v>
      </c>
      <c r="V831" s="7" t="n">
        <f aca="false">IF(O831="",1,0)</f>
        <v>1</v>
      </c>
      <c r="W831" s="7" t="n">
        <f aca="false">IF(M831="",1,0)</f>
        <v>0</v>
      </c>
      <c r="X831" s="7" t="n">
        <f aca="false">COUNTIFS($B$2:$B$1141,B831,$H$2:$H$1141,H831,$I$2:$I$1141,I831,$J$2:$J$1141,J831,$K$2:$K$1141,K831,$L$2:$L$1141,L831)</f>
        <v>1</v>
      </c>
    </row>
    <row r="832" customFormat="false" ht="15" hidden="false" customHeight="false" outlineLevel="0" collapsed="false">
      <c r="A832" s="7" t="n">
        <f aca="false">ROW()-1</f>
        <v>831</v>
      </c>
      <c r="B832" s="7" t="str">
        <f aca="false">IF(Raw_Nigeria!B832="",TRIM(Raw_Nigeria!C832),TRIM(Raw_Nigeria!B832))</f>
        <v>Nigeria Multiple Indicator Cluster Survey 2021</v>
      </c>
      <c r="C832" s="7" t="str">
        <f aca="false">IF(ISNUMBER(SEARCH("Demographic and Health",B832)),"DHS",IF(OR(ISNUMBER(SEARCH("Multiple Indicator Cluster",B832)),ISNUMBER(SEARCH("MICS",B832))),"MICS",IF(ISNUMBER(SEARCH("Immunization Coverage Survey",B832)),"Coverage survey",IF(ISNUMBER(SEARCH("Nutrition",B832)),"Nutrition survey","Other"))))</f>
        <v>MICS</v>
      </c>
      <c r="D832" s="7" t="n">
        <f aca="false">VALUE(LEFT(Raw_Nigeria!D832,4))</f>
        <v>2021</v>
      </c>
      <c r="E832" s="7" t="n">
        <f aca="false">IF(VALUE(RIGHT(Raw_Nigeria!D832,2))&gt;12,"",VALUE(RIGHT(Raw_Nigeria!D832,2)))</f>
        <v>9</v>
      </c>
      <c r="F832" s="7" t="n">
        <f aca="false">VALUE(LEFT(Raw_Nigeria!E832,4))</f>
        <v>2021</v>
      </c>
      <c r="G832" s="7" t="n">
        <f aca="false">IF(VALUE(RIGHT(Raw_Nigeria!E832,2))&gt;12,"",VALUE(RIGHT(Raw_Nigeria!E832,2)))</f>
        <v>12</v>
      </c>
      <c r="H832" s="7" t="n">
        <f aca="false">Raw_Nigeria!F832</f>
        <v>2020</v>
      </c>
      <c r="I832" s="7" t="str">
        <f aca="false">UPPER(TRIM(Raw_Nigeria!G832))</f>
        <v>HEPB3</v>
      </c>
      <c r="J832" s="7" t="str">
        <f aca="false">Raw_Nigeria!H832</f>
        <v>Record</v>
      </c>
      <c r="K832" s="7" t="str">
        <f aca="false">Raw_Nigeria!L832</f>
        <v>12-23 m</v>
      </c>
      <c r="L832" s="7" t="str">
        <f aca="false">IF(Raw_Nigeria!K832="","n/a",Raw_Nigeria!K832)</f>
        <v>0-23 m</v>
      </c>
      <c r="M832" s="7" t="n">
        <f aca="false">IF(Raw_Nigeria!I832="","",Raw_Nigeria!I832)</f>
        <v>56</v>
      </c>
      <c r="N832" s="7" t="n">
        <f aca="false">Raw_Nigeria!M832</f>
        <v>47.4</v>
      </c>
      <c r="O832" s="7" t="n">
        <f aca="false">IF(Raw_Nigeria!N832="","",Raw_Nigeria!N832)</f>
        <v>3163</v>
      </c>
      <c r="P832" s="7" t="str">
        <f aca="false">IF(K832="CBAW","Women of child-bearing age","Children")</f>
        <v>Children</v>
      </c>
      <c r="Q832" s="7" t="n">
        <f aca="false">IF(J832="NOT USED",1,0)</f>
        <v>0</v>
      </c>
      <c r="R832" s="7" t="n">
        <f aca="false">IF(AND(P832="Children",Q832=0),1,0)</f>
        <v>1</v>
      </c>
      <c r="S832" s="7" t="n">
        <f aca="false">IF(AND(R832=1,J832="Record or Recall",K832="12-23 m"),1,0)</f>
        <v>0</v>
      </c>
      <c r="T832" s="7" t="n">
        <f aca="false">IF(OR(I832="BCG",I832="DTP1",I832="DTP3",I832="POL3",I832="MCV1",I832="FULL"),1,0)</f>
        <v>0</v>
      </c>
      <c r="U832" s="7" t="n">
        <f aca="false">IF(OR(C832="DHS",C832="MICS"),1,0)</f>
        <v>1</v>
      </c>
      <c r="V832" s="7" t="n">
        <f aca="false">IF(O832="",1,0)</f>
        <v>0</v>
      </c>
      <c r="W832" s="7" t="n">
        <f aca="false">IF(M832="",1,0)</f>
        <v>0</v>
      </c>
      <c r="X832" s="7" t="n">
        <f aca="false">COUNTIFS($B$2:$B$1141,B832,$H$2:$H$1141,H832,$I$2:$I$1141,I832,$J$2:$J$1141,J832,$K$2:$K$1141,K832,$L$2:$L$1141,L832)</f>
        <v>1</v>
      </c>
    </row>
    <row r="833" customFormat="false" ht="15" hidden="false" customHeight="false" outlineLevel="0" collapsed="false">
      <c r="A833" s="7" t="n">
        <f aca="false">ROW()-1</f>
        <v>832</v>
      </c>
      <c r="B833" s="7" t="str">
        <f aca="false">IF(Raw_Nigeria!B833="",TRIM(Raw_Nigeria!C833),TRIM(Raw_Nigeria!B833))</f>
        <v>Nigeria Multiple Indicator Cluster Survey 2021</v>
      </c>
      <c r="C833" s="7" t="str">
        <f aca="false">IF(ISNUMBER(SEARCH("Demographic and Health",B833)),"DHS",IF(OR(ISNUMBER(SEARCH("Multiple Indicator Cluster",B833)),ISNUMBER(SEARCH("MICS",B833))),"MICS",IF(ISNUMBER(SEARCH("Immunization Coverage Survey",B833)),"Coverage survey",IF(ISNUMBER(SEARCH("Nutrition",B833)),"Nutrition survey","Other"))))</f>
        <v>MICS</v>
      </c>
      <c r="D833" s="7" t="n">
        <f aca="false">VALUE(LEFT(Raw_Nigeria!D833,4))</f>
        <v>2021</v>
      </c>
      <c r="E833" s="7" t="n">
        <f aca="false">IF(VALUE(RIGHT(Raw_Nigeria!D833,2))&gt;12,"",VALUE(RIGHT(Raw_Nigeria!D833,2)))</f>
        <v>9</v>
      </c>
      <c r="F833" s="7" t="n">
        <f aca="false">VALUE(LEFT(Raw_Nigeria!E833,4))</f>
        <v>2021</v>
      </c>
      <c r="G833" s="7" t="n">
        <f aca="false">IF(VALUE(RIGHT(Raw_Nigeria!E833,2))&gt;12,"",VALUE(RIGHT(Raw_Nigeria!E833,2)))</f>
        <v>12</v>
      </c>
      <c r="H833" s="7" t="n">
        <f aca="false">Raw_Nigeria!F833</f>
        <v>2020</v>
      </c>
      <c r="I833" s="7" t="str">
        <f aca="false">UPPER(TRIM(Raw_Nigeria!G833))</f>
        <v>HEPB3</v>
      </c>
      <c r="J833" s="7" t="str">
        <f aca="false">Raw_Nigeria!H833</f>
        <v>Record or Recall</v>
      </c>
      <c r="K833" s="7" t="str">
        <f aca="false">Raw_Nigeria!L833</f>
        <v>12-23 m</v>
      </c>
      <c r="L833" s="7" t="str">
        <f aca="false">IF(Raw_Nigeria!K833="","n/a",Raw_Nigeria!K833)</f>
        <v>0-23 m</v>
      </c>
      <c r="M833" s="7" t="n">
        <f aca="false">IF(Raw_Nigeria!I833="","",Raw_Nigeria!I833)</f>
        <v>56</v>
      </c>
      <c r="N833" s="7" t="n">
        <f aca="false">Raw_Nigeria!M833</f>
        <v>56.6</v>
      </c>
      <c r="O833" s="7" t="n">
        <f aca="false">IF(Raw_Nigeria!N833="","",Raw_Nigeria!N833)</f>
        <v>5652</v>
      </c>
      <c r="P833" s="7" t="str">
        <f aca="false">IF(K833="CBAW","Women of child-bearing age","Children")</f>
        <v>Children</v>
      </c>
      <c r="Q833" s="7" t="n">
        <f aca="false">IF(J833="NOT USED",1,0)</f>
        <v>0</v>
      </c>
      <c r="R833" s="7" t="n">
        <f aca="false">IF(AND(P833="Children",Q833=0),1,0)</f>
        <v>1</v>
      </c>
      <c r="S833" s="7" t="n">
        <f aca="false">IF(AND(R833=1,J833="Record or Recall",K833="12-23 m"),1,0)</f>
        <v>1</v>
      </c>
      <c r="T833" s="7" t="n">
        <f aca="false">IF(OR(I833="BCG",I833="DTP1",I833="DTP3",I833="POL3",I833="MCV1",I833="FULL"),1,0)</f>
        <v>0</v>
      </c>
      <c r="U833" s="7" t="n">
        <f aca="false">IF(OR(C833="DHS",C833="MICS"),1,0)</f>
        <v>1</v>
      </c>
      <c r="V833" s="7" t="n">
        <f aca="false">IF(O833="",1,0)</f>
        <v>0</v>
      </c>
      <c r="W833" s="7" t="n">
        <f aca="false">IF(M833="",1,0)</f>
        <v>0</v>
      </c>
      <c r="X833" s="7" t="n">
        <f aca="false">COUNTIFS($B$2:$B$1141,B833,$H$2:$H$1141,H833,$I$2:$I$1141,I833,$J$2:$J$1141,J833,$K$2:$K$1141,K833,$L$2:$L$1141,L833)</f>
        <v>1</v>
      </c>
    </row>
    <row r="834" customFormat="false" ht="15" hidden="false" customHeight="false" outlineLevel="0" collapsed="false">
      <c r="A834" s="7" t="n">
        <f aca="false">ROW()-1</f>
        <v>833</v>
      </c>
      <c r="B834" s="7" t="str">
        <f aca="false">IF(Raw_Nigeria!B834="",TRIM(Raw_Nigeria!C834),TRIM(Raw_Nigeria!B834))</f>
        <v>Nigeria Multiple Indicator Cluster Survey 2021</v>
      </c>
      <c r="C834" s="7" t="str">
        <f aca="false">IF(ISNUMBER(SEARCH("Demographic and Health",B834)),"DHS",IF(OR(ISNUMBER(SEARCH("Multiple Indicator Cluster",B834)),ISNUMBER(SEARCH("MICS",B834))),"MICS",IF(ISNUMBER(SEARCH("Immunization Coverage Survey",B834)),"Coverage survey",IF(ISNUMBER(SEARCH("Nutrition",B834)),"Nutrition survey","Other"))))</f>
        <v>MICS</v>
      </c>
      <c r="D834" s="7" t="n">
        <f aca="false">VALUE(LEFT(Raw_Nigeria!D834,4))</f>
        <v>2021</v>
      </c>
      <c r="E834" s="7" t="n">
        <f aca="false">IF(VALUE(RIGHT(Raw_Nigeria!D834,2))&gt;12,"",VALUE(RIGHT(Raw_Nigeria!D834,2)))</f>
        <v>9</v>
      </c>
      <c r="F834" s="7" t="n">
        <f aca="false">VALUE(LEFT(Raw_Nigeria!E834,4))</f>
        <v>2021</v>
      </c>
      <c r="G834" s="7" t="n">
        <f aca="false">IF(VALUE(RIGHT(Raw_Nigeria!E834,2))&gt;12,"",VALUE(RIGHT(Raw_Nigeria!E834,2)))</f>
        <v>12</v>
      </c>
      <c r="H834" s="7" t="n">
        <f aca="false">Raw_Nigeria!F834</f>
        <v>2020</v>
      </c>
      <c r="I834" s="7" t="str">
        <f aca="false">UPPER(TRIM(Raw_Nigeria!G834))</f>
        <v>HEPB3</v>
      </c>
      <c r="J834" s="7" t="str">
        <f aca="false">Raw_Nigeria!H834</f>
        <v>Recall</v>
      </c>
      <c r="K834" s="7" t="str">
        <f aca="false">Raw_Nigeria!L834</f>
        <v>12-23 m</v>
      </c>
      <c r="L834" s="7" t="str">
        <f aca="false">IF(Raw_Nigeria!K834="","n/a",Raw_Nigeria!K834)</f>
        <v>0-23 m</v>
      </c>
      <c r="M834" s="7" t="n">
        <f aca="false">IF(Raw_Nigeria!I834="","",Raw_Nigeria!I834)</f>
        <v>56</v>
      </c>
      <c r="N834" s="7" t="n">
        <f aca="false">Raw_Nigeria!M834</f>
        <v>9.2</v>
      </c>
      <c r="O834" s="7" t="n">
        <f aca="false">IF(Raw_Nigeria!N834="","",Raw_Nigeria!N834)</f>
        <v>2489</v>
      </c>
      <c r="P834" s="7" t="str">
        <f aca="false">IF(K834="CBAW","Women of child-bearing age","Children")</f>
        <v>Children</v>
      </c>
      <c r="Q834" s="7" t="n">
        <f aca="false">IF(J834="NOT USED",1,0)</f>
        <v>0</v>
      </c>
      <c r="R834" s="7" t="n">
        <f aca="false">IF(AND(P834="Children",Q834=0),1,0)</f>
        <v>1</v>
      </c>
      <c r="S834" s="7" t="n">
        <f aca="false">IF(AND(R834=1,J834="Record or Recall",K834="12-23 m"),1,0)</f>
        <v>0</v>
      </c>
      <c r="T834" s="7" t="n">
        <f aca="false">IF(OR(I834="BCG",I834="DTP1",I834="DTP3",I834="POL3",I834="MCV1",I834="FULL"),1,0)</f>
        <v>0</v>
      </c>
      <c r="U834" s="7" t="n">
        <f aca="false">IF(OR(C834="DHS",C834="MICS"),1,0)</f>
        <v>1</v>
      </c>
      <c r="V834" s="7" t="n">
        <f aca="false">IF(O834="",1,0)</f>
        <v>0</v>
      </c>
      <c r="W834" s="7" t="n">
        <f aca="false">IF(M834="",1,0)</f>
        <v>0</v>
      </c>
      <c r="X834" s="7" t="n">
        <f aca="false">COUNTIFS($B$2:$B$1141,B834,$H$2:$H$1141,H834,$I$2:$I$1141,I834,$J$2:$J$1141,J834,$K$2:$K$1141,K834,$L$2:$L$1141,L834)</f>
        <v>1</v>
      </c>
    </row>
    <row r="835" customFormat="false" ht="15" hidden="false" customHeight="false" outlineLevel="0" collapsed="false">
      <c r="A835" s="7" t="n">
        <f aca="false">ROW()-1</f>
        <v>834</v>
      </c>
      <c r="B835" s="7" t="str">
        <f aca="false">IF(Raw_Nigeria!B835="",TRIM(Raw_Nigeria!C835),TRIM(Raw_Nigeria!B835))</f>
        <v>Nigeria Multiple Indicator Cluster Survey 2021</v>
      </c>
      <c r="C835" s="7" t="str">
        <f aca="false">IF(ISNUMBER(SEARCH("Demographic and Health",B835)),"DHS",IF(OR(ISNUMBER(SEARCH("Multiple Indicator Cluster",B835)),ISNUMBER(SEARCH("MICS",B835))),"MICS",IF(ISNUMBER(SEARCH("Immunization Coverage Survey",B835)),"Coverage survey",IF(ISNUMBER(SEARCH("Nutrition",B835)),"Nutrition survey","Other"))))</f>
        <v>MICS</v>
      </c>
      <c r="D835" s="7" t="n">
        <f aca="false">VALUE(LEFT(Raw_Nigeria!D835,4))</f>
        <v>2021</v>
      </c>
      <c r="E835" s="7" t="n">
        <f aca="false">IF(VALUE(RIGHT(Raw_Nigeria!D835,2))&gt;12,"",VALUE(RIGHT(Raw_Nigeria!D835,2)))</f>
        <v>9</v>
      </c>
      <c r="F835" s="7" t="n">
        <f aca="false">VALUE(LEFT(Raw_Nigeria!E835,4))</f>
        <v>2021</v>
      </c>
      <c r="G835" s="7" t="n">
        <f aca="false">IF(VALUE(RIGHT(Raw_Nigeria!E835,2))&gt;12,"",VALUE(RIGHT(Raw_Nigeria!E835,2)))</f>
        <v>12</v>
      </c>
      <c r="H835" s="7" t="n">
        <f aca="false">Raw_Nigeria!F835</f>
        <v>2020</v>
      </c>
      <c r="I835" s="7" t="str">
        <f aca="false">UPPER(TRIM(Raw_Nigeria!G835))</f>
        <v>HEPBB</v>
      </c>
      <c r="J835" s="7" t="str">
        <f aca="false">Raw_Nigeria!H835</f>
        <v>Record</v>
      </c>
      <c r="K835" s="7" t="str">
        <f aca="false">Raw_Nigeria!L835</f>
        <v>12-23 m</v>
      </c>
      <c r="L835" s="7" t="str">
        <f aca="false">IF(Raw_Nigeria!K835="","n/a",Raw_Nigeria!K835)</f>
        <v>0-23 m</v>
      </c>
      <c r="M835" s="7" t="n">
        <f aca="false">IF(Raw_Nigeria!I835="","",Raw_Nigeria!I835)</f>
        <v>56</v>
      </c>
      <c r="N835" s="7" t="n">
        <f aca="false">Raw_Nigeria!M835</f>
        <v>10.5</v>
      </c>
      <c r="O835" s="7" t="n">
        <f aca="false">IF(Raw_Nigeria!N835="","",Raw_Nigeria!N835)</f>
        <v>3163</v>
      </c>
      <c r="P835" s="7" t="str">
        <f aca="false">IF(K835="CBAW","Women of child-bearing age","Children")</f>
        <v>Children</v>
      </c>
      <c r="Q835" s="7" t="n">
        <f aca="false">IF(J835="NOT USED",1,0)</f>
        <v>0</v>
      </c>
      <c r="R835" s="7" t="n">
        <f aca="false">IF(AND(P835="Children",Q835=0),1,0)</f>
        <v>1</v>
      </c>
      <c r="S835" s="7" t="n">
        <f aca="false">IF(AND(R835=1,J835="Record or Recall",K835="12-23 m"),1,0)</f>
        <v>0</v>
      </c>
      <c r="T835" s="7" t="n">
        <f aca="false">IF(OR(I835="BCG",I835="DTP1",I835="DTP3",I835="POL3",I835="MCV1",I835="FULL"),1,0)</f>
        <v>0</v>
      </c>
      <c r="U835" s="7" t="n">
        <f aca="false">IF(OR(C835="DHS",C835="MICS"),1,0)</f>
        <v>1</v>
      </c>
      <c r="V835" s="7" t="n">
        <f aca="false">IF(O835="",1,0)</f>
        <v>0</v>
      </c>
      <c r="W835" s="7" t="n">
        <f aca="false">IF(M835="",1,0)</f>
        <v>0</v>
      </c>
      <c r="X835" s="7" t="n">
        <f aca="false">COUNTIFS($B$2:$B$1141,B835,$H$2:$H$1141,H835,$I$2:$I$1141,I835,$J$2:$J$1141,J835,$K$2:$K$1141,K835,$L$2:$L$1141,L835)</f>
        <v>1</v>
      </c>
    </row>
    <row r="836" customFormat="false" ht="15" hidden="false" customHeight="false" outlineLevel="0" collapsed="false">
      <c r="A836" s="7" t="n">
        <f aca="false">ROW()-1</f>
        <v>835</v>
      </c>
      <c r="B836" s="7" t="str">
        <f aca="false">IF(Raw_Nigeria!B836="",TRIM(Raw_Nigeria!C836),TRIM(Raw_Nigeria!B836))</f>
        <v>Nigeria Multiple Indicator Cluster Survey 2021</v>
      </c>
      <c r="C836" s="7" t="str">
        <f aca="false">IF(ISNUMBER(SEARCH("Demographic and Health",B836)),"DHS",IF(OR(ISNUMBER(SEARCH("Multiple Indicator Cluster",B836)),ISNUMBER(SEARCH("MICS",B836))),"MICS",IF(ISNUMBER(SEARCH("Immunization Coverage Survey",B836)),"Coverage survey",IF(ISNUMBER(SEARCH("Nutrition",B836)),"Nutrition survey","Other"))))</f>
        <v>MICS</v>
      </c>
      <c r="D836" s="7" t="n">
        <f aca="false">VALUE(LEFT(Raw_Nigeria!D836,4))</f>
        <v>2021</v>
      </c>
      <c r="E836" s="7" t="n">
        <f aca="false">IF(VALUE(RIGHT(Raw_Nigeria!D836,2))&gt;12,"",VALUE(RIGHT(Raw_Nigeria!D836,2)))</f>
        <v>9</v>
      </c>
      <c r="F836" s="7" t="n">
        <f aca="false">VALUE(LEFT(Raw_Nigeria!E836,4))</f>
        <v>2021</v>
      </c>
      <c r="G836" s="7" t="n">
        <f aca="false">IF(VALUE(RIGHT(Raw_Nigeria!E836,2))&gt;12,"",VALUE(RIGHT(Raw_Nigeria!E836,2)))</f>
        <v>12</v>
      </c>
      <c r="H836" s="7" t="n">
        <f aca="false">Raw_Nigeria!F836</f>
        <v>2020</v>
      </c>
      <c r="I836" s="7" t="str">
        <f aca="false">UPPER(TRIM(Raw_Nigeria!G836))</f>
        <v>HEPBB</v>
      </c>
      <c r="J836" s="7" t="str">
        <f aca="false">Raw_Nigeria!H836</f>
        <v>Record or Recall</v>
      </c>
      <c r="K836" s="7" t="str">
        <f aca="false">Raw_Nigeria!L836</f>
        <v>12-23 m</v>
      </c>
      <c r="L836" s="7" t="str">
        <f aca="false">IF(Raw_Nigeria!K836="","n/a",Raw_Nigeria!K836)</f>
        <v>0-23 m</v>
      </c>
      <c r="M836" s="7" t="n">
        <f aca="false">IF(Raw_Nigeria!I836="","",Raw_Nigeria!I836)</f>
        <v>56</v>
      </c>
      <c r="N836" s="7" t="n">
        <f aca="false">Raw_Nigeria!M836</f>
        <v>17.4</v>
      </c>
      <c r="O836" s="7" t="n">
        <f aca="false">IF(Raw_Nigeria!N836="","",Raw_Nigeria!N836)</f>
        <v>5652</v>
      </c>
      <c r="P836" s="7" t="str">
        <f aca="false">IF(K836="CBAW","Women of child-bearing age","Children")</f>
        <v>Children</v>
      </c>
      <c r="Q836" s="7" t="n">
        <f aca="false">IF(J836="NOT USED",1,0)</f>
        <v>0</v>
      </c>
      <c r="R836" s="7" t="n">
        <f aca="false">IF(AND(P836="Children",Q836=0),1,0)</f>
        <v>1</v>
      </c>
      <c r="S836" s="7" t="n">
        <f aca="false">IF(AND(R836=1,J836="Record or Recall",K836="12-23 m"),1,0)</f>
        <v>1</v>
      </c>
      <c r="T836" s="7" t="n">
        <f aca="false">IF(OR(I836="BCG",I836="DTP1",I836="DTP3",I836="POL3",I836="MCV1",I836="FULL"),1,0)</f>
        <v>0</v>
      </c>
      <c r="U836" s="7" t="n">
        <f aca="false">IF(OR(C836="DHS",C836="MICS"),1,0)</f>
        <v>1</v>
      </c>
      <c r="V836" s="7" t="n">
        <f aca="false">IF(O836="",1,0)</f>
        <v>0</v>
      </c>
      <c r="W836" s="7" t="n">
        <f aca="false">IF(M836="",1,0)</f>
        <v>0</v>
      </c>
      <c r="X836" s="7" t="n">
        <f aca="false">COUNTIFS($B$2:$B$1141,B836,$H$2:$H$1141,H836,$I$2:$I$1141,I836,$J$2:$J$1141,J836,$K$2:$K$1141,K836,$L$2:$L$1141,L836)</f>
        <v>1</v>
      </c>
    </row>
    <row r="837" customFormat="false" ht="15" hidden="false" customHeight="false" outlineLevel="0" collapsed="false">
      <c r="A837" s="7" t="n">
        <f aca="false">ROW()-1</f>
        <v>836</v>
      </c>
      <c r="B837" s="7" t="str">
        <f aca="false">IF(Raw_Nigeria!B837="",TRIM(Raw_Nigeria!C837),TRIM(Raw_Nigeria!B837))</f>
        <v>Nigeria Multiple Indicator Cluster Survey 2021</v>
      </c>
      <c r="C837" s="7" t="str">
        <f aca="false">IF(ISNUMBER(SEARCH("Demographic and Health",B837)),"DHS",IF(OR(ISNUMBER(SEARCH("Multiple Indicator Cluster",B837)),ISNUMBER(SEARCH("MICS",B837))),"MICS",IF(ISNUMBER(SEARCH("Immunization Coverage Survey",B837)),"Coverage survey",IF(ISNUMBER(SEARCH("Nutrition",B837)),"Nutrition survey","Other"))))</f>
        <v>MICS</v>
      </c>
      <c r="D837" s="7" t="n">
        <f aca="false">VALUE(LEFT(Raw_Nigeria!D837,4))</f>
        <v>2021</v>
      </c>
      <c r="E837" s="7" t="n">
        <f aca="false">IF(VALUE(RIGHT(Raw_Nigeria!D837,2))&gt;12,"",VALUE(RIGHT(Raw_Nigeria!D837,2)))</f>
        <v>9</v>
      </c>
      <c r="F837" s="7" t="n">
        <f aca="false">VALUE(LEFT(Raw_Nigeria!E837,4))</f>
        <v>2021</v>
      </c>
      <c r="G837" s="7" t="n">
        <f aca="false">IF(VALUE(RIGHT(Raw_Nigeria!E837,2))&gt;12,"",VALUE(RIGHT(Raw_Nigeria!E837,2)))</f>
        <v>12</v>
      </c>
      <c r="H837" s="7" t="n">
        <f aca="false">Raw_Nigeria!F837</f>
        <v>2020</v>
      </c>
      <c r="I837" s="7" t="str">
        <f aca="false">UPPER(TRIM(Raw_Nigeria!G837))</f>
        <v>HEPBB</v>
      </c>
      <c r="J837" s="7" t="str">
        <f aca="false">Raw_Nigeria!H837</f>
        <v>Recall</v>
      </c>
      <c r="K837" s="7" t="str">
        <f aca="false">Raw_Nigeria!L837</f>
        <v>12-23 m</v>
      </c>
      <c r="L837" s="7" t="str">
        <f aca="false">IF(Raw_Nigeria!K837="","n/a",Raw_Nigeria!K837)</f>
        <v>0-23 m</v>
      </c>
      <c r="M837" s="7" t="n">
        <f aca="false">IF(Raw_Nigeria!I837="","",Raw_Nigeria!I837)</f>
        <v>56</v>
      </c>
      <c r="N837" s="7" t="n">
        <f aca="false">Raw_Nigeria!M837</f>
        <v>6.9</v>
      </c>
      <c r="O837" s="7" t="n">
        <f aca="false">IF(Raw_Nigeria!N837="","",Raw_Nigeria!N837)</f>
        <v>2489</v>
      </c>
      <c r="P837" s="7" t="str">
        <f aca="false">IF(K837="CBAW","Women of child-bearing age","Children")</f>
        <v>Children</v>
      </c>
      <c r="Q837" s="7" t="n">
        <f aca="false">IF(J837="NOT USED",1,0)</f>
        <v>0</v>
      </c>
      <c r="R837" s="7" t="n">
        <f aca="false">IF(AND(P837="Children",Q837=0),1,0)</f>
        <v>1</v>
      </c>
      <c r="S837" s="7" t="n">
        <f aca="false">IF(AND(R837=1,J837="Record or Recall",K837="12-23 m"),1,0)</f>
        <v>0</v>
      </c>
      <c r="T837" s="7" t="n">
        <f aca="false">IF(OR(I837="BCG",I837="DTP1",I837="DTP3",I837="POL3",I837="MCV1",I837="FULL"),1,0)</f>
        <v>0</v>
      </c>
      <c r="U837" s="7" t="n">
        <f aca="false">IF(OR(C837="DHS",C837="MICS"),1,0)</f>
        <v>1</v>
      </c>
      <c r="V837" s="7" t="n">
        <f aca="false">IF(O837="",1,0)</f>
        <v>0</v>
      </c>
      <c r="W837" s="7" t="n">
        <f aca="false">IF(M837="",1,0)</f>
        <v>0</v>
      </c>
      <c r="X837" s="7" t="n">
        <f aca="false">COUNTIFS($B$2:$B$1141,B837,$H$2:$H$1141,H837,$I$2:$I$1141,I837,$J$2:$J$1141,J837,$K$2:$K$1141,K837,$L$2:$L$1141,L837)</f>
        <v>1</v>
      </c>
    </row>
    <row r="838" customFormat="false" ht="15" hidden="false" customHeight="false" outlineLevel="0" collapsed="false">
      <c r="A838" s="7" t="n">
        <f aca="false">ROW()-1</f>
        <v>837</v>
      </c>
      <c r="B838" s="7" t="str">
        <f aca="false">IF(Raw_Nigeria!B838="",TRIM(Raw_Nigeria!C838),TRIM(Raw_Nigeria!B838))</f>
        <v>Nigeria Multiple Indicator Cluster Survey 2021</v>
      </c>
      <c r="C838" s="7" t="str">
        <f aca="false">IF(ISNUMBER(SEARCH("Demographic and Health",B838)),"DHS",IF(OR(ISNUMBER(SEARCH("Multiple Indicator Cluster",B838)),ISNUMBER(SEARCH("MICS",B838))),"MICS",IF(ISNUMBER(SEARCH("Immunization Coverage Survey",B838)),"Coverage survey",IF(ISNUMBER(SEARCH("Nutrition",B838)),"Nutrition survey","Other"))))</f>
        <v>MICS</v>
      </c>
      <c r="D838" s="7" t="n">
        <f aca="false">VALUE(LEFT(Raw_Nigeria!D838,4))</f>
        <v>2021</v>
      </c>
      <c r="E838" s="7" t="n">
        <f aca="false">IF(VALUE(RIGHT(Raw_Nigeria!D838,2))&gt;12,"",VALUE(RIGHT(Raw_Nigeria!D838,2)))</f>
        <v>9</v>
      </c>
      <c r="F838" s="7" t="n">
        <f aca="false">VALUE(LEFT(Raw_Nigeria!E838,4))</f>
        <v>2021</v>
      </c>
      <c r="G838" s="7" t="n">
        <f aca="false">IF(VALUE(RIGHT(Raw_Nigeria!E838,2))&gt;12,"",VALUE(RIGHT(Raw_Nigeria!E838,2)))</f>
        <v>12</v>
      </c>
      <c r="H838" s="7" t="n">
        <f aca="false">Raw_Nigeria!F838</f>
        <v>2020</v>
      </c>
      <c r="I838" s="7" t="str">
        <f aca="false">UPPER(TRIM(Raw_Nigeria!G838))</f>
        <v>HIB1</v>
      </c>
      <c r="J838" s="7" t="str">
        <f aca="false">Raw_Nigeria!H838</f>
        <v>Record or Recall&lt;12m</v>
      </c>
      <c r="K838" s="7" t="str">
        <f aca="false">Raw_Nigeria!L838</f>
        <v>12-23 m</v>
      </c>
      <c r="L838" s="7" t="str">
        <f aca="false">IF(Raw_Nigeria!K838="","n/a",Raw_Nigeria!K838)</f>
        <v>0-12 m</v>
      </c>
      <c r="M838" s="7" t="n">
        <f aca="false">IF(Raw_Nigeria!I838="","",Raw_Nigeria!I838)</f>
        <v>56</v>
      </c>
      <c r="N838" s="7" t="n">
        <f aca="false">Raw_Nigeria!M838</f>
        <v>68</v>
      </c>
      <c r="O838" s="7" t="str">
        <f aca="false">IF(Raw_Nigeria!N838="","",Raw_Nigeria!N838)</f>
        <v/>
      </c>
      <c r="P838" s="7" t="str">
        <f aca="false">IF(K838="CBAW","Women of child-bearing age","Children")</f>
        <v>Children</v>
      </c>
      <c r="Q838" s="7" t="n">
        <f aca="false">IF(J838="NOT USED",1,0)</f>
        <v>0</v>
      </c>
      <c r="R838" s="7" t="n">
        <f aca="false">IF(AND(P838="Children",Q838=0),1,0)</f>
        <v>1</v>
      </c>
      <c r="S838" s="7" t="n">
        <f aca="false">IF(AND(R838=1,J838="Record or Recall",K838="12-23 m"),1,0)</f>
        <v>0</v>
      </c>
      <c r="T838" s="7" t="n">
        <f aca="false">IF(OR(I838="BCG",I838="DTP1",I838="DTP3",I838="POL3",I838="MCV1",I838="FULL"),1,0)</f>
        <v>0</v>
      </c>
      <c r="U838" s="7" t="n">
        <f aca="false">IF(OR(C838="DHS",C838="MICS"),1,0)</f>
        <v>1</v>
      </c>
      <c r="V838" s="7" t="n">
        <f aca="false">IF(O838="",1,0)</f>
        <v>1</v>
      </c>
      <c r="W838" s="7" t="n">
        <f aca="false">IF(M838="",1,0)</f>
        <v>0</v>
      </c>
      <c r="X838" s="7" t="n">
        <f aca="false">COUNTIFS($B$2:$B$1141,B838,$H$2:$H$1141,H838,$I$2:$I$1141,I838,$J$2:$J$1141,J838,$K$2:$K$1141,K838,$L$2:$L$1141,L838)</f>
        <v>1</v>
      </c>
    </row>
    <row r="839" customFormat="false" ht="15" hidden="false" customHeight="false" outlineLevel="0" collapsed="false">
      <c r="A839" s="7" t="n">
        <f aca="false">ROW()-1</f>
        <v>838</v>
      </c>
      <c r="B839" s="7" t="str">
        <f aca="false">IF(Raw_Nigeria!B839="",TRIM(Raw_Nigeria!C839),TRIM(Raw_Nigeria!B839))</f>
        <v>Nigeria Multiple Indicator Cluster Survey 2021</v>
      </c>
      <c r="C839" s="7" t="str">
        <f aca="false">IF(ISNUMBER(SEARCH("Demographic and Health",B839)),"DHS",IF(OR(ISNUMBER(SEARCH("Multiple Indicator Cluster",B839)),ISNUMBER(SEARCH("MICS",B839))),"MICS",IF(ISNUMBER(SEARCH("Immunization Coverage Survey",B839)),"Coverage survey",IF(ISNUMBER(SEARCH("Nutrition",B839)),"Nutrition survey","Other"))))</f>
        <v>MICS</v>
      </c>
      <c r="D839" s="7" t="n">
        <f aca="false">VALUE(LEFT(Raw_Nigeria!D839,4))</f>
        <v>2021</v>
      </c>
      <c r="E839" s="7" t="n">
        <f aca="false">IF(VALUE(RIGHT(Raw_Nigeria!D839,2))&gt;12,"",VALUE(RIGHT(Raw_Nigeria!D839,2)))</f>
        <v>9</v>
      </c>
      <c r="F839" s="7" t="n">
        <f aca="false">VALUE(LEFT(Raw_Nigeria!E839,4))</f>
        <v>2021</v>
      </c>
      <c r="G839" s="7" t="n">
        <f aca="false">IF(VALUE(RIGHT(Raw_Nigeria!E839,2))&gt;12,"",VALUE(RIGHT(Raw_Nigeria!E839,2)))</f>
        <v>12</v>
      </c>
      <c r="H839" s="7" t="n">
        <f aca="false">Raw_Nigeria!F839</f>
        <v>2020</v>
      </c>
      <c r="I839" s="7" t="str">
        <f aca="false">UPPER(TRIM(Raw_Nigeria!G839))</f>
        <v>HIB1</v>
      </c>
      <c r="J839" s="7" t="str">
        <f aca="false">Raw_Nigeria!H839</f>
        <v>Record</v>
      </c>
      <c r="K839" s="7" t="str">
        <f aca="false">Raw_Nigeria!L839</f>
        <v>12-23 m</v>
      </c>
      <c r="L839" s="7" t="str">
        <f aca="false">IF(Raw_Nigeria!K839="","n/a",Raw_Nigeria!K839)</f>
        <v>0-23 m</v>
      </c>
      <c r="M839" s="7" t="n">
        <f aca="false">IF(Raw_Nigeria!I839="","",Raw_Nigeria!I839)</f>
        <v>56</v>
      </c>
      <c r="N839" s="7" t="n">
        <f aca="false">Raw_Nigeria!M839</f>
        <v>53.4</v>
      </c>
      <c r="O839" s="7" t="n">
        <f aca="false">IF(Raw_Nigeria!N839="","",Raw_Nigeria!N839)</f>
        <v>3163</v>
      </c>
      <c r="P839" s="7" t="str">
        <f aca="false">IF(K839="CBAW","Women of child-bearing age","Children")</f>
        <v>Children</v>
      </c>
      <c r="Q839" s="7" t="n">
        <f aca="false">IF(J839="NOT USED",1,0)</f>
        <v>0</v>
      </c>
      <c r="R839" s="7" t="n">
        <f aca="false">IF(AND(P839="Children",Q839=0),1,0)</f>
        <v>1</v>
      </c>
      <c r="S839" s="7" t="n">
        <f aca="false">IF(AND(R839=1,J839="Record or Recall",K839="12-23 m"),1,0)</f>
        <v>0</v>
      </c>
      <c r="T839" s="7" t="n">
        <f aca="false">IF(OR(I839="BCG",I839="DTP1",I839="DTP3",I839="POL3",I839="MCV1",I839="FULL"),1,0)</f>
        <v>0</v>
      </c>
      <c r="U839" s="7" t="n">
        <f aca="false">IF(OR(C839="DHS",C839="MICS"),1,0)</f>
        <v>1</v>
      </c>
      <c r="V839" s="7" t="n">
        <f aca="false">IF(O839="",1,0)</f>
        <v>0</v>
      </c>
      <c r="W839" s="7" t="n">
        <f aca="false">IF(M839="",1,0)</f>
        <v>0</v>
      </c>
      <c r="X839" s="7" t="n">
        <f aca="false">COUNTIFS($B$2:$B$1141,B839,$H$2:$H$1141,H839,$I$2:$I$1141,I839,$J$2:$J$1141,J839,$K$2:$K$1141,K839,$L$2:$L$1141,L839)</f>
        <v>1</v>
      </c>
    </row>
    <row r="840" customFormat="false" ht="15" hidden="false" customHeight="false" outlineLevel="0" collapsed="false">
      <c r="A840" s="7" t="n">
        <f aca="false">ROW()-1</f>
        <v>839</v>
      </c>
      <c r="B840" s="7" t="str">
        <f aca="false">IF(Raw_Nigeria!B840="",TRIM(Raw_Nigeria!C840),TRIM(Raw_Nigeria!B840))</f>
        <v>Nigeria Multiple Indicator Cluster Survey 2021</v>
      </c>
      <c r="C840" s="7" t="str">
        <f aca="false">IF(ISNUMBER(SEARCH("Demographic and Health",B840)),"DHS",IF(OR(ISNUMBER(SEARCH("Multiple Indicator Cluster",B840)),ISNUMBER(SEARCH("MICS",B840))),"MICS",IF(ISNUMBER(SEARCH("Immunization Coverage Survey",B840)),"Coverage survey",IF(ISNUMBER(SEARCH("Nutrition",B840)),"Nutrition survey","Other"))))</f>
        <v>MICS</v>
      </c>
      <c r="D840" s="7" t="n">
        <f aca="false">VALUE(LEFT(Raw_Nigeria!D840,4))</f>
        <v>2021</v>
      </c>
      <c r="E840" s="7" t="n">
        <f aca="false">IF(VALUE(RIGHT(Raw_Nigeria!D840,2))&gt;12,"",VALUE(RIGHT(Raw_Nigeria!D840,2)))</f>
        <v>9</v>
      </c>
      <c r="F840" s="7" t="n">
        <f aca="false">VALUE(LEFT(Raw_Nigeria!E840,4))</f>
        <v>2021</v>
      </c>
      <c r="G840" s="7" t="n">
        <f aca="false">IF(VALUE(RIGHT(Raw_Nigeria!E840,2))&gt;12,"",VALUE(RIGHT(Raw_Nigeria!E840,2)))</f>
        <v>12</v>
      </c>
      <c r="H840" s="7" t="n">
        <f aca="false">Raw_Nigeria!F840</f>
        <v>2020</v>
      </c>
      <c r="I840" s="7" t="str">
        <f aca="false">UPPER(TRIM(Raw_Nigeria!G840))</f>
        <v>HIB1</v>
      </c>
      <c r="J840" s="7" t="str">
        <f aca="false">Raw_Nigeria!H840</f>
        <v>Record or Recall</v>
      </c>
      <c r="K840" s="7" t="str">
        <f aca="false">Raw_Nigeria!L840</f>
        <v>12-23 m</v>
      </c>
      <c r="L840" s="7" t="str">
        <f aca="false">IF(Raw_Nigeria!K840="","n/a",Raw_Nigeria!K840)</f>
        <v>0-23 m</v>
      </c>
      <c r="M840" s="7" t="n">
        <f aca="false">IF(Raw_Nigeria!I840="","",Raw_Nigeria!I840)</f>
        <v>56</v>
      </c>
      <c r="N840" s="7" t="n">
        <f aca="false">Raw_Nigeria!M840</f>
        <v>70.3</v>
      </c>
      <c r="O840" s="7" t="n">
        <f aca="false">IF(Raw_Nigeria!N840="","",Raw_Nigeria!N840)</f>
        <v>5652</v>
      </c>
      <c r="P840" s="7" t="str">
        <f aca="false">IF(K840="CBAW","Women of child-bearing age","Children")</f>
        <v>Children</v>
      </c>
      <c r="Q840" s="7" t="n">
        <f aca="false">IF(J840="NOT USED",1,0)</f>
        <v>0</v>
      </c>
      <c r="R840" s="7" t="n">
        <f aca="false">IF(AND(P840="Children",Q840=0),1,0)</f>
        <v>1</v>
      </c>
      <c r="S840" s="7" t="n">
        <f aca="false">IF(AND(R840=1,J840="Record or Recall",K840="12-23 m"),1,0)</f>
        <v>1</v>
      </c>
      <c r="T840" s="7" t="n">
        <f aca="false">IF(OR(I840="BCG",I840="DTP1",I840="DTP3",I840="POL3",I840="MCV1",I840="FULL"),1,0)</f>
        <v>0</v>
      </c>
      <c r="U840" s="7" t="n">
        <f aca="false">IF(OR(C840="DHS",C840="MICS"),1,0)</f>
        <v>1</v>
      </c>
      <c r="V840" s="7" t="n">
        <f aca="false">IF(O840="",1,0)</f>
        <v>0</v>
      </c>
      <c r="W840" s="7" t="n">
        <f aca="false">IF(M840="",1,0)</f>
        <v>0</v>
      </c>
      <c r="X840" s="7" t="n">
        <f aca="false">COUNTIFS($B$2:$B$1141,B840,$H$2:$H$1141,H840,$I$2:$I$1141,I840,$J$2:$J$1141,J840,$K$2:$K$1141,K840,$L$2:$L$1141,L840)</f>
        <v>1</v>
      </c>
    </row>
    <row r="841" customFormat="false" ht="15" hidden="false" customHeight="false" outlineLevel="0" collapsed="false">
      <c r="A841" s="7" t="n">
        <f aca="false">ROW()-1</f>
        <v>840</v>
      </c>
      <c r="B841" s="7" t="str">
        <f aca="false">IF(Raw_Nigeria!B841="",TRIM(Raw_Nigeria!C841),TRIM(Raw_Nigeria!B841))</f>
        <v>Nigeria Multiple Indicator Cluster Survey 2021</v>
      </c>
      <c r="C841" s="7" t="str">
        <f aca="false">IF(ISNUMBER(SEARCH("Demographic and Health",B841)),"DHS",IF(OR(ISNUMBER(SEARCH("Multiple Indicator Cluster",B841)),ISNUMBER(SEARCH("MICS",B841))),"MICS",IF(ISNUMBER(SEARCH("Immunization Coverage Survey",B841)),"Coverage survey",IF(ISNUMBER(SEARCH("Nutrition",B841)),"Nutrition survey","Other"))))</f>
        <v>MICS</v>
      </c>
      <c r="D841" s="7" t="n">
        <f aca="false">VALUE(LEFT(Raw_Nigeria!D841,4))</f>
        <v>2021</v>
      </c>
      <c r="E841" s="7" t="n">
        <f aca="false">IF(VALUE(RIGHT(Raw_Nigeria!D841,2))&gt;12,"",VALUE(RIGHT(Raw_Nigeria!D841,2)))</f>
        <v>9</v>
      </c>
      <c r="F841" s="7" t="n">
        <f aca="false">VALUE(LEFT(Raw_Nigeria!E841,4))</f>
        <v>2021</v>
      </c>
      <c r="G841" s="7" t="n">
        <f aca="false">IF(VALUE(RIGHT(Raw_Nigeria!E841,2))&gt;12,"",VALUE(RIGHT(Raw_Nigeria!E841,2)))</f>
        <v>12</v>
      </c>
      <c r="H841" s="7" t="n">
        <f aca="false">Raw_Nigeria!F841</f>
        <v>2020</v>
      </c>
      <c r="I841" s="7" t="str">
        <f aca="false">UPPER(TRIM(Raw_Nigeria!G841))</f>
        <v>HIB1</v>
      </c>
      <c r="J841" s="7" t="str">
        <f aca="false">Raw_Nigeria!H841</f>
        <v>Recall</v>
      </c>
      <c r="K841" s="7" t="str">
        <f aca="false">Raw_Nigeria!L841</f>
        <v>12-23 m</v>
      </c>
      <c r="L841" s="7" t="str">
        <f aca="false">IF(Raw_Nigeria!K841="","n/a",Raw_Nigeria!K841)</f>
        <v>0-23 m</v>
      </c>
      <c r="M841" s="7" t="n">
        <f aca="false">IF(Raw_Nigeria!I841="","",Raw_Nigeria!I841)</f>
        <v>56</v>
      </c>
      <c r="N841" s="7" t="n">
        <f aca="false">Raw_Nigeria!M841</f>
        <v>16.9</v>
      </c>
      <c r="O841" s="7" t="n">
        <f aca="false">IF(Raw_Nigeria!N841="","",Raw_Nigeria!N841)</f>
        <v>2489</v>
      </c>
      <c r="P841" s="7" t="str">
        <f aca="false">IF(K841="CBAW","Women of child-bearing age","Children")</f>
        <v>Children</v>
      </c>
      <c r="Q841" s="7" t="n">
        <f aca="false">IF(J841="NOT USED",1,0)</f>
        <v>0</v>
      </c>
      <c r="R841" s="7" t="n">
        <f aca="false">IF(AND(P841="Children",Q841=0),1,0)</f>
        <v>1</v>
      </c>
      <c r="S841" s="7" t="n">
        <f aca="false">IF(AND(R841=1,J841="Record or Recall",K841="12-23 m"),1,0)</f>
        <v>0</v>
      </c>
      <c r="T841" s="7" t="n">
        <f aca="false">IF(OR(I841="BCG",I841="DTP1",I841="DTP3",I841="POL3",I841="MCV1",I841="FULL"),1,0)</f>
        <v>0</v>
      </c>
      <c r="U841" s="7" t="n">
        <f aca="false">IF(OR(C841="DHS",C841="MICS"),1,0)</f>
        <v>1</v>
      </c>
      <c r="V841" s="7" t="n">
        <f aca="false">IF(O841="",1,0)</f>
        <v>0</v>
      </c>
      <c r="W841" s="7" t="n">
        <f aca="false">IF(M841="",1,0)</f>
        <v>0</v>
      </c>
      <c r="X841" s="7" t="n">
        <f aca="false">COUNTIFS($B$2:$B$1141,B841,$H$2:$H$1141,H841,$I$2:$I$1141,I841,$J$2:$J$1141,J841,$K$2:$K$1141,K841,$L$2:$L$1141,L841)</f>
        <v>1</v>
      </c>
    </row>
    <row r="842" customFormat="false" ht="15" hidden="false" customHeight="false" outlineLevel="0" collapsed="false">
      <c r="A842" s="7" t="n">
        <f aca="false">ROW()-1</f>
        <v>841</v>
      </c>
      <c r="B842" s="7" t="str">
        <f aca="false">IF(Raw_Nigeria!B842="",TRIM(Raw_Nigeria!C842),TRIM(Raw_Nigeria!B842))</f>
        <v>Nigeria Multiple Indicator Cluster Survey 2021</v>
      </c>
      <c r="C842" s="7" t="str">
        <f aca="false">IF(ISNUMBER(SEARCH("Demographic and Health",B842)),"DHS",IF(OR(ISNUMBER(SEARCH("Multiple Indicator Cluster",B842)),ISNUMBER(SEARCH("MICS",B842))),"MICS",IF(ISNUMBER(SEARCH("Immunization Coverage Survey",B842)),"Coverage survey",IF(ISNUMBER(SEARCH("Nutrition",B842)),"Nutrition survey","Other"))))</f>
        <v>MICS</v>
      </c>
      <c r="D842" s="7" t="n">
        <f aca="false">VALUE(LEFT(Raw_Nigeria!D842,4))</f>
        <v>2021</v>
      </c>
      <c r="E842" s="7" t="n">
        <f aca="false">IF(VALUE(RIGHT(Raw_Nigeria!D842,2))&gt;12,"",VALUE(RIGHT(Raw_Nigeria!D842,2)))</f>
        <v>9</v>
      </c>
      <c r="F842" s="7" t="n">
        <f aca="false">VALUE(LEFT(Raw_Nigeria!E842,4))</f>
        <v>2021</v>
      </c>
      <c r="G842" s="7" t="n">
        <f aca="false">IF(VALUE(RIGHT(Raw_Nigeria!E842,2))&gt;12,"",VALUE(RIGHT(Raw_Nigeria!E842,2)))</f>
        <v>12</v>
      </c>
      <c r="H842" s="7" t="n">
        <f aca="false">Raw_Nigeria!F842</f>
        <v>2020</v>
      </c>
      <c r="I842" s="7" t="str">
        <f aca="false">UPPER(TRIM(Raw_Nigeria!G842))</f>
        <v>HIB2</v>
      </c>
      <c r="J842" s="7" t="str">
        <f aca="false">Raw_Nigeria!H842</f>
        <v>Record</v>
      </c>
      <c r="K842" s="7" t="str">
        <f aca="false">Raw_Nigeria!L842</f>
        <v>12-23 m</v>
      </c>
      <c r="L842" s="7" t="str">
        <f aca="false">IF(Raw_Nigeria!K842="","n/a",Raw_Nigeria!K842)</f>
        <v>0-23 m</v>
      </c>
      <c r="M842" s="7" t="n">
        <f aca="false">IF(Raw_Nigeria!I842="","",Raw_Nigeria!I842)</f>
        <v>56</v>
      </c>
      <c r="N842" s="7" t="n">
        <f aca="false">Raw_Nigeria!M842</f>
        <v>50.6</v>
      </c>
      <c r="O842" s="7" t="n">
        <f aca="false">IF(Raw_Nigeria!N842="","",Raw_Nigeria!N842)</f>
        <v>3163</v>
      </c>
      <c r="P842" s="7" t="str">
        <f aca="false">IF(K842="CBAW","Women of child-bearing age","Children")</f>
        <v>Children</v>
      </c>
      <c r="Q842" s="7" t="n">
        <f aca="false">IF(J842="NOT USED",1,0)</f>
        <v>0</v>
      </c>
      <c r="R842" s="7" t="n">
        <f aca="false">IF(AND(P842="Children",Q842=0),1,0)</f>
        <v>1</v>
      </c>
      <c r="S842" s="7" t="n">
        <f aca="false">IF(AND(R842=1,J842="Record or Recall",K842="12-23 m"),1,0)</f>
        <v>0</v>
      </c>
      <c r="T842" s="7" t="n">
        <f aca="false">IF(OR(I842="BCG",I842="DTP1",I842="DTP3",I842="POL3",I842="MCV1",I842="FULL"),1,0)</f>
        <v>0</v>
      </c>
      <c r="U842" s="7" t="n">
        <f aca="false">IF(OR(C842="DHS",C842="MICS"),1,0)</f>
        <v>1</v>
      </c>
      <c r="V842" s="7" t="n">
        <f aca="false">IF(O842="",1,0)</f>
        <v>0</v>
      </c>
      <c r="W842" s="7" t="n">
        <f aca="false">IF(M842="",1,0)</f>
        <v>0</v>
      </c>
      <c r="X842" s="7" t="n">
        <f aca="false">COUNTIFS($B$2:$B$1141,B842,$H$2:$H$1141,H842,$I$2:$I$1141,I842,$J$2:$J$1141,J842,$K$2:$K$1141,K842,$L$2:$L$1141,L842)</f>
        <v>1</v>
      </c>
    </row>
    <row r="843" customFormat="false" ht="15" hidden="false" customHeight="false" outlineLevel="0" collapsed="false">
      <c r="A843" s="7" t="n">
        <f aca="false">ROW()-1</f>
        <v>842</v>
      </c>
      <c r="B843" s="7" t="str">
        <f aca="false">IF(Raw_Nigeria!B843="",TRIM(Raw_Nigeria!C843),TRIM(Raw_Nigeria!B843))</f>
        <v>Nigeria Multiple Indicator Cluster Survey 2021</v>
      </c>
      <c r="C843" s="7" t="str">
        <f aca="false">IF(ISNUMBER(SEARCH("Demographic and Health",B843)),"DHS",IF(OR(ISNUMBER(SEARCH("Multiple Indicator Cluster",B843)),ISNUMBER(SEARCH("MICS",B843))),"MICS",IF(ISNUMBER(SEARCH("Immunization Coverage Survey",B843)),"Coverage survey",IF(ISNUMBER(SEARCH("Nutrition",B843)),"Nutrition survey","Other"))))</f>
        <v>MICS</v>
      </c>
      <c r="D843" s="7" t="n">
        <f aca="false">VALUE(LEFT(Raw_Nigeria!D843,4))</f>
        <v>2021</v>
      </c>
      <c r="E843" s="7" t="n">
        <f aca="false">IF(VALUE(RIGHT(Raw_Nigeria!D843,2))&gt;12,"",VALUE(RIGHT(Raw_Nigeria!D843,2)))</f>
        <v>9</v>
      </c>
      <c r="F843" s="7" t="n">
        <f aca="false">VALUE(LEFT(Raw_Nigeria!E843,4))</f>
        <v>2021</v>
      </c>
      <c r="G843" s="7" t="n">
        <f aca="false">IF(VALUE(RIGHT(Raw_Nigeria!E843,2))&gt;12,"",VALUE(RIGHT(Raw_Nigeria!E843,2)))</f>
        <v>12</v>
      </c>
      <c r="H843" s="7" t="n">
        <f aca="false">Raw_Nigeria!F843</f>
        <v>2020</v>
      </c>
      <c r="I843" s="7" t="str">
        <f aca="false">UPPER(TRIM(Raw_Nigeria!G843))</f>
        <v>HIB2</v>
      </c>
      <c r="J843" s="7" t="str">
        <f aca="false">Raw_Nigeria!H843</f>
        <v>Record or Recall</v>
      </c>
      <c r="K843" s="7" t="str">
        <f aca="false">Raw_Nigeria!L843</f>
        <v>12-23 m</v>
      </c>
      <c r="L843" s="7" t="str">
        <f aca="false">IF(Raw_Nigeria!K843="","n/a",Raw_Nigeria!K843)</f>
        <v>0-23 m</v>
      </c>
      <c r="M843" s="7" t="n">
        <f aca="false">IF(Raw_Nigeria!I843="","",Raw_Nigeria!I843)</f>
        <v>56</v>
      </c>
      <c r="N843" s="7" t="n">
        <f aca="false">Raw_Nigeria!M843</f>
        <v>64.6</v>
      </c>
      <c r="O843" s="7" t="n">
        <f aca="false">IF(Raw_Nigeria!N843="","",Raw_Nigeria!N843)</f>
        <v>5652</v>
      </c>
      <c r="P843" s="7" t="str">
        <f aca="false">IF(K843="CBAW","Women of child-bearing age","Children")</f>
        <v>Children</v>
      </c>
      <c r="Q843" s="7" t="n">
        <f aca="false">IF(J843="NOT USED",1,0)</f>
        <v>0</v>
      </c>
      <c r="R843" s="7" t="n">
        <f aca="false">IF(AND(P843="Children",Q843=0),1,0)</f>
        <v>1</v>
      </c>
      <c r="S843" s="7" t="n">
        <f aca="false">IF(AND(R843=1,J843="Record or Recall",K843="12-23 m"),1,0)</f>
        <v>1</v>
      </c>
      <c r="T843" s="7" t="n">
        <f aca="false">IF(OR(I843="BCG",I843="DTP1",I843="DTP3",I843="POL3",I843="MCV1",I843="FULL"),1,0)</f>
        <v>0</v>
      </c>
      <c r="U843" s="7" t="n">
        <f aca="false">IF(OR(C843="DHS",C843="MICS"),1,0)</f>
        <v>1</v>
      </c>
      <c r="V843" s="7" t="n">
        <f aca="false">IF(O843="",1,0)</f>
        <v>0</v>
      </c>
      <c r="W843" s="7" t="n">
        <f aca="false">IF(M843="",1,0)</f>
        <v>0</v>
      </c>
      <c r="X843" s="7" t="n">
        <f aca="false">COUNTIFS($B$2:$B$1141,B843,$H$2:$H$1141,H843,$I$2:$I$1141,I843,$J$2:$J$1141,J843,$K$2:$K$1141,K843,$L$2:$L$1141,L843)</f>
        <v>1</v>
      </c>
    </row>
    <row r="844" customFormat="false" ht="15" hidden="false" customHeight="false" outlineLevel="0" collapsed="false">
      <c r="A844" s="7" t="n">
        <f aca="false">ROW()-1</f>
        <v>843</v>
      </c>
      <c r="B844" s="7" t="str">
        <f aca="false">IF(Raw_Nigeria!B844="",TRIM(Raw_Nigeria!C844),TRIM(Raw_Nigeria!B844))</f>
        <v>Nigeria Multiple Indicator Cluster Survey 2021</v>
      </c>
      <c r="C844" s="7" t="str">
        <f aca="false">IF(ISNUMBER(SEARCH("Demographic and Health",B844)),"DHS",IF(OR(ISNUMBER(SEARCH("Multiple Indicator Cluster",B844)),ISNUMBER(SEARCH("MICS",B844))),"MICS",IF(ISNUMBER(SEARCH("Immunization Coverage Survey",B844)),"Coverage survey",IF(ISNUMBER(SEARCH("Nutrition",B844)),"Nutrition survey","Other"))))</f>
        <v>MICS</v>
      </c>
      <c r="D844" s="7" t="n">
        <f aca="false">VALUE(LEFT(Raw_Nigeria!D844,4))</f>
        <v>2021</v>
      </c>
      <c r="E844" s="7" t="n">
        <f aca="false">IF(VALUE(RIGHT(Raw_Nigeria!D844,2))&gt;12,"",VALUE(RIGHT(Raw_Nigeria!D844,2)))</f>
        <v>9</v>
      </c>
      <c r="F844" s="7" t="n">
        <f aca="false">VALUE(LEFT(Raw_Nigeria!E844,4))</f>
        <v>2021</v>
      </c>
      <c r="G844" s="7" t="n">
        <f aca="false">IF(VALUE(RIGHT(Raw_Nigeria!E844,2))&gt;12,"",VALUE(RIGHT(Raw_Nigeria!E844,2)))</f>
        <v>12</v>
      </c>
      <c r="H844" s="7" t="n">
        <f aca="false">Raw_Nigeria!F844</f>
        <v>2020</v>
      </c>
      <c r="I844" s="7" t="str">
        <f aca="false">UPPER(TRIM(Raw_Nigeria!G844))</f>
        <v>HIB2</v>
      </c>
      <c r="J844" s="7" t="str">
        <f aca="false">Raw_Nigeria!H844</f>
        <v>Recall</v>
      </c>
      <c r="K844" s="7" t="str">
        <f aca="false">Raw_Nigeria!L844</f>
        <v>12-23 m</v>
      </c>
      <c r="L844" s="7" t="str">
        <f aca="false">IF(Raw_Nigeria!K844="","n/a",Raw_Nigeria!K844)</f>
        <v>0-23 m</v>
      </c>
      <c r="M844" s="7" t="n">
        <f aca="false">IF(Raw_Nigeria!I844="","",Raw_Nigeria!I844)</f>
        <v>56</v>
      </c>
      <c r="N844" s="7" t="n">
        <f aca="false">Raw_Nigeria!M844</f>
        <v>14</v>
      </c>
      <c r="O844" s="7" t="n">
        <f aca="false">IF(Raw_Nigeria!N844="","",Raw_Nigeria!N844)</f>
        <v>2489</v>
      </c>
      <c r="P844" s="7" t="str">
        <f aca="false">IF(K844="CBAW","Women of child-bearing age","Children")</f>
        <v>Children</v>
      </c>
      <c r="Q844" s="7" t="n">
        <f aca="false">IF(J844="NOT USED",1,0)</f>
        <v>0</v>
      </c>
      <c r="R844" s="7" t="n">
        <f aca="false">IF(AND(P844="Children",Q844=0),1,0)</f>
        <v>1</v>
      </c>
      <c r="S844" s="7" t="n">
        <f aca="false">IF(AND(R844=1,J844="Record or Recall",K844="12-23 m"),1,0)</f>
        <v>0</v>
      </c>
      <c r="T844" s="7" t="n">
        <f aca="false">IF(OR(I844="BCG",I844="DTP1",I844="DTP3",I844="POL3",I844="MCV1",I844="FULL"),1,0)</f>
        <v>0</v>
      </c>
      <c r="U844" s="7" t="n">
        <f aca="false">IF(OR(C844="DHS",C844="MICS"),1,0)</f>
        <v>1</v>
      </c>
      <c r="V844" s="7" t="n">
        <f aca="false">IF(O844="",1,0)</f>
        <v>0</v>
      </c>
      <c r="W844" s="7" t="n">
        <f aca="false">IF(M844="",1,0)</f>
        <v>0</v>
      </c>
      <c r="X844" s="7" t="n">
        <f aca="false">COUNTIFS($B$2:$B$1141,B844,$H$2:$H$1141,H844,$I$2:$I$1141,I844,$J$2:$J$1141,J844,$K$2:$K$1141,K844,$L$2:$L$1141,L844)</f>
        <v>1</v>
      </c>
    </row>
    <row r="845" customFormat="false" ht="15" hidden="false" customHeight="false" outlineLevel="0" collapsed="false">
      <c r="A845" s="7" t="n">
        <f aca="false">ROW()-1</f>
        <v>844</v>
      </c>
      <c r="B845" s="7" t="str">
        <f aca="false">IF(Raw_Nigeria!B845="",TRIM(Raw_Nigeria!C845),TRIM(Raw_Nigeria!B845))</f>
        <v>Nigeria Multiple Indicator Cluster Survey 2021</v>
      </c>
      <c r="C845" s="7" t="str">
        <f aca="false">IF(ISNUMBER(SEARCH("Demographic and Health",B845)),"DHS",IF(OR(ISNUMBER(SEARCH("Multiple Indicator Cluster",B845)),ISNUMBER(SEARCH("MICS",B845))),"MICS",IF(ISNUMBER(SEARCH("Immunization Coverage Survey",B845)),"Coverage survey",IF(ISNUMBER(SEARCH("Nutrition",B845)),"Nutrition survey","Other"))))</f>
        <v>MICS</v>
      </c>
      <c r="D845" s="7" t="n">
        <f aca="false">VALUE(LEFT(Raw_Nigeria!D845,4))</f>
        <v>2021</v>
      </c>
      <c r="E845" s="7" t="n">
        <f aca="false">IF(VALUE(RIGHT(Raw_Nigeria!D845,2))&gt;12,"",VALUE(RIGHT(Raw_Nigeria!D845,2)))</f>
        <v>9</v>
      </c>
      <c r="F845" s="7" t="n">
        <f aca="false">VALUE(LEFT(Raw_Nigeria!E845,4))</f>
        <v>2021</v>
      </c>
      <c r="G845" s="7" t="n">
        <f aca="false">IF(VALUE(RIGHT(Raw_Nigeria!E845,2))&gt;12,"",VALUE(RIGHT(Raw_Nigeria!E845,2)))</f>
        <v>12</v>
      </c>
      <c r="H845" s="7" t="n">
        <f aca="false">Raw_Nigeria!F845</f>
        <v>2020</v>
      </c>
      <c r="I845" s="7" t="str">
        <f aca="false">UPPER(TRIM(Raw_Nigeria!G845))</f>
        <v>HIB2</v>
      </c>
      <c r="J845" s="7" t="str">
        <f aca="false">Raw_Nigeria!H845</f>
        <v>Record or Recall&lt;12m</v>
      </c>
      <c r="K845" s="7" t="str">
        <f aca="false">Raw_Nigeria!L845</f>
        <v>12-23 m</v>
      </c>
      <c r="L845" s="7" t="str">
        <f aca="false">IF(Raw_Nigeria!K845="","n/a",Raw_Nigeria!K845)</f>
        <v>0-12 m</v>
      </c>
      <c r="M845" s="7" t="n">
        <f aca="false">IF(Raw_Nigeria!I845="","",Raw_Nigeria!I845)</f>
        <v>56</v>
      </c>
      <c r="N845" s="7" t="n">
        <f aca="false">Raw_Nigeria!M845</f>
        <v>61.7</v>
      </c>
      <c r="O845" s="7" t="str">
        <f aca="false">IF(Raw_Nigeria!N845="","",Raw_Nigeria!N845)</f>
        <v/>
      </c>
      <c r="P845" s="7" t="str">
        <f aca="false">IF(K845="CBAW","Women of child-bearing age","Children")</f>
        <v>Children</v>
      </c>
      <c r="Q845" s="7" t="n">
        <f aca="false">IF(J845="NOT USED",1,0)</f>
        <v>0</v>
      </c>
      <c r="R845" s="7" t="n">
        <f aca="false">IF(AND(P845="Children",Q845=0),1,0)</f>
        <v>1</v>
      </c>
      <c r="S845" s="7" t="n">
        <f aca="false">IF(AND(R845=1,J845="Record or Recall",K845="12-23 m"),1,0)</f>
        <v>0</v>
      </c>
      <c r="T845" s="7" t="n">
        <f aca="false">IF(OR(I845="BCG",I845="DTP1",I845="DTP3",I845="POL3",I845="MCV1",I845="FULL"),1,0)</f>
        <v>0</v>
      </c>
      <c r="U845" s="7" t="n">
        <f aca="false">IF(OR(C845="DHS",C845="MICS"),1,0)</f>
        <v>1</v>
      </c>
      <c r="V845" s="7" t="n">
        <f aca="false">IF(O845="",1,0)</f>
        <v>1</v>
      </c>
      <c r="W845" s="7" t="n">
        <f aca="false">IF(M845="",1,0)</f>
        <v>0</v>
      </c>
      <c r="X845" s="7" t="n">
        <f aca="false">COUNTIFS($B$2:$B$1141,B845,$H$2:$H$1141,H845,$I$2:$I$1141,I845,$J$2:$J$1141,J845,$K$2:$K$1141,K845,$L$2:$L$1141,L845)</f>
        <v>1</v>
      </c>
    </row>
    <row r="846" customFormat="false" ht="15" hidden="false" customHeight="false" outlineLevel="0" collapsed="false">
      <c r="A846" s="7" t="n">
        <f aca="false">ROW()-1</f>
        <v>845</v>
      </c>
      <c r="B846" s="7" t="str">
        <f aca="false">IF(Raw_Nigeria!B846="",TRIM(Raw_Nigeria!C846),TRIM(Raw_Nigeria!B846))</f>
        <v>Nigeria Multiple Indicator Cluster Survey 2021</v>
      </c>
      <c r="C846" s="7" t="str">
        <f aca="false">IF(ISNUMBER(SEARCH("Demographic and Health",B846)),"DHS",IF(OR(ISNUMBER(SEARCH("Multiple Indicator Cluster",B846)),ISNUMBER(SEARCH("MICS",B846))),"MICS",IF(ISNUMBER(SEARCH("Immunization Coverage Survey",B846)),"Coverage survey",IF(ISNUMBER(SEARCH("Nutrition",B846)),"Nutrition survey","Other"))))</f>
        <v>MICS</v>
      </c>
      <c r="D846" s="7" t="n">
        <f aca="false">VALUE(LEFT(Raw_Nigeria!D846,4))</f>
        <v>2021</v>
      </c>
      <c r="E846" s="7" t="n">
        <f aca="false">IF(VALUE(RIGHT(Raw_Nigeria!D846,2))&gt;12,"",VALUE(RIGHT(Raw_Nigeria!D846,2)))</f>
        <v>9</v>
      </c>
      <c r="F846" s="7" t="n">
        <f aca="false">VALUE(LEFT(Raw_Nigeria!E846,4))</f>
        <v>2021</v>
      </c>
      <c r="G846" s="7" t="n">
        <f aca="false">IF(VALUE(RIGHT(Raw_Nigeria!E846,2))&gt;12,"",VALUE(RIGHT(Raw_Nigeria!E846,2)))</f>
        <v>12</v>
      </c>
      <c r="H846" s="7" t="n">
        <f aca="false">Raw_Nigeria!F846</f>
        <v>2020</v>
      </c>
      <c r="I846" s="7" t="str">
        <f aca="false">UPPER(TRIM(Raw_Nigeria!G846))</f>
        <v>HIB3</v>
      </c>
      <c r="J846" s="7" t="str">
        <f aca="false">Raw_Nigeria!H846</f>
        <v>Record or Recall&lt;12m</v>
      </c>
      <c r="K846" s="7" t="str">
        <f aca="false">Raw_Nigeria!L846</f>
        <v>12-23 m</v>
      </c>
      <c r="L846" s="7" t="str">
        <f aca="false">IF(Raw_Nigeria!K846="","n/a",Raw_Nigeria!K846)</f>
        <v>0-12 m</v>
      </c>
      <c r="M846" s="7" t="n">
        <f aca="false">IF(Raw_Nigeria!I846="","",Raw_Nigeria!I846)</f>
        <v>56</v>
      </c>
      <c r="N846" s="7" t="n">
        <f aca="false">Raw_Nigeria!M846</f>
        <v>54.3</v>
      </c>
      <c r="O846" s="7" t="str">
        <f aca="false">IF(Raw_Nigeria!N846="","",Raw_Nigeria!N846)</f>
        <v/>
      </c>
      <c r="P846" s="7" t="str">
        <f aca="false">IF(K846="CBAW","Women of child-bearing age","Children")</f>
        <v>Children</v>
      </c>
      <c r="Q846" s="7" t="n">
        <f aca="false">IF(J846="NOT USED",1,0)</f>
        <v>0</v>
      </c>
      <c r="R846" s="7" t="n">
        <f aca="false">IF(AND(P846="Children",Q846=0),1,0)</f>
        <v>1</v>
      </c>
      <c r="S846" s="7" t="n">
        <f aca="false">IF(AND(R846=1,J846="Record or Recall",K846="12-23 m"),1,0)</f>
        <v>0</v>
      </c>
      <c r="T846" s="7" t="n">
        <f aca="false">IF(OR(I846="BCG",I846="DTP1",I846="DTP3",I846="POL3",I846="MCV1",I846="FULL"),1,0)</f>
        <v>0</v>
      </c>
      <c r="U846" s="7" t="n">
        <f aca="false">IF(OR(C846="DHS",C846="MICS"),1,0)</f>
        <v>1</v>
      </c>
      <c r="V846" s="7" t="n">
        <f aca="false">IF(O846="",1,0)</f>
        <v>1</v>
      </c>
      <c r="W846" s="7" t="n">
        <f aca="false">IF(M846="",1,0)</f>
        <v>0</v>
      </c>
      <c r="X846" s="7" t="n">
        <f aca="false">COUNTIFS($B$2:$B$1141,B846,$H$2:$H$1141,H846,$I$2:$I$1141,I846,$J$2:$J$1141,J846,$K$2:$K$1141,K846,$L$2:$L$1141,L846)</f>
        <v>1</v>
      </c>
    </row>
    <row r="847" customFormat="false" ht="15" hidden="false" customHeight="false" outlineLevel="0" collapsed="false">
      <c r="A847" s="7" t="n">
        <f aca="false">ROW()-1</f>
        <v>846</v>
      </c>
      <c r="B847" s="7" t="str">
        <f aca="false">IF(Raw_Nigeria!B847="",TRIM(Raw_Nigeria!C847),TRIM(Raw_Nigeria!B847))</f>
        <v>Nigeria Multiple Indicator Cluster Survey 2021</v>
      </c>
      <c r="C847" s="7" t="str">
        <f aca="false">IF(ISNUMBER(SEARCH("Demographic and Health",B847)),"DHS",IF(OR(ISNUMBER(SEARCH("Multiple Indicator Cluster",B847)),ISNUMBER(SEARCH("MICS",B847))),"MICS",IF(ISNUMBER(SEARCH("Immunization Coverage Survey",B847)),"Coverage survey",IF(ISNUMBER(SEARCH("Nutrition",B847)),"Nutrition survey","Other"))))</f>
        <v>MICS</v>
      </c>
      <c r="D847" s="7" t="n">
        <f aca="false">VALUE(LEFT(Raw_Nigeria!D847,4))</f>
        <v>2021</v>
      </c>
      <c r="E847" s="7" t="n">
        <f aca="false">IF(VALUE(RIGHT(Raw_Nigeria!D847,2))&gt;12,"",VALUE(RIGHT(Raw_Nigeria!D847,2)))</f>
        <v>9</v>
      </c>
      <c r="F847" s="7" t="n">
        <f aca="false">VALUE(LEFT(Raw_Nigeria!E847,4))</f>
        <v>2021</v>
      </c>
      <c r="G847" s="7" t="n">
        <f aca="false">IF(VALUE(RIGHT(Raw_Nigeria!E847,2))&gt;12,"",VALUE(RIGHT(Raw_Nigeria!E847,2)))</f>
        <v>12</v>
      </c>
      <c r="H847" s="7" t="n">
        <f aca="false">Raw_Nigeria!F847</f>
        <v>2020</v>
      </c>
      <c r="I847" s="7" t="str">
        <f aca="false">UPPER(TRIM(Raw_Nigeria!G847))</f>
        <v>HIB3</v>
      </c>
      <c r="J847" s="7" t="str">
        <f aca="false">Raw_Nigeria!H847</f>
        <v>Record</v>
      </c>
      <c r="K847" s="7" t="str">
        <f aca="false">Raw_Nigeria!L847</f>
        <v>12-23 m</v>
      </c>
      <c r="L847" s="7" t="str">
        <f aca="false">IF(Raw_Nigeria!K847="","n/a",Raw_Nigeria!K847)</f>
        <v>0-23 m</v>
      </c>
      <c r="M847" s="7" t="n">
        <f aca="false">IF(Raw_Nigeria!I847="","",Raw_Nigeria!I847)</f>
        <v>56</v>
      </c>
      <c r="N847" s="7" t="n">
        <f aca="false">Raw_Nigeria!M847</f>
        <v>47.4</v>
      </c>
      <c r="O847" s="7" t="n">
        <f aca="false">IF(Raw_Nigeria!N847="","",Raw_Nigeria!N847)</f>
        <v>3163</v>
      </c>
      <c r="P847" s="7" t="str">
        <f aca="false">IF(K847="CBAW","Women of child-bearing age","Children")</f>
        <v>Children</v>
      </c>
      <c r="Q847" s="7" t="n">
        <f aca="false">IF(J847="NOT USED",1,0)</f>
        <v>0</v>
      </c>
      <c r="R847" s="7" t="n">
        <f aca="false">IF(AND(P847="Children",Q847=0),1,0)</f>
        <v>1</v>
      </c>
      <c r="S847" s="7" t="n">
        <f aca="false">IF(AND(R847=1,J847="Record or Recall",K847="12-23 m"),1,0)</f>
        <v>0</v>
      </c>
      <c r="T847" s="7" t="n">
        <f aca="false">IF(OR(I847="BCG",I847="DTP1",I847="DTP3",I847="POL3",I847="MCV1",I847="FULL"),1,0)</f>
        <v>0</v>
      </c>
      <c r="U847" s="7" t="n">
        <f aca="false">IF(OR(C847="DHS",C847="MICS"),1,0)</f>
        <v>1</v>
      </c>
      <c r="V847" s="7" t="n">
        <f aca="false">IF(O847="",1,0)</f>
        <v>0</v>
      </c>
      <c r="W847" s="7" t="n">
        <f aca="false">IF(M847="",1,0)</f>
        <v>0</v>
      </c>
      <c r="X847" s="7" t="n">
        <f aca="false">COUNTIFS($B$2:$B$1141,B847,$H$2:$H$1141,H847,$I$2:$I$1141,I847,$J$2:$J$1141,J847,$K$2:$K$1141,K847,$L$2:$L$1141,L847)</f>
        <v>1</v>
      </c>
    </row>
    <row r="848" customFormat="false" ht="15" hidden="false" customHeight="false" outlineLevel="0" collapsed="false">
      <c r="A848" s="7" t="n">
        <f aca="false">ROW()-1</f>
        <v>847</v>
      </c>
      <c r="B848" s="7" t="str">
        <f aca="false">IF(Raw_Nigeria!B848="",TRIM(Raw_Nigeria!C848),TRIM(Raw_Nigeria!B848))</f>
        <v>Nigeria Multiple Indicator Cluster Survey 2021</v>
      </c>
      <c r="C848" s="7" t="str">
        <f aca="false">IF(ISNUMBER(SEARCH("Demographic and Health",B848)),"DHS",IF(OR(ISNUMBER(SEARCH("Multiple Indicator Cluster",B848)),ISNUMBER(SEARCH("MICS",B848))),"MICS",IF(ISNUMBER(SEARCH("Immunization Coverage Survey",B848)),"Coverage survey",IF(ISNUMBER(SEARCH("Nutrition",B848)),"Nutrition survey","Other"))))</f>
        <v>MICS</v>
      </c>
      <c r="D848" s="7" t="n">
        <f aca="false">VALUE(LEFT(Raw_Nigeria!D848,4))</f>
        <v>2021</v>
      </c>
      <c r="E848" s="7" t="n">
        <f aca="false">IF(VALUE(RIGHT(Raw_Nigeria!D848,2))&gt;12,"",VALUE(RIGHT(Raw_Nigeria!D848,2)))</f>
        <v>9</v>
      </c>
      <c r="F848" s="7" t="n">
        <f aca="false">VALUE(LEFT(Raw_Nigeria!E848,4))</f>
        <v>2021</v>
      </c>
      <c r="G848" s="7" t="n">
        <f aca="false">IF(VALUE(RIGHT(Raw_Nigeria!E848,2))&gt;12,"",VALUE(RIGHT(Raw_Nigeria!E848,2)))</f>
        <v>12</v>
      </c>
      <c r="H848" s="7" t="n">
        <f aca="false">Raw_Nigeria!F848</f>
        <v>2020</v>
      </c>
      <c r="I848" s="7" t="str">
        <f aca="false">UPPER(TRIM(Raw_Nigeria!G848))</f>
        <v>HIB3</v>
      </c>
      <c r="J848" s="7" t="str">
        <f aca="false">Raw_Nigeria!H848</f>
        <v>Record or Recall</v>
      </c>
      <c r="K848" s="7" t="str">
        <f aca="false">Raw_Nigeria!L848</f>
        <v>12-23 m</v>
      </c>
      <c r="L848" s="7" t="str">
        <f aca="false">IF(Raw_Nigeria!K848="","n/a",Raw_Nigeria!K848)</f>
        <v>0-23 m</v>
      </c>
      <c r="M848" s="7" t="n">
        <f aca="false">IF(Raw_Nigeria!I848="","",Raw_Nigeria!I848)</f>
        <v>56</v>
      </c>
      <c r="N848" s="7" t="n">
        <f aca="false">Raw_Nigeria!M848</f>
        <v>56.6</v>
      </c>
      <c r="O848" s="7" t="n">
        <f aca="false">IF(Raw_Nigeria!N848="","",Raw_Nigeria!N848)</f>
        <v>5652</v>
      </c>
      <c r="P848" s="7" t="str">
        <f aca="false">IF(K848="CBAW","Women of child-bearing age","Children")</f>
        <v>Children</v>
      </c>
      <c r="Q848" s="7" t="n">
        <f aca="false">IF(J848="NOT USED",1,0)</f>
        <v>0</v>
      </c>
      <c r="R848" s="7" t="n">
        <f aca="false">IF(AND(P848="Children",Q848=0),1,0)</f>
        <v>1</v>
      </c>
      <c r="S848" s="7" t="n">
        <f aca="false">IF(AND(R848=1,J848="Record or Recall",K848="12-23 m"),1,0)</f>
        <v>1</v>
      </c>
      <c r="T848" s="7" t="n">
        <f aca="false">IF(OR(I848="BCG",I848="DTP1",I848="DTP3",I848="POL3",I848="MCV1",I848="FULL"),1,0)</f>
        <v>0</v>
      </c>
      <c r="U848" s="7" t="n">
        <f aca="false">IF(OR(C848="DHS",C848="MICS"),1,0)</f>
        <v>1</v>
      </c>
      <c r="V848" s="7" t="n">
        <f aca="false">IF(O848="",1,0)</f>
        <v>0</v>
      </c>
      <c r="W848" s="7" t="n">
        <f aca="false">IF(M848="",1,0)</f>
        <v>0</v>
      </c>
      <c r="X848" s="7" t="n">
        <f aca="false">COUNTIFS($B$2:$B$1141,B848,$H$2:$H$1141,H848,$I$2:$I$1141,I848,$J$2:$J$1141,J848,$K$2:$K$1141,K848,$L$2:$L$1141,L848)</f>
        <v>1</v>
      </c>
    </row>
    <row r="849" customFormat="false" ht="15" hidden="false" customHeight="false" outlineLevel="0" collapsed="false">
      <c r="A849" s="7" t="n">
        <f aca="false">ROW()-1</f>
        <v>848</v>
      </c>
      <c r="B849" s="7" t="str">
        <f aca="false">IF(Raw_Nigeria!B849="",TRIM(Raw_Nigeria!C849),TRIM(Raw_Nigeria!B849))</f>
        <v>Nigeria Multiple Indicator Cluster Survey 2021</v>
      </c>
      <c r="C849" s="7" t="str">
        <f aca="false">IF(ISNUMBER(SEARCH("Demographic and Health",B849)),"DHS",IF(OR(ISNUMBER(SEARCH("Multiple Indicator Cluster",B849)),ISNUMBER(SEARCH("MICS",B849))),"MICS",IF(ISNUMBER(SEARCH("Immunization Coverage Survey",B849)),"Coverage survey",IF(ISNUMBER(SEARCH("Nutrition",B849)),"Nutrition survey","Other"))))</f>
        <v>MICS</v>
      </c>
      <c r="D849" s="7" t="n">
        <f aca="false">VALUE(LEFT(Raw_Nigeria!D849,4))</f>
        <v>2021</v>
      </c>
      <c r="E849" s="7" t="n">
        <f aca="false">IF(VALUE(RIGHT(Raw_Nigeria!D849,2))&gt;12,"",VALUE(RIGHT(Raw_Nigeria!D849,2)))</f>
        <v>9</v>
      </c>
      <c r="F849" s="7" t="n">
        <f aca="false">VALUE(LEFT(Raw_Nigeria!E849,4))</f>
        <v>2021</v>
      </c>
      <c r="G849" s="7" t="n">
        <f aca="false">IF(VALUE(RIGHT(Raw_Nigeria!E849,2))&gt;12,"",VALUE(RIGHT(Raw_Nigeria!E849,2)))</f>
        <v>12</v>
      </c>
      <c r="H849" s="7" t="n">
        <f aca="false">Raw_Nigeria!F849</f>
        <v>2020</v>
      </c>
      <c r="I849" s="7" t="str">
        <f aca="false">UPPER(TRIM(Raw_Nigeria!G849))</f>
        <v>HIB3</v>
      </c>
      <c r="J849" s="7" t="str">
        <f aca="false">Raw_Nigeria!H849</f>
        <v>Recall</v>
      </c>
      <c r="K849" s="7" t="str">
        <f aca="false">Raw_Nigeria!L849</f>
        <v>12-23 m</v>
      </c>
      <c r="L849" s="7" t="str">
        <f aca="false">IF(Raw_Nigeria!K849="","n/a",Raw_Nigeria!K849)</f>
        <v>0-23 m</v>
      </c>
      <c r="M849" s="7" t="n">
        <f aca="false">IF(Raw_Nigeria!I849="","",Raw_Nigeria!I849)</f>
        <v>56</v>
      </c>
      <c r="N849" s="7" t="n">
        <f aca="false">Raw_Nigeria!M849</f>
        <v>9.2</v>
      </c>
      <c r="O849" s="7" t="n">
        <f aca="false">IF(Raw_Nigeria!N849="","",Raw_Nigeria!N849)</f>
        <v>2489</v>
      </c>
      <c r="P849" s="7" t="str">
        <f aca="false">IF(K849="CBAW","Women of child-bearing age","Children")</f>
        <v>Children</v>
      </c>
      <c r="Q849" s="7" t="n">
        <f aca="false">IF(J849="NOT USED",1,0)</f>
        <v>0</v>
      </c>
      <c r="R849" s="7" t="n">
        <f aca="false">IF(AND(P849="Children",Q849=0),1,0)</f>
        <v>1</v>
      </c>
      <c r="S849" s="7" t="n">
        <f aca="false">IF(AND(R849=1,J849="Record or Recall",K849="12-23 m"),1,0)</f>
        <v>0</v>
      </c>
      <c r="T849" s="7" t="n">
        <f aca="false">IF(OR(I849="BCG",I849="DTP1",I849="DTP3",I849="POL3",I849="MCV1",I849="FULL"),1,0)</f>
        <v>0</v>
      </c>
      <c r="U849" s="7" t="n">
        <f aca="false">IF(OR(C849="DHS",C849="MICS"),1,0)</f>
        <v>1</v>
      </c>
      <c r="V849" s="7" t="n">
        <f aca="false">IF(O849="",1,0)</f>
        <v>0</v>
      </c>
      <c r="W849" s="7" t="n">
        <f aca="false">IF(M849="",1,0)</f>
        <v>0</v>
      </c>
      <c r="X849" s="7" t="n">
        <f aca="false">COUNTIFS($B$2:$B$1141,B849,$H$2:$H$1141,H849,$I$2:$I$1141,I849,$J$2:$J$1141,J849,$K$2:$K$1141,K849,$L$2:$L$1141,L849)</f>
        <v>1</v>
      </c>
    </row>
    <row r="850" customFormat="false" ht="15" hidden="false" customHeight="false" outlineLevel="0" collapsed="false">
      <c r="A850" s="7" t="n">
        <f aca="false">ROW()-1</f>
        <v>849</v>
      </c>
      <c r="B850" s="7" t="str">
        <f aca="false">IF(Raw_Nigeria!B850="",TRIM(Raw_Nigeria!C850),TRIM(Raw_Nigeria!B850))</f>
        <v>Nigeria Multiple Indicator Cluster Survey 2021</v>
      </c>
      <c r="C850" s="7" t="str">
        <f aca="false">IF(ISNUMBER(SEARCH("Demographic and Health",B850)),"DHS",IF(OR(ISNUMBER(SEARCH("Multiple Indicator Cluster",B850)),ISNUMBER(SEARCH("MICS",B850))),"MICS",IF(ISNUMBER(SEARCH("Immunization Coverage Survey",B850)),"Coverage survey",IF(ISNUMBER(SEARCH("Nutrition",B850)),"Nutrition survey","Other"))))</f>
        <v>MICS</v>
      </c>
      <c r="D850" s="7" t="n">
        <f aca="false">VALUE(LEFT(Raw_Nigeria!D850,4))</f>
        <v>2021</v>
      </c>
      <c r="E850" s="7" t="n">
        <f aca="false">IF(VALUE(RIGHT(Raw_Nigeria!D850,2))&gt;12,"",VALUE(RIGHT(Raw_Nigeria!D850,2)))</f>
        <v>9</v>
      </c>
      <c r="F850" s="7" t="n">
        <f aca="false">VALUE(LEFT(Raw_Nigeria!E850,4))</f>
        <v>2021</v>
      </c>
      <c r="G850" s="7" t="n">
        <f aca="false">IF(VALUE(RIGHT(Raw_Nigeria!E850,2))&gt;12,"",VALUE(RIGHT(Raw_Nigeria!E850,2)))</f>
        <v>12</v>
      </c>
      <c r="H850" s="7" t="n">
        <f aca="false">Raw_Nigeria!F850</f>
        <v>2020</v>
      </c>
      <c r="I850" s="7" t="str">
        <f aca="false">UPPER(TRIM(Raw_Nigeria!G850))</f>
        <v>IPV1</v>
      </c>
      <c r="J850" s="7" t="str">
        <f aca="false">Raw_Nigeria!H850</f>
        <v>Record or Recall&lt;12m</v>
      </c>
      <c r="K850" s="7" t="str">
        <f aca="false">Raw_Nigeria!L850</f>
        <v>12-23 m</v>
      </c>
      <c r="L850" s="7" t="str">
        <f aca="false">IF(Raw_Nigeria!K850="","n/a",Raw_Nigeria!K850)</f>
        <v>0-12 m</v>
      </c>
      <c r="M850" s="7" t="n">
        <f aca="false">IF(Raw_Nigeria!I850="","",Raw_Nigeria!I850)</f>
        <v>56</v>
      </c>
      <c r="N850" s="7" t="n">
        <f aca="false">Raw_Nigeria!M850</f>
        <v>60.6</v>
      </c>
      <c r="O850" s="7" t="str">
        <f aca="false">IF(Raw_Nigeria!N850="","",Raw_Nigeria!N850)</f>
        <v/>
      </c>
      <c r="P850" s="7" t="str">
        <f aca="false">IF(K850="CBAW","Women of child-bearing age","Children")</f>
        <v>Children</v>
      </c>
      <c r="Q850" s="7" t="n">
        <f aca="false">IF(J850="NOT USED",1,0)</f>
        <v>0</v>
      </c>
      <c r="R850" s="7" t="n">
        <f aca="false">IF(AND(P850="Children",Q850=0),1,0)</f>
        <v>1</v>
      </c>
      <c r="S850" s="7" t="n">
        <f aca="false">IF(AND(R850=1,J850="Record or Recall",K850="12-23 m"),1,0)</f>
        <v>0</v>
      </c>
      <c r="T850" s="7" t="n">
        <f aca="false">IF(OR(I850="BCG",I850="DTP1",I850="DTP3",I850="POL3",I850="MCV1",I850="FULL"),1,0)</f>
        <v>0</v>
      </c>
      <c r="U850" s="7" t="n">
        <f aca="false">IF(OR(C850="DHS",C850="MICS"),1,0)</f>
        <v>1</v>
      </c>
      <c r="V850" s="7" t="n">
        <f aca="false">IF(O850="",1,0)</f>
        <v>1</v>
      </c>
      <c r="W850" s="7" t="n">
        <f aca="false">IF(M850="",1,0)</f>
        <v>0</v>
      </c>
      <c r="X850" s="7" t="n">
        <f aca="false">COUNTIFS($B$2:$B$1141,B850,$H$2:$H$1141,H850,$I$2:$I$1141,I850,$J$2:$J$1141,J850,$K$2:$K$1141,K850,$L$2:$L$1141,L850)</f>
        <v>1</v>
      </c>
    </row>
    <row r="851" customFormat="false" ht="15" hidden="false" customHeight="false" outlineLevel="0" collapsed="false">
      <c r="A851" s="7" t="n">
        <f aca="false">ROW()-1</f>
        <v>850</v>
      </c>
      <c r="B851" s="7" t="str">
        <f aca="false">IF(Raw_Nigeria!B851="",TRIM(Raw_Nigeria!C851),TRIM(Raw_Nigeria!B851))</f>
        <v>Nigeria Multiple Indicator Cluster Survey 2021</v>
      </c>
      <c r="C851" s="7" t="str">
        <f aca="false">IF(ISNUMBER(SEARCH("Demographic and Health",B851)),"DHS",IF(OR(ISNUMBER(SEARCH("Multiple Indicator Cluster",B851)),ISNUMBER(SEARCH("MICS",B851))),"MICS",IF(ISNUMBER(SEARCH("Immunization Coverage Survey",B851)),"Coverage survey",IF(ISNUMBER(SEARCH("Nutrition",B851)),"Nutrition survey","Other"))))</f>
        <v>MICS</v>
      </c>
      <c r="D851" s="7" t="n">
        <f aca="false">VALUE(LEFT(Raw_Nigeria!D851,4))</f>
        <v>2021</v>
      </c>
      <c r="E851" s="7" t="n">
        <f aca="false">IF(VALUE(RIGHT(Raw_Nigeria!D851,2))&gt;12,"",VALUE(RIGHT(Raw_Nigeria!D851,2)))</f>
        <v>9</v>
      </c>
      <c r="F851" s="7" t="n">
        <f aca="false">VALUE(LEFT(Raw_Nigeria!E851,4))</f>
        <v>2021</v>
      </c>
      <c r="G851" s="7" t="n">
        <f aca="false">IF(VALUE(RIGHT(Raw_Nigeria!E851,2))&gt;12,"",VALUE(RIGHT(Raw_Nigeria!E851,2)))</f>
        <v>12</v>
      </c>
      <c r="H851" s="7" t="n">
        <f aca="false">Raw_Nigeria!F851</f>
        <v>2020</v>
      </c>
      <c r="I851" s="7" t="str">
        <f aca="false">UPPER(TRIM(Raw_Nigeria!G851))</f>
        <v>IPV1</v>
      </c>
      <c r="J851" s="7" t="str">
        <f aca="false">Raw_Nigeria!H851</f>
        <v>Record</v>
      </c>
      <c r="K851" s="7" t="str">
        <f aca="false">Raw_Nigeria!L851</f>
        <v>12-23 m</v>
      </c>
      <c r="L851" s="7" t="str">
        <f aca="false">IF(Raw_Nigeria!K851="","n/a",Raw_Nigeria!K851)</f>
        <v>0-23 m</v>
      </c>
      <c r="M851" s="7" t="n">
        <f aca="false">IF(Raw_Nigeria!I851="","",Raw_Nigeria!I851)</f>
        <v>56</v>
      </c>
      <c r="N851" s="7" t="n">
        <f aca="false">Raw_Nigeria!M851</f>
        <v>44.7</v>
      </c>
      <c r="O851" s="7" t="n">
        <f aca="false">IF(Raw_Nigeria!N851="","",Raw_Nigeria!N851)</f>
        <v>3163</v>
      </c>
      <c r="P851" s="7" t="str">
        <f aca="false">IF(K851="CBAW","Women of child-bearing age","Children")</f>
        <v>Children</v>
      </c>
      <c r="Q851" s="7" t="n">
        <f aca="false">IF(J851="NOT USED",1,0)</f>
        <v>0</v>
      </c>
      <c r="R851" s="7" t="n">
        <f aca="false">IF(AND(P851="Children",Q851=0),1,0)</f>
        <v>1</v>
      </c>
      <c r="S851" s="7" t="n">
        <f aca="false">IF(AND(R851=1,J851="Record or Recall",K851="12-23 m"),1,0)</f>
        <v>0</v>
      </c>
      <c r="T851" s="7" t="n">
        <f aca="false">IF(OR(I851="BCG",I851="DTP1",I851="DTP3",I851="POL3",I851="MCV1",I851="FULL"),1,0)</f>
        <v>0</v>
      </c>
      <c r="U851" s="7" t="n">
        <f aca="false">IF(OR(C851="DHS",C851="MICS"),1,0)</f>
        <v>1</v>
      </c>
      <c r="V851" s="7" t="n">
        <f aca="false">IF(O851="",1,0)</f>
        <v>0</v>
      </c>
      <c r="W851" s="7" t="n">
        <f aca="false">IF(M851="",1,0)</f>
        <v>0</v>
      </c>
      <c r="X851" s="7" t="n">
        <f aca="false">COUNTIFS($B$2:$B$1141,B851,$H$2:$H$1141,H851,$I$2:$I$1141,I851,$J$2:$J$1141,J851,$K$2:$K$1141,K851,$L$2:$L$1141,L851)</f>
        <v>1</v>
      </c>
    </row>
    <row r="852" customFormat="false" ht="15" hidden="false" customHeight="false" outlineLevel="0" collapsed="false">
      <c r="A852" s="7" t="n">
        <f aca="false">ROW()-1</f>
        <v>851</v>
      </c>
      <c r="B852" s="7" t="str">
        <f aca="false">IF(Raw_Nigeria!B852="",TRIM(Raw_Nigeria!C852),TRIM(Raw_Nigeria!B852))</f>
        <v>Nigeria Multiple Indicator Cluster Survey 2021</v>
      </c>
      <c r="C852" s="7" t="str">
        <f aca="false">IF(ISNUMBER(SEARCH("Demographic and Health",B852)),"DHS",IF(OR(ISNUMBER(SEARCH("Multiple Indicator Cluster",B852)),ISNUMBER(SEARCH("MICS",B852))),"MICS",IF(ISNUMBER(SEARCH("Immunization Coverage Survey",B852)),"Coverage survey",IF(ISNUMBER(SEARCH("Nutrition",B852)),"Nutrition survey","Other"))))</f>
        <v>MICS</v>
      </c>
      <c r="D852" s="7" t="n">
        <f aca="false">VALUE(LEFT(Raw_Nigeria!D852,4))</f>
        <v>2021</v>
      </c>
      <c r="E852" s="7" t="n">
        <f aca="false">IF(VALUE(RIGHT(Raw_Nigeria!D852,2))&gt;12,"",VALUE(RIGHT(Raw_Nigeria!D852,2)))</f>
        <v>9</v>
      </c>
      <c r="F852" s="7" t="n">
        <f aca="false">VALUE(LEFT(Raw_Nigeria!E852,4))</f>
        <v>2021</v>
      </c>
      <c r="G852" s="7" t="n">
        <f aca="false">IF(VALUE(RIGHT(Raw_Nigeria!E852,2))&gt;12,"",VALUE(RIGHT(Raw_Nigeria!E852,2)))</f>
        <v>12</v>
      </c>
      <c r="H852" s="7" t="n">
        <f aca="false">Raw_Nigeria!F852</f>
        <v>2020</v>
      </c>
      <c r="I852" s="7" t="str">
        <f aca="false">UPPER(TRIM(Raw_Nigeria!G852))</f>
        <v>IPV1</v>
      </c>
      <c r="J852" s="7" t="str">
        <f aca="false">Raw_Nigeria!H852</f>
        <v>Record or Recall</v>
      </c>
      <c r="K852" s="7" t="str">
        <f aca="false">Raw_Nigeria!L852</f>
        <v>12-23 m</v>
      </c>
      <c r="L852" s="7" t="str">
        <f aca="false">IF(Raw_Nigeria!K852="","n/a",Raw_Nigeria!K852)</f>
        <v>0-23 m</v>
      </c>
      <c r="M852" s="7" t="n">
        <f aca="false">IF(Raw_Nigeria!I852="","",Raw_Nigeria!I852)</f>
        <v>56</v>
      </c>
      <c r="N852" s="7" t="n">
        <f aca="false">Raw_Nigeria!M852</f>
        <v>62.2</v>
      </c>
      <c r="O852" s="7" t="n">
        <f aca="false">IF(Raw_Nigeria!N852="","",Raw_Nigeria!N852)</f>
        <v>5652</v>
      </c>
      <c r="P852" s="7" t="str">
        <f aca="false">IF(K852="CBAW","Women of child-bearing age","Children")</f>
        <v>Children</v>
      </c>
      <c r="Q852" s="7" t="n">
        <f aca="false">IF(J852="NOT USED",1,0)</f>
        <v>0</v>
      </c>
      <c r="R852" s="7" t="n">
        <f aca="false">IF(AND(P852="Children",Q852=0),1,0)</f>
        <v>1</v>
      </c>
      <c r="S852" s="7" t="n">
        <f aca="false">IF(AND(R852=1,J852="Record or Recall",K852="12-23 m"),1,0)</f>
        <v>1</v>
      </c>
      <c r="T852" s="7" t="n">
        <f aca="false">IF(OR(I852="BCG",I852="DTP1",I852="DTP3",I852="POL3",I852="MCV1",I852="FULL"),1,0)</f>
        <v>0</v>
      </c>
      <c r="U852" s="7" t="n">
        <f aca="false">IF(OR(C852="DHS",C852="MICS"),1,0)</f>
        <v>1</v>
      </c>
      <c r="V852" s="7" t="n">
        <f aca="false">IF(O852="",1,0)</f>
        <v>0</v>
      </c>
      <c r="W852" s="7" t="n">
        <f aca="false">IF(M852="",1,0)</f>
        <v>0</v>
      </c>
      <c r="X852" s="7" t="n">
        <f aca="false">COUNTIFS($B$2:$B$1141,B852,$H$2:$H$1141,H852,$I$2:$I$1141,I852,$J$2:$J$1141,J852,$K$2:$K$1141,K852,$L$2:$L$1141,L852)</f>
        <v>1</v>
      </c>
    </row>
    <row r="853" customFormat="false" ht="15" hidden="false" customHeight="false" outlineLevel="0" collapsed="false">
      <c r="A853" s="7" t="n">
        <f aca="false">ROW()-1</f>
        <v>852</v>
      </c>
      <c r="B853" s="7" t="str">
        <f aca="false">IF(Raw_Nigeria!B853="",TRIM(Raw_Nigeria!C853),TRIM(Raw_Nigeria!B853))</f>
        <v>Nigeria Multiple Indicator Cluster Survey 2021</v>
      </c>
      <c r="C853" s="7" t="str">
        <f aca="false">IF(ISNUMBER(SEARCH("Demographic and Health",B853)),"DHS",IF(OR(ISNUMBER(SEARCH("Multiple Indicator Cluster",B853)),ISNUMBER(SEARCH("MICS",B853))),"MICS",IF(ISNUMBER(SEARCH("Immunization Coverage Survey",B853)),"Coverage survey",IF(ISNUMBER(SEARCH("Nutrition",B853)),"Nutrition survey","Other"))))</f>
        <v>MICS</v>
      </c>
      <c r="D853" s="7" t="n">
        <f aca="false">VALUE(LEFT(Raw_Nigeria!D853,4))</f>
        <v>2021</v>
      </c>
      <c r="E853" s="7" t="n">
        <f aca="false">IF(VALUE(RIGHT(Raw_Nigeria!D853,2))&gt;12,"",VALUE(RIGHT(Raw_Nigeria!D853,2)))</f>
        <v>9</v>
      </c>
      <c r="F853" s="7" t="n">
        <f aca="false">VALUE(LEFT(Raw_Nigeria!E853,4))</f>
        <v>2021</v>
      </c>
      <c r="G853" s="7" t="n">
        <f aca="false">IF(VALUE(RIGHT(Raw_Nigeria!E853,2))&gt;12,"",VALUE(RIGHT(Raw_Nigeria!E853,2)))</f>
        <v>12</v>
      </c>
      <c r="H853" s="7" t="n">
        <f aca="false">Raw_Nigeria!F853</f>
        <v>2020</v>
      </c>
      <c r="I853" s="7" t="str">
        <f aca="false">UPPER(TRIM(Raw_Nigeria!G853))</f>
        <v>IPV1</v>
      </c>
      <c r="J853" s="7" t="str">
        <f aca="false">Raw_Nigeria!H853</f>
        <v>Recall</v>
      </c>
      <c r="K853" s="7" t="str">
        <f aca="false">Raw_Nigeria!L853</f>
        <v>12-23 m</v>
      </c>
      <c r="L853" s="7" t="str">
        <f aca="false">IF(Raw_Nigeria!K853="","n/a",Raw_Nigeria!K853)</f>
        <v>0-23 m</v>
      </c>
      <c r="M853" s="7" t="n">
        <f aca="false">IF(Raw_Nigeria!I853="","",Raw_Nigeria!I853)</f>
        <v>56</v>
      </c>
      <c r="N853" s="7" t="n">
        <f aca="false">Raw_Nigeria!M853</f>
        <v>17.5</v>
      </c>
      <c r="O853" s="7" t="n">
        <f aca="false">IF(Raw_Nigeria!N853="","",Raw_Nigeria!N853)</f>
        <v>2489</v>
      </c>
      <c r="P853" s="7" t="str">
        <f aca="false">IF(K853="CBAW","Women of child-bearing age","Children")</f>
        <v>Children</v>
      </c>
      <c r="Q853" s="7" t="n">
        <f aca="false">IF(J853="NOT USED",1,0)</f>
        <v>0</v>
      </c>
      <c r="R853" s="7" t="n">
        <f aca="false">IF(AND(P853="Children",Q853=0),1,0)</f>
        <v>1</v>
      </c>
      <c r="S853" s="7" t="n">
        <f aca="false">IF(AND(R853=1,J853="Record or Recall",K853="12-23 m"),1,0)</f>
        <v>0</v>
      </c>
      <c r="T853" s="7" t="n">
        <f aca="false">IF(OR(I853="BCG",I853="DTP1",I853="DTP3",I853="POL3",I853="MCV1",I853="FULL"),1,0)</f>
        <v>0</v>
      </c>
      <c r="U853" s="7" t="n">
        <f aca="false">IF(OR(C853="DHS",C853="MICS"),1,0)</f>
        <v>1</v>
      </c>
      <c r="V853" s="7" t="n">
        <f aca="false">IF(O853="",1,0)</f>
        <v>0</v>
      </c>
      <c r="W853" s="7" t="n">
        <f aca="false">IF(M853="",1,0)</f>
        <v>0</v>
      </c>
      <c r="X853" s="7" t="n">
        <f aca="false">COUNTIFS($B$2:$B$1141,B853,$H$2:$H$1141,H853,$I$2:$I$1141,I853,$J$2:$J$1141,J853,$K$2:$K$1141,K853,$L$2:$L$1141,L853)</f>
        <v>1</v>
      </c>
    </row>
    <row r="854" customFormat="false" ht="15" hidden="false" customHeight="false" outlineLevel="0" collapsed="false">
      <c r="A854" s="7" t="n">
        <f aca="false">ROW()-1</f>
        <v>853</v>
      </c>
      <c r="B854" s="7" t="str">
        <f aca="false">IF(Raw_Nigeria!B854="",TRIM(Raw_Nigeria!C854),TRIM(Raw_Nigeria!B854))</f>
        <v>Nigeria Multiple Indicator Cluster Survey 2021</v>
      </c>
      <c r="C854" s="7" t="str">
        <f aca="false">IF(ISNUMBER(SEARCH("Demographic and Health",B854)),"DHS",IF(OR(ISNUMBER(SEARCH("Multiple Indicator Cluster",B854)),ISNUMBER(SEARCH("MICS",B854))),"MICS",IF(ISNUMBER(SEARCH("Immunization Coverage Survey",B854)),"Coverage survey",IF(ISNUMBER(SEARCH("Nutrition",B854)),"Nutrition survey","Other"))))</f>
        <v>MICS</v>
      </c>
      <c r="D854" s="7" t="n">
        <f aca="false">VALUE(LEFT(Raw_Nigeria!D854,4))</f>
        <v>2021</v>
      </c>
      <c r="E854" s="7" t="n">
        <f aca="false">IF(VALUE(RIGHT(Raw_Nigeria!D854,2))&gt;12,"",VALUE(RIGHT(Raw_Nigeria!D854,2)))</f>
        <v>9</v>
      </c>
      <c r="F854" s="7" t="n">
        <f aca="false">VALUE(LEFT(Raw_Nigeria!E854,4))</f>
        <v>2021</v>
      </c>
      <c r="G854" s="7" t="n">
        <f aca="false">IF(VALUE(RIGHT(Raw_Nigeria!E854,2))&gt;12,"",VALUE(RIGHT(Raw_Nigeria!E854,2)))</f>
        <v>12</v>
      </c>
      <c r="H854" s="7" t="n">
        <f aca="false">Raw_Nigeria!F854</f>
        <v>2020</v>
      </c>
      <c r="I854" s="7" t="str">
        <f aca="false">UPPER(TRIM(Raw_Nigeria!G854))</f>
        <v>MCV1</v>
      </c>
      <c r="J854" s="7" t="str">
        <f aca="false">Raw_Nigeria!H854</f>
        <v>Record or Recall&lt;12m</v>
      </c>
      <c r="K854" s="7" t="str">
        <f aca="false">Raw_Nigeria!L854</f>
        <v>12-23 m</v>
      </c>
      <c r="L854" s="7" t="str">
        <f aca="false">IF(Raw_Nigeria!K854="","n/a",Raw_Nigeria!K854)</f>
        <v>0-12 m</v>
      </c>
      <c r="M854" s="7" t="n">
        <f aca="false">IF(Raw_Nigeria!I854="","",Raw_Nigeria!I854)</f>
        <v>56</v>
      </c>
      <c r="N854" s="7" t="n">
        <f aca="false">Raw_Nigeria!M854</f>
        <v>54</v>
      </c>
      <c r="O854" s="7" t="str">
        <f aca="false">IF(Raw_Nigeria!N854="","",Raw_Nigeria!N854)</f>
        <v/>
      </c>
      <c r="P854" s="7" t="str">
        <f aca="false">IF(K854="CBAW","Women of child-bearing age","Children")</f>
        <v>Children</v>
      </c>
      <c r="Q854" s="7" t="n">
        <f aca="false">IF(J854="NOT USED",1,0)</f>
        <v>0</v>
      </c>
      <c r="R854" s="7" t="n">
        <f aca="false">IF(AND(P854="Children",Q854=0),1,0)</f>
        <v>1</v>
      </c>
      <c r="S854" s="7" t="n">
        <f aca="false">IF(AND(R854=1,J854="Record or Recall",K854="12-23 m"),1,0)</f>
        <v>0</v>
      </c>
      <c r="T854" s="7" t="n">
        <f aca="false">IF(OR(I854="BCG",I854="DTP1",I854="DTP3",I854="POL3",I854="MCV1",I854="FULL"),1,0)</f>
        <v>1</v>
      </c>
      <c r="U854" s="7" t="n">
        <f aca="false">IF(OR(C854="DHS",C854="MICS"),1,0)</f>
        <v>1</v>
      </c>
      <c r="V854" s="7" t="n">
        <f aca="false">IF(O854="",1,0)</f>
        <v>1</v>
      </c>
      <c r="W854" s="7" t="n">
        <f aca="false">IF(M854="",1,0)</f>
        <v>0</v>
      </c>
      <c r="X854" s="7" t="n">
        <f aca="false">COUNTIFS($B$2:$B$1141,B854,$H$2:$H$1141,H854,$I$2:$I$1141,I854,$J$2:$J$1141,J854,$K$2:$K$1141,K854,$L$2:$L$1141,L854)</f>
        <v>1</v>
      </c>
    </row>
    <row r="855" customFormat="false" ht="15" hidden="false" customHeight="false" outlineLevel="0" collapsed="false">
      <c r="A855" s="7" t="n">
        <f aca="false">ROW()-1</f>
        <v>854</v>
      </c>
      <c r="B855" s="7" t="str">
        <f aca="false">IF(Raw_Nigeria!B855="",TRIM(Raw_Nigeria!C855),TRIM(Raw_Nigeria!B855))</f>
        <v>Nigeria Multiple Indicator Cluster Survey 2021</v>
      </c>
      <c r="C855" s="7" t="str">
        <f aca="false">IF(ISNUMBER(SEARCH("Demographic and Health",B855)),"DHS",IF(OR(ISNUMBER(SEARCH("Multiple Indicator Cluster",B855)),ISNUMBER(SEARCH("MICS",B855))),"MICS",IF(ISNUMBER(SEARCH("Immunization Coverage Survey",B855)),"Coverage survey",IF(ISNUMBER(SEARCH("Nutrition",B855)),"Nutrition survey","Other"))))</f>
        <v>MICS</v>
      </c>
      <c r="D855" s="7" t="n">
        <f aca="false">VALUE(LEFT(Raw_Nigeria!D855,4))</f>
        <v>2021</v>
      </c>
      <c r="E855" s="7" t="n">
        <f aca="false">IF(VALUE(RIGHT(Raw_Nigeria!D855,2))&gt;12,"",VALUE(RIGHT(Raw_Nigeria!D855,2)))</f>
        <v>9</v>
      </c>
      <c r="F855" s="7" t="n">
        <f aca="false">VALUE(LEFT(Raw_Nigeria!E855,4))</f>
        <v>2021</v>
      </c>
      <c r="G855" s="7" t="n">
        <f aca="false">IF(VALUE(RIGHT(Raw_Nigeria!E855,2))&gt;12,"",VALUE(RIGHT(Raw_Nigeria!E855,2)))</f>
        <v>12</v>
      </c>
      <c r="H855" s="7" t="n">
        <f aca="false">Raw_Nigeria!F855</f>
        <v>2020</v>
      </c>
      <c r="I855" s="7" t="str">
        <f aca="false">UPPER(TRIM(Raw_Nigeria!G855))</f>
        <v>MCV1</v>
      </c>
      <c r="J855" s="7" t="str">
        <f aca="false">Raw_Nigeria!H855</f>
        <v>Record</v>
      </c>
      <c r="K855" s="7" t="str">
        <f aca="false">Raw_Nigeria!L855</f>
        <v>12-23 m</v>
      </c>
      <c r="L855" s="7" t="str">
        <f aca="false">IF(Raw_Nigeria!K855="","n/a",Raw_Nigeria!K855)</f>
        <v>0-23 m</v>
      </c>
      <c r="M855" s="7" t="n">
        <f aca="false">IF(Raw_Nigeria!I855="","",Raw_Nigeria!I855)</f>
        <v>56</v>
      </c>
      <c r="N855" s="7" t="n">
        <f aca="false">Raw_Nigeria!M855</f>
        <v>41.6</v>
      </c>
      <c r="O855" s="7" t="n">
        <f aca="false">IF(Raw_Nigeria!N855="","",Raw_Nigeria!N855)</f>
        <v>3163</v>
      </c>
      <c r="P855" s="7" t="str">
        <f aca="false">IF(K855="CBAW","Women of child-bearing age","Children")</f>
        <v>Children</v>
      </c>
      <c r="Q855" s="7" t="n">
        <f aca="false">IF(J855="NOT USED",1,0)</f>
        <v>0</v>
      </c>
      <c r="R855" s="7" t="n">
        <f aca="false">IF(AND(P855="Children",Q855=0),1,0)</f>
        <v>1</v>
      </c>
      <c r="S855" s="7" t="n">
        <f aca="false">IF(AND(R855=1,J855="Record or Recall",K855="12-23 m"),1,0)</f>
        <v>0</v>
      </c>
      <c r="T855" s="7" t="n">
        <f aca="false">IF(OR(I855="BCG",I855="DTP1",I855="DTP3",I855="POL3",I855="MCV1",I855="FULL"),1,0)</f>
        <v>1</v>
      </c>
      <c r="U855" s="7" t="n">
        <f aca="false">IF(OR(C855="DHS",C855="MICS"),1,0)</f>
        <v>1</v>
      </c>
      <c r="V855" s="7" t="n">
        <f aca="false">IF(O855="",1,0)</f>
        <v>0</v>
      </c>
      <c r="W855" s="7" t="n">
        <f aca="false">IF(M855="",1,0)</f>
        <v>0</v>
      </c>
      <c r="X855" s="7" t="n">
        <f aca="false">COUNTIFS($B$2:$B$1141,B855,$H$2:$H$1141,H855,$I$2:$I$1141,I855,$J$2:$J$1141,J855,$K$2:$K$1141,K855,$L$2:$L$1141,L855)</f>
        <v>1</v>
      </c>
    </row>
    <row r="856" customFormat="false" ht="15" hidden="false" customHeight="false" outlineLevel="0" collapsed="false">
      <c r="A856" s="7" t="n">
        <f aca="false">ROW()-1</f>
        <v>855</v>
      </c>
      <c r="B856" s="7" t="str">
        <f aca="false">IF(Raw_Nigeria!B856="",TRIM(Raw_Nigeria!C856),TRIM(Raw_Nigeria!B856))</f>
        <v>Nigeria Multiple Indicator Cluster Survey 2021</v>
      </c>
      <c r="C856" s="7" t="str">
        <f aca="false">IF(ISNUMBER(SEARCH("Demographic and Health",B856)),"DHS",IF(OR(ISNUMBER(SEARCH("Multiple Indicator Cluster",B856)),ISNUMBER(SEARCH("MICS",B856))),"MICS",IF(ISNUMBER(SEARCH("Immunization Coverage Survey",B856)),"Coverage survey",IF(ISNUMBER(SEARCH("Nutrition",B856)),"Nutrition survey","Other"))))</f>
        <v>MICS</v>
      </c>
      <c r="D856" s="7" t="n">
        <f aca="false">VALUE(LEFT(Raw_Nigeria!D856,4))</f>
        <v>2021</v>
      </c>
      <c r="E856" s="7" t="n">
        <f aca="false">IF(VALUE(RIGHT(Raw_Nigeria!D856,2))&gt;12,"",VALUE(RIGHT(Raw_Nigeria!D856,2)))</f>
        <v>9</v>
      </c>
      <c r="F856" s="7" t="n">
        <f aca="false">VALUE(LEFT(Raw_Nigeria!E856,4))</f>
        <v>2021</v>
      </c>
      <c r="G856" s="7" t="n">
        <f aca="false">IF(VALUE(RIGHT(Raw_Nigeria!E856,2))&gt;12,"",VALUE(RIGHT(Raw_Nigeria!E856,2)))</f>
        <v>12</v>
      </c>
      <c r="H856" s="7" t="n">
        <f aca="false">Raw_Nigeria!F856</f>
        <v>2020</v>
      </c>
      <c r="I856" s="7" t="str">
        <f aca="false">UPPER(TRIM(Raw_Nigeria!G856))</f>
        <v>MCV1</v>
      </c>
      <c r="J856" s="7" t="str">
        <f aca="false">Raw_Nigeria!H856</f>
        <v>Record or Recall</v>
      </c>
      <c r="K856" s="7" t="str">
        <f aca="false">Raw_Nigeria!L856</f>
        <v>12-23 m</v>
      </c>
      <c r="L856" s="7" t="str">
        <f aca="false">IF(Raw_Nigeria!K856="","n/a",Raw_Nigeria!K856)</f>
        <v>0-23 m</v>
      </c>
      <c r="M856" s="7" t="n">
        <f aca="false">IF(Raw_Nigeria!I856="","",Raw_Nigeria!I856)</f>
        <v>56</v>
      </c>
      <c r="N856" s="7" t="n">
        <f aca="false">Raw_Nigeria!M856</f>
        <v>60.3</v>
      </c>
      <c r="O856" s="7" t="n">
        <f aca="false">IF(Raw_Nigeria!N856="","",Raw_Nigeria!N856)</f>
        <v>5652</v>
      </c>
      <c r="P856" s="7" t="str">
        <f aca="false">IF(K856="CBAW","Women of child-bearing age","Children")</f>
        <v>Children</v>
      </c>
      <c r="Q856" s="7" t="n">
        <f aca="false">IF(J856="NOT USED",1,0)</f>
        <v>0</v>
      </c>
      <c r="R856" s="7" t="n">
        <f aca="false">IF(AND(P856="Children",Q856=0),1,0)</f>
        <v>1</v>
      </c>
      <c r="S856" s="7" t="n">
        <f aca="false">IF(AND(R856=1,J856="Record or Recall",K856="12-23 m"),1,0)</f>
        <v>1</v>
      </c>
      <c r="T856" s="7" t="n">
        <f aca="false">IF(OR(I856="BCG",I856="DTP1",I856="DTP3",I856="POL3",I856="MCV1",I856="FULL"),1,0)</f>
        <v>1</v>
      </c>
      <c r="U856" s="7" t="n">
        <f aca="false">IF(OR(C856="DHS",C856="MICS"),1,0)</f>
        <v>1</v>
      </c>
      <c r="V856" s="7" t="n">
        <f aca="false">IF(O856="",1,0)</f>
        <v>0</v>
      </c>
      <c r="W856" s="7" t="n">
        <f aca="false">IF(M856="",1,0)</f>
        <v>0</v>
      </c>
      <c r="X856" s="7" t="n">
        <f aca="false">COUNTIFS($B$2:$B$1141,B856,$H$2:$H$1141,H856,$I$2:$I$1141,I856,$J$2:$J$1141,J856,$K$2:$K$1141,K856,$L$2:$L$1141,L856)</f>
        <v>1</v>
      </c>
    </row>
    <row r="857" customFormat="false" ht="15" hidden="false" customHeight="false" outlineLevel="0" collapsed="false">
      <c r="A857" s="7" t="n">
        <f aca="false">ROW()-1</f>
        <v>856</v>
      </c>
      <c r="B857" s="7" t="str">
        <f aca="false">IF(Raw_Nigeria!B857="",TRIM(Raw_Nigeria!C857),TRIM(Raw_Nigeria!B857))</f>
        <v>Nigeria Multiple Indicator Cluster Survey 2021</v>
      </c>
      <c r="C857" s="7" t="str">
        <f aca="false">IF(ISNUMBER(SEARCH("Demographic and Health",B857)),"DHS",IF(OR(ISNUMBER(SEARCH("Multiple Indicator Cluster",B857)),ISNUMBER(SEARCH("MICS",B857))),"MICS",IF(ISNUMBER(SEARCH("Immunization Coverage Survey",B857)),"Coverage survey",IF(ISNUMBER(SEARCH("Nutrition",B857)),"Nutrition survey","Other"))))</f>
        <v>MICS</v>
      </c>
      <c r="D857" s="7" t="n">
        <f aca="false">VALUE(LEFT(Raw_Nigeria!D857,4))</f>
        <v>2021</v>
      </c>
      <c r="E857" s="7" t="n">
        <f aca="false">IF(VALUE(RIGHT(Raw_Nigeria!D857,2))&gt;12,"",VALUE(RIGHT(Raw_Nigeria!D857,2)))</f>
        <v>9</v>
      </c>
      <c r="F857" s="7" t="n">
        <f aca="false">VALUE(LEFT(Raw_Nigeria!E857,4))</f>
        <v>2021</v>
      </c>
      <c r="G857" s="7" t="n">
        <f aca="false">IF(VALUE(RIGHT(Raw_Nigeria!E857,2))&gt;12,"",VALUE(RIGHT(Raw_Nigeria!E857,2)))</f>
        <v>12</v>
      </c>
      <c r="H857" s="7" t="n">
        <f aca="false">Raw_Nigeria!F857</f>
        <v>2020</v>
      </c>
      <c r="I857" s="7" t="str">
        <f aca="false">UPPER(TRIM(Raw_Nigeria!G857))</f>
        <v>MCV1</v>
      </c>
      <c r="J857" s="7" t="str">
        <f aca="false">Raw_Nigeria!H857</f>
        <v>Recall</v>
      </c>
      <c r="K857" s="7" t="str">
        <f aca="false">Raw_Nigeria!L857</f>
        <v>12-23 m</v>
      </c>
      <c r="L857" s="7" t="str">
        <f aca="false">IF(Raw_Nigeria!K857="","n/a",Raw_Nigeria!K857)</f>
        <v>0-23 m</v>
      </c>
      <c r="M857" s="7" t="n">
        <f aca="false">IF(Raw_Nigeria!I857="","",Raw_Nigeria!I857)</f>
        <v>56</v>
      </c>
      <c r="N857" s="7" t="n">
        <f aca="false">Raw_Nigeria!M857</f>
        <v>18.8</v>
      </c>
      <c r="O857" s="7" t="n">
        <f aca="false">IF(Raw_Nigeria!N857="","",Raw_Nigeria!N857)</f>
        <v>2489</v>
      </c>
      <c r="P857" s="7" t="str">
        <f aca="false">IF(K857="CBAW","Women of child-bearing age","Children")</f>
        <v>Children</v>
      </c>
      <c r="Q857" s="7" t="n">
        <f aca="false">IF(J857="NOT USED",1,0)</f>
        <v>0</v>
      </c>
      <c r="R857" s="7" t="n">
        <f aca="false">IF(AND(P857="Children",Q857=0),1,0)</f>
        <v>1</v>
      </c>
      <c r="S857" s="7" t="n">
        <f aca="false">IF(AND(R857=1,J857="Record or Recall",K857="12-23 m"),1,0)</f>
        <v>0</v>
      </c>
      <c r="T857" s="7" t="n">
        <f aca="false">IF(OR(I857="BCG",I857="DTP1",I857="DTP3",I857="POL3",I857="MCV1",I857="FULL"),1,0)</f>
        <v>1</v>
      </c>
      <c r="U857" s="7" t="n">
        <f aca="false">IF(OR(C857="DHS",C857="MICS"),1,0)</f>
        <v>1</v>
      </c>
      <c r="V857" s="7" t="n">
        <f aca="false">IF(O857="",1,0)</f>
        <v>0</v>
      </c>
      <c r="W857" s="7" t="n">
        <f aca="false">IF(M857="",1,0)</f>
        <v>0</v>
      </c>
      <c r="X857" s="7" t="n">
        <f aca="false">COUNTIFS($B$2:$B$1141,B857,$H$2:$H$1141,H857,$I$2:$I$1141,I857,$J$2:$J$1141,J857,$K$2:$K$1141,K857,$L$2:$L$1141,L857)</f>
        <v>1</v>
      </c>
    </row>
    <row r="858" customFormat="false" ht="15" hidden="false" customHeight="false" outlineLevel="0" collapsed="false">
      <c r="A858" s="7" t="n">
        <f aca="false">ROW()-1</f>
        <v>857</v>
      </c>
      <c r="B858" s="7" t="str">
        <f aca="false">IF(Raw_Nigeria!B858="",TRIM(Raw_Nigeria!C858),TRIM(Raw_Nigeria!B858))</f>
        <v>Nigeria Multiple Indicator Cluster Survey 2021</v>
      </c>
      <c r="C858" s="7" t="str">
        <f aca="false">IF(ISNUMBER(SEARCH("Demographic and Health",B858)),"DHS",IF(OR(ISNUMBER(SEARCH("Multiple Indicator Cluster",B858)),ISNUMBER(SEARCH("MICS",B858))),"MICS",IF(ISNUMBER(SEARCH("Immunization Coverage Survey",B858)),"Coverage survey",IF(ISNUMBER(SEARCH("Nutrition",B858)),"Nutrition survey","Other"))))</f>
        <v>MICS</v>
      </c>
      <c r="D858" s="7" t="n">
        <f aca="false">VALUE(LEFT(Raw_Nigeria!D858,4))</f>
        <v>2021</v>
      </c>
      <c r="E858" s="7" t="n">
        <f aca="false">IF(VALUE(RIGHT(Raw_Nigeria!D858,2))&gt;12,"",VALUE(RIGHT(Raw_Nigeria!D858,2)))</f>
        <v>9</v>
      </c>
      <c r="F858" s="7" t="n">
        <f aca="false">VALUE(LEFT(Raw_Nigeria!E858,4))</f>
        <v>2021</v>
      </c>
      <c r="G858" s="7" t="n">
        <f aca="false">IF(VALUE(RIGHT(Raw_Nigeria!E858,2))&gt;12,"",VALUE(RIGHT(Raw_Nigeria!E858,2)))</f>
        <v>12</v>
      </c>
      <c r="H858" s="7" t="n">
        <f aca="false">Raw_Nigeria!F858</f>
        <v>2020</v>
      </c>
      <c r="I858" s="7" t="str">
        <f aca="false">UPPER(TRIM(Raw_Nigeria!G858))</f>
        <v>MCV2</v>
      </c>
      <c r="J858" s="7" t="str">
        <f aca="false">Raw_Nigeria!H858</f>
        <v>Record or Recall&lt;12m</v>
      </c>
      <c r="K858" s="7" t="str">
        <f aca="false">Raw_Nigeria!L858</f>
        <v>24-35 m</v>
      </c>
      <c r="L858" s="7" t="str">
        <f aca="false">IF(Raw_Nigeria!K858="","n/a",Raw_Nigeria!K858)</f>
        <v>0-12 m</v>
      </c>
      <c r="M858" s="7" t="str">
        <f aca="false">IF(Raw_Nigeria!I858="","",Raw_Nigeria!I858)</f>
        <v/>
      </c>
      <c r="N858" s="7" t="n">
        <f aca="false">Raw_Nigeria!M858</f>
        <v>4.1</v>
      </c>
      <c r="O858" s="7" t="str">
        <f aca="false">IF(Raw_Nigeria!N858="","",Raw_Nigeria!N858)</f>
        <v/>
      </c>
      <c r="P858" s="7" t="str">
        <f aca="false">IF(K858="CBAW","Women of child-bearing age","Children")</f>
        <v>Children</v>
      </c>
      <c r="Q858" s="7" t="n">
        <f aca="false">IF(J858="NOT USED",1,0)</f>
        <v>0</v>
      </c>
      <c r="R858" s="7" t="n">
        <f aca="false">IF(AND(P858="Children",Q858=0),1,0)</f>
        <v>1</v>
      </c>
      <c r="S858" s="7" t="n">
        <f aca="false">IF(AND(R858=1,J858="Record or Recall",K858="12-23 m"),1,0)</f>
        <v>0</v>
      </c>
      <c r="T858" s="7" t="n">
        <f aca="false">IF(OR(I858="BCG",I858="DTP1",I858="DTP3",I858="POL3",I858="MCV1",I858="FULL"),1,0)</f>
        <v>0</v>
      </c>
      <c r="U858" s="7" t="n">
        <f aca="false">IF(OR(C858="DHS",C858="MICS"),1,0)</f>
        <v>1</v>
      </c>
      <c r="V858" s="7" t="n">
        <f aca="false">IF(O858="",1,0)</f>
        <v>1</v>
      </c>
      <c r="W858" s="7" t="n">
        <f aca="false">IF(M858="",1,0)</f>
        <v>1</v>
      </c>
      <c r="X858" s="7" t="n">
        <f aca="false">COUNTIFS($B$2:$B$1141,B858,$H$2:$H$1141,H858,$I$2:$I$1141,I858,$J$2:$J$1141,J858,$K$2:$K$1141,K858,$L$2:$L$1141,L858)</f>
        <v>1</v>
      </c>
    </row>
    <row r="859" customFormat="false" ht="15" hidden="false" customHeight="false" outlineLevel="0" collapsed="false">
      <c r="A859" s="7" t="n">
        <f aca="false">ROW()-1</f>
        <v>858</v>
      </c>
      <c r="B859" s="7" t="str">
        <f aca="false">IF(Raw_Nigeria!B859="",TRIM(Raw_Nigeria!C859),TRIM(Raw_Nigeria!B859))</f>
        <v>Nigeria Multiple Indicator Cluster Survey 2021</v>
      </c>
      <c r="C859" s="7" t="str">
        <f aca="false">IF(ISNUMBER(SEARCH("Demographic and Health",B859)),"DHS",IF(OR(ISNUMBER(SEARCH("Multiple Indicator Cluster",B859)),ISNUMBER(SEARCH("MICS",B859))),"MICS",IF(ISNUMBER(SEARCH("Immunization Coverage Survey",B859)),"Coverage survey",IF(ISNUMBER(SEARCH("Nutrition",B859)),"Nutrition survey","Other"))))</f>
        <v>MICS</v>
      </c>
      <c r="D859" s="7" t="n">
        <f aca="false">VALUE(LEFT(Raw_Nigeria!D859,4))</f>
        <v>2021</v>
      </c>
      <c r="E859" s="7" t="n">
        <f aca="false">IF(VALUE(RIGHT(Raw_Nigeria!D859,2))&gt;12,"",VALUE(RIGHT(Raw_Nigeria!D859,2)))</f>
        <v>9</v>
      </c>
      <c r="F859" s="7" t="n">
        <f aca="false">VALUE(LEFT(Raw_Nigeria!E859,4))</f>
        <v>2021</v>
      </c>
      <c r="G859" s="7" t="n">
        <f aca="false">IF(VALUE(RIGHT(Raw_Nigeria!E859,2))&gt;12,"",VALUE(RIGHT(Raw_Nigeria!E859,2)))</f>
        <v>12</v>
      </c>
      <c r="H859" s="7" t="n">
        <f aca="false">Raw_Nigeria!F859</f>
        <v>2020</v>
      </c>
      <c r="I859" s="7" t="str">
        <f aca="false">UPPER(TRIM(Raw_Nigeria!G859))</f>
        <v>MCV2</v>
      </c>
      <c r="J859" s="7" t="str">
        <f aca="false">Raw_Nigeria!H859</f>
        <v>Record</v>
      </c>
      <c r="K859" s="7" t="str">
        <f aca="false">Raw_Nigeria!L859</f>
        <v>24-35 m</v>
      </c>
      <c r="L859" s="7" t="str">
        <f aca="false">IF(Raw_Nigeria!K859="","n/a",Raw_Nigeria!K859)</f>
        <v>0-35 m</v>
      </c>
      <c r="M859" s="7" t="str">
        <f aca="false">IF(Raw_Nigeria!I859="","",Raw_Nigeria!I859)</f>
        <v/>
      </c>
      <c r="N859" s="7" t="n">
        <f aca="false">Raw_Nigeria!M859</f>
        <v>18.6</v>
      </c>
      <c r="O859" s="7" t="n">
        <f aca="false">IF(Raw_Nigeria!N859="","",Raw_Nigeria!N859)</f>
        <v>2877</v>
      </c>
      <c r="P859" s="7" t="str">
        <f aca="false">IF(K859="CBAW","Women of child-bearing age","Children")</f>
        <v>Children</v>
      </c>
      <c r="Q859" s="7" t="n">
        <f aca="false">IF(J859="NOT USED",1,0)</f>
        <v>0</v>
      </c>
      <c r="R859" s="7" t="n">
        <f aca="false">IF(AND(P859="Children",Q859=0),1,0)</f>
        <v>1</v>
      </c>
      <c r="S859" s="7" t="n">
        <f aca="false">IF(AND(R859=1,J859="Record or Recall",K859="12-23 m"),1,0)</f>
        <v>0</v>
      </c>
      <c r="T859" s="7" t="n">
        <f aca="false">IF(OR(I859="BCG",I859="DTP1",I859="DTP3",I859="POL3",I859="MCV1",I859="FULL"),1,0)</f>
        <v>0</v>
      </c>
      <c r="U859" s="7" t="n">
        <f aca="false">IF(OR(C859="DHS",C859="MICS"),1,0)</f>
        <v>1</v>
      </c>
      <c r="V859" s="7" t="n">
        <f aca="false">IF(O859="",1,0)</f>
        <v>0</v>
      </c>
      <c r="W859" s="7" t="n">
        <f aca="false">IF(M859="",1,0)</f>
        <v>1</v>
      </c>
      <c r="X859" s="7" t="n">
        <f aca="false">COUNTIFS($B$2:$B$1141,B859,$H$2:$H$1141,H859,$I$2:$I$1141,I859,$J$2:$J$1141,J859,$K$2:$K$1141,K859,$L$2:$L$1141,L859)</f>
        <v>1</v>
      </c>
    </row>
    <row r="860" customFormat="false" ht="15" hidden="false" customHeight="false" outlineLevel="0" collapsed="false">
      <c r="A860" s="7" t="n">
        <f aca="false">ROW()-1</f>
        <v>859</v>
      </c>
      <c r="B860" s="7" t="str">
        <f aca="false">IF(Raw_Nigeria!B860="",TRIM(Raw_Nigeria!C860),TRIM(Raw_Nigeria!B860))</f>
        <v>Nigeria Multiple Indicator Cluster Survey 2021</v>
      </c>
      <c r="C860" s="7" t="str">
        <f aca="false">IF(ISNUMBER(SEARCH("Demographic and Health",B860)),"DHS",IF(OR(ISNUMBER(SEARCH("Multiple Indicator Cluster",B860)),ISNUMBER(SEARCH("MICS",B860))),"MICS",IF(ISNUMBER(SEARCH("Immunization Coverage Survey",B860)),"Coverage survey",IF(ISNUMBER(SEARCH("Nutrition",B860)),"Nutrition survey","Other"))))</f>
        <v>MICS</v>
      </c>
      <c r="D860" s="7" t="n">
        <f aca="false">VALUE(LEFT(Raw_Nigeria!D860,4))</f>
        <v>2021</v>
      </c>
      <c r="E860" s="7" t="n">
        <f aca="false">IF(VALUE(RIGHT(Raw_Nigeria!D860,2))&gt;12,"",VALUE(RIGHT(Raw_Nigeria!D860,2)))</f>
        <v>9</v>
      </c>
      <c r="F860" s="7" t="n">
        <f aca="false">VALUE(LEFT(Raw_Nigeria!E860,4))</f>
        <v>2021</v>
      </c>
      <c r="G860" s="7" t="n">
        <f aca="false">IF(VALUE(RIGHT(Raw_Nigeria!E860,2))&gt;12,"",VALUE(RIGHT(Raw_Nigeria!E860,2)))</f>
        <v>12</v>
      </c>
      <c r="H860" s="7" t="n">
        <f aca="false">Raw_Nigeria!F860</f>
        <v>2020</v>
      </c>
      <c r="I860" s="7" t="str">
        <f aca="false">UPPER(TRIM(Raw_Nigeria!G860))</f>
        <v>MCV2</v>
      </c>
      <c r="J860" s="7" t="str">
        <f aca="false">Raw_Nigeria!H860</f>
        <v>Record or Recall</v>
      </c>
      <c r="K860" s="7" t="str">
        <f aca="false">Raw_Nigeria!L860</f>
        <v>24-35 m</v>
      </c>
      <c r="L860" s="7" t="str">
        <f aca="false">IF(Raw_Nigeria!K860="","n/a",Raw_Nigeria!K860)</f>
        <v>0-35 m</v>
      </c>
      <c r="M860" s="7" t="str">
        <f aca="false">IF(Raw_Nigeria!I860="","",Raw_Nigeria!I860)</f>
        <v/>
      </c>
      <c r="N860" s="7" t="n">
        <f aca="false">Raw_Nigeria!M860</f>
        <v>37.5</v>
      </c>
      <c r="O860" s="7" t="n">
        <f aca="false">IF(Raw_Nigeria!N860="","",Raw_Nigeria!N860)</f>
        <v>6100</v>
      </c>
      <c r="P860" s="7" t="str">
        <f aca="false">IF(K860="CBAW","Women of child-bearing age","Children")</f>
        <v>Children</v>
      </c>
      <c r="Q860" s="7" t="n">
        <f aca="false">IF(J860="NOT USED",1,0)</f>
        <v>0</v>
      </c>
      <c r="R860" s="7" t="n">
        <f aca="false">IF(AND(P860="Children",Q860=0),1,0)</f>
        <v>1</v>
      </c>
      <c r="S860" s="7" t="n">
        <f aca="false">IF(AND(R860=1,J860="Record or Recall",K860="12-23 m"),1,0)</f>
        <v>0</v>
      </c>
      <c r="T860" s="7" t="n">
        <f aca="false">IF(OR(I860="BCG",I860="DTP1",I860="DTP3",I860="POL3",I860="MCV1",I860="FULL"),1,0)</f>
        <v>0</v>
      </c>
      <c r="U860" s="7" t="n">
        <f aca="false">IF(OR(C860="DHS",C860="MICS"),1,0)</f>
        <v>1</v>
      </c>
      <c r="V860" s="7" t="n">
        <f aca="false">IF(O860="",1,0)</f>
        <v>0</v>
      </c>
      <c r="W860" s="7" t="n">
        <f aca="false">IF(M860="",1,0)</f>
        <v>1</v>
      </c>
      <c r="X860" s="7" t="n">
        <f aca="false">COUNTIFS($B$2:$B$1141,B860,$H$2:$H$1141,H860,$I$2:$I$1141,I860,$J$2:$J$1141,J860,$K$2:$K$1141,K860,$L$2:$L$1141,L860)</f>
        <v>1</v>
      </c>
    </row>
    <row r="861" customFormat="false" ht="15" hidden="false" customHeight="false" outlineLevel="0" collapsed="false">
      <c r="A861" s="7" t="n">
        <f aca="false">ROW()-1</f>
        <v>860</v>
      </c>
      <c r="B861" s="7" t="str">
        <f aca="false">IF(Raw_Nigeria!B861="",TRIM(Raw_Nigeria!C861),TRIM(Raw_Nigeria!B861))</f>
        <v>Nigeria Multiple Indicator Cluster Survey 2021</v>
      </c>
      <c r="C861" s="7" t="str">
        <f aca="false">IF(ISNUMBER(SEARCH("Demographic and Health",B861)),"DHS",IF(OR(ISNUMBER(SEARCH("Multiple Indicator Cluster",B861)),ISNUMBER(SEARCH("MICS",B861))),"MICS",IF(ISNUMBER(SEARCH("Immunization Coverage Survey",B861)),"Coverage survey",IF(ISNUMBER(SEARCH("Nutrition",B861)),"Nutrition survey","Other"))))</f>
        <v>MICS</v>
      </c>
      <c r="D861" s="7" t="n">
        <f aca="false">VALUE(LEFT(Raw_Nigeria!D861,4))</f>
        <v>2021</v>
      </c>
      <c r="E861" s="7" t="n">
        <f aca="false">IF(VALUE(RIGHT(Raw_Nigeria!D861,2))&gt;12,"",VALUE(RIGHT(Raw_Nigeria!D861,2)))</f>
        <v>9</v>
      </c>
      <c r="F861" s="7" t="n">
        <f aca="false">VALUE(LEFT(Raw_Nigeria!E861,4))</f>
        <v>2021</v>
      </c>
      <c r="G861" s="7" t="n">
        <f aca="false">IF(VALUE(RIGHT(Raw_Nigeria!E861,2))&gt;12,"",VALUE(RIGHT(Raw_Nigeria!E861,2)))</f>
        <v>12</v>
      </c>
      <c r="H861" s="7" t="n">
        <f aca="false">Raw_Nigeria!F861</f>
        <v>2020</v>
      </c>
      <c r="I861" s="7" t="str">
        <f aca="false">UPPER(TRIM(Raw_Nigeria!G861))</f>
        <v>MCV2</v>
      </c>
      <c r="J861" s="7" t="str">
        <f aca="false">Raw_Nigeria!H861</f>
        <v>Recall</v>
      </c>
      <c r="K861" s="7" t="str">
        <f aca="false">Raw_Nigeria!L861</f>
        <v>24-35 m</v>
      </c>
      <c r="L861" s="7" t="str">
        <f aca="false">IF(Raw_Nigeria!K861="","n/a",Raw_Nigeria!K861)</f>
        <v>0-35 m</v>
      </c>
      <c r="M861" s="7" t="str">
        <f aca="false">IF(Raw_Nigeria!I861="","",Raw_Nigeria!I861)</f>
        <v/>
      </c>
      <c r="N861" s="7" t="n">
        <f aca="false">Raw_Nigeria!M861</f>
        <v>18.9</v>
      </c>
      <c r="O861" s="7" t="n">
        <f aca="false">IF(Raw_Nigeria!N861="","",Raw_Nigeria!N861)</f>
        <v>3223</v>
      </c>
      <c r="P861" s="7" t="str">
        <f aca="false">IF(K861="CBAW","Women of child-bearing age","Children")</f>
        <v>Children</v>
      </c>
      <c r="Q861" s="7" t="n">
        <f aca="false">IF(J861="NOT USED",1,0)</f>
        <v>0</v>
      </c>
      <c r="R861" s="7" t="n">
        <f aca="false">IF(AND(P861="Children",Q861=0),1,0)</f>
        <v>1</v>
      </c>
      <c r="S861" s="7" t="n">
        <f aca="false">IF(AND(R861=1,J861="Record or Recall",K861="12-23 m"),1,0)</f>
        <v>0</v>
      </c>
      <c r="T861" s="7" t="n">
        <f aca="false">IF(OR(I861="BCG",I861="DTP1",I861="DTP3",I861="POL3",I861="MCV1",I861="FULL"),1,0)</f>
        <v>0</v>
      </c>
      <c r="U861" s="7" t="n">
        <f aca="false">IF(OR(C861="DHS",C861="MICS"),1,0)</f>
        <v>1</v>
      </c>
      <c r="V861" s="7" t="n">
        <f aca="false">IF(O861="",1,0)</f>
        <v>0</v>
      </c>
      <c r="W861" s="7" t="n">
        <f aca="false">IF(M861="",1,0)</f>
        <v>1</v>
      </c>
      <c r="X861" s="7" t="n">
        <f aca="false">COUNTIFS($B$2:$B$1141,B861,$H$2:$H$1141,H861,$I$2:$I$1141,I861,$J$2:$J$1141,J861,$K$2:$K$1141,K861,$L$2:$L$1141,L861)</f>
        <v>1</v>
      </c>
    </row>
    <row r="862" customFormat="false" ht="15" hidden="false" customHeight="false" outlineLevel="0" collapsed="false">
      <c r="A862" s="7" t="n">
        <f aca="false">ROW()-1</f>
        <v>861</v>
      </c>
      <c r="B862" s="7" t="str">
        <f aca="false">IF(Raw_Nigeria!B862="",TRIM(Raw_Nigeria!C862),TRIM(Raw_Nigeria!B862))</f>
        <v>Nigeria Multiple Indicator Cluster Survey 2021</v>
      </c>
      <c r="C862" s="7" t="str">
        <f aca="false">IF(ISNUMBER(SEARCH("Demographic and Health",B862)),"DHS",IF(OR(ISNUMBER(SEARCH("Multiple Indicator Cluster",B862)),ISNUMBER(SEARCH("MICS",B862))),"MICS",IF(ISNUMBER(SEARCH("Immunization Coverage Survey",B862)),"Coverage survey",IF(ISNUMBER(SEARCH("Nutrition",B862)),"Nutrition survey","Other"))))</f>
        <v>MICS</v>
      </c>
      <c r="D862" s="7" t="n">
        <f aca="false">VALUE(LEFT(Raw_Nigeria!D862,4))</f>
        <v>2021</v>
      </c>
      <c r="E862" s="7" t="n">
        <f aca="false">IF(VALUE(RIGHT(Raw_Nigeria!D862,2))&gt;12,"",VALUE(RIGHT(Raw_Nigeria!D862,2)))</f>
        <v>9</v>
      </c>
      <c r="F862" s="7" t="n">
        <f aca="false">VALUE(LEFT(Raw_Nigeria!E862,4))</f>
        <v>2021</v>
      </c>
      <c r="G862" s="7" t="n">
        <f aca="false">IF(VALUE(RIGHT(Raw_Nigeria!E862,2))&gt;12,"",VALUE(RIGHT(Raw_Nigeria!E862,2)))</f>
        <v>12</v>
      </c>
      <c r="H862" s="7" t="n">
        <f aca="false">Raw_Nigeria!F862</f>
        <v>2020</v>
      </c>
      <c r="I862" s="7" t="str">
        <f aca="false">UPPER(TRIM(Raw_Nigeria!G862))</f>
        <v>MENGA</v>
      </c>
      <c r="J862" s="7" t="str">
        <f aca="false">Raw_Nigeria!H862</f>
        <v>Record or Recall&lt;12m</v>
      </c>
      <c r="K862" s="7" t="str">
        <f aca="false">Raw_Nigeria!L862</f>
        <v>12-23 m</v>
      </c>
      <c r="L862" s="7" t="str">
        <f aca="false">IF(Raw_Nigeria!K862="","n/a",Raw_Nigeria!K862)</f>
        <v>0-12 m</v>
      </c>
      <c r="M862" s="7" t="n">
        <f aca="false">IF(Raw_Nigeria!I862="","",Raw_Nigeria!I862)</f>
        <v>56</v>
      </c>
      <c r="N862" s="7" t="n">
        <f aca="false">Raw_Nigeria!M862</f>
        <v>49.3</v>
      </c>
      <c r="O862" s="7" t="str">
        <f aca="false">IF(Raw_Nigeria!N862="","",Raw_Nigeria!N862)</f>
        <v/>
      </c>
      <c r="P862" s="7" t="str">
        <f aca="false">IF(K862="CBAW","Women of child-bearing age","Children")</f>
        <v>Children</v>
      </c>
      <c r="Q862" s="7" t="n">
        <f aca="false">IF(J862="NOT USED",1,0)</f>
        <v>0</v>
      </c>
      <c r="R862" s="7" t="n">
        <f aca="false">IF(AND(P862="Children",Q862=0),1,0)</f>
        <v>1</v>
      </c>
      <c r="S862" s="7" t="n">
        <f aca="false">IF(AND(R862=1,J862="Record or Recall",K862="12-23 m"),1,0)</f>
        <v>0</v>
      </c>
      <c r="T862" s="7" t="n">
        <f aca="false">IF(OR(I862="BCG",I862="DTP1",I862="DTP3",I862="POL3",I862="MCV1",I862="FULL"),1,0)</f>
        <v>0</v>
      </c>
      <c r="U862" s="7" t="n">
        <f aca="false">IF(OR(C862="DHS",C862="MICS"),1,0)</f>
        <v>1</v>
      </c>
      <c r="V862" s="7" t="n">
        <f aca="false">IF(O862="",1,0)</f>
        <v>1</v>
      </c>
      <c r="W862" s="7" t="n">
        <f aca="false">IF(M862="",1,0)</f>
        <v>0</v>
      </c>
      <c r="X862" s="7" t="n">
        <f aca="false">COUNTIFS($B$2:$B$1141,B862,$H$2:$H$1141,H862,$I$2:$I$1141,I862,$J$2:$J$1141,J862,$K$2:$K$1141,K862,$L$2:$L$1141,L862)</f>
        <v>1</v>
      </c>
    </row>
    <row r="863" customFormat="false" ht="15" hidden="false" customHeight="false" outlineLevel="0" collapsed="false">
      <c r="A863" s="7" t="n">
        <f aca="false">ROW()-1</f>
        <v>862</v>
      </c>
      <c r="B863" s="7" t="str">
        <f aca="false">IF(Raw_Nigeria!B863="",TRIM(Raw_Nigeria!C863),TRIM(Raw_Nigeria!B863))</f>
        <v>Nigeria Multiple Indicator Cluster Survey 2021</v>
      </c>
      <c r="C863" s="7" t="str">
        <f aca="false">IF(ISNUMBER(SEARCH("Demographic and Health",B863)),"DHS",IF(OR(ISNUMBER(SEARCH("Multiple Indicator Cluster",B863)),ISNUMBER(SEARCH("MICS",B863))),"MICS",IF(ISNUMBER(SEARCH("Immunization Coverage Survey",B863)),"Coverage survey",IF(ISNUMBER(SEARCH("Nutrition",B863)),"Nutrition survey","Other"))))</f>
        <v>MICS</v>
      </c>
      <c r="D863" s="7" t="n">
        <f aca="false">VALUE(LEFT(Raw_Nigeria!D863,4))</f>
        <v>2021</v>
      </c>
      <c r="E863" s="7" t="n">
        <f aca="false">IF(VALUE(RIGHT(Raw_Nigeria!D863,2))&gt;12,"",VALUE(RIGHT(Raw_Nigeria!D863,2)))</f>
        <v>9</v>
      </c>
      <c r="F863" s="7" t="n">
        <f aca="false">VALUE(LEFT(Raw_Nigeria!E863,4))</f>
        <v>2021</v>
      </c>
      <c r="G863" s="7" t="n">
        <f aca="false">IF(VALUE(RIGHT(Raw_Nigeria!E863,2))&gt;12,"",VALUE(RIGHT(Raw_Nigeria!E863,2)))</f>
        <v>12</v>
      </c>
      <c r="H863" s="7" t="n">
        <f aca="false">Raw_Nigeria!F863</f>
        <v>2020</v>
      </c>
      <c r="I863" s="7" t="str">
        <f aca="false">UPPER(TRIM(Raw_Nigeria!G863))</f>
        <v>MENGA</v>
      </c>
      <c r="J863" s="7" t="str">
        <f aca="false">Raw_Nigeria!H863</f>
        <v>Record</v>
      </c>
      <c r="K863" s="7" t="str">
        <f aca="false">Raw_Nigeria!L863</f>
        <v>12-23 m</v>
      </c>
      <c r="L863" s="7" t="str">
        <f aca="false">IF(Raw_Nigeria!K863="","n/a",Raw_Nigeria!K863)</f>
        <v>0-23 m</v>
      </c>
      <c r="M863" s="7" t="n">
        <f aca="false">IF(Raw_Nigeria!I863="","",Raw_Nigeria!I863)</f>
        <v>56</v>
      </c>
      <c r="N863" s="7" t="n">
        <f aca="false">Raw_Nigeria!M863</f>
        <v>37.5</v>
      </c>
      <c r="O863" s="7" t="n">
        <f aca="false">IF(Raw_Nigeria!N863="","",Raw_Nigeria!N863)</f>
        <v>3163</v>
      </c>
      <c r="P863" s="7" t="str">
        <f aca="false">IF(K863="CBAW","Women of child-bearing age","Children")</f>
        <v>Children</v>
      </c>
      <c r="Q863" s="7" t="n">
        <f aca="false">IF(J863="NOT USED",1,0)</f>
        <v>0</v>
      </c>
      <c r="R863" s="7" t="n">
        <f aca="false">IF(AND(P863="Children",Q863=0),1,0)</f>
        <v>1</v>
      </c>
      <c r="S863" s="7" t="n">
        <f aca="false">IF(AND(R863=1,J863="Record or Recall",K863="12-23 m"),1,0)</f>
        <v>0</v>
      </c>
      <c r="T863" s="7" t="n">
        <f aca="false">IF(OR(I863="BCG",I863="DTP1",I863="DTP3",I863="POL3",I863="MCV1",I863="FULL"),1,0)</f>
        <v>0</v>
      </c>
      <c r="U863" s="7" t="n">
        <f aca="false">IF(OR(C863="DHS",C863="MICS"),1,0)</f>
        <v>1</v>
      </c>
      <c r="V863" s="7" t="n">
        <f aca="false">IF(O863="",1,0)</f>
        <v>0</v>
      </c>
      <c r="W863" s="7" t="n">
        <f aca="false">IF(M863="",1,0)</f>
        <v>0</v>
      </c>
      <c r="X863" s="7" t="n">
        <f aca="false">COUNTIFS($B$2:$B$1141,B863,$H$2:$H$1141,H863,$I$2:$I$1141,I863,$J$2:$J$1141,J863,$K$2:$K$1141,K863,$L$2:$L$1141,L863)</f>
        <v>1</v>
      </c>
    </row>
    <row r="864" customFormat="false" ht="15" hidden="false" customHeight="false" outlineLevel="0" collapsed="false">
      <c r="A864" s="7" t="n">
        <f aca="false">ROW()-1</f>
        <v>863</v>
      </c>
      <c r="B864" s="7" t="str">
        <f aca="false">IF(Raw_Nigeria!B864="",TRIM(Raw_Nigeria!C864),TRIM(Raw_Nigeria!B864))</f>
        <v>Nigeria Multiple Indicator Cluster Survey 2021</v>
      </c>
      <c r="C864" s="7" t="str">
        <f aca="false">IF(ISNUMBER(SEARCH("Demographic and Health",B864)),"DHS",IF(OR(ISNUMBER(SEARCH("Multiple Indicator Cluster",B864)),ISNUMBER(SEARCH("MICS",B864))),"MICS",IF(ISNUMBER(SEARCH("Immunization Coverage Survey",B864)),"Coverage survey",IF(ISNUMBER(SEARCH("Nutrition",B864)),"Nutrition survey","Other"))))</f>
        <v>MICS</v>
      </c>
      <c r="D864" s="7" t="n">
        <f aca="false">VALUE(LEFT(Raw_Nigeria!D864,4))</f>
        <v>2021</v>
      </c>
      <c r="E864" s="7" t="n">
        <f aca="false">IF(VALUE(RIGHT(Raw_Nigeria!D864,2))&gt;12,"",VALUE(RIGHT(Raw_Nigeria!D864,2)))</f>
        <v>9</v>
      </c>
      <c r="F864" s="7" t="n">
        <f aca="false">VALUE(LEFT(Raw_Nigeria!E864,4))</f>
        <v>2021</v>
      </c>
      <c r="G864" s="7" t="n">
        <f aca="false">IF(VALUE(RIGHT(Raw_Nigeria!E864,2))&gt;12,"",VALUE(RIGHT(Raw_Nigeria!E864,2)))</f>
        <v>12</v>
      </c>
      <c r="H864" s="7" t="n">
        <f aca="false">Raw_Nigeria!F864</f>
        <v>2020</v>
      </c>
      <c r="I864" s="7" t="str">
        <f aca="false">UPPER(TRIM(Raw_Nigeria!G864))</f>
        <v>MENGA</v>
      </c>
      <c r="J864" s="7" t="str">
        <f aca="false">Raw_Nigeria!H864</f>
        <v>Record or Recall</v>
      </c>
      <c r="K864" s="7" t="str">
        <f aca="false">Raw_Nigeria!L864</f>
        <v>12-23 m</v>
      </c>
      <c r="L864" s="7" t="str">
        <f aca="false">IF(Raw_Nigeria!K864="","n/a",Raw_Nigeria!K864)</f>
        <v>0-23 m</v>
      </c>
      <c r="M864" s="7" t="n">
        <f aca="false">IF(Raw_Nigeria!I864="","",Raw_Nigeria!I864)</f>
        <v>56</v>
      </c>
      <c r="N864" s="7" t="n">
        <f aca="false">Raw_Nigeria!M864</f>
        <v>54.9</v>
      </c>
      <c r="O864" s="7" t="n">
        <f aca="false">IF(Raw_Nigeria!N864="","",Raw_Nigeria!N864)</f>
        <v>5652</v>
      </c>
      <c r="P864" s="7" t="str">
        <f aca="false">IF(K864="CBAW","Women of child-bearing age","Children")</f>
        <v>Children</v>
      </c>
      <c r="Q864" s="7" t="n">
        <f aca="false">IF(J864="NOT USED",1,0)</f>
        <v>0</v>
      </c>
      <c r="R864" s="7" t="n">
        <f aca="false">IF(AND(P864="Children",Q864=0),1,0)</f>
        <v>1</v>
      </c>
      <c r="S864" s="7" t="n">
        <f aca="false">IF(AND(R864=1,J864="Record or Recall",K864="12-23 m"),1,0)</f>
        <v>1</v>
      </c>
      <c r="T864" s="7" t="n">
        <f aca="false">IF(OR(I864="BCG",I864="DTP1",I864="DTP3",I864="POL3",I864="MCV1",I864="FULL"),1,0)</f>
        <v>0</v>
      </c>
      <c r="U864" s="7" t="n">
        <f aca="false">IF(OR(C864="DHS",C864="MICS"),1,0)</f>
        <v>1</v>
      </c>
      <c r="V864" s="7" t="n">
        <f aca="false">IF(O864="",1,0)</f>
        <v>0</v>
      </c>
      <c r="W864" s="7" t="n">
        <f aca="false">IF(M864="",1,0)</f>
        <v>0</v>
      </c>
      <c r="X864" s="7" t="n">
        <f aca="false">COUNTIFS($B$2:$B$1141,B864,$H$2:$H$1141,H864,$I$2:$I$1141,I864,$J$2:$J$1141,J864,$K$2:$K$1141,K864,$L$2:$L$1141,L864)</f>
        <v>1</v>
      </c>
    </row>
    <row r="865" customFormat="false" ht="15" hidden="false" customHeight="false" outlineLevel="0" collapsed="false">
      <c r="A865" s="7" t="n">
        <f aca="false">ROW()-1</f>
        <v>864</v>
      </c>
      <c r="B865" s="7" t="str">
        <f aca="false">IF(Raw_Nigeria!B865="",TRIM(Raw_Nigeria!C865),TRIM(Raw_Nigeria!B865))</f>
        <v>Nigeria Multiple Indicator Cluster Survey 2021</v>
      </c>
      <c r="C865" s="7" t="str">
        <f aca="false">IF(ISNUMBER(SEARCH("Demographic and Health",B865)),"DHS",IF(OR(ISNUMBER(SEARCH("Multiple Indicator Cluster",B865)),ISNUMBER(SEARCH("MICS",B865))),"MICS",IF(ISNUMBER(SEARCH("Immunization Coverage Survey",B865)),"Coverage survey",IF(ISNUMBER(SEARCH("Nutrition",B865)),"Nutrition survey","Other"))))</f>
        <v>MICS</v>
      </c>
      <c r="D865" s="7" t="n">
        <f aca="false">VALUE(LEFT(Raw_Nigeria!D865,4))</f>
        <v>2021</v>
      </c>
      <c r="E865" s="7" t="n">
        <f aca="false">IF(VALUE(RIGHT(Raw_Nigeria!D865,2))&gt;12,"",VALUE(RIGHT(Raw_Nigeria!D865,2)))</f>
        <v>9</v>
      </c>
      <c r="F865" s="7" t="n">
        <f aca="false">VALUE(LEFT(Raw_Nigeria!E865,4))</f>
        <v>2021</v>
      </c>
      <c r="G865" s="7" t="n">
        <f aca="false">IF(VALUE(RIGHT(Raw_Nigeria!E865,2))&gt;12,"",VALUE(RIGHT(Raw_Nigeria!E865,2)))</f>
        <v>12</v>
      </c>
      <c r="H865" s="7" t="n">
        <f aca="false">Raw_Nigeria!F865</f>
        <v>2020</v>
      </c>
      <c r="I865" s="7" t="str">
        <f aca="false">UPPER(TRIM(Raw_Nigeria!G865))</f>
        <v>MENGA</v>
      </c>
      <c r="J865" s="7" t="str">
        <f aca="false">Raw_Nigeria!H865</f>
        <v>Recall</v>
      </c>
      <c r="K865" s="7" t="str">
        <f aca="false">Raw_Nigeria!L865</f>
        <v>12-23 m</v>
      </c>
      <c r="L865" s="7" t="str">
        <f aca="false">IF(Raw_Nigeria!K865="","n/a",Raw_Nigeria!K865)</f>
        <v>0-23 m</v>
      </c>
      <c r="M865" s="7" t="n">
        <f aca="false">IF(Raw_Nigeria!I865="","",Raw_Nigeria!I865)</f>
        <v>56</v>
      </c>
      <c r="N865" s="7" t="n">
        <f aca="false">Raw_Nigeria!M865</f>
        <v>17.4</v>
      </c>
      <c r="O865" s="7" t="n">
        <f aca="false">IF(Raw_Nigeria!N865="","",Raw_Nigeria!N865)</f>
        <v>2489</v>
      </c>
      <c r="P865" s="7" t="str">
        <f aca="false">IF(K865="CBAW","Women of child-bearing age","Children")</f>
        <v>Children</v>
      </c>
      <c r="Q865" s="7" t="n">
        <f aca="false">IF(J865="NOT USED",1,0)</f>
        <v>0</v>
      </c>
      <c r="R865" s="7" t="n">
        <f aca="false">IF(AND(P865="Children",Q865=0),1,0)</f>
        <v>1</v>
      </c>
      <c r="S865" s="7" t="n">
        <f aca="false">IF(AND(R865=1,J865="Record or Recall",K865="12-23 m"),1,0)</f>
        <v>0</v>
      </c>
      <c r="T865" s="7" t="n">
        <f aca="false">IF(OR(I865="BCG",I865="DTP1",I865="DTP3",I865="POL3",I865="MCV1",I865="FULL"),1,0)</f>
        <v>0</v>
      </c>
      <c r="U865" s="7" t="n">
        <f aca="false">IF(OR(C865="DHS",C865="MICS"),1,0)</f>
        <v>1</v>
      </c>
      <c r="V865" s="7" t="n">
        <f aca="false">IF(O865="",1,0)</f>
        <v>0</v>
      </c>
      <c r="W865" s="7" t="n">
        <f aca="false">IF(M865="",1,0)</f>
        <v>0</v>
      </c>
      <c r="X865" s="7" t="n">
        <f aca="false">COUNTIFS($B$2:$B$1141,B865,$H$2:$H$1141,H865,$I$2:$I$1141,I865,$J$2:$J$1141,J865,$K$2:$K$1141,K865,$L$2:$L$1141,L865)</f>
        <v>1</v>
      </c>
    </row>
    <row r="866" customFormat="false" ht="15" hidden="false" customHeight="false" outlineLevel="0" collapsed="false">
      <c r="A866" s="7" t="n">
        <f aca="false">ROW()-1</f>
        <v>865</v>
      </c>
      <c r="B866" s="7" t="str">
        <f aca="false">IF(Raw_Nigeria!B866="",TRIM(Raw_Nigeria!C866),TRIM(Raw_Nigeria!B866))</f>
        <v>Nigeria Multiple Indicator Cluster Survey 2021</v>
      </c>
      <c r="C866" s="7" t="str">
        <f aca="false">IF(ISNUMBER(SEARCH("Demographic and Health",B866)),"DHS",IF(OR(ISNUMBER(SEARCH("Multiple Indicator Cluster",B866)),ISNUMBER(SEARCH("MICS",B866))),"MICS",IF(ISNUMBER(SEARCH("Immunization Coverage Survey",B866)),"Coverage survey",IF(ISNUMBER(SEARCH("Nutrition",B866)),"Nutrition survey","Other"))))</f>
        <v>MICS</v>
      </c>
      <c r="D866" s="7" t="n">
        <f aca="false">VALUE(LEFT(Raw_Nigeria!D866,4))</f>
        <v>2021</v>
      </c>
      <c r="E866" s="7" t="n">
        <f aca="false">IF(VALUE(RIGHT(Raw_Nigeria!D866,2))&gt;12,"",VALUE(RIGHT(Raw_Nigeria!D866,2)))</f>
        <v>9</v>
      </c>
      <c r="F866" s="7" t="n">
        <f aca="false">VALUE(LEFT(Raw_Nigeria!E866,4))</f>
        <v>2021</v>
      </c>
      <c r="G866" s="7" t="n">
        <f aca="false">IF(VALUE(RIGHT(Raw_Nigeria!E866,2))&gt;12,"",VALUE(RIGHT(Raw_Nigeria!E866,2)))</f>
        <v>12</v>
      </c>
      <c r="H866" s="7" t="n">
        <f aca="false">Raw_Nigeria!F866</f>
        <v>2020</v>
      </c>
      <c r="I866" s="7" t="str">
        <f aca="false">UPPER(TRIM(Raw_Nigeria!G866))</f>
        <v>PAB</v>
      </c>
      <c r="J866" s="7" t="str">
        <f aca="false">Raw_Nigeria!H866</f>
        <v>Record or Recall</v>
      </c>
      <c r="K866" s="7" t="str">
        <f aca="false">Raw_Nigeria!L866</f>
        <v>CBAW</v>
      </c>
      <c r="L866" s="7" t="str">
        <f aca="false">IF(Raw_Nigeria!K866="","n/a",Raw_Nigeria!K866)</f>
        <v>n/a</v>
      </c>
      <c r="M866" s="7" t="str">
        <f aca="false">IF(Raw_Nigeria!I866="","",Raw_Nigeria!I866)</f>
        <v/>
      </c>
      <c r="N866" s="7" t="n">
        <f aca="false">Raw_Nigeria!M866</f>
        <v>70.2</v>
      </c>
      <c r="O866" s="7" t="n">
        <f aca="false">IF(Raw_Nigeria!N866="","",Raw_Nigeria!N866)</f>
        <v>9813</v>
      </c>
      <c r="P866" s="7" t="str">
        <f aca="false">IF(K866="CBAW","Women of child-bearing age","Children")</f>
        <v>Women of child-bearing age</v>
      </c>
      <c r="Q866" s="7" t="n">
        <f aca="false">IF(J866="NOT USED",1,0)</f>
        <v>0</v>
      </c>
      <c r="R866" s="7" t="n">
        <f aca="false">IF(AND(P866="Children",Q866=0),1,0)</f>
        <v>0</v>
      </c>
      <c r="S866" s="7" t="n">
        <f aca="false">IF(AND(R866=1,J866="Record or Recall",K866="12-23 m"),1,0)</f>
        <v>0</v>
      </c>
      <c r="T866" s="7" t="n">
        <f aca="false">IF(OR(I866="BCG",I866="DTP1",I866="DTP3",I866="POL3",I866="MCV1",I866="FULL"),1,0)</f>
        <v>0</v>
      </c>
      <c r="U866" s="7" t="n">
        <f aca="false">IF(OR(C866="DHS",C866="MICS"),1,0)</f>
        <v>1</v>
      </c>
      <c r="V866" s="7" t="n">
        <f aca="false">IF(O866="",1,0)</f>
        <v>0</v>
      </c>
      <c r="W866" s="7" t="n">
        <f aca="false">IF(M866="",1,0)</f>
        <v>1</v>
      </c>
      <c r="X866" s="7" t="n">
        <f aca="false">COUNTIFS($B$2:$B$1141,B866,$H$2:$H$1141,H866,$I$2:$I$1141,I866,$J$2:$J$1141,J866,$K$2:$K$1141,K866,$L$2:$L$1141,L866)</f>
        <v>1</v>
      </c>
    </row>
    <row r="867" customFormat="false" ht="15" hidden="false" customHeight="false" outlineLevel="0" collapsed="false">
      <c r="A867" s="7" t="n">
        <f aca="false">ROW()-1</f>
        <v>866</v>
      </c>
      <c r="B867" s="7" t="str">
        <f aca="false">IF(Raw_Nigeria!B867="",TRIM(Raw_Nigeria!C867),TRIM(Raw_Nigeria!B867))</f>
        <v>Nigeria Multiple Indicator Cluster Survey 2021</v>
      </c>
      <c r="C867" s="7" t="str">
        <f aca="false">IF(ISNUMBER(SEARCH("Demographic and Health",B867)),"DHS",IF(OR(ISNUMBER(SEARCH("Multiple Indicator Cluster",B867)),ISNUMBER(SEARCH("MICS",B867))),"MICS",IF(ISNUMBER(SEARCH("Immunization Coverage Survey",B867)),"Coverage survey",IF(ISNUMBER(SEARCH("Nutrition",B867)),"Nutrition survey","Other"))))</f>
        <v>MICS</v>
      </c>
      <c r="D867" s="7" t="n">
        <f aca="false">VALUE(LEFT(Raw_Nigeria!D867,4))</f>
        <v>2021</v>
      </c>
      <c r="E867" s="7" t="n">
        <f aca="false">IF(VALUE(RIGHT(Raw_Nigeria!D867,2))&gt;12,"",VALUE(RIGHT(Raw_Nigeria!D867,2)))</f>
        <v>9</v>
      </c>
      <c r="F867" s="7" t="n">
        <f aca="false">VALUE(LEFT(Raw_Nigeria!E867,4))</f>
        <v>2021</v>
      </c>
      <c r="G867" s="7" t="n">
        <f aca="false">IF(VALUE(RIGHT(Raw_Nigeria!E867,2))&gt;12,"",VALUE(RIGHT(Raw_Nigeria!E867,2)))</f>
        <v>12</v>
      </c>
      <c r="H867" s="7" t="n">
        <f aca="false">Raw_Nigeria!F867</f>
        <v>2020</v>
      </c>
      <c r="I867" s="7" t="str">
        <f aca="false">UPPER(TRIM(Raw_Nigeria!G867))</f>
        <v>PCV1</v>
      </c>
      <c r="J867" s="7" t="str">
        <f aca="false">Raw_Nigeria!H867</f>
        <v>Record or Recall&lt;12m</v>
      </c>
      <c r="K867" s="7" t="str">
        <f aca="false">Raw_Nigeria!L867</f>
        <v>12-23 m</v>
      </c>
      <c r="L867" s="7" t="str">
        <f aca="false">IF(Raw_Nigeria!K867="","n/a",Raw_Nigeria!K867)</f>
        <v>0-12 m</v>
      </c>
      <c r="M867" s="7" t="n">
        <f aca="false">IF(Raw_Nigeria!I867="","",Raw_Nigeria!I867)</f>
        <v>56</v>
      </c>
      <c r="N867" s="7" t="n">
        <f aca="false">Raw_Nigeria!M867</f>
        <v>67.2</v>
      </c>
      <c r="O867" s="7" t="str">
        <f aca="false">IF(Raw_Nigeria!N867="","",Raw_Nigeria!N867)</f>
        <v/>
      </c>
      <c r="P867" s="7" t="str">
        <f aca="false">IF(K867="CBAW","Women of child-bearing age","Children")</f>
        <v>Children</v>
      </c>
      <c r="Q867" s="7" t="n">
        <f aca="false">IF(J867="NOT USED",1,0)</f>
        <v>0</v>
      </c>
      <c r="R867" s="7" t="n">
        <f aca="false">IF(AND(P867="Children",Q867=0),1,0)</f>
        <v>1</v>
      </c>
      <c r="S867" s="7" t="n">
        <f aca="false">IF(AND(R867=1,J867="Record or Recall",K867="12-23 m"),1,0)</f>
        <v>0</v>
      </c>
      <c r="T867" s="7" t="n">
        <f aca="false">IF(OR(I867="BCG",I867="DTP1",I867="DTP3",I867="POL3",I867="MCV1",I867="FULL"),1,0)</f>
        <v>0</v>
      </c>
      <c r="U867" s="7" t="n">
        <f aca="false">IF(OR(C867="DHS",C867="MICS"),1,0)</f>
        <v>1</v>
      </c>
      <c r="V867" s="7" t="n">
        <f aca="false">IF(O867="",1,0)</f>
        <v>1</v>
      </c>
      <c r="W867" s="7" t="n">
        <f aca="false">IF(M867="",1,0)</f>
        <v>0</v>
      </c>
      <c r="X867" s="7" t="n">
        <f aca="false">COUNTIFS($B$2:$B$1141,B867,$H$2:$H$1141,H867,$I$2:$I$1141,I867,$J$2:$J$1141,J867,$K$2:$K$1141,K867,$L$2:$L$1141,L867)</f>
        <v>1</v>
      </c>
    </row>
    <row r="868" customFormat="false" ht="15" hidden="false" customHeight="false" outlineLevel="0" collapsed="false">
      <c r="A868" s="7" t="n">
        <f aca="false">ROW()-1</f>
        <v>867</v>
      </c>
      <c r="B868" s="7" t="str">
        <f aca="false">IF(Raw_Nigeria!B868="",TRIM(Raw_Nigeria!C868),TRIM(Raw_Nigeria!B868))</f>
        <v>Nigeria Multiple Indicator Cluster Survey 2021</v>
      </c>
      <c r="C868" s="7" t="str">
        <f aca="false">IF(ISNUMBER(SEARCH("Demographic and Health",B868)),"DHS",IF(OR(ISNUMBER(SEARCH("Multiple Indicator Cluster",B868)),ISNUMBER(SEARCH("MICS",B868))),"MICS",IF(ISNUMBER(SEARCH("Immunization Coverage Survey",B868)),"Coverage survey",IF(ISNUMBER(SEARCH("Nutrition",B868)),"Nutrition survey","Other"))))</f>
        <v>MICS</v>
      </c>
      <c r="D868" s="7" t="n">
        <f aca="false">VALUE(LEFT(Raw_Nigeria!D868,4))</f>
        <v>2021</v>
      </c>
      <c r="E868" s="7" t="n">
        <f aca="false">IF(VALUE(RIGHT(Raw_Nigeria!D868,2))&gt;12,"",VALUE(RIGHT(Raw_Nigeria!D868,2)))</f>
        <v>9</v>
      </c>
      <c r="F868" s="7" t="n">
        <f aca="false">VALUE(LEFT(Raw_Nigeria!E868,4))</f>
        <v>2021</v>
      </c>
      <c r="G868" s="7" t="n">
        <f aca="false">IF(VALUE(RIGHT(Raw_Nigeria!E868,2))&gt;12,"",VALUE(RIGHT(Raw_Nigeria!E868,2)))</f>
        <v>12</v>
      </c>
      <c r="H868" s="7" t="n">
        <f aca="false">Raw_Nigeria!F868</f>
        <v>2020</v>
      </c>
      <c r="I868" s="7" t="str">
        <f aca="false">UPPER(TRIM(Raw_Nigeria!G868))</f>
        <v>PCV1</v>
      </c>
      <c r="J868" s="7" t="str">
        <f aca="false">Raw_Nigeria!H868</f>
        <v>Record</v>
      </c>
      <c r="K868" s="7" t="str">
        <f aca="false">Raw_Nigeria!L868</f>
        <v>12-23 m</v>
      </c>
      <c r="L868" s="7" t="str">
        <f aca="false">IF(Raw_Nigeria!K868="","n/a",Raw_Nigeria!K868)</f>
        <v>0-23 m</v>
      </c>
      <c r="M868" s="7" t="n">
        <f aca="false">IF(Raw_Nigeria!I868="","",Raw_Nigeria!I868)</f>
        <v>56</v>
      </c>
      <c r="N868" s="7" t="n">
        <f aca="false">Raw_Nigeria!M868</f>
        <v>53.5</v>
      </c>
      <c r="O868" s="7" t="n">
        <f aca="false">IF(Raw_Nigeria!N868="","",Raw_Nigeria!N868)</f>
        <v>3163</v>
      </c>
      <c r="P868" s="7" t="str">
        <f aca="false">IF(K868="CBAW","Women of child-bearing age","Children")</f>
        <v>Children</v>
      </c>
      <c r="Q868" s="7" t="n">
        <f aca="false">IF(J868="NOT USED",1,0)</f>
        <v>0</v>
      </c>
      <c r="R868" s="7" t="n">
        <f aca="false">IF(AND(P868="Children",Q868=0),1,0)</f>
        <v>1</v>
      </c>
      <c r="S868" s="7" t="n">
        <f aca="false">IF(AND(R868=1,J868="Record or Recall",K868="12-23 m"),1,0)</f>
        <v>0</v>
      </c>
      <c r="T868" s="7" t="n">
        <f aca="false">IF(OR(I868="BCG",I868="DTP1",I868="DTP3",I868="POL3",I868="MCV1",I868="FULL"),1,0)</f>
        <v>0</v>
      </c>
      <c r="U868" s="7" t="n">
        <f aca="false">IF(OR(C868="DHS",C868="MICS"),1,0)</f>
        <v>1</v>
      </c>
      <c r="V868" s="7" t="n">
        <f aca="false">IF(O868="",1,0)</f>
        <v>0</v>
      </c>
      <c r="W868" s="7" t="n">
        <f aca="false">IF(M868="",1,0)</f>
        <v>0</v>
      </c>
      <c r="X868" s="7" t="n">
        <f aca="false">COUNTIFS($B$2:$B$1141,B868,$H$2:$H$1141,H868,$I$2:$I$1141,I868,$J$2:$J$1141,J868,$K$2:$K$1141,K868,$L$2:$L$1141,L868)</f>
        <v>1</v>
      </c>
    </row>
    <row r="869" customFormat="false" ht="15" hidden="false" customHeight="false" outlineLevel="0" collapsed="false">
      <c r="A869" s="7" t="n">
        <f aca="false">ROW()-1</f>
        <v>868</v>
      </c>
      <c r="B869" s="7" t="str">
        <f aca="false">IF(Raw_Nigeria!B869="",TRIM(Raw_Nigeria!C869),TRIM(Raw_Nigeria!B869))</f>
        <v>Nigeria Multiple Indicator Cluster Survey 2021</v>
      </c>
      <c r="C869" s="7" t="str">
        <f aca="false">IF(ISNUMBER(SEARCH("Demographic and Health",B869)),"DHS",IF(OR(ISNUMBER(SEARCH("Multiple Indicator Cluster",B869)),ISNUMBER(SEARCH("MICS",B869))),"MICS",IF(ISNUMBER(SEARCH("Immunization Coverage Survey",B869)),"Coverage survey",IF(ISNUMBER(SEARCH("Nutrition",B869)),"Nutrition survey","Other"))))</f>
        <v>MICS</v>
      </c>
      <c r="D869" s="7" t="n">
        <f aca="false">VALUE(LEFT(Raw_Nigeria!D869,4))</f>
        <v>2021</v>
      </c>
      <c r="E869" s="7" t="n">
        <f aca="false">IF(VALUE(RIGHT(Raw_Nigeria!D869,2))&gt;12,"",VALUE(RIGHT(Raw_Nigeria!D869,2)))</f>
        <v>9</v>
      </c>
      <c r="F869" s="7" t="n">
        <f aca="false">VALUE(LEFT(Raw_Nigeria!E869,4))</f>
        <v>2021</v>
      </c>
      <c r="G869" s="7" t="n">
        <f aca="false">IF(VALUE(RIGHT(Raw_Nigeria!E869,2))&gt;12,"",VALUE(RIGHT(Raw_Nigeria!E869,2)))</f>
        <v>12</v>
      </c>
      <c r="H869" s="7" t="n">
        <f aca="false">Raw_Nigeria!F869</f>
        <v>2020</v>
      </c>
      <c r="I869" s="7" t="str">
        <f aca="false">UPPER(TRIM(Raw_Nigeria!G869))</f>
        <v>PCV1</v>
      </c>
      <c r="J869" s="7" t="str">
        <f aca="false">Raw_Nigeria!H869</f>
        <v>Record or Recall</v>
      </c>
      <c r="K869" s="7" t="str">
        <f aca="false">Raw_Nigeria!L869</f>
        <v>12-23 m</v>
      </c>
      <c r="L869" s="7" t="str">
        <f aca="false">IF(Raw_Nigeria!K869="","n/a",Raw_Nigeria!K869)</f>
        <v>0-23 m</v>
      </c>
      <c r="M869" s="7" t="n">
        <f aca="false">IF(Raw_Nigeria!I869="","",Raw_Nigeria!I869)</f>
        <v>56</v>
      </c>
      <c r="N869" s="7" t="n">
        <f aca="false">Raw_Nigeria!M869</f>
        <v>69.1</v>
      </c>
      <c r="O869" s="7" t="n">
        <f aca="false">IF(Raw_Nigeria!N869="","",Raw_Nigeria!N869)</f>
        <v>5652</v>
      </c>
      <c r="P869" s="7" t="str">
        <f aca="false">IF(K869="CBAW","Women of child-bearing age","Children")</f>
        <v>Children</v>
      </c>
      <c r="Q869" s="7" t="n">
        <f aca="false">IF(J869="NOT USED",1,0)</f>
        <v>0</v>
      </c>
      <c r="R869" s="7" t="n">
        <f aca="false">IF(AND(P869="Children",Q869=0),1,0)</f>
        <v>1</v>
      </c>
      <c r="S869" s="7" t="n">
        <f aca="false">IF(AND(R869=1,J869="Record or Recall",K869="12-23 m"),1,0)</f>
        <v>1</v>
      </c>
      <c r="T869" s="7" t="n">
        <f aca="false">IF(OR(I869="BCG",I869="DTP1",I869="DTP3",I869="POL3",I869="MCV1",I869="FULL"),1,0)</f>
        <v>0</v>
      </c>
      <c r="U869" s="7" t="n">
        <f aca="false">IF(OR(C869="DHS",C869="MICS"),1,0)</f>
        <v>1</v>
      </c>
      <c r="V869" s="7" t="n">
        <f aca="false">IF(O869="",1,0)</f>
        <v>0</v>
      </c>
      <c r="W869" s="7" t="n">
        <f aca="false">IF(M869="",1,0)</f>
        <v>0</v>
      </c>
      <c r="X869" s="7" t="n">
        <f aca="false">COUNTIFS($B$2:$B$1141,B869,$H$2:$H$1141,H869,$I$2:$I$1141,I869,$J$2:$J$1141,J869,$K$2:$K$1141,K869,$L$2:$L$1141,L869)</f>
        <v>1</v>
      </c>
    </row>
    <row r="870" customFormat="false" ht="15" hidden="false" customHeight="false" outlineLevel="0" collapsed="false">
      <c r="A870" s="7" t="n">
        <f aca="false">ROW()-1</f>
        <v>869</v>
      </c>
      <c r="B870" s="7" t="str">
        <f aca="false">IF(Raw_Nigeria!B870="",TRIM(Raw_Nigeria!C870),TRIM(Raw_Nigeria!B870))</f>
        <v>Nigeria Multiple Indicator Cluster Survey 2021</v>
      </c>
      <c r="C870" s="7" t="str">
        <f aca="false">IF(ISNUMBER(SEARCH("Demographic and Health",B870)),"DHS",IF(OR(ISNUMBER(SEARCH("Multiple Indicator Cluster",B870)),ISNUMBER(SEARCH("MICS",B870))),"MICS",IF(ISNUMBER(SEARCH("Immunization Coverage Survey",B870)),"Coverage survey",IF(ISNUMBER(SEARCH("Nutrition",B870)),"Nutrition survey","Other"))))</f>
        <v>MICS</v>
      </c>
      <c r="D870" s="7" t="n">
        <f aca="false">VALUE(LEFT(Raw_Nigeria!D870,4))</f>
        <v>2021</v>
      </c>
      <c r="E870" s="7" t="n">
        <f aca="false">IF(VALUE(RIGHT(Raw_Nigeria!D870,2))&gt;12,"",VALUE(RIGHT(Raw_Nigeria!D870,2)))</f>
        <v>9</v>
      </c>
      <c r="F870" s="7" t="n">
        <f aca="false">VALUE(LEFT(Raw_Nigeria!E870,4))</f>
        <v>2021</v>
      </c>
      <c r="G870" s="7" t="n">
        <f aca="false">IF(VALUE(RIGHT(Raw_Nigeria!E870,2))&gt;12,"",VALUE(RIGHT(Raw_Nigeria!E870,2)))</f>
        <v>12</v>
      </c>
      <c r="H870" s="7" t="n">
        <f aca="false">Raw_Nigeria!F870</f>
        <v>2020</v>
      </c>
      <c r="I870" s="7" t="str">
        <f aca="false">UPPER(TRIM(Raw_Nigeria!G870))</f>
        <v>PCV1</v>
      </c>
      <c r="J870" s="7" t="str">
        <f aca="false">Raw_Nigeria!H870</f>
        <v>Recall</v>
      </c>
      <c r="K870" s="7" t="str">
        <f aca="false">Raw_Nigeria!L870</f>
        <v>12-23 m</v>
      </c>
      <c r="L870" s="7" t="str">
        <f aca="false">IF(Raw_Nigeria!K870="","n/a",Raw_Nigeria!K870)</f>
        <v>0-23 m</v>
      </c>
      <c r="M870" s="7" t="n">
        <f aca="false">IF(Raw_Nigeria!I870="","",Raw_Nigeria!I870)</f>
        <v>56</v>
      </c>
      <c r="N870" s="7" t="n">
        <f aca="false">Raw_Nigeria!M870</f>
        <v>15.6</v>
      </c>
      <c r="O870" s="7" t="n">
        <f aca="false">IF(Raw_Nigeria!N870="","",Raw_Nigeria!N870)</f>
        <v>2489</v>
      </c>
      <c r="P870" s="7" t="str">
        <f aca="false">IF(K870="CBAW","Women of child-bearing age","Children")</f>
        <v>Children</v>
      </c>
      <c r="Q870" s="7" t="n">
        <f aca="false">IF(J870="NOT USED",1,0)</f>
        <v>0</v>
      </c>
      <c r="R870" s="7" t="n">
        <f aca="false">IF(AND(P870="Children",Q870=0),1,0)</f>
        <v>1</v>
      </c>
      <c r="S870" s="7" t="n">
        <f aca="false">IF(AND(R870=1,J870="Record or Recall",K870="12-23 m"),1,0)</f>
        <v>0</v>
      </c>
      <c r="T870" s="7" t="n">
        <f aca="false">IF(OR(I870="BCG",I870="DTP1",I870="DTP3",I870="POL3",I870="MCV1",I870="FULL"),1,0)</f>
        <v>0</v>
      </c>
      <c r="U870" s="7" t="n">
        <f aca="false">IF(OR(C870="DHS",C870="MICS"),1,0)</f>
        <v>1</v>
      </c>
      <c r="V870" s="7" t="n">
        <f aca="false">IF(O870="",1,0)</f>
        <v>0</v>
      </c>
      <c r="W870" s="7" t="n">
        <f aca="false">IF(M870="",1,0)</f>
        <v>0</v>
      </c>
      <c r="X870" s="7" t="n">
        <f aca="false">COUNTIFS($B$2:$B$1141,B870,$H$2:$H$1141,H870,$I$2:$I$1141,I870,$J$2:$J$1141,J870,$K$2:$K$1141,K870,$L$2:$L$1141,L870)</f>
        <v>1</v>
      </c>
    </row>
    <row r="871" customFormat="false" ht="15" hidden="false" customHeight="false" outlineLevel="0" collapsed="false">
      <c r="A871" s="7" t="n">
        <f aca="false">ROW()-1</f>
        <v>870</v>
      </c>
      <c r="B871" s="7" t="str">
        <f aca="false">IF(Raw_Nigeria!B871="",TRIM(Raw_Nigeria!C871),TRIM(Raw_Nigeria!B871))</f>
        <v>Nigeria Multiple Indicator Cluster Survey 2021</v>
      </c>
      <c r="C871" s="7" t="str">
        <f aca="false">IF(ISNUMBER(SEARCH("Demographic and Health",B871)),"DHS",IF(OR(ISNUMBER(SEARCH("Multiple Indicator Cluster",B871)),ISNUMBER(SEARCH("MICS",B871))),"MICS",IF(ISNUMBER(SEARCH("Immunization Coverage Survey",B871)),"Coverage survey",IF(ISNUMBER(SEARCH("Nutrition",B871)),"Nutrition survey","Other"))))</f>
        <v>MICS</v>
      </c>
      <c r="D871" s="7" t="n">
        <f aca="false">VALUE(LEFT(Raw_Nigeria!D871,4))</f>
        <v>2021</v>
      </c>
      <c r="E871" s="7" t="n">
        <f aca="false">IF(VALUE(RIGHT(Raw_Nigeria!D871,2))&gt;12,"",VALUE(RIGHT(Raw_Nigeria!D871,2)))</f>
        <v>9</v>
      </c>
      <c r="F871" s="7" t="n">
        <f aca="false">VALUE(LEFT(Raw_Nigeria!E871,4))</f>
        <v>2021</v>
      </c>
      <c r="G871" s="7" t="n">
        <f aca="false">IF(VALUE(RIGHT(Raw_Nigeria!E871,2))&gt;12,"",VALUE(RIGHT(Raw_Nigeria!E871,2)))</f>
        <v>12</v>
      </c>
      <c r="H871" s="7" t="n">
        <f aca="false">Raw_Nigeria!F871</f>
        <v>2020</v>
      </c>
      <c r="I871" s="7" t="str">
        <f aca="false">UPPER(TRIM(Raw_Nigeria!G871))</f>
        <v>PCV2</v>
      </c>
      <c r="J871" s="7" t="str">
        <f aca="false">Raw_Nigeria!H871</f>
        <v>Recall</v>
      </c>
      <c r="K871" s="7" t="str">
        <f aca="false">Raw_Nigeria!L871</f>
        <v>12-23 m</v>
      </c>
      <c r="L871" s="7" t="str">
        <f aca="false">IF(Raw_Nigeria!K871="","n/a",Raw_Nigeria!K871)</f>
        <v>0-23 m</v>
      </c>
      <c r="M871" s="7" t="n">
        <f aca="false">IF(Raw_Nigeria!I871="","",Raw_Nigeria!I871)</f>
        <v>56</v>
      </c>
      <c r="N871" s="7" t="n">
        <f aca="false">Raw_Nigeria!M871</f>
        <v>12</v>
      </c>
      <c r="O871" s="7" t="n">
        <f aca="false">IF(Raw_Nigeria!N871="","",Raw_Nigeria!N871)</f>
        <v>2489</v>
      </c>
      <c r="P871" s="7" t="str">
        <f aca="false">IF(K871="CBAW","Women of child-bearing age","Children")</f>
        <v>Children</v>
      </c>
      <c r="Q871" s="7" t="n">
        <f aca="false">IF(J871="NOT USED",1,0)</f>
        <v>0</v>
      </c>
      <c r="R871" s="7" t="n">
        <f aca="false">IF(AND(P871="Children",Q871=0),1,0)</f>
        <v>1</v>
      </c>
      <c r="S871" s="7" t="n">
        <f aca="false">IF(AND(R871=1,J871="Record or Recall",K871="12-23 m"),1,0)</f>
        <v>0</v>
      </c>
      <c r="T871" s="7" t="n">
        <f aca="false">IF(OR(I871="BCG",I871="DTP1",I871="DTP3",I871="POL3",I871="MCV1",I871="FULL"),1,0)</f>
        <v>0</v>
      </c>
      <c r="U871" s="7" t="n">
        <f aca="false">IF(OR(C871="DHS",C871="MICS"),1,0)</f>
        <v>1</v>
      </c>
      <c r="V871" s="7" t="n">
        <f aca="false">IF(O871="",1,0)</f>
        <v>0</v>
      </c>
      <c r="W871" s="7" t="n">
        <f aca="false">IF(M871="",1,0)</f>
        <v>0</v>
      </c>
      <c r="X871" s="7" t="n">
        <f aca="false">COUNTIFS($B$2:$B$1141,B871,$H$2:$H$1141,H871,$I$2:$I$1141,I871,$J$2:$J$1141,J871,$K$2:$K$1141,K871,$L$2:$L$1141,L871)</f>
        <v>1</v>
      </c>
    </row>
    <row r="872" customFormat="false" ht="15" hidden="false" customHeight="false" outlineLevel="0" collapsed="false">
      <c r="A872" s="7" t="n">
        <f aca="false">ROW()-1</f>
        <v>871</v>
      </c>
      <c r="B872" s="7" t="str">
        <f aca="false">IF(Raw_Nigeria!B872="",TRIM(Raw_Nigeria!C872),TRIM(Raw_Nigeria!B872))</f>
        <v>Nigeria Multiple Indicator Cluster Survey 2021</v>
      </c>
      <c r="C872" s="7" t="str">
        <f aca="false">IF(ISNUMBER(SEARCH("Demographic and Health",B872)),"DHS",IF(OR(ISNUMBER(SEARCH("Multiple Indicator Cluster",B872)),ISNUMBER(SEARCH("MICS",B872))),"MICS",IF(ISNUMBER(SEARCH("Immunization Coverage Survey",B872)),"Coverage survey",IF(ISNUMBER(SEARCH("Nutrition",B872)),"Nutrition survey","Other"))))</f>
        <v>MICS</v>
      </c>
      <c r="D872" s="7" t="n">
        <f aca="false">VALUE(LEFT(Raw_Nigeria!D872,4))</f>
        <v>2021</v>
      </c>
      <c r="E872" s="7" t="n">
        <f aca="false">IF(VALUE(RIGHT(Raw_Nigeria!D872,2))&gt;12,"",VALUE(RIGHT(Raw_Nigeria!D872,2)))</f>
        <v>9</v>
      </c>
      <c r="F872" s="7" t="n">
        <f aca="false">VALUE(LEFT(Raw_Nigeria!E872,4))</f>
        <v>2021</v>
      </c>
      <c r="G872" s="7" t="n">
        <f aca="false">IF(VALUE(RIGHT(Raw_Nigeria!E872,2))&gt;12,"",VALUE(RIGHT(Raw_Nigeria!E872,2)))</f>
        <v>12</v>
      </c>
      <c r="H872" s="7" t="n">
        <f aca="false">Raw_Nigeria!F872</f>
        <v>2020</v>
      </c>
      <c r="I872" s="7" t="str">
        <f aca="false">UPPER(TRIM(Raw_Nigeria!G872))</f>
        <v>PCV2</v>
      </c>
      <c r="J872" s="7" t="str">
        <f aca="false">Raw_Nigeria!H872</f>
        <v>Record or Recall&lt;12m</v>
      </c>
      <c r="K872" s="7" t="str">
        <f aca="false">Raw_Nigeria!L872</f>
        <v>12-23 m</v>
      </c>
      <c r="L872" s="7" t="str">
        <f aca="false">IF(Raw_Nigeria!K872="","n/a",Raw_Nigeria!K872)</f>
        <v>0-12 m</v>
      </c>
      <c r="M872" s="7" t="n">
        <f aca="false">IF(Raw_Nigeria!I872="","",Raw_Nigeria!I872)</f>
        <v>56</v>
      </c>
      <c r="N872" s="7" t="n">
        <f aca="false">Raw_Nigeria!M872</f>
        <v>59.9</v>
      </c>
      <c r="O872" s="7" t="str">
        <f aca="false">IF(Raw_Nigeria!N872="","",Raw_Nigeria!N872)</f>
        <v/>
      </c>
      <c r="P872" s="7" t="str">
        <f aca="false">IF(K872="CBAW","Women of child-bearing age","Children")</f>
        <v>Children</v>
      </c>
      <c r="Q872" s="7" t="n">
        <f aca="false">IF(J872="NOT USED",1,0)</f>
        <v>0</v>
      </c>
      <c r="R872" s="7" t="n">
        <f aca="false">IF(AND(P872="Children",Q872=0),1,0)</f>
        <v>1</v>
      </c>
      <c r="S872" s="7" t="n">
        <f aca="false">IF(AND(R872=1,J872="Record or Recall",K872="12-23 m"),1,0)</f>
        <v>0</v>
      </c>
      <c r="T872" s="7" t="n">
        <f aca="false">IF(OR(I872="BCG",I872="DTP1",I872="DTP3",I872="POL3",I872="MCV1",I872="FULL"),1,0)</f>
        <v>0</v>
      </c>
      <c r="U872" s="7" t="n">
        <f aca="false">IF(OR(C872="DHS",C872="MICS"),1,0)</f>
        <v>1</v>
      </c>
      <c r="V872" s="7" t="n">
        <f aca="false">IF(O872="",1,0)</f>
        <v>1</v>
      </c>
      <c r="W872" s="7" t="n">
        <f aca="false">IF(M872="",1,0)</f>
        <v>0</v>
      </c>
      <c r="X872" s="7" t="n">
        <f aca="false">COUNTIFS($B$2:$B$1141,B872,$H$2:$H$1141,H872,$I$2:$I$1141,I872,$J$2:$J$1141,J872,$K$2:$K$1141,K872,$L$2:$L$1141,L872)</f>
        <v>1</v>
      </c>
    </row>
    <row r="873" customFormat="false" ht="15" hidden="false" customHeight="false" outlineLevel="0" collapsed="false">
      <c r="A873" s="7" t="n">
        <f aca="false">ROW()-1</f>
        <v>872</v>
      </c>
      <c r="B873" s="7" t="str">
        <f aca="false">IF(Raw_Nigeria!B873="",TRIM(Raw_Nigeria!C873),TRIM(Raw_Nigeria!B873))</f>
        <v>Nigeria Multiple Indicator Cluster Survey 2021</v>
      </c>
      <c r="C873" s="7" t="str">
        <f aca="false">IF(ISNUMBER(SEARCH("Demographic and Health",B873)),"DHS",IF(OR(ISNUMBER(SEARCH("Multiple Indicator Cluster",B873)),ISNUMBER(SEARCH("MICS",B873))),"MICS",IF(ISNUMBER(SEARCH("Immunization Coverage Survey",B873)),"Coverage survey",IF(ISNUMBER(SEARCH("Nutrition",B873)),"Nutrition survey","Other"))))</f>
        <v>MICS</v>
      </c>
      <c r="D873" s="7" t="n">
        <f aca="false">VALUE(LEFT(Raw_Nigeria!D873,4))</f>
        <v>2021</v>
      </c>
      <c r="E873" s="7" t="n">
        <f aca="false">IF(VALUE(RIGHT(Raw_Nigeria!D873,2))&gt;12,"",VALUE(RIGHT(Raw_Nigeria!D873,2)))</f>
        <v>9</v>
      </c>
      <c r="F873" s="7" t="n">
        <f aca="false">VALUE(LEFT(Raw_Nigeria!E873,4))</f>
        <v>2021</v>
      </c>
      <c r="G873" s="7" t="n">
        <f aca="false">IF(VALUE(RIGHT(Raw_Nigeria!E873,2))&gt;12,"",VALUE(RIGHT(Raw_Nigeria!E873,2)))</f>
        <v>12</v>
      </c>
      <c r="H873" s="7" t="n">
        <f aca="false">Raw_Nigeria!F873</f>
        <v>2020</v>
      </c>
      <c r="I873" s="7" t="str">
        <f aca="false">UPPER(TRIM(Raw_Nigeria!G873))</f>
        <v>PCV2</v>
      </c>
      <c r="J873" s="7" t="str">
        <f aca="false">Raw_Nigeria!H873</f>
        <v>Record</v>
      </c>
      <c r="K873" s="7" t="str">
        <f aca="false">Raw_Nigeria!L873</f>
        <v>12-23 m</v>
      </c>
      <c r="L873" s="7" t="str">
        <f aca="false">IF(Raw_Nigeria!K873="","n/a",Raw_Nigeria!K873)</f>
        <v>0-23 m</v>
      </c>
      <c r="M873" s="7" t="n">
        <f aca="false">IF(Raw_Nigeria!I873="","",Raw_Nigeria!I873)</f>
        <v>56</v>
      </c>
      <c r="N873" s="7" t="n">
        <f aca="false">Raw_Nigeria!M873</f>
        <v>50.6</v>
      </c>
      <c r="O873" s="7" t="n">
        <f aca="false">IF(Raw_Nigeria!N873="","",Raw_Nigeria!N873)</f>
        <v>3163</v>
      </c>
      <c r="P873" s="7" t="str">
        <f aca="false">IF(K873="CBAW","Women of child-bearing age","Children")</f>
        <v>Children</v>
      </c>
      <c r="Q873" s="7" t="n">
        <f aca="false">IF(J873="NOT USED",1,0)</f>
        <v>0</v>
      </c>
      <c r="R873" s="7" t="n">
        <f aca="false">IF(AND(P873="Children",Q873=0),1,0)</f>
        <v>1</v>
      </c>
      <c r="S873" s="7" t="n">
        <f aca="false">IF(AND(R873=1,J873="Record or Recall",K873="12-23 m"),1,0)</f>
        <v>0</v>
      </c>
      <c r="T873" s="7" t="n">
        <f aca="false">IF(OR(I873="BCG",I873="DTP1",I873="DTP3",I873="POL3",I873="MCV1",I873="FULL"),1,0)</f>
        <v>0</v>
      </c>
      <c r="U873" s="7" t="n">
        <f aca="false">IF(OR(C873="DHS",C873="MICS"),1,0)</f>
        <v>1</v>
      </c>
      <c r="V873" s="7" t="n">
        <f aca="false">IF(O873="",1,0)</f>
        <v>0</v>
      </c>
      <c r="W873" s="7" t="n">
        <f aca="false">IF(M873="",1,0)</f>
        <v>0</v>
      </c>
      <c r="X873" s="7" t="n">
        <f aca="false">COUNTIFS($B$2:$B$1141,B873,$H$2:$H$1141,H873,$I$2:$I$1141,I873,$J$2:$J$1141,J873,$K$2:$K$1141,K873,$L$2:$L$1141,L873)</f>
        <v>1</v>
      </c>
    </row>
    <row r="874" customFormat="false" ht="15" hidden="false" customHeight="false" outlineLevel="0" collapsed="false">
      <c r="A874" s="7" t="n">
        <f aca="false">ROW()-1</f>
        <v>873</v>
      </c>
      <c r="B874" s="7" t="str">
        <f aca="false">IF(Raw_Nigeria!B874="",TRIM(Raw_Nigeria!C874),TRIM(Raw_Nigeria!B874))</f>
        <v>Nigeria Multiple Indicator Cluster Survey 2021</v>
      </c>
      <c r="C874" s="7" t="str">
        <f aca="false">IF(ISNUMBER(SEARCH("Demographic and Health",B874)),"DHS",IF(OR(ISNUMBER(SEARCH("Multiple Indicator Cluster",B874)),ISNUMBER(SEARCH("MICS",B874))),"MICS",IF(ISNUMBER(SEARCH("Immunization Coverage Survey",B874)),"Coverage survey",IF(ISNUMBER(SEARCH("Nutrition",B874)),"Nutrition survey","Other"))))</f>
        <v>MICS</v>
      </c>
      <c r="D874" s="7" t="n">
        <f aca="false">VALUE(LEFT(Raw_Nigeria!D874,4))</f>
        <v>2021</v>
      </c>
      <c r="E874" s="7" t="n">
        <f aca="false">IF(VALUE(RIGHT(Raw_Nigeria!D874,2))&gt;12,"",VALUE(RIGHT(Raw_Nigeria!D874,2)))</f>
        <v>9</v>
      </c>
      <c r="F874" s="7" t="n">
        <f aca="false">VALUE(LEFT(Raw_Nigeria!E874,4))</f>
        <v>2021</v>
      </c>
      <c r="G874" s="7" t="n">
        <f aca="false">IF(VALUE(RIGHT(Raw_Nigeria!E874,2))&gt;12,"",VALUE(RIGHT(Raw_Nigeria!E874,2)))</f>
        <v>12</v>
      </c>
      <c r="H874" s="7" t="n">
        <f aca="false">Raw_Nigeria!F874</f>
        <v>2020</v>
      </c>
      <c r="I874" s="7" t="str">
        <f aca="false">UPPER(TRIM(Raw_Nigeria!G874))</f>
        <v>PCV2</v>
      </c>
      <c r="J874" s="7" t="str">
        <f aca="false">Raw_Nigeria!H874</f>
        <v>Record or Recall</v>
      </c>
      <c r="K874" s="7" t="str">
        <f aca="false">Raw_Nigeria!L874</f>
        <v>12-23 m</v>
      </c>
      <c r="L874" s="7" t="str">
        <f aca="false">IF(Raw_Nigeria!K874="","n/a",Raw_Nigeria!K874)</f>
        <v>0-23 m</v>
      </c>
      <c r="M874" s="7" t="n">
        <f aca="false">IF(Raw_Nigeria!I874="","",Raw_Nigeria!I874)</f>
        <v>56</v>
      </c>
      <c r="N874" s="7" t="n">
        <f aca="false">Raw_Nigeria!M874</f>
        <v>62.6</v>
      </c>
      <c r="O874" s="7" t="n">
        <f aca="false">IF(Raw_Nigeria!N874="","",Raw_Nigeria!N874)</f>
        <v>5652</v>
      </c>
      <c r="P874" s="7" t="str">
        <f aca="false">IF(K874="CBAW","Women of child-bearing age","Children")</f>
        <v>Children</v>
      </c>
      <c r="Q874" s="7" t="n">
        <f aca="false">IF(J874="NOT USED",1,0)</f>
        <v>0</v>
      </c>
      <c r="R874" s="7" t="n">
        <f aca="false">IF(AND(P874="Children",Q874=0),1,0)</f>
        <v>1</v>
      </c>
      <c r="S874" s="7" t="n">
        <f aca="false">IF(AND(R874=1,J874="Record or Recall",K874="12-23 m"),1,0)</f>
        <v>1</v>
      </c>
      <c r="T874" s="7" t="n">
        <f aca="false">IF(OR(I874="BCG",I874="DTP1",I874="DTP3",I874="POL3",I874="MCV1",I874="FULL"),1,0)</f>
        <v>0</v>
      </c>
      <c r="U874" s="7" t="n">
        <f aca="false">IF(OR(C874="DHS",C874="MICS"),1,0)</f>
        <v>1</v>
      </c>
      <c r="V874" s="7" t="n">
        <f aca="false">IF(O874="",1,0)</f>
        <v>0</v>
      </c>
      <c r="W874" s="7" t="n">
        <f aca="false">IF(M874="",1,0)</f>
        <v>0</v>
      </c>
      <c r="X874" s="7" t="n">
        <f aca="false">COUNTIFS($B$2:$B$1141,B874,$H$2:$H$1141,H874,$I$2:$I$1141,I874,$J$2:$J$1141,J874,$K$2:$K$1141,K874,$L$2:$L$1141,L874)</f>
        <v>1</v>
      </c>
    </row>
    <row r="875" customFormat="false" ht="15" hidden="false" customHeight="false" outlineLevel="0" collapsed="false">
      <c r="A875" s="7" t="n">
        <f aca="false">ROW()-1</f>
        <v>874</v>
      </c>
      <c r="B875" s="7" t="str">
        <f aca="false">IF(Raw_Nigeria!B875="",TRIM(Raw_Nigeria!C875),TRIM(Raw_Nigeria!B875))</f>
        <v>Nigeria Multiple Indicator Cluster Survey 2021</v>
      </c>
      <c r="C875" s="7" t="str">
        <f aca="false">IF(ISNUMBER(SEARCH("Demographic and Health",B875)),"DHS",IF(OR(ISNUMBER(SEARCH("Multiple Indicator Cluster",B875)),ISNUMBER(SEARCH("MICS",B875))),"MICS",IF(ISNUMBER(SEARCH("Immunization Coverage Survey",B875)),"Coverage survey",IF(ISNUMBER(SEARCH("Nutrition",B875)),"Nutrition survey","Other"))))</f>
        <v>MICS</v>
      </c>
      <c r="D875" s="7" t="n">
        <f aca="false">VALUE(LEFT(Raw_Nigeria!D875,4))</f>
        <v>2021</v>
      </c>
      <c r="E875" s="7" t="n">
        <f aca="false">IF(VALUE(RIGHT(Raw_Nigeria!D875,2))&gt;12,"",VALUE(RIGHT(Raw_Nigeria!D875,2)))</f>
        <v>9</v>
      </c>
      <c r="F875" s="7" t="n">
        <f aca="false">VALUE(LEFT(Raw_Nigeria!E875,4))</f>
        <v>2021</v>
      </c>
      <c r="G875" s="7" t="n">
        <f aca="false">IF(VALUE(RIGHT(Raw_Nigeria!E875,2))&gt;12,"",VALUE(RIGHT(Raw_Nigeria!E875,2)))</f>
        <v>12</v>
      </c>
      <c r="H875" s="7" t="n">
        <f aca="false">Raw_Nigeria!F875</f>
        <v>2020</v>
      </c>
      <c r="I875" s="7" t="str">
        <f aca="false">UPPER(TRIM(Raw_Nigeria!G875))</f>
        <v>PCVC</v>
      </c>
      <c r="J875" s="7" t="str">
        <f aca="false">Raw_Nigeria!H875</f>
        <v>Record or Recall&lt;12m</v>
      </c>
      <c r="K875" s="7" t="str">
        <f aca="false">Raw_Nigeria!L875</f>
        <v>12-23 m</v>
      </c>
      <c r="L875" s="7" t="str">
        <f aca="false">IF(Raw_Nigeria!K875="","n/a",Raw_Nigeria!K875)</f>
        <v>0-12 m</v>
      </c>
      <c r="M875" s="7" t="n">
        <f aca="false">IF(Raw_Nigeria!I875="","",Raw_Nigeria!I875)</f>
        <v>56</v>
      </c>
      <c r="N875" s="7" t="n">
        <f aca="false">Raw_Nigeria!M875</f>
        <v>52.8</v>
      </c>
      <c r="O875" s="7" t="str">
        <f aca="false">IF(Raw_Nigeria!N875="","",Raw_Nigeria!N875)</f>
        <v/>
      </c>
      <c r="P875" s="7" t="str">
        <f aca="false">IF(K875="CBAW","Women of child-bearing age","Children")</f>
        <v>Children</v>
      </c>
      <c r="Q875" s="7" t="n">
        <f aca="false">IF(J875="NOT USED",1,0)</f>
        <v>0</v>
      </c>
      <c r="R875" s="7" t="n">
        <f aca="false">IF(AND(P875="Children",Q875=0),1,0)</f>
        <v>1</v>
      </c>
      <c r="S875" s="7" t="n">
        <f aca="false">IF(AND(R875=1,J875="Record or Recall",K875="12-23 m"),1,0)</f>
        <v>0</v>
      </c>
      <c r="T875" s="7" t="n">
        <f aca="false">IF(OR(I875="BCG",I875="DTP1",I875="DTP3",I875="POL3",I875="MCV1",I875="FULL"),1,0)</f>
        <v>0</v>
      </c>
      <c r="U875" s="7" t="n">
        <f aca="false">IF(OR(C875="DHS",C875="MICS"),1,0)</f>
        <v>1</v>
      </c>
      <c r="V875" s="7" t="n">
        <f aca="false">IF(O875="",1,0)</f>
        <v>1</v>
      </c>
      <c r="W875" s="7" t="n">
        <f aca="false">IF(M875="",1,0)</f>
        <v>0</v>
      </c>
      <c r="X875" s="7" t="n">
        <f aca="false">COUNTIFS($B$2:$B$1141,B875,$H$2:$H$1141,H875,$I$2:$I$1141,I875,$J$2:$J$1141,J875,$K$2:$K$1141,K875,$L$2:$L$1141,L875)</f>
        <v>1</v>
      </c>
    </row>
    <row r="876" customFormat="false" ht="15" hidden="false" customHeight="false" outlineLevel="0" collapsed="false">
      <c r="A876" s="7" t="n">
        <f aca="false">ROW()-1</f>
        <v>875</v>
      </c>
      <c r="B876" s="7" t="str">
        <f aca="false">IF(Raw_Nigeria!B876="",TRIM(Raw_Nigeria!C876),TRIM(Raw_Nigeria!B876))</f>
        <v>Nigeria Multiple Indicator Cluster Survey 2021</v>
      </c>
      <c r="C876" s="7" t="str">
        <f aca="false">IF(ISNUMBER(SEARCH("Demographic and Health",B876)),"DHS",IF(OR(ISNUMBER(SEARCH("Multiple Indicator Cluster",B876)),ISNUMBER(SEARCH("MICS",B876))),"MICS",IF(ISNUMBER(SEARCH("Immunization Coverage Survey",B876)),"Coverage survey",IF(ISNUMBER(SEARCH("Nutrition",B876)),"Nutrition survey","Other"))))</f>
        <v>MICS</v>
      </c>
      <c r="D876" s="7" t="n">
        <f aca="false">VALUE(LEFT(Raw_Nigeria!D876,4))</f>
        <v>2021</v>
      </c>
      <c r="E876" s="7" t="n">
        <f aca="false">IF(VALUE(RIGHT(Raw_Nigeria!D876,2))&gt;12,"",VALUE(RIGHT(Raw_Nigeria!D876,2)))</f>
        <v>9</v>
      </c>
      <c r="F876" s="7" t="n">
        <f aca="false">VALUE(LEFT(Raw_Nigeria!E876,4))</f>
        <v>2021</v>
      </c>
      <c r="G876" s="7" t="n">
        <f aca="false">IF(VALUE(RIGHT(Raw_Nigeria!E876,2))&gt;12,"",VALUE(RIGHT(Raw_Nigeria!E876,2)))</f>
        <v>12</v>
      </c>
      <c r="H876" s="7" t="n">
        <f aca="false">Raw_Nigeria!F876</f>
        <v>2020</v>
      </c>
      <c r="I876" s="7" t="str">
        <f aca="false">UPPER(TRIM(Raw_Nigeria!G876))</f>
        <v>PCVC</v>
      </c>
      <c r="J876" s="7" t="str">
        <f aca="false">Raw_Nigeria!H876</f>
        <v>Record</v>
      </c>
      <c r="K876" s="7" t="str">
        <f aca="false">Raw_Nigeria!L876</f>
        <v>12-23 m</v>
      </c>
      <c r="L876" s="7" t="str">
        <f aca="false">IF(Raw_Nigeria!K876="","n/a",Raw_Nigeria!K876)</f>
        <v>0-23 m</v>
      </c>
      <c r="M876" s="7" t="n">
        <f aca="false">IF(Raw_Nigeria!I876="","",Raw_Nigeria!I876)</f>
        <v>56</v>
      </c>
      <c r="N876" s="7" t="n">
        <f aca="false">Raw_Nigeria!M876</f>
        <v>47.4</v>
      </c>
      <c r="O876" s="7" t="n">
        <f aca="false">IF(Raw_Nigeria!N876="","",Raw_Nigeria!N876)</f>
        <v>3163</v>
      </c>
      <c r="P876" s="7" t="str">
        <f aca="false">IF(K876="CBAW","Women of child-bearing age","Children")</f>
        <v>Children</v>
      </c>
      <c r="Q876" s="7" t="n">
        <f aca="false">IF(J876="NOT USED",1,0)</f>
        <v>0</v>
      </c>
      <c r="R876" s="7" t="n">
        <f aca="false">IF(AND(P876="Children",Q876=0),1,0)</f>
        <v>1</v>
      </c>
      <c r="S876" s="7" t="n">
        <f aca="false">IF(AND(R876=1,J876="Record or Recall",K876="12-23 m"),1,0)</f>
        <v>0</v>
      </c>
      <c r="T876" s="7" t="n">
        <f aca="false">IF(OR(I876="BCG",I876="DTP1",I876="DTP3",I876="POL3",I876="MCV1",I876="FULL"),1,0)</f>
        <v>0</v>
      </c>
      <c r="U876" s="7" t="n">
        <f aca="false">IF(OR(C876="DHS",C876="MICS"),1,0)</f>
        <v>1</v>
      </c>
      <c r="V876" s="7" t="n">
        <f aca="false">IF(O876="",1,0)</f>
        <v>0</v>
      </c>
      <c r="W876" s="7" t="n">
        <f aca="false">IF(M876="",1,0)</f>
        <v>0</v>
      </c>
      <c r="X876" s="7" t="n">
        <f aca="false">COUNTIFS($B$2:$B$1141,B876,$H$2:$H$1141,H876,$I$2:$I$1141,I876,$J$2:$J$1141,J876,$K$2:$K$1141,K876,$L$2:$L$1141,L876)</f>
        <v>1</v>
      </c>
    </row>
    <row r="877" customFormat="false" ht="15" hidden="false" customHeight="false" outlineLevel="0" collapsed="false">
      <c r="A877" s="7" t="n">
        <f aca="false">ROW()-1</f>
        <v>876</v>
      </c>
      <c r="B877" s="7" t="str">
        <f aca="false">IF(Raw_Nigeria!B877="",TRIM(Raw_Nigeria!C877),TRIM(Raw_Nigeria!B877))</f>
        <v>Nigeria Multiple Indicator Cluster Survey 2021</v>
      </c>
      <c r="C877" s="7" t="str">
        <f aca="false">IF(ISNUMBER(SEARCH("Demographic and Health",B877)),"DHS",IF(OR(ISNUMBER(SEARCH("Multiple Indicator Cluster",B877)),ISNUMBER(SEARCH("MICS",B877))),"MICS",IF(ISNUMBER(SEARCH("Immunization Coverage Survey",B877)),"Coverage survey",IF(ISNUMBER(SEARCH("Nutrition",B877)),"Nutrition survey","Other"))))</f>
        <v>MICS</v>
      </c>
      <c r="D877" s="7" t="n">
        <f aca="false">VALUE(LEFT(Raw_Nigeria!D877,4))</f>
        <v>2021</v>
      </c>
      <c r="E877" s="7" t="n">
        <f aca="false">IF(VALUE(RIGHT(Raw_Nigeria!D877,2))&gt;12,"",VALUE(RIGHT(Raw_Nigeria!D877,2)))</f>
        <v>9</v>
      </c>
      <c r="F877" s="7" t="n">
        <f aca="false">VALUE(LEFT(Raw_Nigeria!E877,4))</f>
        <v>2021</v>
      </c>
      <c r="G877" s="7" t="n">
        <f aca="false">IF(VALUE(RIGHT(Raw_Nigeria!E877,2))&gt;12,"",VALUE(RIGHT(Raw_Nigeria!E877,2)))</f>
        <v>12</v>
      </c>
      <c r="H877" s="7" t="n">
        <f aca="false">Raw_Nigeria!F877</f>
        <v>2020</v>
      </c>
      <c r="I877" s="7" t="str">
        <f aca="false">UPPER(TRIM(Raw_Nigeria!G877))</f>
        <v>PCVC</v>
      </c>
      <c r="J877" s="7" t="str">
        <f aca="false">Raw_Nigeria!H877</f>
        <v>Record or Recall</v>
      </c>
      <c r="K877" s="7" t="str">
        <f aca="false">Raw_Nigeria!L877</f>
        <v>12-23 m</v>
      </c>
      <c r="L877" s="7" t="str">
        <f aca="false">IF(Raw_Nigeria!K877="","n/a",Raw_Nigeria!K877)</f>
        <v>0-23 m</v>
      </c>
      <c r="M877" s="7" t="n">
        <f aca="false">IF(Raw_Nigeria!I877="","",Raw_Nigeria!I877)</f>
        <v>56</v>
      </c>
      <c r="N877" s="7" t="n">
        <f aca="false">Raw_Nigeria!M877</f>
        <v>54.7</v>
      </c>
      <c r="O877" s="7" t="n">
        <f aca="false">IF(Raw_Nigeria!N877="","",Raw_Nigeria!N877)</f>
        <v>5652</v>
      </c>
      <c r="P877" s="7" t="str">
        <f aca="false">IF(K877="CBAW","Women of child-bearing age","Children")</f>
        <v>Children</v>
      </c>
      <c r="Q877" s="7" t="n">
        <f aca="false">IF(J877="NOT USED",1,0)</f>
        <v>0</v>
      </c>
      <c r="R877" s="7" t="n">
        <f aca="false">IF(AND(P877="Children",Q877=0),1,0)</f>
        <v>1</v>
      </c>
      <c r="S877" s="7" t="n">
        <f aca="false">IF(AND(R877=1,J877="Record or Recall",K877="12-23 m"),1,0)</f>
        <v>1</v>
      </c>
      <c r="T877" s="7" t="n">
        <f aca="false">IF(OR(I877="BCG",I877="DTP1",I877="DTP3",I877="POL3",I877="MCV1",I877="FULL"),1,0)</f>
        <v>0</v>
      </c>
      <c r="U877" s="7" t="n">
        <f aca="false">IF(OR(C877="DHS",C877="MICS"),1,0)</f>
        <v>1</v>
      </c>
      <c r="V877" s="7" t="n">
        <f aca="false">IF(O877="",1,0)</f>
        <v>0</v>
      </c>
      <c r="W877" s="7" t="n">
        <f aca="false">IF(M877="",1,0)</f>
        <v>0</v>
      </c>
      <c r="X877" s="7" t="n">
        <f aca="false">COUNTIFS($B$2:$B$1141,B877,$H$2:$H$1141,H877,$I$2:$I$1141,I877,$J$2:$J$1141,J877,$K$2:$K$1141,K877,$L$2:$L$1141,L877)</f>
        <v>1</v>
      </c>
    </row>
    <row r="878" customFormat="false" ht="15" hidden="false" customHeight="false" outlineLevel="0" collapsed="false">
      <c r="A878" s="7" t="n">
        <f aca="false">ROW()-1</f>
        <v>877</v>
      </c>
      <c r="B878" s="7" t="str">
        <f aca="false">IF(Raw_Nigeria!B878="",TRIM(Raw_Nigeria!C878),TRIM(Raw_Nigeria!B878))</f>
        <v>Nigeria Multiple Indicator Cluster Survey 2021</v>
      </c>
      <c r="C878" s="7" t="str">
        <f aca="false">IF(ISNUMBER(SEARCH("Demographic and Health",B878)),"DHS",IF(OR(ISNUMBER(SEARCH("Multiple Indicator Cluster",B878)),ISNUMBER(SEARCH("MICS",B878))),"MICS",IF(ISNUMBER(SEARCH("Immunization Coverage Survey",B878)),"Coverage survey",IF(ISNUMBER(SEARCH("Nutrition",B878)),"Nutrition survey","Other"))))</f>
        <v>MICS</v>
      </c>
      <c r="D878" s="7" t="n">
        <f aca="false">VALUE(LEFT(Raw_Nigeria!D878,4))</f>
        <v>2021</v>
      </c>
      <c r="E878" s="7" t="n">
        <f aca="false">IF(VALUE(RIGHT(Raw_Nigeria!D878,2))&gt;12,"",VALUE(RIGHT(Raw_Nigeria!D878,2)))</f>
        <v>9</v>
      </c>
      <c r="F878" s="7" t="n">
        <f aca="false">VALUE(LEFT(Raw_Nigeria!E878,4))</f>
        <v>2021</v>
      </c>
      <c r="G878" s="7" t="n">
        <f aca="false">IF(VALUE(RIGHT(Raw_Nigeria!E878,2))&gt;12,"",VALUE(RIGHT(Raw_Nigeria!E878,2)))</f>
        <v>12</v>
      </c>
      <c r="H878" s="7" t="n">
        <f aca="false">Raw_Nigeria!F878</f>
        <v>2020</v>
      </c>
      <c r="I878" s="7" t="str">
        <f aca="false">UPPER(TRIM(Raw_Nigeria!G878))</f>
        <v>PCVC</v>
      </c>
      <c r="J878" s="7" t="str">
        <f aca="false">Raw_Nigeria!H878</f>
        <v>Recall</v>
      </c>
      <c r="K878" s="7" t="str">
        <f aca="false">Raw_Nigeria!L878</f>
        <v>12-23 m</v>
      </c>
      <c r="L878" s="7" t="str">
        <f aca="false">IF(Raw_Nigeria!K878="","n/a",Raw_Nigeria!K878)</f>
        <v>0-23 m</v>
      </c>
      <c r="M878" s="7" t="n">
        <f aca="false">IF(Raw_Nigeria!I878="","",Raw_Nigeria!I878)</f>
        <v>56</v>
      </c>
      <c r="N878" s="7" t="n">
        <f aca="false">Raw_Nigeria!M878</f>
        <v>7.3</v>
      </c>
      <c r="O878" s="7" t="n">
        <f aca="false">IF(Raw_Nigeria!N878="","",Raw_Nigeria!N878)</f>
        <v>2489</v>
      </c>
      <c r="P878" s="7" t="str">
        <f aca="false">IF(K878="CBAW","Women of child-bearing age","Children")</f>
        <v>Children</v>
      </c>
      <c r="Q878" s="7" t="n">
        <f aca="false">IF(J878="NOT USED",1,0)</f>
        <v>0</v>
      </c>
      <c r="R878" s="7" t="n">
        <f aca="false">IF(AND(P878="Children",Q878=0),1,0)</f>
        <v>1</v>
      </c>
      <c r="S878" s="7" t="n">
        <f aca="false">IF(AND(R878=1,J878="Record or Recall",K878="12-23 m"),1,0)</f>
        <v>0</v>
      </c>
      <c r="T878" s="7" t="n">
        <f aca="false">IF(OR(I878="BCG",I878="DTP1",I878="DTP3",I878="POL3",I878="MCV1",I878="FULL"),1,0)</f>
        <v>0</v>
      </c>
      <c r="U878" s="7" t="n">
        <f aca="false">IF(OR(C878="DHS",C878="MICS"),1,0)</f>
        <v>1</v>
      </c>
      <c r="V878" s="7" t="n">
        <f aca="false">IF(O878="",1,0)</f>
        <v>0</v>
      </c>
      <c r="W878" s="7" t="n">
        <f aca="false">IF(M878="",1,0)</f>
        <v>0</v>
      </c>
      <c r="X878" s="7" t="n">
        <f aca="false">COUNTIFS($B$2:$B$1141,B878,$H$2:$H$1141,H878,$I$2:$I$1141,I878,$J$2:$J$1141,J878,$K$2:$K$1141,K878,$L$2:$L$1141,L878)</f>
        <v>1</v>
      </c>
    </row>
    <row r="879" customFormat="false" ht="15" hidden="false" customHeight="false" outlineLevel="0" collapsed="false">
      <c r="A879" s="7" t="n">
        <f aca="false">ROW()-1</f>
        <v>878</v>
      </c>
      <c r="B879" s="7" t="str">
        <f aca="false">IF(Raw_Nigeria!B879="",TRIM(Raw_Nigeria!C879),TRIM(Raw_Nigeria!B879))</f>
        <v>Nigeria Multiple Indicator Cluster Survey 2021</v>
      </c>
      <c r="C879" s="7" t="str">
        <f aca="false">IF(ISNUMBER(SEARCH("Demographic and Health",B879)),"DHS",IF(OR(ISNUMBER(SEARCH("Multiple Indicator Cluster",B879)),ISNUMBER(SEARCH("MICS",B879))),"MICS",IF(ISNUMBER(SEARCH("Immunization Coverage Survey",B879)),"Coverage survey",IF(ISNUMBER(SEARCH("Nutrition",B879)),"Nutrition survey","Other"))))</f>
        <v>MICS</v>
      </c>
      <c r="D879" s="7" t="n">
        <f aca="false">VALUE(LEFT(Raw_Nigeria!D879,4))</f>
        <v>2021</v>
      </c>
      <c r="E879" s="7" t="n">
        <f aca="false">IF(VALUE(RIGHT(Raw_Nigeria!D879,2))&gt;12,"",VALUE(RIGHT(Raw_Nigeria!D879,2)))</f>
        <v>9</v>
      </c>
      <c r="F879" s="7" t="n">
        <f aca="false">VALUE(LEFT(Raw_Nigeria!E879,4))</f>
        <v>2021</v>
      </c>
      <c r="G879" s="7" t="n">
        <f aca="false">IF(VALUE(RIGHT(Raw_Nigeria!E879,2))&gt;12,"",VALUE(RIGHT(Raw_Nigeria!E879,2)))</f>
        <v>12</v>
      </c>
      <c r="H879" s="7" t="n">
        <f aca="false">Raw_Nigeria!F879</f>
        <v>2020</v>
      </c>
      <c r="I879" s="7" t="str">
        <f aca="false">UPPER(TRIM(Raw_Nigeria!G879))</f>
        <v>POL0</v>
      </c>
      <c r="J879" s="7" t="str">
        <f aca="false">Raw_Nigeria!H879</f>
        <v>Record or Recall&lt;12m</v>
      </c>
      <c r="K879" s="7" t="str">
        <f aca="false">Raw_Nigeria!L879</f>
        <v>12-23 m</v>
      </c>
      <c r="L879" s="7" t="str">
        <f aca="false">IF(Raw_Nigeria!K879="","n/a",Raw_Nigeria!K879)</f>
        <v>0-12 m</v>
      </c>
      <c r="M879" s="7" t="n">
        <f aca="false">IF(Raw_Nigeria!I879="","",Raw_Nigeria!I879)</f>
        <v>56</v>
      </c>
      <c r="N879" s="7" t="n">
        <f aca="false">Raw_Nigeria!M879</f>
        <v>69.3</v>
      </c>
      <c r="O879" s="7" t="str">
        <f aca="false">IF(Raw_Nigeria!N879="","",Raw_Nigeria!N879)</f>
        <v/>
      </c>
      <c r="P879" s="7" t="str">
        <f aca="false">IF(K879="CBAW","Women of child-bearing age","Children")</f>
        <v>Children</v>
      </c>
      <c r="Q879" s="7" t="n">
        <f aca="false">IF(J879="NOT USED",1,0)</f>
        <v>0</v>
      </c>
      <c r="R879" s="7" t="n">
        <f aca="false">IF(AND(P879="Children",Q879=0),1,0)</f>
        <v>1</v>
      </c>
      <c r="S879" s="7" t="n">
        <f aca="false">IF(AND(R879=1,J879="Record or Recall",K879="12-23 m"),1,0)</f>
        <v>0</v>
      </c>
      <c r="T879" s="7" t="n">
        <f aca="false">IF(OR(I879="BCG",I879="DTP1",I879="DTP3",I879="POL3",I879="MCV1",I879="FULL"),1,0)</f>
        <v>0</v>
      </c>
      <c r="U879" s="7" t="n">
        <f aca="false">IF(OR(C879="DHS",C879="MICS"),1,0)</f>
        <v>1</v>
      </c>
      <c r="V879" s="7" t="n">
        <f aca="false">IF(O879="",1,0)</f>
        <v>1</v>
      </c>
      <c r="W879" s="7" t="n">
        <f aca="false">IF(M879="",1,0)</f>
        <v>0</v>
      </c>
      <c r="X879" s="7" t="n">
        <f aca="false">COUNTIFS($B$2:$B$1141,B879,$H$2:$H$1141,H879,$I$2:$I$1141,I879,$J$2:$J$1141,J879,$K$2:$K$1141,K879,$L$2:$L$1141,L879)</f>
        <v>1</v>
      </c>
    </row>
    <row r="880" customFormat="false" ht="15" hidden="false" customHeight="false" outlineLevel="0" collapsed="false">
      <c r="A880" s="7" t="n">
        <f aca="false">ROW()-1</f>
        <v>879</v>
      </c>
      <c r="B880" s="7" t="str">
        <f aca="false">IF(Raw_Nigeria!B880="",TRIM(Raw_Nigeria!C880),TRIM(Raw_Nigeria!B880))</f>
        <v>Nigeria Multiple Indicator Cluster Survey 2021</v>
      </c>
      <c r="C880" s="7" t="str">
        <f aca="false">IF(ISNUMBER(SEARCH("Demographic and Health",B880)),"DHS",IF(OR(ISNUMBER(SEARCH("Multiple Indicator Cluster",B880)),ISNUMBER(SEARCH("MICS",B880))),"MICS",IF(ISNUMBER(SEARCH("Immunization Coverage Survey",B880)),"Coverage survey",IF(ISNUMBER(SEARCH("Nutrition",B880)),"Nutrition survey","Other"))))</f>
        <v>MICS</v>
      </c>
      <c r="D880" s="7" t="n">
        <f aca="false">VALUE(LEFT(Raw_Nigeria!D880,4))</f>
        <v>2021</v>
      </c>
      <c r="E880" s="7" t="n">
        <f aca="false">IF(VALUE(RIGHT(Raw_Nigeria!D880,2))&gt;12,"",VALUE(RIGHT(Raw_Nigeria!D880,2)))</f>
        <v>9</v>
      </c>
      <c r="F880" s="7" t="n">
        <f aca="false">VALUE(LEFT(Raw_Nigeria!E880,4))</f>
        <v>2021</v>
      </c>
      <c r="G880" s="7" t="n">
        <f aca="false">IF(VALUE(RIGHT(Raw_Nigeria!E880,2))&gt;12,"",VALUE(RIGHT(Raw_Nigeria!E880,2)))</f>
        <v>12</v>
      </c>
      <c r="H880" s="7" t="n">
        <f aca="false">Raw_Nigeria!F880</f>
        <v>2020</v>
      </c>
      <c r="I880" s="7" t="str">
        <f aca="false">UPPER(TRIM(Raw_Nigeria!G880))</f>
        <v>POL0</v>
      </c>
      <c r="J880" s="7" t="str">
        <f aca="false">Raw_Nigeria!H880</f>
        <v>Record</v>
      </c>
      <c r="K880" s="7" t="str">
        <f aca="false">Raw_Nigeria!L880</f>
        <v>12-23 m</v>
      </c>
      <c r="L880" s="7" t="str">
        <f aca="false">IF(Raw_Nigeria!K880="","n/a",Raw_Nigeria!K880)</f>
        <v>0-23 m</v>
      </c>
      <c r="M880" s="7" t="n">
        <f aca="false">IF(Raw_Nigeria!I880="","",Raw_Nigeria!I880)</f>
        <v>56</v>
      </c>
      <c r="N880" s="7" t="n">
        <f aca="false">Raw_Nigeria!M880</f>
        <v>52.3</v>
      </c>
      <c r="O880" s="7" t="n">
        <f aca="false">IF(Raw_Nigeria!N880="","",Raw_Nigeria!N880)</f>
        <v>3163</v>
      </c>
      <c r="P880" s="7" t="str">
        <f aca="false">IF(K880="CBAW","Women of child-bearing age","Children")</f>
        <v>Children</v>
      </c>
      <c r="Q880" s="7" t="n">
        <f aca="false">IF(J880="NOT USED",1,0)</f>
        <v>0</v>
      </c>
      <c r="R880" s="7" t="n">
        <f aca="false">IF(AND(P880="Children",Q880=0),1,0)</f>
        <v>1</v>
      </c>
      <c r="S880" s="7" t="n">
        <f aca="false">IF(AND(R880=1,J880="Record or Recall",K880="12-23 m"),1,0)</f>
        <v>0</v>
      </c>
      <c r="T880" s="7" t="n">
        <f aca="false">IF(OR(I880="BCG",I880="DTP1",I880="DTP3",I880="POL3",I880="MCV1",I880="FULL"),1,0)</f>
        <v>0</v>
      </c>
      <c r="U880" s="7" t="n">
        <f aca="false">IF(OR(C880="DHS",C880="MICS"),1,0)</f>
        <v>1</v>
      </c>
      <c r="V880" s="7" t="n">
        <f aca="false">IF(O880="",1,0)</f>
        <v>0</v>
      </c>
      <c r="W880" s="7" t="n">
        <f aca="false">IF(M880="",1,0)</f>
        <v>0</v>
      </c>
      <c r="X880" s="7" t="n">
        <f aca="false">COUNTIFS($B$2:$B$1141,B880,$H$2:$H$1141,H880,$I$2:$I$1141,I880,$J$2:$J$1141,J880,$K$2:$K$1141,K880,$L$2:$L$1141,L880)</f>
        <v>1</v>
      </c>
    </row>
    <row r="881" customFormat="false" ht="15" hidden="false" customHeight="false" outlineLevel="0" collapsed="false">
      <c r="A881" s="7" t="n">
        <f aca="false">ROW()-1</f>
        <v>880</v>
      </c>
      <c r="B881" s="7" t="str">
        <f aca="false">IF(Raw_Nigeria!B881="",TRIM(Raw_Nigeria!C881),TRIM(Raw_Nigeria!B881))</f>
        <v>Nigeria Multiple Indicator Cluster Survey 2021</v>
      </c>
      <c r="C881" s="7" t="str">
        <f aca="false">IF(ISNUMBER(SEARCH("Demographic and Health",B881)),"DHS",IF(OR(ISNUMBER(SEARCH("Multiple Indicator Cluster",B881)),ISNUMBER(SEARCH("MICS",B881))),"MICS",IF(ISNUMBER(SEARCH("Immunization Coverage Survey",B881)),"Coverage survey",IF(ISNUMBER(SEARCH("Nutrition",B881)),"Nutrition survey","Other"))))</f>
        <v>MICS</v>
      </c>
      <c r="D881" s="7" t="n">
        <f aca="false">VALUE(LEFT(Raw_Nigeria!D881,4))</f>
        <v>2021</v>
      </c>
      <c r="E881" s="7" t="n">
        <f aca="false">IF(VALUE(RIGHT(Raw_Nigeria!D881,2))&gt;12,"",VALUE(RIGHT(Raw_Nigeria!D881,2)))</f>
        <v>9</v>
      </c>
      <c r="F881" s="7" t="n">
        <f aca="false">VALUE(LEFT(Raw_Nigeria!E881,4))</f>
        <v>2021</v>
      </c>
      <c r="G881" s="7" t="n">
        <f aca="false">IF(VALUE(RIGHT(Raw_Nigeria!E881,2))&gt;12,"",VALUE(RIGHT(Raw_Nigeria!E881,2)))</f>
        <v>12</v>
      </c>
      <c r="H881" s="7" t="n">
        <f aca="false">Raw_Nigeria!F881</f>
        <v>2020</v>
      </c>
      <c r="I881" s="7" t="str">
        <f aca="false">UPPER(TRIM(Raw_Nigeria!G881))</f>
        <v>POL0</v>
      </c>
      <c r="J881" s="7" t="str">
        <f aca="false">Raw_Nigeria!H881</f>
        <v>Record or Recall</v>
      </c>
      <c r="K881" s="7" t="str">
        <f aca="false">Raw_Nigeria!L881</f>
        <v>12-23 m</v>
      </c>
      <c r="L881" s="7" t="str">
        <f aca="false">IF(Raw_Nigeria!K881="","n/a",Raw_Nigeria!K881)</f>
        <v>0-23 m</v>
      </c>
      <c r="M881" s="7" t="n">
        <f aca="false">IF(Raw_Nigeria!I881="","",Raw_Nigeria!I881)</f>
        <v>56</v>
      </c>
      <c r="N881" s="7" t="n">
        <f aca="false">Raw_Nigeria!M881</f>
        <v>70.2</v>
      </c>
      <c r="O881" s="7" t="n">
        <f aca="false">IF(Raw_Nigeria!N881="","",Raw_Nigeria!N881)</f>
        <v>5652</v>
      </c>
      <c r="P881" s="7" t="str">
        <f aca="false">IF(K881="CBAW","Women of child-bearing age","Children")</f>
        <v>Children</v>
      </c>
      <c r="Q881" s="7" t="n">
        <f aca="false">IF(J881="NOT USED",1,0)</f>
        <v>0</v>
      </c>
      <c r="R881" s="7" t="n">
        <f aca="false">IF(AND(P881="Children",Q881=0),1,0)</f>
        <v>1</v>
      </c>
      <c r="S881" s="7" t="n">
        <f aca="false">IF(AND(R881=1,J881="Record or Recall",K881="12-23 m"),1,0)</f>
        <v>1</v>
      </c>
      <c r="T881" s="7" t="n">
        <f aca="false">IF(OR(I881="BCG",I881="DTP1",I881="DTP3",I881="POL3",I881="MCV1",I881="FULL"),1,0)</f>
        <v>0</v>
      </c>
      <c r="U881" s="7" t="n">
        <f aca="false">IF(OR(C881="DHS",C881="MICS"),1,0)</f>
        <v>1</v>
      </c>
      <c r="V881" s="7" t="n">
        <f aca="false">IF(O881="",1,0)</f>
        <v>0</v>
      </c>
      <c r="W881" s="7" t="n">
        <f aca="false">IF(M881="",1,0)</f>
        <v>0</v>
      </c>
      <c r="X881" s="7" t="n">
        <f aca="false">COUNTIFS($B$2:$B$1141,B881,$H$2:$H$1141,H881,$I$2:$I$1141,I881,$J$2:$J$1141,J881,$K$2:$K$1141,K881,$L$2:$L$1141,L881)</f>
        <v>1</v>
      </c>
    </row>
    <row r="882" customFormat="false" ht="15" hidden="false" customHeight="false" outlineLevel="0" collapsed="false">
      <c r="A882" s="7" t="n">
        <f aca="false">ROW()-1</f>
        <v>881</v>
      </c>
      <c r="B882" s="7" t="str">
        <f aca="false">IF(Raw_Nigeria!B882="",TRIM(Raw_Nigeria!C882),TRIM(Raw_Nigeria!B882))</f>
        <v>Nigeria Multiple Indicator Cluster Survey 2021</v>
      </c>
      <c r="C882" s="7" t="str">
        <f aca="false">IF(ISNUMBER(SEARCH("Demographic and Health",B882)),"DHS",IF(OR(ISNUMBER(SEARCH("Multiple Indicator Cluster",B882)),ISNUMBER(SEARCH("MICS",B882))),"MICS",IF(ISNUMBER(SEARCH("Immunization Coverage Survey",B882)),"Coverage survey",IF(ISNUMBER(SEARCH("Nutrition",B882)),"Nutrition survey","Other"))))</f>
        <v>MICS</v>
      </c>
      <c r="D882" s="7" t="n">
        <f aca="false">VALUE(LEFT(Raw_Nigeria!D882,4))</f>
        <v>2021</v>
      </c>
      <c r="E882" s="7" t="n">
        <f aca="false">IF(VALUE(RIGHT(Raw_Nigeria!D882,2))&gt;12,"",VALUE(RIGHT(Raw_Nigeria!D882,2)))</f>
        <v>9</v>
      </c>
      <c r="F882" s="7" t="n">
        <f aca="false">VALUE(LEFT(Raw_Nigeria!E882,4))</f>
        <v>2021</v>
      </c>
      <c r="G882" s="7" t="n">
        <f aca="false">IF(VALUE(RIGHT(Raw_Nigeria!E882,2))&gt;12,"",VALUE(RIGHT(Raw_Nigeria!E882,2)))</f>
        <v>12</v>
      </c>
      <c r="H882" s="7" t="n">
        <f aca="false">Raw_Nigeria!F882</f>
        <v>2020</v>
      </c>
      <c r="I882" s="7" t="str">
        <f aca="false">UPPER(TRIM(Raw_Nigeria!G882))</f>
        <v>POL0</v>
      </c>
      <c r="J882" s="7" t="str">
        <f aca="false">Raw_Nigeria!H882</f>
        <v>Recall</v>
      </c>
      <c r="K882" s="7" t="str">
        <f aca="false">Raw_Nigeria!L882</f>
        <v>12-23 m</v>
      </c>
      <c r="L882" s="7" t="str">
        <f aca="false">IF(Raw_Nigeria!K882="","n/a",Raw_Nigeria!K882)</f>
        <v>0-23 m</v>
      </c>
      <c r="M882" s="7" t="n">
        <f aca="false">IF(Raw_Nigeria!I882="","",Raw_Nigeria!I882)</f>
        <v>56</v>
      </c>
      <c r="N882" s="7" t="n">
        <f aca="false">Raw_Nigeria!M882</f>
        <v>17.9</v>
      </c>
      <c r="O882" s="7" t="n">
        <f aca="false">IF(Raw_Nigeria!N882="","",Raw_Nigeria!N882)</f>
        <v>2489</v>
      </c>
      <c r="P882" s="7" t="str">
        <f aca="false">IF(K882="CBAW","Women of child-bearing age","Children")</f>
        <v>Children</v>
      </c>
      <c r="Q882" s="7" t="n">
        <f aca="false">IF(J882="NOT USED",1,0)</f>
        <v>0</v>
      </c>
      <c r="R882" s="7" t="n">
        <f aca="false">IF(AND(P882="Children",Q882=0),1,0)</f>
        <v>1</v>
      </c>
      <c r="S882" s="7" t="n">
        <f aca="false">IF(AND(R882=1,J882="Record or Recall",K882="12-23 m"),1,0)</f>
        <v>0</v>
      </c>
      <c r="T882" s="7" t="n">
        <f aca="false">IF(OR(I882="BCG",I882="DTP1",I882="DTP3",I882="POL3",I882="MCV1",I882="FULL"),1,0)</f>
        <v>0</v>
      </c>
      <c r="U882" s="7" t="n">
        <f aca="false">IF(OR(C882="DHS",C882="MICS"),1,0)</f>
        <v>1</v>
      </c>
      <c r="V882" s="7" t="n">
        <f aca="false">IF(O882="",1,0)</f>
        <v>0</v>
      </c>
      <c r="W882" s="7" t="n">
        <f aca="false">IF(M882="",1,0)</f>
        <v>0</v>
      </c>
      <c r="X882" s="7" t="n">
        <f aca="false">COUNTIFS($B$2:$B$1141,B882,$H$2:$H$1141,H882,$I$2:$I$1141,I882,$J$2:$J$1141,J882,$K$2:$K$1141,K882,$L$2:$L$1141,L882)</f>
        <v>1</v>
      </c>
    </row>
    <row r="883" customFormat="false" ht="15" hidden="false" customHeight="false" outlineLevel="0" collapsed="false">
      <c r="A883" s="7" t="n">
        <f aca="false">ROW()-1</f>
        <v>882</v>
      </c>
      <c r="B883" s="7" t="str">
        <f aca="false">IF(Raw_Nigeria!B883="",TRIM(Raw_Nigeria!C883),TRIM(Raw_Nigeria!B883))</f>
        <v>Nigeria Multiple Indicator Cluster Survey 2021</v>
      </c>
      <c r="C883" s="7" t="str">
        <f aca="false">IF(ISNUMBER(SEARCH("Demographic and Health",B883)),"DHS",IF(OR(ISNUMBER(SEARCH("Multiple Indicator Cluster",B883)),ISNUMBER(SEARCH("MICS",B883))),"MICS",IF(ISNUMBER(SEARCH("Immunization Coverage Survey",B883)),"Coverage survey",IF(ISNUMBER(SEARCH("Nutrition",B883)),"Nutrition survey","Other"))))</f>
        <v>MICS</v>
      </c>
      <c r="D883" s="7" t="n">
        <f aca="false">VALUE(LEFT(Raw_Nigeria!D883,4))</f>
        <v>2021</v>
      </c>
      <c r="E883" s="7" t="n">
        <f aca="false">IF(VALUE(RIGHT(Raw_Nigeria!D883,2))&gt;12,"",VALUE(RIGHT(Raw_Nigeria!D883,2)))</f>
        <v>9</v>
      </c>
      <c r="F883" s="7" t="n">
        <f aca="false">VALUE(LEFT(Raw_Nigeria!E883,4))</f>
        <v>2021</v>
      </c>
      <c r="G883" s="7" t="n">
        <f aca="false">IF(VALUE(RIGHT(Raw_Nigeria!E883,2))&gt;12,"",VALUE(RIGHT(Raw_Nigeria!E883,2)))</f>
        <v>12</v>
      </c>
      <c r="H883" s="7" t="n">
        <f aca="false">Raw_Nigeria!F883</f>
        <v>2020</v>
      </c>
      <c r="I883" s="7" t="str">
        <f aca="false">UPPER(TRIM(Raw_Nigeria!G883))</f>
        <v>POL1</v>
      </c>
      <c r="J883" s="7" t="str">
        <f aca="false">Raw_Nigeria!H883</f>
        <v>Record or Recall&lt;12m</v>
      </c>
      <c r="K883" s="7" t="str">
        <f aca="false">Raw_Nigeria!L883</f>
        <v>12-23 m</v>
      </c>
      <c r="L883" s="7" t="str">
        <f aca="false">IF(Raw_Nigeria!K883="","n/a",Raw_Nigeria!K883)</f>
        <v>0-12 m</v>
      </c>
      <c r="M883" s="7" t="n">
        <f aca="false">IF(Raw_Nigeria!I883="","",Raw_Nigeria!I883)</f>
        <v>56</v>
      </c>
      <c r="N883" s="7" t="n">
        <f aca="false">Raw_Nigeria!M883</f>
        <v>75</v>
      </c>
      <c r="O883" s="7" t="str">
        <f aca="false">IF(Raw_Nigeria!N883="","",Raw_Nigeria!N883)</f>
        <v/>
      </c>
      <c r="P883" s="7" t="str">
        <f aca="false">IF(K883="CBAW","Women of child-bearing age","Children")</f>
        <v>Children</v>
      </c>
      <c r="Q883" s="7" t="n">
        <f aca="false">IF(J883="NOT USED",1,0)</f>
        <v>0</v>
      </c>
      <c r="R883" s="7" t="n">
        <f aca="false">IF(AND(P883="Children",Q883=0),1,0)</f>
        <v>1</v>
      </c>
      <c r="S883" s="7" t="n">
        <f aca="false">IF(AND(R883=1,J883="Record or Recall",K883="12-23 m"),1,0)</f>
        <v>0</v>
      </c>
      <c r="T883" s="7" t="n">
        <f aca="false">IF(OR(I883="BCG",I883="DTP1",I883="DTP3",I883="POL3",I883="MCV1",I883="FULL"),1,0)</f>
        <v>0</v>
      </c>
      <c r="U883" s="7" t="n">
        <f aca="false">IF(OR(C883="DHS",C883="MICS"),1,0)</f>
        <v>1</v>
      </c>
      <c r="V883" s="7" t="n">
        <f aca="false">IF(O883="",1,0)</f>
        <v>1</v>
      </c>
      <c r="W883" s="7" t="n">
        <f aca="false">IF(M883="",1,0)</f>
        <v>0</v>
      </c>
      <c r="X883" s="7" t="n">
        <f aca="false">COUNTIFS($B$2:$B$1141,B883,$H$2:$H$1141,H883,$I$2:$I$1141,I883,$J$2:$J$1141,J883,$K$2:$K$1141,K883,$L$2:$L$1141,L883)</f>
        <v>1</v>
      </c>
    </row>
    <row r="884" customFormat="false" ht="15" hidden="false" customHeight="false" outlineLevel="0" collapsed="false">
      <c r="A884" s="7" t="n">
        <f aca="false">ROW()-1</f>
        <v>883</v>
      </c>
      <c r="B884" s="7" t="str">
        <f aca="false">IF(Raw_Nigeria!B884="",TRIM(Raw_Nigeria!C884),TRIM(Raw_Nigeria!B884))</f>
        <v>Nigeria Multiple Indicator Cluster Survey 2021</v>
      </c>
      <c r="C884" s="7" t="str">
        <f aca="false">IF(ISNUMBER(SEARCH("Demographic and Health",B884)),"DHS",IF(OR(ISNUMBER(SEARCH("Multiple Indicator Cluster",B884)),ISNUMBER(SEARCH("MICS",B884))),"MICS",IF(ISNUMBER(SEARCH("Immunization Coverage Survey",B884)),"Coverage survey",IF(ISNUMBER(SEARCH("Nutrition",B884)),"Nutrition survey","Other"))))</f>
        <v>MICS</v>
      </c>
      <c r="D884" s="7" t="n">
        <f aca="false">VALUE(LEFT(Raw_Nigeria!D884,4))</f>
        <v>2021</v>
      </c>
      <c r="E884" s="7" t="n">
        <f aca="false">IF(VALUE(RIGHT(Raw_Nigeria!D884,2))&gt;12,"",VALUE(RIGHT(Raw_Nigeria!D884,2)))</f>
        <v>9</v>
      </c>
      <c r="F884" s="7" t="n">
        <f aca="false">VALUE(LEFT(Raw_Nigeria!E884,4))</f>
        <v>2021</v>
      </c>
      <c r="G884" s="7" t="n">
        <f aca="false">IF(VALUE(RIGHT(Raw_Nigeria!E884,2))&gt;12,"",VALUE(RIGHT(Raw_Nigeria!E884,2)))</f>
        <v>12</v>
      </c>
      <c r="H884" s="7" t="n">
        <f aca="false">Raw_Nigeria!F884</f>
        <v>2020</v>
      </c>
      <c r="I884" s="7" t="str">
        <f aca="false">UPPER(TRIM(Raw_Nigeria!G884))</f>
        <v>POL1</v>
      </c>
      <c r="J884" s="7" t="str">
        <f aca="false">Raw_Nigeria!H884</f>
        <v>Record</v>
      </c>
      <c r="K884" s="7" t="str">
        <f aca="false">Raw_Nigeria!L884</f>
        <v>12-23 m</v>
      </c>
      <c r="L884" s="7" t="str">
        <f aca="false">IF(Raw_Nigeria!K884="","n/a",Raw_Nigeria!K884)</f>
        <v>0-23 m</v>
      </c>
      <c r="M884" s="7" t="n">
        <f aca="false">IF(Raw_Nigeria!I884="","",Raw_Nigeria!I884)</f>
        <v>56</v>
      </c>
      <c r="N884" s="7" t="n">
        <f aca="false">Raw_Nigeria!M884</f>
        <v>53.6</v>
      </c>
      <c r="O884" s="7" t="n">
        <f aca="false">IF(Raw_Nigeria!N884="","",Raw_Nigeria!N884)</f>
        <v>3163</v>
      </c>
      <c r="P884" s="7" t="str">
        <f aca="false">IF(K884="CBAW","Women of child-bearing age","Children")</f>
        <v>Children</v>
      </c>
      <c r="Q884" s="7" t="n">
        <f aca="false">IF(J884="NOT USED",1,0)</f>
        <v>0</v>
      </c>
      <c r="R884" s="7" t="n">
        <f aca="false">IF(AND(P884="Children",Q884=0),1,0)</f>
        <v>1</v>
      </c>
      <c r="S884" s="7" t="n">
        <f aca="false">IF(AND(R884=1,J884="Record or Recall",K884="12-23 m"),1,0)</f>
        <v>0</v>
      </c>
      <c r="T884" s="7" t="n">
        <f aca="false">IF(OR(I884="BCG",I884="DTP1",I884="DTP3",I884="POL3",I884="MCV1",I884="FULL"),1,0)</f>
        <v>0</v>
      </c>
      <c r="U884" s="7" t="n">
        <f aca="false">IF(OR(C884="DHS",C884="MICS"),1,0)</f>
        <v>1</v>
      </c>
      <c r="V884" s="7" t="n">
        <f aca="false">IF(O884="",1,0)</f>
        <v>0</v>
      </c>
      <c r="W884" s="7" t="n">
        <f aca="false">IF(M884="",1,0)</f>
        <v>0</v>
      </c>
      <c r="X884" s="7" t="n">
        <f aca="false">COUNTIFS($B$2:$B$1141,B884,$H$2:$H$1141,H884,$I$2:$I$1141,I884,$J$2:$J$1141,J884,$K$2:$K$1141,K884,$L$2:$L$1141,L884)</f>
        <v>1</v>
      </c>
    </row>
    <row r="885" customFormat="false" ht="15" hidden="false" customHeight="false" outlineLevel="0" collapsed="false">
      <c r="A885" s="7" t="n">
        <f aca="false">ROW()-1</f>
        <v>884</v>
      </c>
      <c r="B885" s="7" t="str">
        <f aca="false">IF(Raw_Nigeria!B885="",TRIM(Raw_Nigeria!C885),TRIM(Raw_Nigeria!B885))</f>
        <v>Nigeria Multiple Indicator Cluster Survey 2021</v>
      </c>
      <c r="C885" s="7" t="str">
        <f aca="false">IF(ISNUMBER(SEARCH("Demographic and Health",B885)),"DHS",IF(OR(ISNUMBER(SEARCH("Multiple Indicator Cluster",B885)),ISNUMBER(SEARCH("MICS",B885))),"MICS",IF(ISNUMBER(SEARCH("Immunization Coverage Survey",B885)),"Coverage survey",IF(ISNUMBER(SEARCH("Nutrition",B885)),"Nutrition survey","Other"))))</f>
        <v>MICS</v>
      </c>
      <c r="D885" s="7" t="n">
        <f aca="false">VALUE(LEFT(Raw_Nigeria!D885,4))</f>
        <v>2021</v>
      </c>
      <c r="E885" s="7" t="n">
        <f aca="false">IF(VALUE(RIGHT(Raw_Nigeria!D885,2))&gt;12,"",VALUE(RIGHT(Raw_Nigeria!D885,2)))</f>
        <v>9</v>
      </c>
      <c r="F885" s="7" t="n">
        <f aca="false">VALUE(LEFT(Raw_Nigeria!E885,4))</f>
        <v>2021</v>
      </c>
      <c r="G885" s="7" t="n">
        <f aca="false">IF(VALUE(RIGHT(Raw_Nigeria!E885,2))&gt;12,"",VALUE(RIGHT(Raw_Nigeria!E885,2)))</f>
        <v>12</v>
      </c>
      <c r="H885" s="7" t="n">
        <f aca="false">Raw_Nigeria!F885</f>
        <v>2020</v>
      </c>
      <c r="I885" s="7" t="str">
        <f aca="false">UPPER(TRIM(Raw_Nigeria!G885))</f>
        <v>POL1</v>
      </c>
      <c r="J885" s="7" t="str">
        <f aca="false">Raw_Nigeria!H885</f>
        <v>Record or Recall</v>
      </c>
      <c r="K885" s="7" t="str">
        <f aca="false">Raw_Nigeria!L885</f>
        <v>12-23 m</v>
      </c>
      <c r="L885" s="7" t="str">
        <f aca="false">IF(Raw_Nigeria!K885="","n/a",Raw_Nigeria!K885)</f>
        <v>0-23 m</v>
      </c>
      <c r="M885" s="7" t="n">
        <f aca="false">IF(Raw_Nigeria!I885="","",Raw_Nigeria!I885)</f>
        <v>56</v>
      </c>
      <c r="N885" s="7" t="n">
        <f aca="false">Raw_Nigeria!M885</f>
        <v>78</v>
      </c>
      <c r="O885" s="7" t="n">
        <f aca="false">IF(Raw_Nigeria!N885="","",Raw_Nigeria!N885)</f>
        <v>5652</v>
      </c>
      <c r="P885" s="7" t="str">
        <f aca="false">IF(K885="CBAW","Women of child-bearing age","Children")</f>
        <v>Children</v>
      </c>
      <c r="Q885" s="7" t="n">
        <f aca="false">IF(J885="NOT USED",1,0)</f>
        <v>0</v>
      </c>
      <c r="R885" s="7" t="n">
        <f aca="false">IF(AND(P885="Children",Q885=0),1,0)</f>
        <v>1</v>
      </c>
      <c r="S885" s="7" t="n">
        <f aca="false">IF(AND(R885=1,J885="Record or Recall",K885="12-23 m"),1,0)</f>
        <v>1</v>
      </c>
      <c r="T885" s="7" t="n">
        <f aca="false">IF(OR(I885="BCG",I885="DTP1",I885="DTP3",I885="POL3",I885="MCV1",I885="FULL"),1,0)</f>
        <v>0</v>
      </c>
      <c r="U885" s="7" t="n">
        <f aca="false">IF(OR(C885="DHS",C885="MICS"),1,0)</f>
        <v>1</v>
      </c>
      <c r="V885" s="7" t="n">
        <f aca="false">IF(O885="",1,0)</f>
        <v>0</v>
      </c>
      <c r="W885" s="7" t="n">
        <f aca="false">IF(M885="",1,0)</f>
        <v>0</v>
      </c>
      <c r="X885" s="7" t="n">
        <f aca="false">COUNTIFS($B$2:$B$1141,B885,$H$2:$H$1141,H885,$I$2:$I$1141,I885,$J$2:$J$1141,J885,$K$2:$K$1141,K885,$L$2:$L$1141,L885)</f>
        <v>1</v>
      </c>
    </row>
    <row r="886" customFormat="false" ht="15" hidden="false" customHeight="false" outlineLevel="0" collapsed="false">
      <c r="A886" s="7" t="n">
        <f aca="false">ROW()-1</f>
        <v>885</v>
      </c>
      <c r="B886" s="7" t="str">
        <f aca="false">IF(Raw_Nigeria!B886="",TRIM(Raw_Nigeria!C886),TRIM(Raw_Nigeria!B886))</f>
        <v>Nigeria Multiple Indicator Cluster Survey 2021</v>
      </c>
      <c r="C886" s="7" t="str">
        <f aca="false">IF(ISNUMBER(SEARCH("Demographic and Health",B886)),"DHS",IF(OR(ISNUMBER(SEARCH("Multiple Indicator Cluster",B886)),ISNUMBER(SEARCH("MICS",B886))),"MICS",IF(ISNUMBER(SEARCH("Immunization Coverage Survey",B886)),"Coverage survey",IF(ISNUMBER(SEARCH("Nutrition",B886)),"Nutrition survey","Other"))))</f>
        <v>MICS</v>
      </c>
      <c r="D886" s="7" t="n">
        <f aca="false">VALUE(LEFT(Raw_Nigeria!D886,4))</f>
        <v>2021</v>
      </c>
      <c r="E886" s="7" t="n">
        <f aca="false">IF(VALUE(RIGHT(Raw_Nigeria!D886,2))&gt;12,"",VALUE(RIGHT(Raw_Nigeria!D886,2)))</f>
        <v>9</v>
      </c>
      <c r="F886" s="7" t="n">
        <f aca="false">VALUE(LEFT(Raw_Nigeria!E886,4))</f>
        <v>2021</v>
      </c>
      <c r="G886" s="7" t="n">
        <f aca="false">IF(VALUE(RIGHT(Raw_Nigeria!E886,2))&gt;12,"",VALUE(RIGHT(Raw_Nigeria!E886,2)))</f>
        <v>12</v>
      </c>
      <c r="H886" s="7" t="n">
        <f aca="false">Raw_Nigeria!F886</f>
        <v>2020</v>
      </c>
      <c r="I886" s="7" t="str">
        <f aca="false">UPPER(TRIM(Raw_Nigeria!G886))</f>
        <v>POL1</v>
      </c>
      <c r="J886" s="7" t="str">
        <f aca="false">Raw_Nigeria!H886</f>
        <v>Recall</v>
      </c>
      <c r="K886" s="7" t="str">
        <f aca="false">Raw_Nigeria!L886</f>
        <v>12-23 m</v>
      </c>
      <c r="L886" s="7" t="str">
        <f aca="false">IF(Raw_Nigeria!K886="","n/a",Raw_Nigeria!K886)</f>
        <v>0-23 m</v>
      </c>
      <c r="M886" s="7" t="n">
        <f aca="false">IF(Raw_Nigeria!I886="","",Raw_Nigeria!I886)</f>
        <v>56</v>
      </c>
      <c r="N886" s="7" t="n">
        <f aca="false">Raw_Nigeria!M886</f>
        <v>24.4</v>
      </c>
      <c r="O886" s="7" t="n">
        <f aca="false">IF(Raw_Nigeria!N886="","",Raw_Nigeria!N886)</f>
        <v>2489</v>
      </c>
      <c r="P886" s="7" t="str">
        <f aca="false">IF(K886="CBAW","Women of child-bearing age","Children")</f>
        <v>Children</v>
      </c>
      <c r="Q886" s="7" t="n">
        <f aca="false">IF(J886="NOT USED",1,0)</f>
        <v>0</v>
      </c>
      <c r="R886" s="7" t="n">
        <f aca="false">IF(AND(P886="Children",Q886=0),1,0)</f>
        <v>1</v>
      </c>
      <c r="S886" s="7" t="n">
        <f aca="false">IF(AND(R886=1,J886="Record or Recall",K886="12-23 m"),1,0)</f>
        <v>0</v>
      </c>
      <c r="T886" s="7" t="n">
        <f aca="false">IF(OR(I886="BCG",I886="DTP1",I886="DTP3",I886="POL3",I886="MCV1",I886="FULL"),1,0)</f>
        <v>0</v>
      </c>
      <c r="U886" s="7" t="n">
        <f aca="false">IF(OR(C886="DHS",C886="MICS"),1,0)</f>
        <v>1</v>
      </c>
      <c r="V886" s="7" t="n">
        <f aca="false">IF(O886="",1,0)</f>
        <v>0</v>
      </c>
      <c r="W886" s="7" t="n">
        <f aca="false">IF(M886="",1,0)</f>
        <v>0</v>
      </c>
      <c r="X886" s="7" t="n">
        <f aca="false">COUNTIFS($B$2:$B$1141,B886,$H$2:$H$1141,H886,$I$2:$I$1141,I886,$J$2:$J$1141,J886,$K$2:$K$1141,K886,$L$2:$L$1141,L886)</f>
        <v>1</v>
      </c>
    </row>
    <row r="887" customFormat="false" ht="15" hidden="false" customHeight="false" outlineLevel="0" collapsed="false">
      <c r="A887" s="7" t="n">
        <f aca="false">ROW()-1</f>
        <v>886</v>
      </c>
      <c r="B887" s="7" t="str">
        <f aca="false">IF(Raw_Nigeria!B887="",TRIM(Raw_Nigeria!C887),TRIM(Raw_Nigeria!B887))</f>
        <v>Nigeria Multiple Indicator Cluster Survey 2021</v>
      </c>
      <c r="C887" s="7" t="str">
        <f aca="false">IF(ISNUMBER(SEARCH("Demographic and Health",B887)),"DHS",IF(OR(ISNUMBER(SEARCH("Multiple Indicator Cluster",B887)),ISNUMBER(SEARCH("MICS",B887))),"MICS",IF(ISNUMBER(SEARCH("Immunization Coverage Survey",B887)),"Coverage survey",IF(ISNUMBER(SEARCH("Nutrition",B887)),"Nutrition survey","Other"))))</f>
        <v>MICS</v>
      </c>
      <c r="D887" s="7" t="n">
        <f aca="false">VALUE(LEFT(Raw_Nigeria!D887,4))</f>
        <v>2021</v>
      </c>
      <c r="E887" s="7" t="n">
        <f aca="false">IF(VALUE(RIGHT(Raw_Nigeria!D887,2))&gt;12,"",VALUE(RIGHT(Raw_Nigeria!D887,2)))</f>
        <v>9</v>
      </c>
      <c r="F887" s="7" t="n">
        <f aca="false">VALUE(LEFT(Raw_Nigeria!E887,4))</f>
        <v>2021</v>
      </c>
      <c r="G887" s="7" t="n">
        <f aca="false">IF(VALUE(RIGHT(Raw_Nigeria!E887,2))&gt;12,"",VALUE(RIGHT(Raw_Nigeria!E887,2)))</f>
        <v>12</v>
      </c>
      <c r="H887" s="7" t="n">
        <f aca="false">Raw_Nigeria!F887</f>
        <v>2020</v>
      </c>
      <c r="I887" s="7" t="str">
        <f aca="false">UPPER(TRIM(Raw_Nigeria!G887))</f>
        <v>POL2</v>
      </c>
      <c r="J887" s="7" t="str">
        <f aca="false">Raw_Nigeria!H887</f>
        <v>Record or Recall&lt;12m</v>
      </c>
      <c r="K887" s="7" t="str">
        <f aca="false">Raw_Nigeria!L887</f>
        <v>12-23 m</v>
      </c>
      <c r="L887" s="7" t="str">
        <f aca="false">IF(Raw_Nigeria!K887="","n/a",Raw_Nigeria!K887)</f>
        <v>0-12 m</v>
      </c>
      <c r="M887" s="7" t="n">
        <f aca="false">IF(Raw_Nigeria!I887="","",Raw_Nigeria!I887)</f>
        <v>56</v>
      </c>
      <c r="N887" s="7" t="n">
        <f aca="false">Raw_Nigeria!M887</f>
        <v>64.4</v>
      </c>
      <c r="O887" s="7" t="str">
        <f aca="false">IF(Raw_Nigeria!N887="","",Raw_Nigeria!N887)</f>
        <v/>
      </c>
      <c r="P887" s="7" t="str">
        <f aca="false">IF(K887="CBAW","Women of child-bearing age","Children")</f>
        <v>Children</v>
      </c>
      <c r="Q887" s="7" t="n">
        <f aca="false">IF(J887="NOT USED",1,0)</f>
        <v>0</v>
      </c>
      <c r="R887" s="7" t="n">
        <f aca="false">IF(AND(P887="Children",Q887=0),1,0)</f>
        <v>1</v>
      </c>
      <c r="S887" s="7" t="n">
        <f aca="false">IF(AND(R887=1,J887="Record or Recall",K887="12-23 m"),1,0)</f>
        <v>0</v>
      </c>
      <c r="T887" s="7" t="n">
        <f aca="false">IF(OR(I887="BCG",I887="DTP1",I887="DTP3",I887="POL3",I887="MCV1",I887="FULL"),1,0)</f>
        <v>0</v>
      </c>
      <c r="U887" s="7" t="n">
        <f aca="false">IF(OR(C887="DHS",C887="MICS"),1,0)</f>
        <v>1</v>
      </c>
      <c r="V887" s="7" t="n">
        <f aca="false">IF(O887="",1,0)</f>
        <v>1</v>
      </c>
      <c r="W887" s="7" t="n">
        <f aca="false">IF(M887="",1,0)</f>
        <v>0</v>
      </c>
      <c r="X887" s="7" t="n">
        <f aca="false">COUNTIFS($B$2:$B$1141,B887,$H$2:$H$1141,H887,$I$2:$I$1141,I887,$J$2:$J$1141,J887,$K$2:$K$1141,K887,$L$2:$L$1141,L887)</f>
        <v>1</v>
      </c>
    </row>
    <row r="888" customFormat="false" ht="15" hidden="false" customHeight="false" outlineLevel="0" collapsed="false">
      <c r="A888" s="7" t="n">
        <f aca="false">ROW()-1</f>
        <v>887</v>
      </c>
      <c r="B888" s="7" t="str">
        <f aca="false">IF(Raw_Nigeria!B888="",TRIM(Raw_Nigeria!C888),TRIM(Raw_Nigeria!B888))</f>
        <v>Nigeria Multiple Indicator Cluster Survey 2021</v>
      </c>
      <c r="C888" s="7" t="str">
        <f aca="false">IF(ISNUMBER(SEARCH("Demographic and Health",B888)),"DHS",IF(OR(ISNUMBER(SEARCH("Multiple Indicator Cluster",B888)),ISNUMBER(SEARCH("MICS",B888))),"MICS",IF(ISNUMBER(SEARCH("Immunization Coverage Survey",B888)),"Coverage survey",IF(ISNUMBER(SEARCH("Nutrition",B888)),"Nutrition survey","Other"))))</f>
        <v>MICS</v>
      </c>
      <c r="D888" s="7" t="n">
        <f aca="false">VALUE(LEFT(Raw_Nigeria!D888,4))</f>
        <v>2021</v>
      </c>
      <c r="E888" s="7" t="n">
        <f aca="false">IF(VALUE(RIGHT(Raw_Nigeria!D888,2))&gt;12,"",VALUE(RIGHT(Raw_Nigeria!D888,2)))</f>
        <v>9</v>
      </c>
      <c r="F888" s="7" t="n">
        <f aca="false">VALUE(LEFT(Raw_Nigeria!E888,4))</f>
        <v>2021</v>
      </c>
      <c r="G888" s="7" t="n">
        <f aca="false">IF(VALUE(RIGHT(Raw_Nigeria!E888,2))&gt;12,"",VALUE(RIGHT(Raw_Nigeria!E888,2)))</f>
        <v>12</v>
      </c>
      <c r="H888" s="7" t="n">
        <f aca="false">Raw_Nigeria!F888</f>
        <v>2020</v>
      </c>
      <c r="I888" s="7" t="str">
        <f aca="false">UPPER(TRIM(Raw_Nigeria!G888))</f>
        <v>POL2</v>
      </c>
      <c r="J888" s="7" t="str">
        <f aca="false">Raw_Nigeria!H888</f>
        <v>Record</v>
      </c>
      <c r="K888" s="7" t="str">
        <f aca="false">Raw_Nigeria!L888</f>
        <v>12-23 m</v>
      </c>
      <c r="L888" s="7" t="str">
        <f aca="false">IF(Raw_Nigeria!K888="","n/a",Raw_Nigeria!K888)</f>
        <v>0-23 m</v>
      </c>
      <c r="M888" s="7" t="n">
        <f aca="false">IF(Raw_Nigeria!I888="","",Raw_Nigeria!I888)</f>
        <v>56</v>
      </c>
      <c r="N888" s="7" t="n">
        <f aca="false">Raw_Nigeria!M888</f>
        <v>50.7</v>
      </c>
      <c r="O888" s="7" t="n">
        <f aca="false">IF(Raw_Nigeria!N888="","",Raw_Nigeria!N888)</f>
        <v>3163</v>
      </c>
      <c r="P888" s="7" t="str">
        <f aca="false">IF(K888="CBAW","Women of child-bearing age","Children")</f>
        <v>Children</v>
      </c>
      <c r="Q888" s="7" t="n">
        <f aca="false">IF(J888="NOT USED",1,0)</f>
        <v>0</v>
      </c>
      <c r="R888" s="7" t="n">
        <f aca="false">IF(AND(P888="Children",Q888=0),1,0)</f>
        <v>1</v>
      </c>
      <c r="S888" s="7" t="n">
        <f aca="false">IF(AND(R888=1,J888="Record or Recall",K888="12-23 m"),1,0)</f>
        <v>0</v>
      </c>
      <c r="T888" s="7" t="n">
        <f aca="false">IF(OR(I888="BCG",I888="DTP1",I888="DTP3",I888="POL3",I888="MCV1",I888="FULL"),1,0)</f>
        <v>0</v>
      </c>
      <c r="U888" s="7" t="n">
        <f aca="false">IF(OR(C888="DHS",C888="MICS"),1,0)</f>
        <v>1</v>
      </c>
      <c r="V888" s="7" t="n">
        <f aca="false">IF(O888="",1,0)</f>
        <v>0</v>
      </c>
      <c r="W888" s="7" t="n">
        <f aca="false">IF(M888="",1,0)</f>
        <v>0</v>
      </c>
      <c r="X888" s="7" t="n">
        <f aca="false">COUNTIFS($B$2:$B$1141,B888,$H$2:$H$1141,H888,$I$2:$I$1141,I888,$J$2:$J$1141,J888,$K$2:$K$1141,K888,$L$2:$L$1141,L888)</f>
        <v>1</v>
      </c>
    </row>
    <row r="889" customFormat="false" ht="15" hidden="false" customHeight="false" outlineLevel="0" collapsed="false">
      <c r="A889" s="7" t="n">
        <f aca="false">ROW()-1</f>
        <v>888</v>
      </c>
      <c r="B889" s="7" t="str">
        <f aca="false">IF(Raw_Nigeria!B889="",TRIM(Raw_Nigeria!C889),TRIM(Raw_Nigeria!B889))</f>
        <v>Nigeria Multiple Indicator Cluster Survey 2021</v>
      </c>
      <c r="C889" s="7" t="str">
        <f aca="false">IF(ISNUMBER(SEARCH("Demographic and Health",B889)),"DHS",IF(OR(ISNUMBER(SEARCH("Multiple Indicator Cluster",B889)),ISNUMBER(SEARCH("MICS",B889))),"MICS",IF(ISNUMBER(SEARCH("Immunization Coverage Survey",B889)),"Coverage survey",IF(ISNUMBER(SEARCH("Nutrition",B889)),"Nutrition survey","Other"))))</f>
        <v>MICS</v>
      </c>
      <c r="D889" s="7" t="n">
        <f aca="false">VALUE(LEFT(Raw_Nigeria!D889,4))</f>
        <v>2021</v>
      </c>
      <c r="E889" s="7" t="n">
        <f aca="false">IF(VALUE(RIGHT(Raw_Nigeria!D889,2))&gt;12,"",VALUE(RIGHT(Raw_Nigeria!D889,2)))</f>
        <v>9</v>
      </c>
      <c r="F889" s="7" t="n">
        <f aca="false">VALUE(LEFT(Raw_Nigeria!E889,4))</f>
        <v>2021</v>
      </c>
      <c r="G889" s="7" t="n">
        <f aca="false">IF(VALUE(RIGHT(Raw_Nigeria!E889,2))&gt;12,"",VALUE(RIGHT(Raw_Nigeria!E889,2)))</f>
        <v>12</v>
      </c>
      <c r="H889" s="7" t="n">
        <f aca="false">Raw_Nigeria!F889</f>
        <v>2020</v>
      </c>
      <c r="I889" s="7" t="str">
        <f aca="false">UPPER(TRIM(Raw_Nigeria!G889))</f>
        <v>POL2</v>
      </c>
      <c r="J889" s="7" t="str">
        <f aca="false">Raw_Nigeria!H889</f>
        <v>Record or Recall</v>
      </c>
      <c r="K889" s="7" t="str">
        <f aca="false">Raw_Nigeria!L889</f>
        <v>12-23 m</v>
      </c>
      <c r="L889" s="7" t="str">
        <f aca="false">IF(Raw_Nigeria!K889="","n/a",Raw_Nigeria!K889)</f>
        <v>0-23 m</v>
      </c>
      <c r="M889" s="7" t="n">
        <f aca="false">IF(Raw_Nigeria!I889="","",Raw_Nigeria!I889)</f>
        <v>56</v>
      </c>
      <c r="N889" s="7" t="n">
        <f aca="false">Raw_Nigeria!M889</f>
        <v>68.4</v>
      </c>
      <c r="O889" s="7" t="n">
        <f aca="false">IF(Raw_Nigeria!N889="","",Raw_Nigeria!N889)</f>
        <v>5652</v>
      </c>
      <c r="P889" s="7" t="str">
        <f aca="false">IF(K889="CBAW","Women of child-bearing age","Children")</f>
        <v>Children</v>
      </c>
      <c r="Q889" s="7" t="n">
        <f aca="false">IF(J889="NOT USED",1,0)</f>
        <v>0</v>
      </c>
      <c r="R889" s="7" t="n">
        <f aca="false">IF(AND(P889="Children",Q889=0),1,0)</f>
        <v>1</v>
      </c>
      <c r="S889" s="7" t="n">
        <f aca="false">IF(AND(R889=1,J889="Record or Recall",K889="12-23 m"),1,0)</f>
        <v>1</v>
      </c>
      <c r="T889" s="7" t="n">
        <f aca="false">IF(OR(I889="BCG",I889="DTP1",I889="DTP3",I889="POL3",I889="MCV1",I889="FULL"),1,0)</f>
        <v>0</v>
      </c>
      <c r="U889" s="7" t="n">
        <f aca="false">IF(OR(C889="DHS",C889="MICS"),1,0)</f>
        <v>1</v>
      </c>
      <c r="V889" s="7" t="n">
        <f aca="false">IF(O889="",1,0)</f>
        <v>0</v>
      </c>
      <c r="W889" s="7" t="n">
        <f aca="false">IF(M889="",1,0)</f>
        <v>0</v>
      </c>
      <c r="X889" s="7" t="n">
        <f aca="false">COUNTIFS($B$2:$B$1141,B889,$H$2:$H$1141,H889,$I$2:$I$1141,I889,$J$2:$J$1141,J889,$K$2:$K$1141,K889,$L$2:$L$1141,L889)</f>
        <v>1</v>
      </c>
    </row>
    <row r="890" customFormat="false" ht="15" hidden="false" customHeight="false" outlineLevel="0" collapsed="false">
      <c r="A890" s="7" t="n">
        <f aca="false">ROW()-1</f>
        <v>889</v>
      </c>
      <c r="B890" s="7" t="str">
        <f aca="false">IF(Raw_Nigeria!B890="",TRIM(Raw_Nigeria!C890),TRIM(Raw_Nigeria!B890))</f>
        <v>Nigeria Multiple Indicator Cluster Survey 2021</v>
      </c>
      <c r="C890" s="7" t="str">
        <f aca="false">IF(ISNUMBER(SEARCH("Demographic and Health",B890)),"DHS",IF(OR(ISNUMBER(SEARCH("Multiple Indicator Cluster",B890)),ISNUMBER(SEARCH("MICS",B890))),"MICS",IF(ISNUMBER(SEARCH("Immunization Coverage Survey",B890)),"Coverage survey",IF(ISNUMBER(SEARCH("Nutrition",B890)),"Nutrition survey","Other"))))</f>
        <v>MICS</v>
      </c>
      <c r="D890" s="7" t="n">
        <f aca="false">VALUE(LEFT(Raw_Nigeria!D890,4))</f>
        <v>2021</v>
      </c>
      <c r="E890" s="7" t="n">
        <f aca="false">IF(VALUE(RIGHT(Raw_Nigeria!D890,2))&gt;12,"",VALUE(RIGHT(Raw_Nigeria!D890,2)))</f>
        <v>9</v>
      </c>
      <c r="F890" s="7" t="n">
        <f aca="false">VALUE(LEFT(Raw_Nigeria!E890,4))</f>
        <v>2021</v>
      </c>
      <c r="G890" s="7" t="n">
        <f aca="false">IF(VALUE(RIGHT(Raw_Nigeria!E890,2))&gt;12,"",VALUE(RIGHT(Raw_Nigeria!E890,2)))</f>
        <v>12</v>
      </c>
      <c r="H890" s="7" t="n">
        <f aca="false">Raw_Nigeria!F890</f>
        <v>2020</v>
      </c>
      <c r="I890" s="7" t="str">
        <f aca="false">UPPER(TRIM(Raw_Nigeria!G890))</f>
        <v>POL2</v>
      </c>
      <c r="J890" s="7" t="str">
        <f aca="false">Raw_Nigeria!H890</f>
        <v>Recall</v>
      </c>
      <c r="K890" s="7" t="str">
        <f aca="false">Raw_Nigeria!L890</f>
        <v>12-23 m</v>
      </c>
      <c r="L890" s="7" t="str">
        <f aca="false">IF(Raw_Nigeria!K890="","n/a",Raw_Nigeria!K890)</f>
        <v>0-23 m</v>
      </c>
      <c r="M890" s="7" t="n">
        <f aca="false">IF(Raw_Nigeria!I890="","",Raw_Nigeria!I890)</f>
        <v>56</v>
      </c>
      <c r="N890" s="7" t="n">
        <f aca="false">Raw_Nigeria!M890</f>
        <v>17.7</v>
      </c>
      <c r="O890" s="7" t="n">
        <f aca="false">IF(Raw_Nigeria!N890="","",Raw_Nigeria!N890)</f>
        <v>2489</v>
      </c>
      <c r="P890" s="7" t="str">
        <f aca="false">IF(K890="CBAW","Women of child-bearing age","Children")</f>
        <v>Children</v>
      </c>
      <c r="Q890" s="7" t="n">
        <f aca="false">IF(J890="NOT USED",1,0)</f>
        <v>0</v>
      </c>
      <c r="R890" s="7" t="n">
        <f aca="false">IF(AND(P890="Children",Q890=0),1,0)</f>
        <v>1</v>
      </c>
      <c r="S890" s="7" t="n">
        <f aca="false">IF(AND(R890=1,J890="Record or Recall",K890="12-23 m"),1,0)</f>
        <v>0</v>
      </c>
      <c r="T890" s="7" t="n">
        <f aca="false">IF(OR(I890="BCG",I890="DTP1",I890="DTP3",I890="POL3",I890="MCV1",I890="FULL"),1,0)</f>
        <v>0</v>
      </c>
      <c r="U890" s="7" t="n">
        <f aca="false">IF(OR(C890="DHS",C890="MICS"),1,0)</f>
        <v>1</v>
      </c>
      <c r="V890" s="7" t="n">
        <f aca="false">IF(O890="",1,0)</f>
        <v>0</v>
      </c>
      <c r="W890" s="7" t="n">
        <f aca="false">IF(M890="",1,0)</f>
        <v>0</v>
      </c>
      <c r="X890" s="7" t="n">
        <f aca="false">COUNTIFS($B$2:$B$1141,B890,$H$2:$H$1141,H890,$I$2:$I$1141,I890,$J$2:$J$1141,J890,$K$2:$K$1141,K890,$L$2:$L$1141,L890)</f>
        <v>1</v>
      </c>
    </row>
    <row r="891" customFormat="false" ht="15" hidden="false" customHeight="false" outlineLevel="0" collapsed="false">
      <c r="A891" s="7" t="n">
        <f aca="false">ROW()-1</f>
        <v>890</v>
      </c>
      <c r="B891" s="7" t="str">
        <f aca="false">IF(Raw_Nigeria!B891="",TRIM(Raw_Nigeria!C891),TRIM(Raw_Nigeria!B891))</f>
        <v>Nigeria Multiple Indicator Cluster Survey 2021</v>
      </c>
      <c r="C891" s="7" t="str">
        <f aca="false">IF(ISNUMBER(SEARCH("Demographic and Health",B891)),"DHS",IF(OR(ISNUMBER(SEARCH("Multiple Indicator Cluster",B891)),ISNUMBER(SEARCH("MICS",B891))),"MICS",IF(ISNUMBER(SEARCH("Immunization Coverage Survey",B891)),"Coverage survey",IF(ISNUMBER(SEARCH("Nutrition",B891)),"Nutrition survey","Other"))))</f>
        <v>MICS</v>
      </c>
      <c r="D891" s="7" t="n">
        <f aca="false">VALUE(LEFT(Raw_Nigeria!D891,4))</f>
        <v>2021</v>
      </c>
      <c r="E891" s="7" t="n">
        <f aca="false">IF(VALUE(RIGHT(Raw_Nigeria!D891,2))&gt;12,"",VALUE(RIGHT(Raw_Nigeria!D891,2)))</f>
        <v>9</v>
      </c>
      <c r="F891" s="7" t="n">
        <f aca="false">VALUE(LEFT(Raw_Nigeria!E891,4))</f>
        <v>2021</v>
      </c>
      <c r="G891" s="7" t="n">
        <f aca="false">IF(VALUE(RIGHT(Raw_Nigeria!E891,2))&gt;12,"",VALUE(RIGHT(Raw_Nigeria!E891,2)))</f>
        <v>12</v>
      </c>
      <c r="H891" s="7" t="n">
        <f aca="false">Raw_Nigeria!F891</f>
        <v>2020</v>
      </c>
      <c r="I891" s="7" t="str">
        <f aca="false">UPPER(TRIM(Raw_Nigeria!G891))</f>
        <v>POL3</v>
      </c>
      <c r="J891" s="7" t="str">
        <f aca="false">Raw_Nigeria!H891</f>
        <v>Record or Recall&lt;12m</v>
      </c>
      <c r="K891" s="7" t="str">
        <f aca="false">Raw_Nigeria!L891</f>
        <v>12-23 m</v>
      </c>
      <c r="L891" s="7" t="str">
        <f aca="false">IF(Raw_Nigeria!K891="","n/a",Raw_Nigeria!K891)</f>
        <v>0-12 m</v>
      </c>
      <c r="M891" s="7" t="n">
        <f aca="false">IF(Raw_Nigeria!I891="","",Raw_Nigeria!I891)</f>
        <v>56</v>
      </c>
      <c r="N891" s="7" t="n">
        <f aca="false">Raw_Nigeria!M891</f>
        <v>53.8</v>
      </c>
      <c r="O891" s="7" t="str">
        <f aca="false">IF(Raw_Nigeria!N891="","",Raw_Nigeria!N891)</f>
        <v/>
      </c>
      <c r="P891" s="7" t="str">
        <f aca="false">IF(K891="CBAW","Women of child-bearing age","Children")</f>
        <v>Children</v>
      </c>
      <c r="Q891" s="7" t="n">
        <f aca="false">IF(J891="NOT USED",1,0)</f>
        <v>0</v>
      </c>
      <c r="R891" s="7" t="n">
        <f aca="false">IF(AND(P891="Children",Q891=0),1,0)</f>
        <v>1</v>
      </c>
      <c r="S891" s="7" t="n">
        <f aca="false">IF(AND(R891=1,J891="Record or Recall",K891="12-23 m"),1,0)</f>
        <v>0</v>
      </c>
      <c r="T891" s="7" t="n">
        <f aca="false">IF(OR(I891="BCG",I891="DTP1",I891="DTP3",I891="POL3",I891="MCV1",I891="FULL"),1,0)</f>
        <v>1</v>
      </c>
      <c r="U891" s="7" t="n">
        <f aca="false">IF(OR(C891="DHS",C891="MICS"),1,0)</f>
        <v>1</v>
      </c>
      <c r="V891" s="7" t="n">
        <f aca="false">IF(O891="",1,0)</f>
        <v>1</v>
      </c>
      <c r="W891" s="7" t="n">
        <f aca="false">IF(M891="",1,0)</f>
        <v>0</v>
      </c>
      <c r="X891" s="7" t="n">
        <f aca="false">COUNTIFS($B$2:$B$1141,B891,$H$2:$H$1141,H891,$I$2:$I$1141,I891,$J$2:$J$1141,J891,$K$2:$K$1141,K891,$L$2:$L$1141,L891)</f>
        <v>1</v>
      </c>
    </row>
    <row r="892" customFormat="false" ht="15" hidden="false" customHeight="false" outlineLevel="0" collapsed="false">
      <c r="A892" s="7" t="n">
        <f aca="false">ROW()-1</f>
        <v>891</v>
      </c>
      <c r="B892" s="7" t="str">
        <f aca="false">IF(Raw_Nigeria!B892="",TRIM(Raw_Nigeria!C892),TRIM(Raw_Nigeria!B892))</f>
        <v>Nigeria Multiple Indicator Cluster Survey 2021</v>
      </c>
      <c r="C892" s="7" t="str">
        <f aca="false">IF(ISNUMBER(SEARCH("Demographic and Health",B892)),"DHS",IF(OR(ISNUMBER(SEARCH("Multiple Indicator Cluster",B892)),ISNUMBER(SEARCH("MICS",B892))),"MICS",IF(ISNUMBER(SEARCH("Immunization Coverage Survey",B892)),"Coverage survey",IF(ISNUMBER(SEARCH("Nutrition",B892)),"Nutrition survey","Other"))))</f>
        <v>MICS</v>
      </c>
      <c r="D892" s="7" t="n">
        <f aca="false">VALUE(LEFT(Raw_Nigeria!D892,4))</f>
        <v>2021</v>
      </c>
      <c r="E892" s="7" t="n">
        <f aca="false">IF(VALUE(RIGHT(Raw_Nigeria!D892,2))&gt;12,"",VALUE(RIGHT(Raw_Nigeria!D892,2)))</f>
        <v>9</v>
      </c>
      <c r="F892" s="7" t="n">
        <f aca="false">VALUE(LEFT(Raw_Nigeria!E892,4))</f>
        <v>2021</v>
      </c>
      <c r="G892" s="7" t="n">
        <f aca="false">IF(VALUE(RIGHT(Raw_Nigeria!E892,2))&gt;12,"",VALUE(RIGHT(Raw_Nigeria!E892,2)))</f>
        <v>12</v>
      </c>
      <c r="H892" s="7" t="n">
        <f aca="false">Raw_Nigeria!F892</f>
        <v>2020</v>
      </c>
      <c r="I892" s="7" t="str">
        <f aca="false">UPPER(TRIM(Raw_Nigeria!G892))</f>
        <v>POL3</v>
      </c>
      <c r="J892" s="7" t="str">
        <f aca="false">Raw_Nigeria!H892</f>
        <v>Record</v>
      </c>
      <c r="K892" s="7" t="str">
        <f aca="false">Raw_Nigeria!L892</f>
        <v>12-23 m</v>
      </c>
      <c r="L892" s="7" t="str">
        <f aca="false">IF(Raw_Nigeria!K892="","n/a",Raw_Nigeria!K892)</f>
        <v>0-23 m</v>
      </c>
      <c r="M892" s="7" t="n">
        <f aca="false">IF(Raw_Nigeria!I892="","",Raw_Nigeria!I892)</f>
        <v>56</v>
      </c>
      <c r="N892" s="7" t="n">
        <f aca="false">Raw_Nigeria!M892</f>
        <v>47.7</v>
      </c>
      <c r="O892" s="7" t="n">
        <f aca="false">IF(Raw_Nigeria!N892="","",Raw_Nigeria!N892)</f>
        <v>3163</v>
      </c>
      <c r="P892" s="7" t="str">
        <f aca="false">IF(K892="CBAW","Women of child-bearing age","Children")</f>
        <v>Children</v>
      </c>
      <c r="Q892" s="7" t="n">
        <f aca="false">IF(J892="NOT USED",1,0)</f>
        <v>0</v>
      </c>
      <c r="R892" s="7" t="n">
        <f aca="false">IF(AND(P892="Children",Q892=0),1,0)</f>
        <v>1</v>
      </c>
      <c r="S892" s="7" t="n">
        <f aca="false">IF(AND(R892=1,J892="Record or Recall",K892="12-23 m"),1,0)</f>
        <v>0</v>
      </c>
      <c r="T892" s="7" t="n">
        <f aca="false">IF(OR(I892="BCG",I892="DTP1",I892="DTP3",I892="POL3",I892="MCV1",I892="FULL"),1,0)</f>
        <v>1</v>
      </c>
      <c r="U892" s="7" t="n">
        <f aca="false">IF(OR(C892="DHS",C892="MICS"),1,0)</f>
        <v>1</v>
      </c>
      <c r="V892" s="7" t="n">
        <f aca="false">IF(O892="",1,0)</f>
        <v>0</v>
      </c>
      <c r="W892" s="7" t="n">
        <f aca="false">IF(M892="",1,0)</f>
        <v>0</v>
      </c>
      <c r="X892" s="7" t="n">
        <f aca="false">COUNTIFS($B$2:$B$1141,B892,$H$2:$H$1141,H892,$I$2:$I$1141,I892,$J$2:$J$1141,J892,$K$2:$K$1141,K892,$L$2:$L$1141,L892)</f>
        <v>1</v>
      </c>
    </row>
    <row r="893" customFormat="false" ht="15" hidden="false" customHeight="false" outlineLevel="0" collapsed="false">
      <c r="A893" s="7" t="n">
        <f aca="false">ROW()-1</f>
        <v>892</v>
      </c>
      <c r="B893" s="7" t="str">
        <f aca="false">IF(Raw_Nigeria!B893="",TRIM(Raw_Nigeria!C893),TRIM(Raw_Nigeria!B893))</f>
        <v>Nigeria Multiple Indicator Cluster Survey 2021</v>
      </c>
      <c r="C893" s="7" t="str">
        <f aca="false">IF(ISNUMBER(SEARCH("Demographic and Health",B893)),"DHS",IF(OR(ISNUMBER(SEARCH("Multiple Indicator Cluster",B893)),ISNUMBER(SEARCH("MICS",B893))),"MICS",IF(ISNUMBER(SEARCH("Immunization Coverage Survey",B893)),"Coverage survey",IF(ISNUMBER(SEARCH("Nutrition",B893)),"Nutrition survey","Other"))))</f>
        <v>MICS</v>
      </c>
      <c r="D893" s="7" t="n">
        <f aca="false">VALUE(LEFT(Raw_Nigeria!D893,4))</f>
        <v>2021</v>
      </c>
      <c r="E893" s="7" t="n">
        <f aca="false">IF(VALUE(RIGHT(Raw_Nigeria!D893,2))&gt;12,"",VALUE(RIGHT(Raw_Nigeria!D893,2)))</f>
        <v>9</v>
      </c>
      <c r="F893" s="7" t="n">
        <f aca="false">VALUE(LEFT(Raw_Nigeria!E893,4))</f>
        <v>2021</v>
      </c>
      <c r="G893" s="7" t="n">
        <f aca="false">IF(VALUE(RIGHT(Raw_Nigeria!E893,2))&gt;12,"",VALUE(RIGHT(Raw_Nigeria!E893,2)))</f>
        <v>12</v>
      </c>
      <c r="H893" s="7" t="n">
        <f aca="false">Raw_Nigeria!F893</f>
        <v>2020</v>
      </c>
      <c r="I893" s="7" t="str">
        <f aca="false">UPPER(TRIM(Raw_Nigeria!G893))</f>
        <v>POL3</v>
      </c>
      <c r="J893" s="7" t="str">
        <f aca="false">Raw_Nigeria!H893</f>
        <v>Record or Recall</v>
      </c>
      <c r="K893" s="7" t="str">
        <f aca="false">Raw_Nigeria!L893</f>
        <v>12-23 m</v>
      </c>
      <c r="L893" s="7" t="str">
        <f aca="false">IF(Raw_Nigeria!K893="","n/a",Raw_Nigeria!K893)</f>
        <v>0-23 m</v>
      </c>
      <c r="M893" s="7" t="n">
        <f aca="false">IF(Raw_Nigeria!I893="","",Raw_Nigeria!I893)</f>
        <v>56</v>
      </c>
      <c r="N893" s="7" t="n">
        <f aca="false">Raw_Nigeria!M893</f>
        <v>56.2</v>
      </c>
      <c r="O893" s="7" t="n">
        <f aca="false">IF(Raw_Nigeria!N893="","",Raw_Nigeria!N893)</f>
        <v>5652</v>
      </c>
      <c r="P893" s="7" t="str">
        <f aca="false">IF(K893="CBAW","Women of child-bearing age","Children")</f>
        <v>Children</v>
      </c>
      <c r="Q893" s="7" t="n">
        <f aca="false">IF(J893="NOT USED",1,0)</f>
        <v>0</v>
      </c>
      <c r="R893" s="7" t="n">
        <f aca="false">IF(AND(P893="Children",Q893=0),1,0)</f>
        <v>1</v>
      </c>
      <c r="S893" s="7" t="n">
        <f aca="false">IF(AND(R893=1,J893="Record or Recall",K893="12-23 m"),1,0)</f>
        <v>1</v>
      </c>
      <c r="T893" s="7" t="n">
        <f aca="false">IF(OR(I893="BCG",I893="DTP1",I893="DTP3",I893="POL3",I893="MCV1",I893="FULL"),1,0)</f>
        <v>1</v>
      </c>
      <c r="U893" s="7" t="n">
        <f aca="false">IF(OR(C893="DHS",C893="MICS"),1,0)</f>
        <v>1</v>
      </c>
      <c r="V893" s="7" t="n">
        <f aca="false">IF(O893="",1,0)</f>
        <v>0</v>
      </c>
      <c r="W893" s="7" t="n">
        <f aca="false">IF(M893="",1,0)</f>
        <v>0</v>
      </c>
      <c r="X893" s="7" t="n">
        <f aca="false">COUNTIFS($B$2:$B$1141,B893,$H$2:$H$1141,H893,$I$2:$I$1141,I893,$J$2:$J$1141,J893,$K$2:$K$1141,K893,$L$2:$L$1141,L893)</f>
        <v>1</v>
      </c>
    </row>
    <row r="894" customFormat="false" ht="15" hidden="false" customHeight="false" outlineLevel="0" collapsed="false">
      <c r="A894" s="7" t="n">
        <f aca="false">ROW()-1</f>
        <v>893</v>
      </c>
      <c r="B894" s="7" t="str">
        <f aca="false">IF(Raw_Nigeria!B894="",TRIM(Raw_Nigeria!C894),TRIM(Raw_Nigeria!B894))</f>
        <v>Nigeria Multiple Indicator Cluster Survey 2021</v>
      </c>
      <c r="C894" s="7" t="str">
        <f aca="false">IF(ISNUMBER(SEARCH("Demographic and Health",B894)),"DHS",IF(OR(ISNUMBER(SEARCH("Multiple Indicator Cluster",B894)),ISNUMBER(SEARCH("MICS",B894))),"MICS",IF(ISNUMBER(SEARCH("Immunization Coverage Survey",B894)),"Coverage survey",IF(ISNUMBER(SEARCH("Nutrition",B894)),"Nutrition survey","Other"))))</f>
        <v>MICS</v>
      </c>
      <c r="D894" s="7" t="n">
        <f aca="false">VALUE(LEFT(Raw_Nigeria!D894,4))</f>
        <v>2021</v>
      </c>
      <c r="E894" s="7" t="n">
        <f aca="false">IF(VALUE(RIGHT(Raw_Nigeria!D894,2))&gt;12,"",VALUE(RIGHT(Raw_Nigeria!D894,2)))</f>
        <v>9</v>
      </c>
      <c r="F894" s="7" t="n">
        <f aca="false">VALUE(LEFT(Raw_Nigeria!E894,4))</f>
        <v>2021</v>
      </c>
      <c r="G894" s="7" t="n">
        <f aca="false">IF(VALUE(RIGHT(Raw_Nigeria!E894,2))&gt;12,"",VALUE(RIGHT(Raw_Nigeria!E894,2)))</f>
        <v>12</v>
      </c>
      <c r="H894" s="7" t="n">
        <f aca="false">Raw_Nigeria!F894</f>
        <v>2020</v>
      </c>
      <c r="I894" s="7" t="str">
        <f aca="false">UPPER(TRIM(Raw_Nigeria!G894))</f>
        <v>POL3</v>
      </c>
      <c r="J894" s="7" t="str">
        <f aca="false">Raw_Nigeria!H894</f>
        <v>Recall</v>
      </c>
      <c r="K894" s="7" t="str">
        <f aca="false">Raw_Nigeria!L894</f>
        <v>12-23 m</v>
      </c>
      <c r="L894" s="7" t="str">
        <f aca="false">IF(Raw_Nigeria!K894="","n/a",Raw_Nigeria!K894)</f>
        <v>0-23 m</v>
      </c>
      <c r="M894" s="7" t="n">
        <f aca="false">IF(Raw_Nigeria!I894="","",Raw_Nigeria!I894)</f>
        <v>56</v>
      </c>
      <c r="N894" s="7" t="n">
        <f aca="false">Raw_Nigeria!M894</f>
        <v>8.5</v>
      </c>
      <c r="O894" s="7" t="n">
        <f aca="false">IF(Raw_Nigeria!N894="","",Raw_Nigeria!N894)</f>
        <v>2489</v>
      </c>
      <c r="P894" s="7" t="str">
        <f aca="false">IF(K894="CBAW","Women of child-bearing age","Children")</f>
        <v>Children</v>
      </c>
      <c r="Q894" s="7" t="n">
        <f aca="false">IF(J894="NOT USED",1,0)</f>
        <v>0</v>
      </c>
      <c r="R894" s="7" t="n">
        <f aca="false">IF(AND(P894="Children",Q894=0),1,0)</f>
        <v>1</v>
      </c>
      <c r="S894" s="7" t="n">
        <f aca="false">IF(AND(R894=1,J894="Record or Recall",K894="12-23 m"),1,0)</f>
        <v>0</v>
      </c>
      <c r="T894" s="7" t="n">
        <f aca="false">IF(OR(I894="BCG",I894="DTP1",I894="DTP3",I894="POL3",I894="MCV1",I894="FULL"),1,0)</f>
        <v>1</v>
      </c>
      <c r="U894" s="7" t="n">
        <f aca="false">IF(OR(C894="DHS",C894="MICS"),1,0)</f>
        <v>1</v>
      </c>
      <c r="V894" s="7" t="n">
        <f aca="false">IF(O894="",1,0)</f>
        <v>0</v>
      </c>
      <c r="W894" s="7" t="n">
        <f aca="false">IF(M894="",1,0)</f>
        <v>0</v>
      </c>
      <c r="X894" s="7" t="n">
        <f aca="false">COUNTIFS($B$2:$B$1141,B894,$H$2:$H$1141,H894,$I$2:$I$1141,I894,$J$2:$J$1141,J894,$K$2:$K$1141,K894,$L$2:$L$1141,L894)</f>
        <v>1</v>
      </c>
    </row>
    <row r="895" customFormat="false" ht="15" hidden="false" customHeight="false" outlineLevel="0" collapsed="false">
      <c r="A895" s="7" t="n">
        <f aca="false">ROW()-1</f>
        <v>894</v>
      </c>
      <c r="B895" s="7" t="str">
        <f aca="false">IF(Raw_Nigeria!B895="",TRIM(Raw_Nigeria!C895),TRIM(Raw_Nigeria!B895))</f>
        <v>Nigeria Multiple Indicator Cluster Survey 2021</v>
      </c>
      <c r="C895" s="7" t="str">
        <f aca="false">IF(ISNUMBER(SEARCH("Demographic and Health",B895)),"DHS",IF(OR(ISNUMBER(SEARCH("Multiple Indicator Cluster",B895)),ISNUMBER(SEARCH("MICS",B895))),"MICS",IF(ISNUMBER(SEARCH("Immunization Coverage Survey",B895)),"Coverage survey",IF(ISNUMBER(SEARCH("Nutrition",B895)),"Nutrition survey","Other"))))</f>
        <v>MICS</v>
      </c>
      <c r="D895" s="7" t="n">
        <f aca="false">VALUE(LEFT(Raw_Nigeria!D895,4))</f>
        <v>2021</v>
      </c>
      <c r="E895" s="7" t="n">
        <f aca="false">IF(VALUE(RIGHT(Raw_Nigeria!D895,2))&gt;12,"",VALUE(RIGHT(Raw_Nigeria!D895,2)))</f>
        <v>9</v>
      </c>
      <c r="F895" s="7" t="n">
        <f aca="false">VALUE(LEFT(Raw_Nigeria!E895,4))</f>
        <v>2021</v>
      </c>
      <c r="G895" s="7" t="n">
        <f aca="false">IF(VALUE(RIGHT(Raw_Nigeria!E895,2))&gt;12,"",VALUE(RIGHT(Raw_Nigeria!E895,2)))</f>
        <v>12</v>
      </c>
      <c r="H895" s="7" t="n">
        <f aca="false">Raw_Nigeria!F895</f>
        <v>2020</v>
      </c>
      <c r="I895" s="7" t="str">
        <f aca="false">UPPER(TRIM(Raw_Nigeria!G895))</f>
        <v>POL3+IPV1</v>
      </c>
      <c r="J895" s="7" t="str">
        <f aca="false">Raw_Nigeria!H895</f>
        <v>Record or Recall&lt;12m</v>
      </c>
      <c r="K895" s="7" t="str">
        <f aca="false">Raw_Nigeria!L895</f>
        <v>12-23 m</v>
      </c>
      <c r="L895" s="7" t="str">
        <f aca="false">IF(Raw_Nigeria!K895="","n/a",Raw_Nigeria!K895)</f>
        <v>0-12 m</v>
      </c>
      <c r="M895" s="7" t="n">
        <f aca="false">IF(Raw_Nigeria!I895="","",Raw_Nigeria!I895)</f>
        <v>56</v>
      </c>
      <c r="N895" s="7" t="n">
        <f aca="false">Raw_Nigeria!M895</f>
        <v>50.9</v>
      </c>
      <c r="O895" s="7" t="str">
        <f aca="false">IF(Raw_Nigeria!N895="","",Raw_Nigeria!N895)</f>
        <v/>
      </c>
      <c r="P895" s="7" t="str">
        <f aca="false">IF(K895="CBAW","Women of child-bearing age","Children")</f>
        <v>Children</v>
      </c>
      <c r="Q895" s="7" t="n">
        <f aca="false">IF(J895="NOT USED",1,0)</f>
        <v>0</v>
      </c>
      <c r="R895" s="7" t="n">
        <f aca="false">IF(AND(P895="Children",Q895=0),1,0)</f>
        <v>1</v>
      </c>
      <c r="S895" s="7" t="n">
        <f aca="false">IF(AND(R895=1,J895="Record or Recall",K895="12-23 m"),1,0)</f>
        <v>0</v>
      </c>
      <c r="T895" s="7" t="n">
        <f aca="false">IF(OR(I895="BCG",I895="DTP1",I895="DTP3",I895="POL3",I895="MCV1",I895="FULL"),1,0)</f>
        <v>0</v>
      </c>
      <c r="U895" s="7" t="n">
        <f aca="false">IF(OR(C895="DHS",C895="MICS"),1,0)</f>
        <v>1</v>
      </c>
      <c r="V895" s="7" t="n">
        <f aca="false">IF(O895="",1,0)</f>
        <v>1</v>
      </c>
      <c r="W895" s="7" t="n">
        <f aca="false">IF(M895="",1,0)</f>
        <v>0</v>
      </c>
      <c r="X895" s="7" t="n">
        <f aca="false">COUNTIFS($B$2:$B$1141,B895,$H$2:$H$1141,H895,$I$2:$I$1141,I895,$J$2:$J$1141,J895,$K$2:$K$1141,K895,$L$2:$L$1141,L895)</f>
        <v>1</v>
      </c>
    </row>
    <row r="896" customFormat="false" ht="15" hidden="false" customHeight="false" outlineLevel="0" collapsed="false">
      <c r="A896" s="7" t="n">
        <f aca="false">ROW()-1</f>
        <v>895</v>
      </c>
      <c r="B896" s="7" t="str">
        <f aca="false">IF(Raw_Nigeria!B896="",TRIM(Raw_Nigeria!C896),TRIM(Raw_Nigeria!B896))</f>
        <v>Nigeria Multiple Indicator Cluster Survey 2021</v>
      </c>
      <c r="C896" s="7" t="str">
        <f aca="false">IF(ISNUMBER(SEARCH("Demographic and Health",B896)),"DHS",IF(OR(ISNUMBER(SEARCH("Multiple Indicator Cluster",B896)),ISNUMBER(SEARCH("MICS",B896))),"MICS",IF(ISNUMBER(SEARCH("Immunization Coverage Survey",B896)),"Coverage survey",IF(ISNUMBER(SEARCH("Nutrition",B896)),"Nutrition survey","Other"))))</f>
        <v>MICS</v>
      </c>
      <c r="D896" s="7" t="n">
        <f aca="false">VALUE(LEFT(Raw_Nigeria!D896,4))</f>
        <v>2021</v>
      </c>
      <c r="E896" s="7" t="n">
        <f aca="false">IF(VALUE(RIGHT(Raw_Nigeria!D896,2))&gt;12,"",VALUE(RIGHT(Raw_Nigeria!D896,2)))</f>
        <v>9</v>
      </c>
      <c r="F896" s="7" t="n">
        <f aca="false">VALUE(LEFT(Raw_Nigeria!E896,4))</f>
        <v>2021</v>
      </c>
      <c r="G896" s="7" t="n">
        <f aca="false">IF(VALUE(RIGHT(Raw_Nigeria!E896,2))&gt;12,"",VALUE(RIGHT(Raw_Nigeria!E896,2)))</f>
        <v>12</v>
      </c>
      <c r="H896" s="7" t="n">
        <f aca="false">Raw_Nigeria!F896</f>
        <v>2020</v>
      </c>
      <c r="I896" s="7" t="str">
        <f aca="false">UPPER(TRIM(Raw_Nigeria!G896))</f>
        <v>POL3+IPV1</v>
      </c>
      <c r="J896" s="7" t="str">
        <f aca="false">Raw_Nigeria!H896</f>
        <v>Record</v>
      </c>
      <c r="K896" s="7" t="str">
        <f aca="false">Raw_Nigeria!L896</f>
        <v>12-23 m</v>
      </c>
      <c r="L896" s="7" t="str">
        <f aca="false">IF(Raw_Nigeria!K896="","n/a",Raw_Nigeria!K896)</f>
        <v>0-23 m</v>
      </c>
      <c r="M896" s="7" t="n">
        <f aca="false">IF(Raw_Nigeria!I896="","",Raw_Nigeria!I896)</f>
        <v>56</v>
      </c>
      <c r="N896" s="7" t="n">
        <f aca="false">Raw_Nigeria!M896</f>
        <v>44.5</v>
      </c>
      <c r="O896" s="7" t="n">
        <f aca="false">IF(Raw_Nigeria!N896="","",Raw_Nigeria!N896)</f>
        <v>3163</v>
      </c>
      <c r="P896" s="7" t="str">
        <f aca="false">IF(K896="CBAW","Women of child-bearing age","Children")</f>
        <v>Children</v>
      </c>
      <c r="Q896" s="7" t="n">
        <f aca="false">IF(J896="NOT USED",1,0)</f>
        <v>0</v>
      </c>
      <c r="R896" s="7" t="n">
        <f aca="false">IF(AND(P896="Children",Q896=0),1,0)</f>
        <v>1</v>
      </c>
      <c r="S896" s="7" t="n">
        <f aca="false">IF(AND(R896=1,J896="Record or Recall",K896="12-23 m"),1,0)</f>
        <v>0</v>
      </c>
      <c r="T896" s="7" t="n">
        <f aca="false">IF(OR(I896="BCG",I896="DTP1",I896="DTP3",I896="POL3",I896="MCV1",I896="FULL"),1,0)</f>
        <v>0</v>
      </c>
      <c r="U896" s="7" t="n">
        <f aca="false">IF(OR(C896="DHS",C896="MICS"),1,0)</f>
        <v>1</v>
      </c>
      <c r="V896" s="7" t="n">
        <f aca="false">IF(O896="",1,0)</f>
        <v>0</v>
      </c>
      <c r="W896" s="7" t="n">
        <f aca="false">IF(M896="",1,0)</f>
        <v>0</v>
      </c>
      <c r="X896" s="7" t="n">
        <f aca="false">COUNTIFS($B$2:$B$1141,B896,$H$2:$H$1141,H896,$I$2:$I$1141,I896,$J$2:$J$1141,J896,$K$2:$K$1141,K896,$L$2:$L$1141,L896)</f>
        <v>1</v>
      </c>
    </row>
    <row r="897" customFormat="false" ht="15" hidden="false" customHeight="false" outlineLevel="0" collapsed="false">
      <c r="A897" s="7" t="n">
        <f aca="false">ROW()-1</f>
        <v>896</v>
      </c>
      <c r="B897" s="7" t="str">
        <f aca="false">IF(Raw_Nigeria!B897="",TRIM(Raw_Nigeria!C897),TRIM(Raw_Nigeria!B897))</f>
        <v>Nigeria Multiple Indicator Cluster Survey 2021</v>
      </c>
      <c r="C897" s="7" t="str">
        <f aca="false">IF(ISNUMBER(SEARCH("Demographic and Health",B897)),"DHS",IF(OR(ISNUMBER(SEARCH("Multiple Indicator Cluster",B897)),ISNUMBER(SEARCH("MICS",B897))),"MICS",IF(ISNUMBER(SEARCH("Immunization Coverage Survey",B897)),"Coverage survey",IF(ISNUMBER(SEARCH("Nutrition",B897)),"Nutrition survey","Other"))))</f>
        <v>MICS</v>
      </c>
      <c r="D897" s="7" t="n">
        <f aca="false">VALUE(LEFT(Raw_Nigeria!D897,4))</f>
        <v>2021</v>
      </c>
      <c r="E897" s="7" t="n">
        <f aca="false">IF(VALUE(RIGHT(Raw_Nigeria!D897,2))&gt;12,"",VALUE(RIGHT(Raw_Nigeria!D897,2)))</f>
        <v>9</v>
      </c>
      <c r="F897" s="7" t="n">
        <f aca="false">VALUE(LEFT(Raw_Nigeria!E897,4))</f>
        <v>2021</v>
      </c>
      <c r="G897" s="7" t="n">
        <f aca="false">IF(VALUE(RIGHT(Raw_Nigeria!E897,2))&gt;12,"",VALUE(RIGHT(Raw_Nigeria!E897,2)))</f>
        <v>12</v>
      </c>
      <c r="H897" s="7" t="n">
        <f aca="false">Raw_Nigeria!F897</f>
        <v>2020</v>
      </c>
      <c r="I897" s="7" t="str">
        <f aca="false">UPPER(TRIM(Raw_Nigeria!G897))</f>
        <v>POL3+IPV1</v>
      </c>
      <c r="J897" s="7" t="str">
        <f aca="false">Raw_Nigeria!H897</f>
        <v>Record or Recall</v>
      </c>
      <c r="K897" s="7" t="str">
        <f aca="false">Raw_Nigeria!L897</f>
        <v>12-23 m</v>
      </c>
      <c r="L897" s="7" t="str">
        <f aca="false">IF(Raw_Nigeria!K897="","n/a",Raw_Nigeria!K897)</f>
        <v>0-23 m</v>
      </c>
      <c r="M897" s="7" t="n">
        <f aca="false">IF(Raw_Nigeria!I897="","",Raw_Nigeria!I897)</f>
        <v>56</v>
      </c>
      <c r="N897" s="7" t="n">
        <f aca="false">Raw_Nigeria!M897</f>
        <v>48.8</v>
      </c>
      <c r="O897" s="7" t="n">
        <f aca="false">IF(Raw_Nigeria!N897="","",Raw_Nigeria!N897)</f>
        <v>5652</v>
      </c>
      <c r="P897" s="7" t="str">
        <f aca="false">IF(K897="CBAW","Women of child-bearing age","Children")</f>
        <v>Children</v>
      </c>
      <c r="Q897" s="7" t="n">
        <f aca="false">IF(J897="NOT USED",1,0)</f>
        <v>0</v>
      </c>
      <c r="R897" s="7" t="n">
        <f aca="false">IF(AND(P897="Children",Q897=0),1,0)</f>
        <v>1</v>
      </c>
      <c r="S897" s="7" t="n">
        <f aca="false">IF(AND(R897=1,J897="Record or Recall",K897="12-23 m"),1,0)</f>
        <v>1</v>
      </c>
      <c r="T897" s="7" t="n">
        <f aca="false">IF(OR(I897="BCG",I897="DTP1",I897="DTP3",I897="POL3",I897="MCV1",I897="FULL"),1,0)</f>
        <v>0</v>
      </c>
      <c r="U897" s="7" t="n">
        <f aca="false">IF(OR(C897="DHS",C897="MICS"),1,0)</f>
        <v>1</v>
      </c>
      <c r="V897" s="7" t="n">
        <f aca="false">IF(O897="",1,0)</f>
        <v>0</v>
      </c>
      <c r="W897" s="7" t="n">
        <f aca="false">IF(M897="",1,0)</f>
        <v>0</v>
      </c>
      <c r="X897" s="7" t="n">
        <f aca="false">COUNTIFS($B$2:$B$1141,B897,$H$2:$H$1141,H897,$I$2:$I$1141,I897,$J$2:$J$1141,J897,$K$2:$K$1141,K897,$L$2:$L$1141,L897)</f>
        <v>1</v>
      </c>
    </row>
    <row r="898" customFormat="false" ht="15" hidden="false" customHeight="false" outlineLevel="0" collapsed="false">
      <c r="A898" s="7" t="n">
        <f aca="false">ROW()-1</f>
        <v>897</v>
      </c>
      <c r="B898" s="7" t="str">
        <f aca="false">IF(Raw_Nigeria!B898="",TRIM(Raw_Nigeria!C898),TRIM(Raw_Nigeria!B898))</f>
        <v>Nigeria Multiple Indicator Cluster Survey 2021</v>
      </c>
      <c r="C898" s="7" t="str">
        <f aca="false">IF(ISNUMBER(SEARCH("Demographic and Health",B898)),"DHS",IF(OR(ISNUMBER(SEARCH("Multiple Indicator Cluster",B898)),ISNUMBER(SEARCH("MICS",B898))),"MICS",IF(ISNUMBER(SEARCH("Immunization Coverage Survey",B898)),"Coverage survey",IF(ISNUMBER(SEARCH("Nutrition",B898)),"Nutrition survey","Other"))))</f>
        <v>MICS</v>
      </c>
      <c r="D898" s="7" t="n">
        <f aca="false">VALUE(LEFT(Raw_Nigeria!D898,4))</f>
        <v>2021</v>
      </c>
      <c r="E898" s="7" t="n">
        <f aca="false">IF(VALUE(RIGHT(Raw_Nigeria!D898,2))&gt;12,"",VALUE(RIGHT(Raw_Nigeria!D898,2)))</f>
        <v>9</v>
      </c>
      <c r="F898" s="7" t="n">
        <f aca="false">VALUE(LEFT(Raw_Nigeria!E898,4))</f>
        <v>2021</v>
      </c>
      <c r="G898" s="7" t="n">
        <f aca="false">IF(VALUE(RIGHT(Raw_Nigeria!E898,2))&gt;12,"",VALUE(RIGHT(Raw_Nigeria!E898,2)))</f>
        <v>12</v>
      </c>
      <c r="H898" s="7" t="n">
        <f aca="false">Raw_Nigeria!F898</f>
        <v>2020</v>
      </c>
      <c r="I898" s="7" t="str">
        <f aca="false">UPPER(TRIM(Raw_Nigeria!G898))</f>
        <v>POL3+IPV1</v>
      </c>
      <c r="J898" s="7" t="str">
        <f aca="false">Raw_Nigeria!H898</f>
        <v>Recall</v>
      </c>
      <c r="K898" s="7" t="str">
        <f aca="false">Raw_Nigeria!L898</f>
        <v>12-23 m</v>
      </c>
      <c r="L898" s="7" t="str">
        <f aca="false">IF(Raw_Nigeria!K898="","n/a",Raw_Nigeria!K898)</f>
        <v>0-23 m</v>
      </c>
      <c r="M898" s="7" t="n">
        <f aca="false">IF(Raw_Nigeria!I898="","",Raw_Nigeria!I898)</f>
        <v>56</v>
      </c>
      <c r="N898" s="7" t="n">
        <f aca="false">Raw_Nigeria!M898</f>
        <v>4.3</v>
      </c>
      <c r="O898" s="7" t="n">
        <f aca="false">IF(Raw_Nigeria!N898="","",Raw_Nigeria!N898)</f>
        <v>2489</v>
      </c>
      <c r="P898" s="7" t="str">
        <f aca="false">IF(K898="CBAW","Women of child-bearing age","Children")</f>
        <v>Children</v>
      </c>
      <c r="Q898" s="7" t="n">
        <f aca="false">IF(J898="NOT USED",1,0)</f>
        <v>0</v>
      </c>
      <c r="R898" s="7" t="n">
        <f aca="false">IF(AND(P898="Children",Q898=0),1,0)</f>
        <v>1</v>
      </c>
      <c r="S898" s="7" t="n">
        <f aca="false">IF(AND(R898=1,J898="Record or Recall",K898="12-23 m"),1,0)</f>
        <v>0</v>
      </c>
      <c r="T898" s="7" t="n">
        <f aca="false">IF(OR(I898="BCG",I898="DTP1",I898="DTP3",I898="POL3",I898="MCV1",I898="FULL"),1,0)</f>
        <v>0</v>
      </c>
      <c r="U898" s="7" t="n">
        <f aca="false">IF(OR(C898="DHS",C898="MICS"),1,0)</f>
        <v>1</v>
      </c>
      <c r="V898" s="7" t="n">
        <f aca="false">IF(O898="",1,0)</f>
        <v>0</v>
      </c>
      <c r="W898" s="7" t="n">
        <f aca="false">IF(M898="",1,0)</f>
        <v>0</v>
      </c>
      <c r="X898" s="7" t="n">
        <f aca="false">COUNTIFS($B$2:$B$1141,B898,$H$2:$H$1141,H898,$I$2:$I$1141,I898,$J$2:$J$1141,J898,$K$2:$K$1141,K898,$L$2:$L$1141,L898)</f>
        <v>1</v>
      </c>
    </row>
    <row r="899" customFormat="false" ht="15" hidden="false" customHeight="false" outlineLevel="0" collapsed="false">
      <c r="A899" s="7" t="n">
        <f aca="false">ROW()-1</f>
        <v>898</v>
      </c>
      <c r="B899" s="7" t="str">
        <f aca="false">IF(Raw_Nigeria!B899="",TRIM(Raw_Nigeria!C899),TRIM(Raw_Nigeria!B899))</f>
        <v>Nigeria Multiple Indicator Cluster Survey 2021</v>
      </c>
      <c r="C899" s="7" t="str">
        <f aca="false">IF(ISNUMBER(SEARCH("Demographic and Health",B899)),"DHS",IF(OR(ISNUMBER(SEARCH("Multiple Indicator Cluster",B899)),ISNUMBER(SEARCH("MICS",B899))),"MICS",IF(ISNUMBER(SEARCH("Immunization Coverage Survey",B899)),"Coverage survey",IF(ISNUMBER(SEARCH("Nutrition",B899)),"Nutrition survey","Other"))))</f>
        <v>MICS</v>
      </c>
      <c r="D899" s="7" t="n">
        <f aca="false">VALUE(LEFT(Raw_Nigeria!D899,4))</f>
        <v>2021</v>
      </c>
      <c r="E899" s="7" t="n">
        <f aca="false">IF(VALUE(RIGHT(Raw_Nigeria!D899,2))&gt;12,"",VALUE(RIGHT(Raw_Nigeria!D899,2)))</f>
        <v>9</v>
      </c>
      <c r="F899" s="7" t="n">
        <f aca="false">VALUE(LEFT(Raw_Nigeria!E899,4))</f>
        <v>2021</v>
      </c>
      <c r="G899" s="7" t="n">
        <f aca="false">IF(VALUE(RIGHT(Raw_Nigeria!E899,2))&gt;12,"",VALUE(RIGHT(Raw_Nigeria!E899,2)))</f>
        <v>12</v>
      </c>
      <c r="H899" s="7" t="n">
        <f aca="false">Raw_Nigeria!F899</f>
        <v>2020</v>
      </c>
      <c r="I899" s="7" t="str">
        <f aca="false">UPPER(TRIM(Raw_Nigeria!G899))</f>
        <v>TT2+</v>
      </c>
      <c r="J899" s="7" t="str">
        <f aca="false">Raw_Nigeria!H899</f>
        <v>Record or Recall</v>
      </c>
      <c r="K899" s="7" t="str">
        <f aca="false">Raw_Nigeria!L899</f>
        <v>CBAW</v>
      </c>
      <c r="L899" s="7" t="str">
        <f aca="false">IF(Raw_Nigeria!K899="","n/a",Raw_Nigeria!K899)</f>
        <v>n/a</v>
      </c>
      <c r="M899" s="7" t="str">
        <f aca="false">IF(Raw_Nigeria!I899="","",Raw_Nigeria!I899)</f>
        <v/>
      </c>
      <c r="N899" s="7" t="n">
        <f aca="false">Raw_Nigeria!M899</f>
        <v>60.8</v>
      </c>
      <c r="O899" s="7" t="n">
        <f aca="false">IF(Raw_Nigeria!N899="","",Raw_Nigeria!N899)</f>
        <v>9813</v>
      </c>
      <c r="P899" s="7" t="str">
        <f aca="false">IF(K899="CBAW","Women of child-bearing age","Children")</f>
        <v>Women of child-bearing age</v>
      </c>
      <c r="Q899" s="7" t="n">
        <f aca="false">IF(J899="NOT USED",1,0)</f>
        <v>0</v>
      </c>
      <c r="R899" s="7" t="n">
        <f aca="false">IF(AND(P899="Children",Q899=0),1,0)</f>
        <v>0</v>
      </c>
      <c r="S899" s="7" t="n">
        <f aca="false">IF(AND(R899=1,J899="Record or Recall",K899="12-23 m"),1,0)</f>
        <v>0</v>
      </c>
      <c r="T899" s="7" t="n">
        <f aca="false">IF(OR(I899="BCG",I899="DTP1",I899="DTP3",I899="POL3",I899="MCV1",I899="FULL"),1,0)</f>
        <v>0</v>
      </c>
      <c r="U899" s="7" t="n">
        <f aca="false">IF(OR(C899="DHS",C899="MICS"),1,0)</f>
        <v>1</v>
      </c>
      <c r="V899" s="7" t="n">
        <f aca="false">IF(O899="",1,0)</f>
        <v>0</v>
      </c>
      <c r="W899" s="7" t="n">
        <f aca="false">IF(M899="",1,0)</f>
        <v>1</v>
      </c>
      <c r="X899" s="7" t="n">
        <f aca="false">COUNTIFS($B$2:$B$1141,B899,$H$2:$H$1141,H899,$I$2:$I$1141,I899,$J$2:$J$1141,J899,$K$2:$K$1141,K899,$L$2:$L$1141,L899)</f>
        <v>1</v>
      </c>
    </row>
    <row r="900" customFormat="false" ht="15" hidden="false" customHeight="false" outlineLevel="0" collapsed="false">
      <c r="A900" s="7" t="n">
        <f aca="false">ROW()-1</f>
        <v>899</v>
      </c>
      <c r="B900" s="7" t="str">
        <f aca="false">IF(Raw_Nigeria!B900="",TRIM(Raw_Nigeria!C900),TRIM(Raw_Nigeria!B900))</f>
        <v>Nigeria Multiple Indicator Cluster Survey 2021</v>
      </c>
      <c r="C900" s="7" t="str">
        <f aca="false">IF(ISNUMBER(SEARCH("Demographic and Health",B900)),"DHS",IF(OR(ISNUMBER(SEARCH("Multiple Indicator Cluster",B900)),ISNUMBER(SEARCH("MICS",B900))),"MICS",IF(ISNUMBER(SEARCH("Immunization Coverage Survey",B900)),"Coverage survey",IF(ISNUMBER(SEARCH("Nutrition",B900)),"Nutrition survey","Other"))))</f>
        <v>MICS</v>
      </c>
      <c r="D900" s="7" t="n">
        <f aca="false">VALUE(LEFT(Raw_Nigeria!D900,4))</f>
        <v>2021</v>
      </c>
      <c r="E900" s="7" t="n">
        <f aca="false">IF(VALUE(RIGHT(Raw_Nigeria!D900,2))&gt;12,"",VALUE(RIGHT(Raw_Nigeria!D900,2)))</f>
        <v>9</v>
      </c>
      <c r="F900" s="7" t="n">
        <f aca="false">VALUE(LEFT(Raw_Nigeria!E900,4))</f>
        <v>2021</v>
      </c>
      <c r="G900" s="7" t="n">
        <f aca="false">IF(VALUE(RIGHT(Raw_Nigeria!E900,2))&gt;12,"",VALUE(RIGHT(Raw_Nigeria!E900,2)))</f>
        <v>12</v>
      </c>
      <c r="H900" s="7" t="n">
        <f aca="false">Raw_Nigeria!F900</f>
        <v>2020</v>
      </c>
      <c r="I900" s="7" t="str">
        <f aca="false">UPPER(TRIM(Raw_Nigeria!G900))</f>
        <v>TT3</v>
      </c>
      <c r="J900" s="7" t="str">
        <f aca="false">Raw_Nigeria!H900</f>
        <v>Record or Recall</v>
      </c>
      <c r="K900" s="7" t="str">
        <f aca="false">Raw_Nigeria!L900</f>
        <v>CBAW</v>
      </c>
      <c r="L900" s="7" t="str">
        <f aca="false">IF(Raw_Nigeria!K900="","n/a",Raw_Nigeria!K900)</f>
        <v>n/a</v>
      </c>
      <c r="M900" s="7" t="str">
        <f aca="false">IF(Raw_Nigeria!I900="","",Raw_Nigeria!I900)</f>
        <v/>
      </c>
      <c r="N900" s="7" t="n">
        <f aca="false">Raw_Nigeria!M900</f>
        <v>8.2</v>
      </c>
      <c r="O900" s="7" t="n">
        <f aca="false">IF(Raw_Nigeria!N900="","",Raw_Nigeria!N900)</f>
        <v>9813</v>
      </c>
      <c r="P900" s="7" t="str">
        <f aca="false">IF(K900="CBAW","Women of child-bearing age","Children")</f>
        <v>Women of child-bearing age</v>
      </c>
      <c r="Q900" s="7" t="n">
        <f aca="false">IF(J900="NOT USED",1,0)</f>
        <v>0</v>
      </c>
      <c r="R900" s="7" t="n">
        <f aca="false">IF(AND(P900="Children",Q900=0),1,0)</f>
        <v>0</v>
      </c>
      <c r="S900" s="7" t="n">
        <f aca="false">IF(AND(R900=1,J900="Record or Recall",K900="12-23 m"),1,0)</f>
        <v>0</v>
      </c>
      <c r="T900" s="7" t="n">
        <f aca="false">IF(OR(I900="BCG",I900="DTP1",I900="DTP3",I900="POL3",I900="MCV1",I900="FULL"),1,0)</f>
        <v>0</v>
      </c>
      <c r="U900" s="7" t="n">
        <f aca="false">IF(OR(C900="DHS",C900="MICS"),1,0)</f>
        <v>1</v>
      </c>
      <c r="V900" s="7" t="n">
        <f aca="false">IF(O900="",1,0)</f>
        <v>0</v>
      </c>
      <c r="W900" s="7" t="n">
        <f aca="false">IF(M900="",1,0)</f>
        <v>1</v>
      </c>
      <c r="X900" s="7" t="n">
        <f aca="false">COUNTIFS($B$2:$B$1141,B900,$H$2:$H$1141,H900,$I$2:$I$1141,I900,$J$2:$J$1141,J900,$K$2:$K$1141,K900,$L$2:$L$1141,L900)</f>
        <v>1</v>
      </c>
    </row>
    <row r="901" customFormat="false" ht="15" hidden="false" customHeight="false" outlineLevel="0" collapsed="false">
      <c r="A901" s="7" t="n">
        <f aca="false">ROW()-1</f>
        <v>900</v>
      </c>
      <c r="B901" s="7" t="str">
        <f aca="false">IF(Raw_Nigeria!B901="",TRIM(Raw_Nigeria!C901),TRIM(Raw_Nigeria!B901))</f>
        <v>Nigeria Multiple Indicator Cluster Survey 2021</v>
      </c>
      <c r="C901" s="7" t="str">
        <f aca="false">IF(ISNUMBER(SEARCH("Demographic and Health",B901)),"DHS",IF(OR(ISNUMBER(SEARCH("Multiple Indicator Cluster",B901)),ISNUMBER(SEARCH("MICS",B901))),"MICS",IF(ISNUMBER(SEARCH("Immunization Coverage Survey",B901)),"Coverage survey",IF(ISNUMBER(SEARCH("Nutrition",B901)),"Nutrition survey","Other"))))</f>
        <v>MICS</v>
      </c>
      <c r="D901" s="7" t="n">
        <f aca="false">VALUE(LEFT(Raw_Nigeria!D901,4))</f>
        <v>2021</v>
      </c>
      <c r="E901" s="7" t="n">
        <f aca="false">IF(VALUE(RIGHT(Raw_Nigeria!D901,2))&gt;12,"",VALUE(RIGHT(Raw_Nigeria!D901,2)))</f>
        <v>9</v>
      </c>
      <c r="F901" s="7" t="n">
        <f aca="false">VALUE(LEFT(Raw_Nigeria!E901,4))</f>
        <v>2021</v>
      </c>
      <c r="G901" s="7" t="n">
        <f aca="false">IF(VALUE(RIGHT(Raw_Nigeria!E901,2))&gt;12,"",VALUE(RIGHT(Raw_Nigeria!E901,2)))</f>
        <v>12</v>
      </c>
      <c r="H901" s="7" t="n">
        <f aca="false">Raw_Nigeria!F901</f>
        <v>2020</v>
      </c>
      <c r="I901" s="7" t="str">
        <f aca="false">UPPER(TRIM(Raw_Nigeria!G901))</f>
        <v>TTT5</v>
      </c>
      <c r="J901" s="7" t="str">
        <f aca="false">Raw_Nigeria!H901</f>
        <v>Record or Recall</v>
      </c>
      <c r="K901" s="7" t="str">
        <f aca="false">Raw_Nigeria!L901</f>
        <v>CBAW</v>
      </c>
      <c r="L901" s="7" t="str">
        <f aca="false">IF(Raw_Nigeria!K901="","n/a",Raw_Nigeria!K901)</f>
        <v>n/a</v>
      </c>
      <c r="M901" s="7" t="str">
        <f aca="false">IF(Raw_Nigeria!I901="","",Raw_Nigeria!I901)</f>
        <v/>
      </c>
      <c r="N901" s="7" t="n">
        <f aca="false">Raw_Nigeria!M901</f>
        <v>0.6</v>
      </c>
      <c r="O901" s="7" t="n">
        <f aca="false">IF(Raw_Nigeria!N901="","",Raw_Nigeria!N901)</f>
        <v>9813</v>
      </c>
      <c r="P901" s="7" t="str">
        <f aca="false">IF(K901="CBAW","Women of child-bearing age","Children")</f>
        <v>Women of child-bearing age</v>
      </c>
      <c r="Q901" s="7" t="n">
        <f aca="false">IF(J901="NOT USED",1,0)</f>
        <v>0</v>
      </c>
      <c r="R901" s="7" t="n">
        <f aca="false">IF(AND(P901="Children",Q901=0),1,0)</f>
        <v>0</v>
      </c>
      <c r="S901" s="7" t="n">
        <f aca="false">IF(AND(R901=1,J901="Record or Recall",K901="12-23 m"),1,0)</f>
        <v>0</v>
      </c>
      <c r="T901" s="7" t="n">
        <f aca="false">IF(OR(I901="BCG",I901="DTP1",I901="DTP3",I901="POL3",I901="MCV1",I901="FULL"),1,0)</f>
        <v>0</v>
      </c>
      <c r="U901" s="7" t="n">
        <f aca="false">IF(OR(C901="DHS",C901="MICS"),1,0)</f>
        <v>1</v>
      </c>
      <c r="V901" s="7" t="n">
        <f aca="false">IF(O901="",1,0)</f>
        <v>0</v>
      </c>
      <c r="W901" s="7" t="n">
        <f aca="false">IF(M901="",1,0)</f>
        <v>1</v>
      </c>
      <c r="X901" s="7" t="n">
        <f aca="false">COUNTIFS($B$2:$B$1141,B901,$H$2:$H$1141,H901,$I$2:$I$1141,I901,$J$2:$J$1141,J901,$K$2:$K$1141,K901,$L$2:$L$1141,L901)</f>
        <v>1</v>
      </c>
    </row>
    <row r="902" customFormat="false" ht="15" hidden="false" customHeight="false" outlineLevel="0" collapsed="false">
      <c r="A902" s="7" t="n">
        <f aca="false">ROW()-1</f>
        <v>901</v>
      </c>
      <c r="B902" s="7" t="str">
        <f aca="false">IF(Raw_Nigeria!B902="",TRIM(Raw_Nigeria!C902),TRIM(Raw_Nigeria!B902))</f>
        <v>Nigeria Multiple Indicator Cluster Survey 2021</v>
      </c>
      <c r="C902" s="7" t="str">
        <f aca="false">IF(ISNUMBER(SEARCH("Demographic and Health",B902)),"DHS",IF(OR(ISNUMBER(SEARCH("Multiple Indicator Cluster",B902)),ISNUMBER(SEARCH("MICS",B902))),"MICS",IF(ISNUMBER(SEARCH("Immunization Coverage Survey",B902)),"Coverage survey",IF(ISNUMBER(SEARCH("Nutrition",B902)),"Nutrition survey","Other"))))</f>
        <v>MICS</v>
      </c>
      <c r="D902" s="7" t="n">
        <f aca="false">VALUE(LEFT(Raw_Nigeria!D902,4))</f>
        <v>2021</v>
      </c>
      <c r="E902" s="7" t="n">
        <f aca="false">IF(VALUE(RIGHT(Raw_Nigeria!D902,2))&gt;12,"",VALUE(RIGHT(Raw_Nigeria!D902,2)))</f>
        <v>9</v>
      </c>
      <c r="F902" s="7" t="n">
        <f aca="false">VALUE(LEFT(Raw_Nigeria!E902,4))</f>
        <v>2021</v>
      </c>
      <c r="G902" s="7" t="n">
        <f aca="false">IF(VALUE(RIGHT(Raw_Nigeria!E902,2))&gt;12,"",VALUE(RIGHT(Raw_Nigeria!E902,2)))</f>
        <v>12</v>
      </c>
      <c r="H902" s="7" t="n">
        <f aca="false">Raw_Nigeria!F902</f>
        <v>2020</v>
      </c>
      <c r="I902" s="7" t="str">
        <f aca="false">UPPER(TRIM(Raw_Nigeria!G902))</f>
        <v>TTTT10</v>
      </c>
      <c r="J902" s="7" t="str">
        <f aca="false">Raw_Nigeria!H902</f>
        <v>Record or Recall</v>
      </c>
      <c r="K902" s="7" t="str">
        <f aca="false">Raw_Nigeria!L902</f>
        <v>CBAW</v>
      </c>
      <c r="L902" s="7" t="str">
        <f aca="false">IF(Raw_Nigeria!K902="","n/a",Raw_Nigeria!K902)</f>
        <v>n/a</v>
      </c>
      <c r="M902" s="7" t="str">
        <f aca="false">IF(Raw_Nigeria!I902="","",Raw_Nigeria!I902)</f>
        <v/>
      </c>
      <c r="N902" s="7" t="n">
        <f aca="false">Raw_Nigeria!M902</f>
        <v>0.4</v>
      </c>
      <c r="O902" s="7" t="n">
        <f aca="false">IF(Raw_Nigeria!N902="","",Raw_Nigeria!N902)</f>
        <v>9813</v>
      </c>
      <c r="P902" s="7" t="str">
        <f aca="false">IF(K902="CBAW","Women of child-bearing age","Children")</f>
        <v>Women of child-bearing age</v>
      </c>
      <c r="Q902" s="7" t="n">
        <f aca="false">IF(J902="NOT USED",1,0)</f>
        <v>0</v>
      </c>
      <c r="R902" s="7" t="n">
        <f aca="false">IF(AND(P902="Children",Q902=0),1,0)</f>
        <v>0</v>
      </c>
      <c r="S902" s="7" t="n">
        <f aca="false">IF(AND(R902=1,J902="Record or Recall",K902="12-23 m"),1,0)</f>
        <v>0</v>
      </c>
      <c r="T902" s="7" t="n">
        <f aca="false">IF(OR(I902="BCG",I902="DTP1",I902="DTP3",I902="POL3",I902="MCV1",I902="FULL"),1,0)</f>
        <v>0</v>
      </c>
      <c r="U902" s="7" t="n">
        <f aca="false">IF(OR(C902="DHS",C902="MICS"),1,0)</f>
        <v>1</v>
      </c>
      <c r="V902" s="7" t="n">
        <f aca="false">IF(O902="",1,0)</f>
        <v>0</v>
      </c>
      <c r="W902" s="7" t="n">
        <f aca="false">IF(M902="",1,0)</f>
        <v>1</v>
      </c>
      <c r="X902" s="7" t="n">
        <f aca="false">COUNTIFS($B$2:$B$1141,B902,$H$2:$H$1141,H902,$I$2:$I$1141,I902,$J$2:$J$1141,J902,$K$2:$K$1141,K902,$L$2:$L$1141,L902)</f>
        <v>1</v>
      </c>
    </row>
    <row r="903" customFormat="false" ht="15" hidden="false" customHeight="false" outlineLevel="0" collapsed="false">
      <c r="A903" s="7" t="n">
        <f aca="false">ROW()-1</f>
        <v>902</v>
      </c>
      <c r="B903" s="7" t="str">
        <f aca="false">IF(Raw_Nigeria!B903="",TRIM(Raw_Nigeria!C903),TRIM(Raw_Nigeria!B903))</f>
        <v>Nigeria Multiple Indicator Cluster Survey 2021</v>
      </c>
      <c r="C903" s="7" t="str">
        <f aca="false">IF(ISNUMBER(SEARCH("Demographic and Health",B903)),"DHS",IF(OR(ISNUMBER(SEARCH("Multiple Indicator Cluster",B903)),ISNUMBER(SEARCH("MICS",B903))),"MICS",IF(ISNUMBER(SEARCH("Immunization Coverage Survey",B903)),"Coverage survey",IF(ISNUMBER(SEARCH("Nutrition",B903)),"Nutrition survey","Other"))))</f>
        <v>MICS</v>
      </c>
      <c r="D903" s="7" t="n">
        <f aca="false">VALUE(LEFT(Raw_Nigeria!D903,4))</f>
        <v>2021</v>
      </c>
      <c r="E903" s="7" t="n">
        <f aca="false">IF(VALUE(RIGHT(Raw_Nigeria!D903,2))&gt;12,"",VALUE(RIGHT(Raw_Nigeria!D903,2)))</f>
        <v>9</v>
      </c>
      <c r="F903" s="7" t="n">
        <f aca="false">VALUE(LEFT(Raw_Nigeria!E903,4))</f>
        <v>2021</v>
      </c>
      <c r="G903" s="7" t="n">
        <f aca="false">IF(VALUE(RIGHT(Raw_Nigeria!E903,2))&gt;12,"",VALUE(RIGHT(Raw_Nigeria!E903,2)))</f>
        <v>12</v>
      </c>
      <c r="H903" s="7" t="n">
        <f aca="false">Raw_Nigeria!F903</f>
        <v>2020</v>
      </c>
      <c r="I903" s="7" t="str">
        <f aca="false">UPPER(TRIM(Raw_Nigeria!G903))</f>
        <v>TTTTT+</v>
      </c>
      <c r="J903" s="7" t="str">
        <f aca="false">Raw_Nigeria!H903</f>
        <v>Record or Recall</v>
      </c>
      <c r="K903" s="7" t="str">
        <f aca="false">Raw_Nigeria!L903</f>
        <v>CBAW</v>
      </c>
      <c r="L903" s="7" t="str">
        <f aca="false">IF(Raw_Nigeria!K903="","n/a",Raw_Nigeria!K903)</f>
        <v>n/a</v>
      </c>
      <c r="M903" s="7" t="str">
        <f aca="false">IF(Raw_Nigeria!I903="","",Raw_Nigeria!I903)</f>
        <v/>
      </c>
      <c r="N903" s="7" t="n">
        <f aca="false">Raw_Nigeria!M903</f>
        <v>0.1</v>
      </c>
      <c r="O903" s="7" t="n">
        <f aca="false">IF(Raw_Nigeria!N903="","",Raw_Nigeria!N903)</f>
        <v>9813</v>
      </c>
      <c r="P903" s="7" t="str">
        <f aca="false">IF(K903="CBAW","Women of child-bearing age","Children")</f>
        <v>Women of child-bearing age</v>
      </c>
      <c r="Q903" s="7" t="n">
        <f aca="false">IF(J903="NOT USED",1,0)</f>
        <v>0</v>
      </c>
      <c r="R903" s="7" t="n">
        <f aca="false">IF(AND(P903="Children",Q903=0),1,0)</f>
        <v>0</v>
      </c>
      <c r="S903" s="7" t="n">
        <f aca="false">IF(AND(R903=1,J903="Record or Recall",K903="12-23 m"),1,0)</f>
        <v>0</v>
      </c>
      <c r="T903" s="7" t="n">
        <f aca="false">IF(OR(I903="BCG",I903="DTP1",I903="DTP3",I903="POL3",I903="MCV1",I903="FULL"),1,0)</f>
        <v>0</v>
      </c>
      <c r="U903" s="7" t="n">
        <f aca="false">IF(OR(C903="DHS",C903="MICS"),1,0)</f>
        <v>1</v>
      </c>
      <c r="V903" s="7" t="n">
        <f aca="false">IF(O903="",1,0)</f>
        <v>0</v>
      </c>
      <c r="W903" s="7" t="n">
        <f aca="false">IF(M903="",1,0)</f>
        <v>1</v>
      </c>
      <c r="X903" s="7" t="n">
        <f aca="false">COUNTIFS($B$2:$B$1141,B903,$H$2:$H$1141,H903,$I$2:$I$1141,I903,$J$2:$J$1141,J903,$K$2:$K$1141,K903,$L$2:$L$1141,L903)</f>
        <v>1</v>
      </c>
    </row>
    <row r="904" customFormat="false" ht="15" hidden="false" customHeight="false" outlineLevel="0" collapsed="false">
      <c r="A904" s="7" t="n">
        <f aca="false">ROW()-1</f>
        <v>903</v>
      </c>
      <c r="B904" s="7" t="str">
        <f aca="false">IF(Raw_Nigeria!B904="",TRIM(Raw_Nigeria!C904),TRIM(Raw_Nigeria!B904))</f>
        <v>Nigeria Multiple Indicator Cluster Survey 2021</v>
      </c>
      <c r="C904" s="7" t="str">
        <f aca="false">IF(ISNUMBER(SEARCH("Demographic and Health",B904)),"DHS",IF(OR(ISNUMBER(SEARCH("Multiple Indicator Cluster",B904)),ISNUMBER(SEARCH("MICS",B904))),"MICS",IF(ISNUMBER(SEARCH("Immunization Coverage Survey",B904)),"Coverage survey",IF(ISNUMBER(SEARCH("Nutrition",B904)),"Nutrition survey","Other"))))</f>
        <v>MICS</v>
      </c>
      <c r="D904" s="7" t="n">
        <f aca="false">VALUE(LEFT(Raw_Nigeria!D904,4))</f>
        <v>2021</v>
      </c>
      <c r="E904" s="7" t="n">
        <f aca="false">IF(VALUE(RIGHT(Raw_Nigeria!D904,2))&gt;12,"",VALUE(RIGHT(Raw_Nigeria!D904,2)))</f>
        <v>9</v>
      </c>
      <c r="F904" s="7" t="n">
        <f aca="false">VALUE(LEFT(Raw_Nigeria!E904,4))</f>
        <v>2021</v>
      </c>
      <c r="G904" s="7" t="n">
        <f aca="false">IF(VALUE(RIGHT(Raw_Nigeria!E904,2))&gt;12,"",VALUE(RIGHT(Raw_Nigeria!E904,2)))</f>
        <v>12</v>
      </c>
      <c r="H904" s="7" t="n">
        <f aca="false">Raw_Nigeria!F904</f>
        <v>2020</v>
      </c>
      <c r="I904" s="7" t="str">
        <f aca="false">UPPER(TRIM(Raw_Nigeria!G904))</f>
        <v>YFV</v>
      </c>
      <c r="J904" s="7" t="str">
        <f aca="false">Raw_Nigeria!H904</f>
        <v>Record</v>
      </c>
      <c r="K904" s="7" t="str">
        <f aca="false">Raw_Nigeria!L904</f>
        <v>12-23 m</v>
      </c>
      <c r="L904" s="7" t="str">
        <f aca="false">IF(Raw_Nigeria!K904="","n/a",Raw_Nigeria!K904)</f>
        <v>0-23 m</v>
      </c>
      <c r="M904" s="7" t="n">
        <f aca="false">IF(Raw_Nigeria!I904="","",Raw_Nigeria!I904)</f>
        <v>56</v>
      </c>
      <c r="N904" s="7" t="n">
        <f aca="false">Raw_Nigeria!M904</f>
        <v>40.8</v>
      </c>
      <c r="O904" s="7" t="n">
        <f aca="false">IF(Raw_Nigeria!N904="","",Raw_Nigeria!N904)</f>
        <v>3163</v>
      </c>
      <c r="P904" s="7" t="str">
        <f aca="false">IF(K904="CBAW","Women of child-bearing age","Children")</f>
        <v>Children</v>
      </c>
      <c r="Q904" s="7" t="n">
        <f aca="false">IF(J904="NOT USED",1,0)</f>
        <v>0</v>
      </c>
      <c r="R904" s="7" t="n">
        <f aca="false">IF(AND(P904="Children",Q904=0),1,0)</f>
        <v>1</v>
      </c>
      <c r="S904" s="7" t="n">
        <f aca="false">IF(AND(R904=1,J904="Record or Recall",K904="12-23 m"),1,0)</f>
        <v>0</v>
      </c>
      <c r="T904" s="7" t="n">
        <f aca="false">IF(OR(I904="BCG",I904="DTP1",I904="DTP3",I904="POL3",I904="MCV1",I904="FULL"),1,0)</f>
        <v>0</v>
      </c>
      <c r="U904" s="7" t="n">
        <f aca="false">IF(OR(C904="DHS",C904="MICS"),1,0)</f>
        <v>1</v>
      </c>
      <c r="V904" s="7" t="n">
        <f aca="false">IF(O904="",1,0)</f>
        <v>0</v>
      </c>
      <c r="W904" s="7" t="n">
        <f aca="false">IF(M904="",1,0)</f>
        <v>0</v>
      </c>
      <c r="X904" s="7" t="n">
        <f aca="false">COUNTIFS($B$2:$B$1141,B904,$H$2:$H$1141,H904,$I$2:$I$1141,I904,$J$2:$J$1141,J904,$K$2:$K$1141,K904,$L$2:$L$1141,L904)</f>
        <v>1</v>
      </c>
    </row>
    <row r="905" customFormat="false" ht="15" hidden="false" customHeight="false" outlineLevel="0" collapsed="false">
      <c r="A905" s="7" t="n">
        <f aca="false">ROW()-1</f>
        <v>904</v>
      </c>
      <c r="B905" s="7" t="str">
        <f aca="false">IF(Raw_Nigeria!B905="",TRIM(Raw_Nigeria!C905),TRIM(Raw_Nigeria!B905))</f>
        <v>Nigeria Multiple Indicator Cluster Survey 2021</v>
      </c>
      <c r="C905" s="7" t="str">
        <f aca="false">IF(ISNUMBER(SEARCH("Demographic and Health",B905)),"DHS",IF(OR(ISNUMBER(SEARCH("Multiple Indicator Cluster",B905)),ISNUMBER(SEARCH("MICS",B905))),"MICS",IF(ISNUMBER(SEARCH("Immunization Coverage Survey",B905)),"Coverage survey",IF(ISNUMBER(SEARCH("Nutrition",B905)),"Nutrition survey","Other"))))</f>
        <v>MICS</v>
      </c>
      <c r="D905" s="7" t="n">
        <f aca="false">VALUE(LEFT(Raw_Nigeria!D905,4))</f>
        <v>2021</v>
      </c>
      <c r="E905" s="7" t="n">
        <f aca="false">IF(VALUE(RIGHT(Raw_Nigeria!D905,2))&gt;12,"",VALUE(RIGHT(Raw_Nigeria!D905,2)))</f>
        <v>9</v>
      </c>
      <c r="F905" s="7" t="n">
        <f aca="false">VALUE(LEFT(Raw_Nigeria!E905,4))</f>
        <v>2021</v>
      </c>
      <c r="G905" s="7" t="n">
        <f aca="false">IF(VALUE(RIGHT(Raw_Nigeria!E905,2))&gt;12,"",VALUE(RIGHT(Raw_Nigeria!E905,2)))</f>
        <v>12</v>
      </c>
      <c r="H905" s="7" t="n">
        <f aca="false">Raw_Nigeria!F905</f>
        <v>2020</v>
      </c>
      <c r="I905" s="7" t="str">
        <f aca="false">UPPER(TRIM(Raw_Nigeria!G905))</f>
        <v>YFV</v>
      </c>
      <c r="J905" s="7" t="str">
        <f aca="false">Raw_Nigeria!H905</f>
        <v>Record or Recall</v>
      </c>
      <c r="K905" s="7" t="str">
        <f aca="false">Raw_Nigeria!L905</f>
        <v>12-23 m</v>
      </c>
      <c r="L905" s="7" t="str">
        <f aca="false">IF(Raw_Nigeria!K905="","n/a",Raw_Nigeria!K905)</f>
        <v>0-23 m</v>
      </c>
      <c r="M905" s="7" t="n">
        <f aca="false">IF(Raw_Nigeria!I905="","",Raw_Nigeria!I905)</f>
        <v>56</v>
      </c>
      <c r="N905" s="7" t="n">
        <f aca="false">Raw_Nigeria!M905</f>
        <v>58.9</v>
      </c>
      <c r="O905" s="7" t="n">
        <f aca="false">IF(Raw_Nigeria!N905="","",Raw_Nigeria!N905)</f>
        <v>5652</v>
      </c>
      <c r="P905" s="7" t="str">
        <f aca="false">IF(K905="CBAW","Women of child-bearing age","Children")</f>
        <v>Children</v>
      </c>
      <c r="Q905" s="7" t="n">
        <f aca="false">IF(J905="NOT USED",1,0)</f>
        <v>0</v>
      </c>
      <c r="R905" s="7" t="n">
        <f aca="false">IF(AND(P905="Children",Q905=0),1,0)</f>
        <v>1</v>
      </c>
      <c r="S905" s="7" t="n">
        <f aca="false">IF(AND(R905=1,J905="Record or Recall",K905="12-23 m"),1,0)</f>
        <v>1</v>
      </c>
      <c r="T905" s="7" t="n">
        <f aca="false">IF(OR(I905="BCG",I905="DTP1",I905="DTP3",I905="POL3",I905="MCV1",I905="FULL"),1,0)</f>
        <v>0</v>
      </c>
      <c r="U905" s="7" t="n">
        <f aca="false">IF(OR(C905="DHS",C905="MICS"),1,0)</f>
        <v>1</v>
      </c>
      <c r="V905" s="7" t="n">
        <f aca="false">IF(O905="",1,0)</f>
        <v>0</v>
      </c>
      <c r="W905" s="7" t="n">
        <f aca="false">IF(M905="",1,0)</f>
        <v>0</v>
      </c>
      <c r="X905" s="7" t="n">
        <f aca="false">COUNTIFS($B$2:$B$1141,B905,$H$2:$H$1141,H905,$I$2:$I$1141,I905,$J$2:$J$1141,J905,$K$2:$K$1141,K905,$L$2:$L$1141,L905)</f>
        <v>1</v>
      </c>
    </row>
    <row r="906" customFormat="false" ht="15" hidden="false" customHeight="false" outlineLevel="0" collapsed="false">
      <c r="A906" s="7" t="n">
        <f aca="false">ROW()-1</f>
        <v>905</v>
      </c>
      <c r="B906" s="7" t="str">
        <f aca="false">IF(Raw_Nigeria!B906="",TRIM(Raw_Nigeria!C906),TRIM(Raw_Nigeria!B906))</f>
        <v>Nigeria Multiple Indicator Cluster Survey 2021</v>
      </c>
      <c r="C906" s="7" t="str">
        <f aca="false">IF(ISNUMBER(SEARCH("Demographic and Health",B906)),"DHS",IF(OR(ISNUMBER(SEARCH("Multiple Indicator Cluster",B906)),ISNUMBER(SEARCH("MICS",B906))),"MICS",IF(ISNUMBER(SEARCH("Immunization Coverage Survey",B906)),"Coverage survey",IF(ISNUMBER(SEARCH("Nutrition",B906)),"Nutrition survey","Other"))))</f>
        <v>MICS</v>
      </c>
      <c r="D906" s="7" t="n">
        <f aca="false">VALUE(LEFT(Raw_Nigeria!D906,4))</f>
        <v>2021</v>
      </c>
      <c r="E906" s="7" t="n">
        <f aca="false">IF(VALUE(RIGHT(Raw_Nigeria!D906,2))&gt;12,"",VALUE(RIGHT(Raw_Nigeria!D906,2)))</f>
        <v>9</v>
      </c>
      <c r="F906" s="7" t="n">
        <f aca="false">VALUE(LEFT(Raw_Nigeria!E906,4))</f>
        <v>2021</v>
      </c>
      <c r="G906" s="7" t="n">
        <f aca="false">IF(VALUE(RIGHT(Raw_Nigeria!E906,2))&gt;12,"",VALUE(RIGHT(Raw_Nigeria!E906,2)))</f>
        <v>12</v>
      </c>
      <c r="H906" s="7" t="n">
        <f aca="false">Raw_Nigeria!F906</f>
        <v>2020</v>
      </c>
      <c r="I906" s="7" t="str">
        <f aca="false">UPPER(TRIM(Raw_Nigeria!G906))</f>
        <v>YFV</v>
      </c>
      <c r="J906" s="7" t="str">
        <f aca="false">Raw_Nigeria!H906</f>
        <v>Recall</v>
      </c>
      <c r="K906" s="7" t="str">
        <f aca="false">Raw_Nigeria!L906</f>
        <v>12-23 m</v>
      </c>
      <c r="L906" s="7" t="str">
        <f aca="false">IF(Raw_Nigeria!K906="","n/a",Raw_Nigeria!K906)</f>
        <v>0-23 m</v>
      </c>
      <c r="M906" s="7" t="n">
        <f aca="false">IF(Raw_Nigeria!I906="","",Raw_Nigeria!I906)</f>
        <v>56</v>
      </c>
      <c r="N906" s="7" t="n">
        <f aca="false">Raw_Nigeria!M906</f>
        <v>18.1</v>
      </c>
      <c r="O906" s="7" t="n">
        <f aca="false">IF(Raw_Nigeria!N906="","",Raw_Nigeria!N906)</f>
        <v>2489</v>
      </c>
      <c r="P906" s="7" t="str">
        <f aca="false">IF(K906="CBAW","Women of child-bearing age","Children")</f>
        <v>Children</v>
      </c>
      <c r="Q906" s="7" t="n">
        <f aca="false">IF(J906="NOT USED",1,0)</f>
        <v>0</v>
      </c>
      <c r="R906" s="7" t="n">
        <f aca="false">IF(AND(P906="Children",Q906=0),1,0)</f>
        <v>1</v>
      </c>
      <c r="S906" s="7" t="n">
        <f aca="false">IF(AND(R906=1,J906="Record or Recall",K906="12-23 m"),1,0)</f>
        <v>0</v>
      </c>
      <c r="T906" s="7" t="n">
        <f aca="false">IF(OR(I906="BCG",I906="DTP1",I906="DTP3",I906="POL3",I906="MCV1",I906="FULL"),1,0)</f>
        <v>0</v>
      </c>
      <c r="U906" s="7" t="n">
        <f aca="false">IF(OR(C906="DHS",C906="MICS"),1,0)</f>
        <v>1</v>
      </c>
      <c r="V906" s="7" t="n">
        <f aca="false">IF(O906="",1,0)</f>
        <v>0</v>
      </c>
      <c r="W906" s="7" t="n">
        <f aca="false">IF(M906="",1,0)</f>
        <v>0</v>
      </c>
      <c r="X906" s="7" t="n">
        <f aca="false">COUNTIFS($B$2:$B$1141,B906,$H$2:$H$1141,H906,$I$2:$I$1141,I906,$J$2:$J$1141,J906,$K$2:$K$1141,K906,$L$2:$L$1141,L906)</f>
        <v>1</v>
      </c>
    </row>
    <row r="907" customFormat="false" ht="15" hidden="false" customHeight="false" outlineLevel="0" collapsed="false">
      <c r="A907" s="7" t="n">
        <f aca="false">ROW()-1</f>
        <v>906</v>
      </c>
      <c r="B907" s="7" t="str">
        <f aca="false">IF(Raw_Nigeria!B907="",TRIM(Raw_Nigeria!C907),TRIM(Raw_Nigeria!B907))</f>
        <v>Nigeria Multiple Indicator Cluster Survey 2021</v>
      </c>
      <c r="C907" s="7" t="str">
        <f aca="false">IF(ISNUMBER(SEARCH("Demographic and Health",B907)),"DHS",IF(OR(ISNUMBER(SEARCH("Multiple Indicator Cluster",B907)),ISNUMBER(SEARCH("MICS",B907))),"MICS",IF(ISNUMBER(SEARCH("Immunization Coverage Survey",B907)),"Coverage survey",IF(ISNUMBER(SEARCH("Nutrition",B907)),"Nutrition survey","Other"))))</f>
        <v>MICS</v>
      </c>
      <c r="D907" s="7" t="n">
        <f aca="false">VALUE(LEFT(Raw_Nigeria!D907,4))</f>
        <v>2021</v>
      </c>
      <c r="E907" s="7" t="n">
        <f aca="false">IF(VALUE(RIGHT(Raw_Nigeria!D907,2))&gt;12,"",VALUE(RIGHT(Raw_Nigeria!D907,2)))</f>
        <v>9</v>
      </c>
      <c r="F907" s="7" t="n">
        <f aca="false">VALUE(LEFT(Raw_Nigeria!E907,4))</f>
        <v>2021</v>
      </c>
      <c r="G907" s="7" t="n">
        <f aca="false">IF(VALUE(RIGHT(Raw_Nigeria!E907,2))&gt;12,"",VALUE(RIGHT(Raw_Nigeria!E907,2)))</f>
        <v>12</v>
      </c>
      <c r="H907" s="7" t="n">
        <f aca="false">Raw_Nigeria!F907</f>
        <v>2020</v>
      </c>
      <c r="I907" s="7" t="str">
        <f aca="false">UPPER(TRIM(Raw_Nigeria!G907))</f>
        <v>YFV</v>
      </c>
      <c r="J907" s="7" t="str">
        <f aca="false">Raw_Nigeria!H907</f>
        <v>Record or Recall&lt;12m</v>
      </c>
      <c r="K907" s="7" t="str">
        <f aca="false">Raw_Nigeria!L907</f>
        <v>12-23 m</v>
      </c>
      <c r="L907" s="7" t="str">
        <f aca="false">IF(Raw_Nigeria!K907="","n/a",Raw_Nigeria!K907)</f>
        <v>0-12 m</v>
      </c>
      <c r="M907" s="7" t="n">
        <f aca="false">IF(Raw_Nigeria!I907="","",Raw_Nigeria!I907)</f>
        <v>56</v>
      </c>
      <c r="N907" s="7" t="n">
        <f aca="false">Raw_Nigeria!M907</f>
        <v>53.9</v>
      </c>
      <c r="O907" s="7" t="str">
        <f aca="false">IF(Raw_Nigeria!N907="","",Raw_Nigeria!N907)</f>
        <v/>
      </c>
      <c r="P907" s="7" t="str">
        <f aca="false">IF(K907="CBAW","Women of child-bearing age","Children")</f>
        <v>Children</v>
      </c>
      <c r="Q907" s="7" t="n">
        <f aca="false">IF(J907="NOT USED",1,0)</f>
        <v>0</v>
      </c>
      <c r="R907" s="7" t="n">
        <f aca="false">IF(AND(P907="Children",Q907=0),1,0)</f>
        <v>1</v>
      </c>
      <c r="S907" s="7" t="n">
        <f aca="false">IF(AND(R907=1,J907="Record or Recall",K907="12-23 m"),1,0)</f>
        <v>0</v>
      </c>
      <c r="T907" s="7" t="n">
        <f aca="false">IF(OR(I907="BCG",I907="DTP1",I907="DTP3",I907="POL3",I907="MCV1",I907="FULL"),1,0)</f>
        <v>0</v>
      </c>
      <c r="U907" s="7" t="n">
        <f aca="false">IF(OR(C907="DHS",C907="MICS"),1,0)</f>
        <v>1</v>
      </c>
      <c r="V907" s="7" t="n">
        <f aca="false">IF(O907="",1,0)</f>
        <v>1</v>
      </c>
      <c r="W907" s="7" t="n">
        <f aca="false">IF(M907="",1,0)</f>
        <v>0</v>
      </c>
      <c r="X907" s="7" t="n">
        <f aca="false">COUNTIFS($B$2:$B$1141,B907,$H$2:$H$1141,H907,$I$2:$I$1141,I907,$J$2:$J$1141,J907,$K$2:$K$1141,K907,$L$2:$L$1141,L907)</f>
        <v>1</v>
      </c>
    </row>
    <row r="908" customFormat="false" ht="15" hidden="false" customHeight="false" outlineLevel="0" collapsed="false">
      <c r="A908" s="7" t="n">
        <f aca="false">ROW()-1</f>
        <v>907</v>
      </c>
      <c r="B908" s="7" t="str">
        <f aca="false">IF(Raw_Nigeria!B908="",TRIM(Raw_Nigeria!C908),TRIM(Raw_Nigeria!B908))</f>
        <v>Nigeria Demographic and Health Survey 2024</v>
      </c>
      <c r="C908" s="7" t="str">
        <f aca="false">IF(ISNUMBER(SEARCH("Demographic and Health",B908)),"DHS",IF(OR(ISNUMBER(SEARCH("Multiple Indicator Cluster",B908)),ISNUMBER(SEARCH("MICS",B908))),"MICS",IF(ISNUMBER(SEARCH("Immunization Coverage Survey",B908)),"Coverage survey",IF(ISNUMBER(SEARCH("Nutrition",B908)),"Nutrition survey","Other"))))</f>
        <v>DHS</v>
      </c>
      <c r="D908" s="7" t="n">
        <f aca="false">VALUE(LEFT(Raw_Nigeria!D908,4))</f>
        <v>2023</v>
      </c>
      <c r="E908" s="7" t="n">
        <f aca="false">IF(VALUE(RIGHT(Raw_Nigeria!D908,2))&gt;12,"",VALUE(RIGHT(Raw_Nigeria!D908,2)))</f>
        <v>12</v>
      </c>
      <c r="F908" s="7" t="n">
        <f aca="false">VALUE(LEFT(Raw_Nigeria!E908,4))</f>
        <v>2024</v>
      </c>
      <c r="G908" s="7" t="n">
        <f aca="false">IF(VALUE(RIGHT(Raw_Nigeria!E908,2))&gt;12,"",VALUE(RIGHT(Raw_Nigeria!E908,2)))</f>
        <v>5</v>
      </c>
      <c r="H908" s="7" t="n">
        <f aca="false">Raw_Nigeria!F908</f>
        <v>2021</v>
      </c>
      <c r="I908" s="7" t="str">
        <f aca="false">UPPER(TRIM(Raw_Nigeria!G908))</f>
        <v>BCG</v>
      </c>
      <c r="J908" s="7" t="str">
        <f aca="false">Raw_Nigeria!H908</f>
        <v>Recall</v>
      </c>
      <c r="K908" s="7" t="str">
        <f aca="false">Raw_Nigeria!L908</f>
        <v>24-35 m</v>
      </c>
      <c r="L908" s="7" t="str">
        <f aca="false">IF(Raw_Nigeria!K908="","n/a",Raw_Nigeria!K908)</f>
        <v>0-35 m</v>
      </c>
      <c r="M908" s="7" t="n">
        <f aca="false">IF(Raw_Nigeria!I908="","",Raw_Nigeria!I908)</f>
        <v>34.4</v>
      </c>
      <c r="N908" s="7" t="n">
        <f aca="false">Raw_Nigeria!M908</f>
        <v>26.4</v>
      </c>
      <c r="O908" s="7" t="n">
        <f aca="false">IF(Raw_Nigeria!N908="","",Raw_Nigeria!N908)</f>
        <v>3072</v>
      </c>
      <c r="P908" s="7" t="str">
        <f aca="false">IF(K908="CBAW","Women of child-bearing age","Children")</f>
        <v>Children</v>
      </c>
      <c r="Q908" s="7" t="n">
        <f aca="false">IF(J908="NOT USED",1,0)</f>
        <v>0</v>
      </c>
      <c r="R908" s="7" t="n">
        <f aca="false">IF(AND(P908="Children",Q908=0),1,0)</f>
        <v>1</v>
      </c>
      <c r="S908" s="7" t="n">
        <f aca="false">IF(AND(R908=1,J908="Record or Recall",K908="12-23 m"),1,0)</f>
        <v>0</v>
      </c>
      <c r="T908" s="7" t="n">
        <f aca="false">IF(OR(I908="BCG",I908="DTP1",I908="DTP3",I908="POL3",I908="MCV1",I908="FULL"),1,0)</f>
        <v>1</v>
      </c>
      <c r="U908" s="7" t="n">
        <f aca="false">IF(OR(C908="DHS",C908="MICS"),1,0)</f>
        <v>1</v>
      </c>
      <c r="V908" s="7" t="n">
        <f aca="false">IF(O908="",1,0)</f>
        <v>0</v>
      </c>
      <c r="W908" s="7" t="n">
        <f aca="false">IF(M908="",1,0)</f>
        <v>0</v>
      </c>
      <c r="X908" s="7" t="n">
        <f aca="false">COUNTIFS($B$2:$B$1141,B908,$H$2:$H$1141,H908,$I$2:$I$1141,I908,$J$2:$J$1141,J908,$K$2:$K$1141,K908,$L$2:$L$1141,L908)</f>
        <v>1</v>
      </c>
    </row>
    <row r="909" customFormat="false" ht="15" hidden="false" customHeight="false" outlineLevel="0" collapsed="false">
      <c r="A909" s="7" t="n">
        <f aca="false">ROW()-1</f>
        <v>908</v>
      </c>
      <c r="B909" s="7" t="str">
        <f aca="false">IF(Raw_Nigeria!B909="",TRIM(Raw_Nigeria!C909),TRIM(Raw_Nigeria!B909))</f>
        <v>Nigeria Demographic and Health Survey 2024</v>
      </c>
      <c r="C909" s="7" t="str">
        <f aca="false">IF(ISNUMBER(SEARCH("Demographic and Health",B909)),"DHS",IF(OR(ISNUMBER(SEARCH("Multiple Indicator Cluster",B909)),ISNUMBER(SEARCH("MICS",B909))),"MICS",IF(ISNUMBER(SEARCH("Immunization Coverage Survey",B909)),"Coverage survey",IF(ISNUMBER(SEARCH("Nutrition",B909)),"Nutrition survey","Other"))))</f>
        <v>DHS</v>
      </c>
      <c r="D909" s="7" t="n">
        <f aca="false">VALUE(LEFT(Raw_Nigeria!D909,4))</f>
        <v>2023</v>
      </c>
      <c r="E909" s="7" t="n">
        <f aca="false">IF(VALUE(RIGHT(Raw_Nigeria!D909,2))&gt;12,"",VALUE(RIGHT(Raw_Nigeria!D909,2)))</f>
        <v>12</v>
      </c>
      <c r="F909" s="7" t="n">
        <f aca="false">VALUE(LEFT(Raw_Nigeria!E909,4))</f>
        <v>2024</v>
      </c>
      <c r="G909" s="7" t="n">
        <f aca="false">IF(VALUE(RIGHT(Raw_Nigeria!E909,2))&gt;12,"",VALUE(RIGHT(Raw_Nigeria!E909,2)))</f>
        <v>5</v>
      </c>
      <c r="H909" s="7" t="n">
        <f aca="false">Raw_Nigeria!F909</f>
        <v>2021</v>
      </c>
      <c r="I909" s="7" t="str">
        <f aca="false">UPPER(TRIM(Raw_Nigeria!G909))</f>
        <v>BCG</v>
      </c>
      <c r="J909" s="7" t="str">
        <f aca="false">Raw_Nigeria!H909</f>
        <v>Record</v>
      </c>
      <c r="K909" s="7" t="str">
        <f aca="false">Raw_Nigeria!L909</f>
        <v>24-35 m</v>
      </c>
      <c r="L909" s="7" t="str">
        <f aca="false">IF(Raw_Nigeria!K909="","n/a",Raw_Nigeria!K909)</f>
        <v>0-35 m</v>
      </c>
      <c r="M909" s="7" t="n">
        <f aca="false">IF(Raw_Nigeria!I909="","",Raw_Nigeria!I909)</f>
        <v>34.4</v>
      </c>
      <c r="N909" s="7" t="n">
        <f aca="false">Raw_Nigeria!M909</f>
        <v>33.4</v>
      </c>
      <c r="O909" s="7" t="n">
        <f aca="false">IF(Raw_Nigeria!N909="","",Raw_Nigeria!N909)</f>
        <v>1608</v>
      </c>
      <c r="P909" s="7" t="str">
        <f aca="false">IF(K909="CBAW","Women of child-bearing age","Children")</f>
        <v>Children</v>
      </c>
      <c r="Q909" s="7" t="n">
        <f aca="false">IF(J909="NOT USED",1,0)</f>
        <v>0</v>
      </c>
      <c r="R909" s="7" t="n">
        <f aca="false">IF(AND(P909="Children",Q909=0),1,0)</f>
        <v>1</v>
      </c>
      <c r="S909" s="7" t="n">
        <f aca="false">IF(AND(R909=1,J909="Record or Recall",K909="12-23 m"),1,0)</f>
        <v>0</v>
      </c>
      <c r="T909" s="7" t="n">
        <f aca="false">IF(OR(I909="BCG",I909="DTP1",I909="DTP3",I909="POL3",I909="MCV1",I909="FULL"),1,0)</f>
        <v>1</v>
      </c>
      <c r="U909" s="7" t="n">
        <f aca="false">IF(OR(C909="DHS",C909="MICS"),1,0)</f>
        <v>1</v>
      </c>
      <c r="V909" s="7" t="n">
        <f aca="false">IF(O909="",1,0)</f>
        <v>0</v>
      </c>
      <c r="W909" s="7" t="n">
        <f aca="false">IF(M909="",1,0)</f>
        <v>0</v>
      </c>
      <c r="X909" s="7" t="n">
        <f aca="false">COUNTIFS($B$2:$B$1141,B909,$H$2:$H$1141,H909,$I$2:$I$1141,I909,$J$2:$J$1141,J909,$K$2:$K$1141,K909,$L$2:$L$1141,L909)</f>
        <v>1</v>
      </c>
    </row>
    <row r="910" customFormat="false" ht="15" hidden="false" customHeight="false" outlineLevel="0" collapsed="false">
      <c r="A910" s="7" t="n">
        <f aca="false">ROW()-1</f>
        <v>909</v>
      </c>
      <c r="B910" s="7" t="str">
        <f aca="false">IF(Raw_Nigeria!B910="",TRIM(Raw_Nigeria!C910),TRIM(Raw_Nigeria!B910))</f>
        <v>Nigeria Demographic and Health Survey 2024</v>
      </c>
      <c r="C910" s="7" t="str">
        <f aca="false">IF(ISNUMBER(SEARCH("Demographic and Health",B910)),"DHS",IF(OR(ISNUMBER(SEARCH("Multiple Indicator Cluster",B910)),ISNUMBER(SEARCH("MICS",B910))),"MICS",IF(ISNUMBER(SEARCH("Immunization Coverage Survey",B910)),"Coverage survey",IF(ISNUMBER(SEARCH("Nutrition",B910)),"Nutrition survey","Other"))))</f>
        <v>DHS</v>
      </c>
      <c r="D910" s="7" t="n">
        <f aca="false">VALUE(LEFT(Raw_Nigeria!D910,4))</f>
        <v>2023</v>
      </c>
      <c r="E910" s="7" t="n">
        <f aca="false">IF(VALUE(RIGHT(Raw_Nigeria!D910,2))&gt;12,"",VALUE(RIGHT(Raw_Nigeria!D910,2)))</f>
        <v>12</v>
      </c>
      <c r="F910" s="7" t="n">
        <f aca="false">VALUE(LEFT(Raw_Nigeria!E910,4))</f>
        <v>2024</v>
      </c>
      <c r="G910" s="7" t="n">
        <f aca="false">IF(VALUE(RIGHT(Raw_Nigeria!E910,2))&gt;12,"",VALUE(RIGHT(Raw_Nigeria!E910,2)))</f>
        <v>5</v>
      </c>
      <c r="H910" s="7" t="n">
        <f aca="false">Raw_Nigeria!F910</f>
        <v>2021</v>
      </c>
      <c r="I910" s="7" t="str">
        <f aca="false">UPPER(TRIM(Raw_Nigeria!G910))</f>
        <v>BCG</v>
      </c>
      <c r="J910" s="7" t="str">
        <f aca="false">Raw_Nigeria!H910</f>
        <v>Record or Recall</v>
      </c>
      <c r="K910" s="7" t="str">
        <f aca="false">Raw_Nigeria!L910</f>
        <v>24-35 m</v>
      </c>
      <c r="L910" s="7" t="str">
        <f aca="false">IF(Raw_Nigeria!K910="","n/a",Raw_Nigeria!K910)</f>
        <v>0-35 m</v>
      </c>
      <c r="M910" s="7" t="n">
        <f aca="false">IF(Raw_Nigeria!I910="","",Raw_Nigeria!I910)</f>
        <v>34.4</v>
      </c>
      <c r="N910" s="7" t="n">
        <f aca="false">Raw_Nigeria!M910</f>
        <v>59.8</v>
      </c>
      <c r="O910" s="7" t="n">
        <f aca="false">IF(Raw_Nigeria!N910="","",Raw_Nigeria!N910)</f>
        <v>4680</v>
      </c>
      <c r="P910" s="7" t="str">
        <f aca="false">IF(K910="CBAW","Women of child-bearing age","Children")</f>
        <v>Children</v>
      </c>
      <c r="Q910" s="7" t="n">
        <f aca="false">IF(J910="NOT USED",1,0)</f>
        <v>0</v>
      </c>
      <c r="R910" s="7" t="n">
        <f aca="false">IF(AND(P910="Children",Q910=0),1,0)</f>
        <v>1</v>
      </c>
      <c r="S910" s="7" t="n">
        <f aca="false">IF(AND(R910=1,J910="Record or Recall",K910="12-23 m"),1,0)</f>
        <v>0</v>
      </c>
      <c r="T910" s="7" t="n">
        <f aca="false">IF(OR(I910="BCG",I910="DTP1",I910="DTP3",I910="POL3",I910="MCV1",I910="FULL"),1,0)</f>
        <v>1</v>
      </c>
      <c r="U910" s="7" t="n">
        <f aca="false">IF(OR(C910="DHS",C910="MICS"),1,0)</f>
        <v>1</v>
      </c>
      <c r="V910" s="7" t="n">
        <f aca="false">IF(O910="",1,0)</f>
        <v>0</v>
      </c>
      <c r="W910" s="7" t="n">
        <f aca="false">IF(M910="",1,0)</f>
        <v>0</v>
      </c>
      <c r="X910" s="7" t="n">
        <f aca="false">COUNTIFS($B$2:$B$1141,B910,$H$2:$H$1141,H910,$I$2:$I$1141,I910,$J$2:$J$1141,J910,$K$2:$K$1141,K910,$L$2:$L$1141,L910)</f>
        <v>1</v>
      </c>
    </row>
    <row r="911" customFormat="false" ht="15" hidden="false" customHeight="false" outlineLevel="0" collapsed="false">
      <c r="A911" s="7" t="n">
        <f aca="false">ROW()-1</f>
        <v>910</v>
      </c>
      <c r="B911" s="7" t="str">
        <f aca="false">IF(Raw_Nigeria!B911="",TRIM(Raw_Nigeria!C911),TRIM(Raw_Nigeria!B911))</f>
        <v>Nigeria Demographic and Health Survey 2024</v>
      </c>
      <c r="C911" s="7" t="str">
        <f aca="false">IF(ISNUMBER(SEARCH("Demographic and Health",B911)),"DHS",IF(OR(ISNUMBER(SEARCH("Multiple Indicator Cluster",B911)),ISNUMBER(SEARCH("MICS",B911))),"MICS",IF(ISNUMBER(SEARCH("Immunization Coverage Survey",B911)),"Coverage survey",IF(ISNUMBER(SEARCH("Nutrition",B911)),"Nutrition survey","Other"))))</f>
        <v>DHS</v>
      </c>
      <c r="D911" s="7" t="n">
        <f aca="false">VALUE(LEFT(Raw_Nigeria!D911,4))</f>
        <v>2023</v>
      </c>
      <c r="E911" s="7" t="n">
        <f aca="false">IF(VALUE(RIGHT(Raw_Nigeria!D911,2))&gt;12,"",VALUE(RIGHT(Raw_Nigeria!D911,2)))</f>
        <v>12</v>
      </c>
      <c r="F911" s="7" t="n">
        <f aca="false">VALUE(LEFT(Raw_Nigeria!E911,4))</f>
        <v>2024</v>
      </c>
      <c r="G911" s="7" t="n">
        <f aca="false">IF(VALUE(RIGHT(Raw_Nigeria!E911,2))&gt;12,"",VALUE(RIGHT(Raw_Nigeria!E911,2)))</f>
        <v>5</v>
      </c>
      <c r="H911" s="7" t="n">
        <f aca="false">Raw_Nigeria!F911</f>
        <v>2021</v>
      </c>
      <c r="I911" s="7" t="str">
        <f aca="false">UPPER(TRIM(Raw_Nigeria!G911))</f>
        <v>BCG</v>
      </c>
      <c r="J911" s="7" t="str">
        <f aca="false">Raw_Nigeria!H911</f>
        <v>Record or Recall&lt;12m</v>
      </c>
      <c r="K911" s="7" t="str">
        <f aca="false">Raw_Nigeria!L911</f>
        <v>24-35 m</v>
      </c>
      <c r="L911" s="7" t="str">
        <f aca="false">IF(Raw_Nigeria!K911="","n/a",Raw_Nigeria!K911)</f>
        <v>0-12 m</v>
      </c>
      <c r="M911" s="7" t="n">
        <f aca="false">IF(Raw_Nigeria!I911="","",Raw_Nigeria!I911)</f>
        <v>34.4</v>
      </c>
      <c r="N911" s="7" t="n">
        <f aca="false">Raw_Nigeria!M911</f>
        <v>58.2</v>
      </c>
      <c r="O911" s="7" t="n">
        <f aca="false">IF(Raw_Nigeria!N911="","",Raw_Nigeria!N911)</f>
        <v>4680</v>
      </c>
      <c r="P911" s="7" t="str">
        <f aca="false">IF(K911="CBAW","Women of child-bearing age","Children")</f>
        <v>Children</v>
      </c>
      <c r="Q911" s="7" t="n">
        <f aca="false">IF(J911="NOT USED",1,0)</f>
        <v>0</v>
      </c>
      <c r="R911" s="7" t="n">
        <f aca="false">IF(AND(P911="Children",Q911=0),1,0)</f>
        <v>1</v>
      </c>
      <c r="S911" s="7" t="n">
        <f aca="false">IF(AND(R911=1,J911="Record or Recall",K911="12-23 m"),1,0)</f>
        <v>0</v>
      </c>
      <c r="T911" s="7" t="n">
        <f aca="false">IF(OR(I911="BCG",I911="DTP1",I911="DTP3",I911="POL3",I911="MCV1",I911="FULL"),1,0)</f>
        <v>1</v>
      </c>
      <c r="U911" s="7" t="n">
        <f aca="false">IF(OR(C911="DHS",C911="MICS"),1,0)</f>
        <v>1</v>
      </c>
      <c r="V911" s="7" t="n">
        <f aca="false">IF(O911="",1,0)</f>
        <v>0</v>
      </c>
      <c r="W911" s="7" t="n">
        <f aca="false">IF(M911="",1,0)</f>
        <v>0</v>
      </c>
      <c r="X911" s="7" t="n">
        <f aca="false">COUNTIFS($B$2:$B$1141,B911,$H$2:$H$1141,H911,$I$2:$I$1141,I911,$J$2:$J$1141,J911,$K$2:$K$1141,K911,$L$2:$L$1141,L911)</f>
        <v>1</v>
      </c>
    </row>
    <row r="912" customFormat="false" ht="15" hidden="false" customHeight="false" outlineLevel="0" collapsed="false">
      <c r="A912" s="7" t="n">
        <f aca="false">ROW()-1</f>
        <v>911</v>
      </c>
      <c r="B912" s="7" t="str">
        <f aca="false">IF(Raw_Nigeria!B912="",TRIM(Raw_Nigeria!C912),TRIM(Raw_Nigeria!B912))</f>
        <v>Nigeria Demographic and Health Survey 2024</v>
      </c>
      <c r="C912" s="7" t="str">
        <f aca="false">IF(ISNUMBER(SEARCH("Demographic and Health",B912)),"DHS",IF(OR(ISNUMBER(SEARCH("Multiple Indicator Cluster",B912)),ISNUMBER(SEARCH("MICS",B912))),"MICS",IF(ISNUMBER(SEARCH("Immunization Coverage Survey",B912)),"Coverage survey",IF(ISNUMBER(SEARCH("Nutrition",B912)),"Nutrition survey","Other"))))</f>
        <v>DHS</v>
      </c>
      <c r="D912" s="7" t="n">
        <f aca="false">VALUE(LEFT(Raw_Nigeria!D912,4))</f>
        <v>2023</v>
      </c>
      <c r="E912" s="7" t="n">
        <f aca="false">IF(VALUE(RIGHT(Raw_Nigeria!D912,2))&gt;12,"",VALUE(RIGHT(Raw_Nigeria!D912,2)))</f>
        <v>12</v>
      </c>
      <c r="F912" s="7" t="n">
        <f aca="false">VALUE(LEFT(Raw_Nigeria!E912,4))</f>
        <v>2024</v>
      </c>
      <c r="G912" s="7" t="n">
        <f aca="false">IF(VALUE(RIGHT(Raw_Nigeria!E912,2))&gt;12,"",VALUE(RIGHT(Raw_Nigeria!E912,2)))</f>
        <v>5</v>
      </c>
      <c r="H912" s="7" t="n">
        <f aca="false">Raw_Nigeria!F912</f>
        <v>2021</v>
      </c>
      <c r="I912" s="7" t="str">
        <f aca="false">UPPER(TRIM(Raw_Nigeria!G912))</f>
        <v>DTP1</v>
      </c>
      <c r="J912" s="7" t="str">
        <f aca="false">Raw_Nigeria!H912</f>
        <v>Recall</v>
      </c>
      <c r="K912" s="7" t="str">
        <f aca="false">Raw_Nigeria!L912</f>
        <v>24-35 m</v>
      </c>
      <c r="L912" s="7" t="str">
        <f aca="false">IF(Raw_Nigeria!K912="","n/a",Raw_Nigeria!K912)</f>
        <v>0-35 m</v>
      </c>
      <c r="M912" s="7" t="n">
        <f aca="false">IF(Raw_Nigeria!I912="","",Raw_Nigeria!I912)</f>
        <v>34.4</v>
      </c>
      <c r="N912" s="7" t="n">
        <f aca="false">Raw_Nigeria!M912</f>
        <v>24.6</v>
      </c>
      <c r="O912" s="7" t="n">
        <f aca="false">IF(Raw_Nigeria!N912="","",Raw_Nigeria!N912)</f>
        <v>3072</v>
      </c>
      <c r="P912" s="7" t="str">
        <f aca="false">IF(K912="CBAW","Women of child-bearing age","Children")</f>
        <v>Children</v>
      </c>
      <c r="Q912" s="7" t="n">
        <f aca="false">IF(J912="NOT USED",1,0)</f>
        <v>0</v>
      </c>
      <c r="R912" s="7" t="n">
        <f aca="false">IF(AND(P912="Children",Q912=0),1,0)</f>
        <v>1</v>
      </c>
      <c r="S912" s="7" t="n">
        <f aca="false">IF(AND(R912=1,J912="Record or Recall",K912="12-23 m"),1,0)</f>
        <v>0</v>
      </c>
      <c r="T912" s="7" t="n">
        <f aca="false">IF(OR(I912="BCG",I912="DTP1",I912="DTP3",I912="POL3",I912="MCV1",I912="FULL"),1,0)</f>
        <v>1</v>
      </c>
      <c r="U912" s="7" t="n">
        <f aca="false">IF(OR(C912="DHS",C912="MICS"),1,0)</f>
        <v>1</v>
      </c>
      <c r="V912" s="7" t="n">
        <f aca="false">IF(O912="",1,0)</f>
        <v>0</v>
      </c>
      <c r="W912" s="7" t="n">
        <f aca="false">IF(M912="",1,0)</f>
        <v>0</v>
      </c>
      <c r="X912" s="7" t="n">
        <f aca="false">COUNTIFS($B$2:$B$1141,B912,$H$2:$H$1141,H912,$I$2:$I$1141,I912,$J$2:$J$1141,J912,$K$2:$K$1141,K912,$L$2:$L$1141,L912)</f>
        <v>1</v>
      </c>
    </row>
    <row r="913" customFormat="false" ht="15" hidden="false" customHeight="false" outlineLevel="0" collapsed="false">
      <c r="A913" s="7" t="n">
        <f aca="false">ROW()-1</f>
        <v>912</v>
      </c>
      <c r="B913" s="7" t="str">
        <f aca="false">IF(Raw_Nigeria!B913="",TRIM(Raw_Nigeria!C913),TRIM(Raw_Nigeria!B913))</f>
        <v>Nigeria Demographic and Health Survey 2024</v>
      </c>
      <c r="C913" s="7" t="str">
        <f aca="false">IF(ISNUMBER(SEARCH("Demographic and Health",B913)),"DHS",IF(OR(ISNUMBER(SEARCH("Multiple Indicator Cluster",B913)),ISNUMBER(SEARCH("MICS",B913))),"MICS",IF(ISNUMBER(SEARCH("Immunization Coverage Survey",B913)),"Coverage survey",IF(ISNUMBER(SEARCH("Nutrition",B913)),"Nutrition survey","Other"))))</f>
        <v>DHS</v>
      </c>
      <c r="D913" s="7" t="n">
        <f aca="false">VALUE(LEFT(Raw_Nigeria!D913,4))</f>
        <v>2023</v>
      </c>
      <c r="E913" s="7" t="n">
        <f aca="false">IF(VALUE(RIGHT(Raw_Nigeria!D913,2))&gt;12,"",VALUE(RIGHT(Raw_Nigeria!D913,2)))</f>
        <v>12</v>
      </c>
      <c r="F913" s="7" t="n">
        <f aca="false">VALUE(LEFT(Raw_Nigeria!E913,4))</f>
        <v>2024</v>
      </c>
      <c r="G913" s="7" t="n">
        <f aca="false">IF(VALUE(RIGHT(Raw_Nigeria!E913,2))&gt;12,"",VALUE(RIGHT(Raw_Nigeria!E913,2)))</f>
        <v>5</v>
      </c>
      <c r="H913" s="7" t="n">
        <f aca="false">Raw_Nigeria!F913</f>
        <v>2021</v>
      </c>
      <c r="I913" s="7" t="str">
        <f aca="false">UPPER(TRIM(Raw_Nigeria!G913))</f>
        <v>DTP1</v>
      </c>
      <c r="J913" s="7" t="str">
        <f aca="false">Raw_Nigeria!H913</f>
        <v>Record</v>
      </c>
      <c r="K913" s="7" t="str">
        <f aca="false">Raw_Nigeria!L913</f>
        <v>24-35 m</v>
      </c>
      <c r="L913" s="7" t="str">
        <f aca="false">IF(Raw_Nigeria!K913="","n/a",Raw_Nigeria!K913)</f>
        <v>0-35 m</v>
      </c>
      <c r="M913" s="7" t="n">
        <f aca="false">IF(Raw_Nigeria!I913="","",Raw_Nigeria!I913)</f>
        <v>34.4</v>
      </c>
      <c r="N913" s="7" t="n">
        <f aca="false">Raw_Nigeria!M913</f>
        <v>32.3</v>
      </c>
      <c r="O913" s="7" t="n">
        <f aca="false">IF(Raw_Nigeria!N913="","",Raw_Nigeria!N913)</f>
        <v>1608</v>
      </c>
      <c r="P913" s="7" t="str">
        <f aca="false">IF(K913="CBAW","Women of child-bearing age","Children")</f>
        <v>Children</v>
      </c>
      <c r="Q913" s="7" t="n">
        <f aca="false">IF(J913="NOT USED",1,0)</f>
        <v>0</v>
      </c>
      <c r="R913" s="7" t="n">
        <f aca="false">IF(AND(P913="Children",Q913=0),1,0)</f>
        <v>1</v>
      </c>
      <c r="S913" s="7" t="n">
        <f aca="false">IF(AND(R913=1,J913="Record or Recall",K913="12-23 m"),1,0)</f>
        <v>0</v>
      </c>
      <c r="T913" s="7" t="n">
        <f aca="false">IF(OR(I913="BCG",I913="DTP1",I913="DTP3",I913="POL3",I913="MCV1",I913="FULL"),1,0)</f>
        <v>1</v>
      </c>
      <c r="U913" s="7" t="n">
        <f aca="false">IF(OR(C913="DHS",C913="MICS"),1,0)</f>
        <v>1</v>
      </c>
      <c r="V913" s="7" t="n">
        <f aca="false">IF(O913="",1,0)</f>
        <v>0</v>
      </c>
      <c r="W913" s="7" t="n">
        <f aca="false">IF(M913="",1,0)</f>
        <v>0</v>
      </c>
      <c r="X913" s="7" t="n">
        <f aca="false">COUNTIFS($B$2:$B$1141,B913,$H$2:$H$1141,H913,$I$2:$I$1141,I913,$J$2:$J$1141,J913,$K$2:$K$1141,K913,$L$2:$L$1141,L913)</f>
        <v>1</v>
      </c>
    </row>
    <row r="914" customFormat="false" ht="15" hidden="false" customHeight="false" outlineLevel="0" collapsed="false">
      <c r="A914" s="7" t="n">
        <f aca="false">ROW()-1</f>
        <v>913</v>
      </c>
      <c r="B914" s="7" t="str">
        <f aca="false">IF(Raw_Nigeria!B914="",TRIM(Raw_Nigeria!C914),TRIM(Raw_Nigeria!B914))</f>
        <v>Nigeria Demographic and Health Survey 2024</v>
      </c>
      <c r="C914" s="7" t="str">
        <f aca="false">IF(ISNUMBER(SEARCH("Demographic and Health",B914)),"DHS",IF(OR(ISNUMBER(SEARCH("Multiple Indicator Cluster",B914)),ISNUMBER(SEARCH("MICS",B914))),"MICS",IF(ISNUMBER(SEARCH("Immunization Coverage Survey",B914)),"Coverage survey",IF(ISNUMBER(SEARCH("Nutrition",B914)),"Nutrition survey","Other"))))</f>
        <v>DHS</v>
      </c>
      <c r="D914" s="7" t="n">
        <f aca="false">VALUE(LEFT(Raw_Nigeria!D914,4))</f>
        <v>2023</v>
      </c>
      <c r="E914" s="7" t="n">
        <f aca="false">IF(VALUE(RIGHT(Raw_Nigeria!D914,2))&gt;12,"",VALUE(RIGHT(Raw_Nigeria!D914,2)))</f>
        <v>12</v>
      </c>
      <c r="F914" s="7" t="n">
        <f aca="false">VALUE(LEFT(Raw_Nigeria!E914,4))</f>
        <v>2024</v>
      </c>
      <c r="G914" s="7" t="n">
        <f aca="false">IF(VALUE(RIGHT(Raw_Nigeria!E914,2))&gt;12,"",VALUE(RIGHT(Raw_Nigeria!E914,2)))</f>
        <v>5</v>
      </c>
      <c r="H914" s="7" t="n">
        <f aca="false">Raw_Nigeria!F914</f>
        <v>2021</v>
      </c>
      <c r="I914" s="7" t="str">
        <f aca="false">UPPER(TRIM(Raw_Nigeria!G914))</f>
        <v>DTP1</v>
      </c>
      <c r="J914" s="7" t="str">
        <f aca="false">Raw_Nigeria!H914</f>
        <v>Record or Recall</v>
      </c>
      <c r="K914" s="7" t="str">
        <f aca="false">Raw_Nigeria!L914</f>
        <v>24-35 m</v>
      </c>
      <c r="L914" s="7" t="str">
        <f aca="false">IF(Raw_Nigeria!K914="","n/a",Raw_Nigeria!K914)</f>
        <v>0-35 m</v>
      </c>
      <c r="M914" s="7" t="n">
        <f aca="false">IF(Raw_Nigeria!I914="","",Raw_Nigeria!I914)</f>
        <v>34.4</v>
      </c>
      <c r="N914" s="7" t="n">
        <f aca="false">Raw_Nigeria!M914</f>
        <v>56.9</v>
      </c>
      <c r="O914" s="7" t="n">
        <f aca="false">IF(Raw_Nigeria!N914="","",Raw_Nigeria!N914)</f>
        <v>4680</v>
      </c>
      <c r="P914" s="7" t="str">
        <f aca="false">IF(K914="CBAW","Women of child-bearing age","Children")</f>
        <v>Children</v>
      </c>
      <c r="Q914" s="7" t="n">
        <f aca="false">IF(J914="NOT USED",1,0)</f>
        <v>0</v>
      </c>
      <c r="R914" s="7" t="n">
        <f aca="false">IF(AND(P914="Children",Q914=0),1,0)</f>
        <v>1</v>
      </c>
      <c r="S914" s="7" t="n">
        <f aca="false">IF(AND(R914=1,J914="Record or Recall",K914="12-23 m"),1,0)</f>
        <v>0</v>
      </c>
      <c r="T914" s="7" t="n">
        <f aca="false">IF(OR(I914="BCG",I914="DTP1",I914="DTP3",I914="POL3",I914="MCV1",I914="FULL"),1,0)</f>
        <v>1</v>
      </c>
      <c r="U914" s="7" t="n">
        <f aca="false">IF(OR(C914="DHS",C914="MICS"),1,0)</f>
        <v>1</v>
      </c>
      <c r="V914" s="7" t="n">
        <f aca="false">IF(O914="",1,0)</f>
        <v>0</v>
      </c>
      <c r="W914" s="7" t="n">
        <f aca="false">IF(M914="",1,0)</f>
        <v>0</v>
      </c>
      <c r="X914" s="7" t="n">
        <f aca="false">COUNTIFS($B$2:$B$1141,B914,$H$2:$H$1141,H914,$I$2:$I$1141,I914,$J$2:$J$1141,J914,$K$2:$K$1141,K914,$L$2:$L$1141,L914)</f>
        <v>1</v>
      </c>
    </row>
    <row r="915" customFormat="false" ht="15" hidden="false" customHeight="false" outlineLevel="0" collapsed="false">
      <c r="A915" s="7" t="n">
        <f aca="false">ROW()-1</f>
        <v>914</v>
      </c>
      <c r="B915" s="7" t="str">
        <f aca="false">IF(Raw_Nigeria!B915="",TRIM(Raw_Nigeria!C915),TRIM(Raw_Nigeria!B915))</f>
        <v>Nigeria Demographic and Health Survey 2024</v>
      </c>
      <c r="C915" s="7" t="str">
        <f aca="false">IF(ISNUMBER(SEARCH("Demographic and Health",B915)),"DHS",IF(OR(ISNUMBER(SEARCH("Multiple Indicator Cluster",B915)),ISNUMBER(SEARCH("MICS",B915))),"MICS",IF(ISNUMBER(SEARCH("Immunization Coverage Survey",B915)),"Coverage survey",IF(ISNUMBER(SEARCH("Nutrition",B915)),"Nutrition survey","Other"))))</f>
        <v>DHS</v>
      </c>
      <c r="D915" s="7" t="n">
        <f aca="false">VALUE(LEFT(Raw_Nigeria!D915,4))</f>
        <v>2023</v>
      </c>
      <c r="E915" s="7" t="n">
        <f aca="false">IF(VALUE(RIGHT(Raw_Nigeria!D915,2))&gt;12,"",VALUE(RIGHT(Raw_Nigeria!D915,2)))</f>
        <v>12</v>
      </c>
      <c r="F915" s="7" t="n">
        <f aca="false">VALUE(LEFT(Raw_Nigeria!E915,4))</f>
        <v>2024</v>
      </c>
      <c r="G915" s="7" t="n">
        <f aca="false">IF(VALUE(RIGHT(Raw_Nigeria!E915,2))&gt;12,"",VALUE(RIGHT(Raw_Nigeria!E915,2)))</f>
        <v>5</v>
      </c>
      <c r="H915" s="7" t="n">
        <f aca="false">Raw_Nigeria!F915</f>
        <v>2021</v>
      </c>
      <c r="I915" s="7" t="str">
        <f aca="false">UPPER(TRIM(Raw_Nigeria!G915))</f>
        <v>DTP1</v>
      </c>
      <c r="J915" s="7" t="str">
        <f aca="false">Raw_Nigeria!H915</f>
        <v>Record or Recall&lt;12m</v>
      </c>
      <c r="K915" s="7" t="str">
        <f aca="false">Raw_Nigeria!L915</f>
        <v>24-35 m</v>
      </c>
      <c r="L915" s="7" t="str">
        <f aca="false">IF(Raw_Nigeria!K915="","n/a",Raw_Nigeria!K915)</f>
        <v>0-12 m</v>
      </c>
      <c r="M915" s="7" t="n">
        <f aca="false">IF(Raw_Nigeria!I915="","",Raw_Nigeria!I915)</f>
        <v>34.4</v>
      </c>
      <c r="N915" s="7" t="n">
        <f aca="false">Raw_Nigeria!M915</f>
        <v>55.5</v>
      </c>
      <c r="O915" s="7" t="n">
        <f aca="false">IF(Raw_Nigeria!N915="","",Raw_Nigeria!N915)</f>
        <v>4680</v>
      </c>
      <c r="P915" s="7" t="str">
        <f aca="false">IF(K915="CBAW","Women of child-bearing age","Children")</f>
        <v>Children</v>
      </c>
      <c r="Q915" s="7" t="n">
        <f aca="false">IF(J915="NOT USED",1,0)</f>
        <v>0</v>
      </c>
      <c r="R915" s="7" t="n">
        <f aca="false">IF(AND(P915="Children",Q915=0),1,0)</f>
        <v>1</v>
      </c>
      <c r="S915" s="7" t="n">
        <f aca="false">IF(AND(R915=1,J915="Record or Recall",K915="12-23 m"),1,0)</f>
        <v>0</v>
      </c>
      <c r="T915" s="7" t="n">
        <f aca="false">IF(OR(I915="BCG",I915="DTP1",I915="DTP3",I915="POL3",I915="MCV1",I915="FULL"),1,0)</f>
        <v>1</v>
      </c>
      <c r="U915" s="7" t="n">
        <f aca="false">IF(OR(C915="DHS",C915="MICS"),1,0)</f>
        <v>1</v>
      </c>
      <c r="V915" s="7" t="n">
        <f aca="false">IF(O915="",1,0)</f>
        <v>0</v>
      </c>
      <c r="W915" s="7" t="n">
        <f aca="false">IF(M915="",1,0)</f>
        <v>0</v>
      </c>
      <c r="X915" s="7" t="n">
        <f aca="false">COUNTIFS($B$2:$B$1141,B915,$H$2:$H$1141,H915,$I$2:$I$1141,I915,$J$2:$J$1141,J915,$K$2:$K$1141,K915,$L$2:$L$1141,L915)</f>
        <v>1</v>
      </c>
    </row>
    <row r="916" customFormat="false" ht="15" hidden="false" customHeight="false" outlineLevel="0" collapsed="false">
      <c r="A916" s="7" t="n">
        <f aca="false">ROW()-1</f>
        <v>915</v>
      </c>
      <c r="B916" s="7" t="str">
        <f aca="false">IF(Raw_Nigeria!B916="",TRIM(Raw_Nigeria!C916),TRIM(Raw_Nigeria!B916))</f>
        <v>Nigeria Demographic and Health Survey 2024</v>
      </c>
      <c r="C916" s="7" t="str">
        <f aca="false">IF(ISNUMBER(SEARCH("Demographic and Health",B916)),"DHS",IF(OR(ISNUMBER(SEARCH("Multiple Indicator Cluster",B916)),ISNUMBER(SEARCH("MICS",B916))),"MICS",IF(ISNUMBER(SEARCH("Immunization Coverage Survey",B916)),"Coverage survey",IF(ISNUMBER(SEARCH("Nutrition",B916)),"Nutrition survey","Other"))))</f>
        <v>DHS</v>
      </c>
      <c r="D916" s="7" t="n">
        <f aca="false">VALUE(LEFT(Raw_Nigeria!D916,4))</f>
        <v>2023</v>
      </c>
      <c r="E916" s="7" t="n">
        <f aca="false">IF(VALUE(RIGHT(Raw_Nigeria!D916,2))&gt;12,"",VALUE(RIGHT(Raw_Nigeria!D916,2)))</f>
        <v>12</v>
      </c>
      <c r="F916" s="7" t="n">
        <f aca="false">VALUE(LEFT(Raw_Nigeria!E916,4))</f>
        <v>2024</v>
      </c>
      <c r="G916" s="7" t="n">
        <f aca="false">IF(VALUE(RIGHT(Raw_Nigeria!E916,2))&gt;12,"",VALUE(RIGHT(Raw_Nigeria!E916,2)))</f>
        <v>5</v>
      </c>
      <c r="H916" s="7" t="n">
        <f aca="false">Raw_Nigeria!F916</f>
        <v>2021</v>
      </c>
      <c r="I916" s="7" t="str">
        <f aca="false">UPPER(TRIM(Raw_Nigeria!G916))</f>
        <v>DTP2</v>
      </c>
      <c r="J916" s="7" t="str">
        <f aca="false">Raw_Nigeria!H916</f>
        <v>Recall</v>
      </c>
      <c r="K916" s="7" t="str">
        <f aca="false">Raw_Nigeria!L916</f>
        <v>24-35 m</v>
      </c>
      <c r="L916" s="7" t="str">
        <f aca="false">IF(Raw_Nigeria!K916="","n/a",Raw_Nigeria!K916)</f>
        <v>0-35 m</v>
      </c>
      <c r="M916" s="7" t="n">
        <f aca="false">IF(Raw_Nigeria!I916="","",Raw_Nigeria!I916)</f>
        <v>34.4</v>
      </c>
      <c r="N916" s="7" t="n">
        <f aca="false">Raw_Nigeria!M916</f>
        <v>23.2</v>
      </c>
      <c r="O916" s="7" t="n">
        <f aca="false">IF(Raw_Nigeria!N916="","",Raw_Nigeria!N916)</f>
        <v>3072</v>
      </c>
      <c r="P916" s="7" t="str">
        <f aca="false">IF(K916="CBAW","Women of child-bearing age","Children")</f>
        <v>Children</v>
      </c>
      <c r="Q916" s="7" t="n">
        <f aca="false">IF(J916="NOT USED",1,0)</f>
        <v>0</v>
      </c>
      <c r="R916" s="7" t="n">
        <f aca="false">IF(AND(P916="Children",Q916=0),1,0)</f>
        <v>1</v>
      </c>
      <c r="S916" s="7" t="n">
        <f aca="false">IF(AND(R916=1,J916="Record or Recall",K916="12-23 m"),1,0)</f>
        <v>0</v>
      </c>
      <c r="T916" s="7" t="n">
        <f aca="false">IF(OR(I916="BCG",I916="DTP1",I916="DTP3",I916="POL3",I916="MCV1",I916="FULL"),1,0)</f>
        <v>0</v>
      </c>
      <c r="U916" s="7" t="n">
        <f aca="false">IF(OR(C916="DHS",C916="MICS"),1,0)</f>
        <v>1</v>
      </c>
      <c r="V916" s="7" t="n">
        <f aca="false">IF(O916="",1,0)</f>
        <v>0</v>
      </c>
      <c r="W916" s="7" t="n">
        <f aca="false">IF(M916="",1,0)</f>
        <v>0</v>
      </c>
      <c r="X916" s="7" t="n">
        <f aca="false">COUNTIFS($B$2:$B$1141,B916,$H$2:$H$1141,H916,$I$2:$I$1141,I916,$J$2:$J$1141,J916,$K$2:$K$1141,K916,$L$2:$L$1141,L916)</f>
        <v>1</v>
      </c>
    </row>
    <row r="917" customFormat="false" ht="15" hidden="false" customHeight="false" outlineLevel="0" collapsed="false">
      <c r="A917" s="7" t="n">
        <f aca="false">ROW()-1</f>
        <v>916</v>
      </c>
      <c r="B917" s="7" t="str">
        <f aca="false">IF(Raw_Nigeria!B917="",TRIM(Raw_Nigeria!C917),TRIM(Raw_Nigeria!B917))</f>
        <v>Nigeria Demographic and Health Survey 2024</v>
      </c>
      <c r="C917" s="7" t="str">
        <f aca="false">IF(ISNUMBER(SEARCH("Demographic and Health",B917)),"DHS",IF(OR(ISNUMBER(SEARCH("Multiple Indicator Cluster",B917)),ISNUMBER(SEARCH("MICS",B917))),"MICS",IF(ISNUMBER(SEARCH("Immunization Coverage Survey",B917)),"Coverage survey",IF(ISNUMBER(SEARCH("Nutrition",B917)),"Nutrition survey","Other"))))</f>
        <v>DHS</v>
      </c>
      <c r="D917" s="7" t="n">
        <f aca="false">VALUE(LEFT(Raw_Nigeria!D917,4))</f>
        <v>2023</v>
      </c>
      <c r="E917" s="7" t="n">
        <f aca="false">IF(VALUE(RIGHT(Raw_Nigeria!D917,2))&gt;12,"",VALUE(RIGHT(Raw_Nigeria!D917,2)))</f>
        <v>12</v>
      </c>
      <c r="F917" s="7" t="n">
        <f aca="false">VALUE(LEFT(Raw_Nigeria!E917,4))</f>
        <v>2024</v>
      </c>
      <c r="G917" s="7" t="n">
        <f aca="false">IF(VALUE(RIGHT(Raw_Nigeria!E917,2))&gt;12,"",VALUE(RIGHT(Raw_Nigeria!E917,2)))</f>
        <v>5</v>
      </c>
      <c r="H917" s="7" t="n">
        <f aca="false">Raw_Nigeria!F917</f>
        <v>2021</v>
      </c>
      <c r="I917" s="7" t="str">
        <f aca="false">UPPER(TRIM(Raw_Nigeria!G917))</f>
        <v>DTP2</v>
      </c>
      <c r="J917" s="7" t="str">
        <f aca="false">Raw_Nigeria!H917</f>
        <v>Record</v>
      </c>
      <c r="K917" s="7" t="str">
        <f aca="false">Raw_Nigeria!L917</f>
        <v>24-35 m</v>
      </c>
      <c r="L917" s="7" t="str">
        <f aca="false">IF(Raw_Nigeria!K917="","n/a",Raw_Nigeria!K917)</f>
        <v>0-35 m</v>
      </c>
      <c r="M917" s="7" t="n">
        <f aca="false">IF(Raw_Nigeria!I917="","",Raw_Nigeria!I917)</f>
        <v>34.4</v>
      </c>
      <c r="N917" s="7" t="n">
        <f aca="false">Raw_Nigeria!M917</f>
        <v>30.1</v>
      </c>
      <c r="O917" s="7" t="n">
        <f aca="false">IF(Raw_Nigeria!N917="","",Raw_Nigeria!N917)</f>
        <v>1608</v>
      </c>
      <c r="P917" s="7" t="str">
        <f aca="false">IF(K917="CBAW","Women of child-bearing age","Children")</f>
        <v>Children</v>
      </c>
      <c r="Q917" s="7" t="n">
        <f aca="false">IF(J917="NOT USED",1,0)</f>
        <v>0</v>
      </c>
      <c r="R917" s="7" t="n">
        <f aca="false">IF(AND(P917="Children",Q917=0),1,0)</f>
        <v>1</v>
      </c>
      <c r="S917" s="7" t="n">
        <f aca="false">IF(AND(R917=1,J917="Record or Recall",K917="12-23 m"),1,0)</f>
        <v>0</v>
      </c>
      <c r="T917" s="7" t="n">
        <f aca="false">IF(OR(I917="BCG",I917="DTP1",I917="DTP3",I917="POL3",I917="MCV1",I917="FULL"),1,0)</f>
        <v>0</v>
      </c>
      <c r="U917" s="7" t="n">
        <f aca="false">IF(OR(C917="DHS",C917="MICS"),1,0)</f>
        <v>1</v>
      </c>
      <c r="V917" s="7" t="n">
        <f aca="false">IF(O917="",1,0)</f>
        <v>0</v>
      </c>
      <c r="W917" s="7" t="n">
        <f aca="false">IF(M917="",1,0)</f>
        <v>0</v>
      </c>
      <c r="X917" s="7" t="n">
        <f aca="false">COUNTIFS($B$2:$B$1141,B917,$H$2:$H$1141,H917,$I$2:$I$1141,I917,$J$2:$J$1141,J917,$K$2:$K$1141,K917,$L$2:$L$1141,L917)</f>
        <v>1</v>
      </c>
    </row>
    <row r="918" customFormat="false" ht="15" hidden="false" customHeight="false" outlineLevel="0" collapsed="false">
      <c r="A918" s="7" t="n">
        <f aca="false">ROW()-1</f>
        <v>917</v>
      </c>
      <c r="B918" s="7" t="str">
        <f aca="false">IF(Raw_Nigeria!B918="",TRIM(Raw_Nigeria!C918),TRIM(Raw_Nigeria!B918))</f>
        <v>Nigeria Demographic and Health Survey 2024</v>
      </c>
      <c r="C918" s="7" t="str">
        <f aca="false">IF(ISNUMBER(SEARCH("Demographic and Health",B918)),"DHS",IF(OR(ISNUMBER(SEARCH("Multiple Indicator Cluster",B918)),ISNUMBER(SEARCH("MICS",B918))),"MICS",IF(ISNUMBER(SEARCH("Immunization Coverage Survey",B918)),"Coverage survey",IF(ISNUMBER(SEARCH("Nutrition",B918)),"Nutrition survey","Other"))))</f>
        <v>DHS</v>
      </c>
      <c r="D918" s="7" t="n">
        <f aca="false">VALUE(LEFT(Raw_Nigeria!D918,4))</f>
        <v>2023</v>
      </c>
      <c r="E918" s="7" t="n">
        <f aca="false">IF(VALUE(RIGHT(Raw_Nigeria!D918,2))&gt;12,"",VALUE(RIGHT(Raw_Nigeria!D918,2)))</f>
        <v>12</v>
      </c>
      <c r="F918" s="7" t="n">
        <f aca="false">VALUE(LEFT(Raw_Nigeria!E918,4))</f>
        <v>2024</v>
      </c>
      <c r="G918" s="7" t="n">
        <f aca="false">IF(VALUE(RIGHT(Raw_Nigeria!E918,2))&gt;12,"",VALUE(RIGHT(Raw_Nigeria!E918,2)))</f>
        <v>5</v>
      </c>
      <c r="H918" s="7" t="n">
        <f aca="false">Raw_Nigeria!F918</f>
        <v>2021</v>
      </c>
      <c r="I918" s="7" t="str">
        <f aca="false">UPPER(TRIM(Raw_Nigeria!G918))</f>
        <v>DTP2</v>
      </c>
      <c r="J918" s="7" t="str">
        <f aca="false">Raw_Nigeria!H918</f>
        <v>Record or Recall</v>
      </c>
      <c r="K918" s="7" t="str">
        <f aca="false">Raw_Nigeria!L918</f>
        <v>24-35 m</v>
      </c>
      <c r="L918" s="7" t="str">
        <f aca="false">IF(Raw_Nigeria!K918="","n/a",Raw_Nigeria!K918)</f>
        <v>0-35 m</v>
      </c>
      <c r="M918" s="7" t="n">
        <f aca="false">IF(Raw_Nigeria!I918="","",Raw_Nigeria!I918)</f>
        <v>34.4</v>
      </c>
      <c r="N918" s="7" t="n">
        <f aca="false">Raw_Nigeria!M918</f>
        <v>53.4</v>
      </c>
      <c r="O918" s="7" t="n">
        <f aca="false">IF(Raw_Nigeria!N918="","",Raw_Nigeria!N918)</f>
        <v>4680</v>
      </c>
      <c r="P918" s="7" t="str">
        <f aca="false">IF(K918="CBAW","Women of child-bearing age","Children")</f>
        <v>Children</v>
      </c>
      <c r="Q918" s="7" t="n">
        <f aca="false">IF(J918="NOT USED",1,0)</f>
        <v>0</v>
      </c>
      <c r="R918" s="7" t="n">
        <f aca="false">IF(AND(P918="Children",Q918=0),1,0)</f>
        <v>1</v>
      </c>
      <c r="S918" s="7" t="n">
        <f aca="false">IF(AND(R918=1,J918="Record or Recall",K918="12-23 m"),1,0)</f>
        <v>0</v>
      </c>
      <c r="T918" s="7" t="n">
        <f aca="false">IF(OR(I918="BCG",I918="DTP1",I918="DTP3",I918="POL3",I918="MCV1",I918="FULL"),1,0)</f>
        <v>0</v>
      </c>
      <c r="U918" s="7" t="n">
        <f aca="false">IF(OR(C918="DHS",C918="MICS"),1,0)</f>
        <v>1</v>
      </c>
      <c r="V918" s="7" t="n">
        <f aca="false">IF(O918="",1,0)</f>
        <v>0</v>
      </c>
      <c r="W918" s="7" t="n">
        <f aca="false">IF(M918="",1,0)</f>
        <v>0</v>
      </c>
      <c r="X918" s="7" t="n">
        <f aca="false">COUNTIFS($B$2:$B$1141,B918,$H$2:$H$1141,H918,$I$2:$I$1141,I918,$J$2:$J$1141,J918,$K$2:$K$1141,K918,$L$2:$L$1141,L918)</f>
        <v>1</v>
      </c>
    </row>
    <row r="919" customFormat="false" ht="15" hidden="false" customHeight="false" outlineLevel="0" collapsed="false">
      <c r="A919" s="7" t="n">
        <f aca="false">ROW()-1</f>
        <v>918</v>
      </c>
      <c r="B919" s="7" t="str">
        <f aca="false">IF(Raw_Nigeria!B919="",TRIM(Raw_Nigeria!C919),TRIM(Raw_Nigeria!B919))</f>
        <v>Nigeria Demographic and Health Survey 2024</v>
      </c>
      <c r="C919" s="7" t="str">
        <f aca="false">IF(ISNUMBER(SEARCH("Demographic and Health",B919)),"DHS",IF(OR(ISNUMBER(SEARCH("Multiple Indicator Cluster",B919)),ISNUMBER(SEARCH("MICS",B919))),"MICS",IF(ISNUMBER(SEARCH("Immunization Coverage Survey",B919)),"Coverage survey",IF(ISNUMBER(SEARCH("Nutrition",B919)),"Nutrition survey","Other"))))</f>
        <v>DHS</v>
      </c>
      <c r="D919" s="7" t="n">
        <f aca="false">VALUE(LEFT(Raw_Nigeria!D919,4))</f>
        <v>2023</v>
      </c>
      <c r="E919" s="7" t="n">
        <f aca="false">IF(VALUE(RIGHT(Raw_Nigeria!D919,2))&gt;12,"",VALUE(RIGHT(Raw_Nigeria!D919,2)))</f>
        <v>12</v>
      </c>
      <c r="F919" s="7" t="n">
        <f aca="false">VALUE(LEFT(Raw_Nigeria!E919,4))</f>
        <v>2024</v>
      </c>
      <c r="G919" s="7" t="n">
        <f aca="false">IF(VALUE(RIGHT(Raw_Nigeria!E919,2))&gt;12,"",VALUE(RIGHT(Raw_Nigeria!E919,2)))</f>
        <v>5</v>
      </c>
      <c r="H919" s="7" t="n">
        <f aca="false">Raw_Nigeria!F919</f>
        <v>2021</v>
      </c>
      <c r="I919" s="7" t="str">
        <f aca="false">UPPER(TRIM(Raw_Nigeria!G919))</f>
        <v>DTP2</v>
      </c>
      <c r="J919" s="7" t="str">
        <f aca="false">Raw_Nigeria!H919</f>
        <v>Record or Recall&lt;12m</v>
      </c>
      <c r="K919" s="7" t="str">
        <f aca="false">Raw_Nigeria!L919</f>
        <v>24-35 m</v>
      </c>
      <c r="L919" s="7" t="str">
        <f aca="false">IF(Raw_Nigeria!K919="","n/a",Raw_Nigeria!K919)</f>
        <v>0-12 m</v>
      </c>
      <c r="M919" s="7" t="n">
        <f aca="false">IF(Raw_Nigeria!I919="","",Raw_Nigeria!I919)</f>
        <v>34.4</v>
      </c>
      <c r="N919" s="7" t="n">
        <f aca="false">Raw_Nigeria!M919</f>
        <v>51.5</v>
      </c>
      <c r="O919" s="7" t="n">
        <f aca="false">IF(Raw_Nigeria!N919="","",Raw_Nigeria!N919)</f>
        <v>4680</v>
      </c>
      <c r="P919" s="7" t="str">
        <f aca="false">IF(K919="CBAW","Women of child-bearing age","Children")</f>
        <v>Children</v>
      </c>
      <c r="Q919" s="7" t="n">
        <f aca="false">IF(J919="NOT USED",1,0)</f>
        <v>0</v>
      </c>
      <c r="R919" s="7" t="n">
        <f aca="false">IF(AND(P919="Children",Q919=0),1,0)</f>
        <v>1</v>
      </c>
      <c r="S919" s="7" t="n">
        <f aca="false">IF(AND(R919=1,J919="Record or Recall",K919="12-23 m"),1,0)</f>
        <v>0</v>
      </c>
      <c r="T919" s="7" t="n">
        <f aca="false">IF(OR(I919="BCG",I919="DTP1",I919="DTP3",I919="POL3",I919="MCV1",I919="FULL"),1,0)</f>
        <v>0</v>
      </c>
      <c r="U919" s="7" t="n">
        <f aca="false">IF(OR(C919="DHS",C919="MICS"),1,0)</f>
        <v>1</v>
      </c>
      <c r="V919" s="7" t="n">
        <f aca="false">IF(O919="",1,0)</f>
        <v>0</v>
      </c>
      <c r="W919" s="7" t="n">
        <f aca="false">IF(M919="",1,0)</f>
        <v>0</v>
      </c>
      <c r="X919" s="7" t="n">
        <f aca="false">COUNTIFS($B$2:$B$1141,B919,$H$2:$H$1141,H919,$I$2:$I$1141,I919,$J$2:$J$1141,J919,$K$2:$K$1141,K919,$L$2:$L$1141,L919)</f>
        <v>1</v>
      </c>
    </row>
    <row r="920" customFormat="false" ht="15" hidden="false" customHeight="false" outlineLevel="0" collapsed="false">
      <c r="A920" s="7" t="n">
        <f aca="false">ROW()-1</f>
        <v>919</v>
      </c>
      <c r="B920" s="7" t="str">
        <f aca="false">IF(Raw_Nigeria!B920="",TRIM(Raw_Nigeria!C920),TRIM(Raw_Nigeria!B920))</f>
        <v>Nigeria Demographic and Health Survey 2024</v>
      </c>
      <c r="C920" s="7" t="str">
        <f aca="false">IF(ISNUMBER(SEARCH("Demographic and Health",B920)),"DHS",IF(OR(ISNUMBER(SEARCH("Multiple Indicator Cluster",B920)),ISNUMBER(SEARCH("MICS",B920))),"MICS",IF(ISNUMBER(SEARCH("Immunization Coverage Survey",B920)),"Coverage survey",IF(ISNUMBER(SEARCH("Nutrition",B920)),"Nutrition survey","Other"))))</f>
        <v>DHS</v>
      </c>
      <c r="D920" s="7" t="n">
        <f aca="false">VALUE(LEFT(Raw_Nigeria!D920,4))</f>
        <v>2023</v>
      </c>
      <c r="E920" s="7" t="n">
        <f aca="false">IF(VALUE(RIGHT(Raw_Nigeria!D920,2))&gt;12,"",VALUE(RIGHT(Raw_Nigeria!D920,2)))</f>
        <v>12</v>
      </c>
      <c r="F920" s="7" t="n">
        <f aca="false">VALUE(LEFT(Raw_Nigeria!E920,4))</f>
        <v>2024</v>
      </c>
      <c r="G920" s="7" t="n">
        <f aca="false">IF(VALUE(RIGHT(Raw_Nigeria!E920,2))&gt;12,"",VALUE(RIGHT(Raw_Nigeria!E920,2)))</f>
        <v>5</v>
      </c>
      <c r="H920" s="7" t="n">
        <f aca="false">Raw_Nigeria!F920</f>
        <v>2021</v>
      </c>
      <c r="I920" s="7" t="str">
        <f aca="false">UPPER(TRIM(Raw_Nigeria!G920))</f>
        <v>DTP3</v>
      </c>
      <c r="J920" s="7" t="str">
        <f aca="false">Raw_Nigeria!H920</f>
        <v>Recall</v>
      </c>
      <c r="K920" s="7" t="str">
        <f aca="false">Raw_Nigeria!L920</f>
        <v>24-35 m</v>
      </c>
      <c r="L920" s="7" t="str">
        <f aca="false">IF(Raw_Nigeria!K920="","n/a",Raw_Nigeria!K920)</f>
        <v>0-35 m</v>
      </c>
      <c r="M920" s="7" t="n">
        <f aca="false">IF(Raw_Nigeria!I920="","",Raw_Nigeria!I920)</f>
        <v>34.4</v>
      </c>
      <c r="N920" s="7" t="n">
        <f aca="false">Raw_Nigeria!M920</f>
        <v>18.1</v>
      </c>
      <c r="O920" s="7" t="n">
        <f aca="false">IF(Raw_Nigeria!N920="","",Raw_Nigeria!N920)</f>
        <v>3072</v>
      </c>
      <c r="P920" s="7" t="str">
        <f aca="false">IF(K920="CBAW","Women of child-bearing age","Children")</f>
        <v>Children</v>
      </c>
      <c r="Q920" s="7" t="n">
        <f aca="false">IF(J920="NOT USED",1,0)</f>
        <v>0</v>
      </c>
      <c r="R920" s="7" t="n">
        <f aca="false">IF(AND(P920="Children",Q920=0),1,0)</f>
        <v>1</v>
      </c>
      <c r="S920" s="7" t="n">
        <f aca="false">IF(AND(R920=1,J920="Record or Recall",K920="12-23 m"),1,0)</f>
        <v>0</v>
      </c>
      <c r="T920" s="7" t="n">
        <f aca="false">IF(OR(I920="BCG",I920="DTP1",I920="DTP3",I920="POL3",I920="MCV1",I920="FULL"),1,0)</f>
        <v>1</v>
      </c>
      <c r="U920" s="7" t="n">
        <f aca="false">IF(OR(C920="DHS",C920="MICS"),1,0)</f>
        <v>1</v>
      </c>
      <c r="V920" s="7" t="n">
        <f aca="false">IF(O920="",1,0)</f>
        <v>0</v>
      </c>
      <c r="W920" s="7" t="n">
        <f aca="false">IF(M920="",1,0)</f>
        <v>0</v>
      </c>
      <c r="X920" s="7" t="n">
        <f aca="false">COUNTIFS($B$2:$B$1141,B920,$H$2:$H$1141,H920,$I$2:$I$1141,I920,$J$2:$J$1141,J920,$K$2:$K$1141,K920,$L$2:$L$1141,L920)</f>
        <v>1</v>
      </c>
    </row>
    <row r="921" customFormat="false" ht="15" hidden="false" customHeight="false" outlineLevel="0" collapsed="false">
      <c r="A921" s="7" t="n">
        <f aca="false">ROW()-1</f>
        <v>920</v>
      </c>
      <c r="B921" s="7" t="str">
        <f aca="false">IF(Raw_Nigeria!B921="",TRIM(Raw_Nigeria!C921),TRIM(Raw_Nigeria!B921))</f>
        <v>Nigeria Demographic and Health Survey 2024</v>
      </c>
      <c r="C921" s="7" t="str">
        <f aca="false">IF(ISNUMBER(SEARCH("Demographic and Health",B921)),"DHS",IF(OR(ISNUMBER(SEARCH("Multiple Indicator Cluster",B921)),ISNUMBER(SEARCH("MICS",B921))),"MICS",IF(ISNUMBER(SEARCH("Immunization Coverage Survey",B921)),"Coverage survey",IF(ISNUMBER(SEARCH("Nutrition",B921)),"Nutrition survey","Other"))))</f>
        <v>DHS</v>
      </c>
      <c r="D921" s="7" t="n">
        <f aca="false">VALUE(LEFT(Raw_Nigeria!D921,4))</f>
        <v>2023</v>
      </c>
      <c r="E921" s="7" t="n">
        <f aca="false">IF(VALUE(RIGHT(Raw_Nigeria!D921,2))&gt;12,"",VALUE(RIGHT(Raw_Nigeria!D921,2)))</f>
        <v>12</v>
      </c>
      <c r="F921" s="7" t="n">
        <f aca="false">VALUE(LEFT(Raw_Nigeria!E921,4))</f>
        <v>2024</v>
      </c>
      <c r="G921" s="7" t="n">
        <f aca="false">IF(VALUE(RIGHT(Raw_Nigeria!E921,2))&gt;12,"",VALUE(RIGHT(Raw_Nigeria!E921,2)))</f>
        <v>5</v>
      </c>
      <c r="H921" s="7" t="n">
        <f aca="false">Raw_Nigeria!F921</f>
        <v>2021</v>
      </c>
      <c r="I921" s="7" t="str">
        <f aca="false">UPPER(TRIM(Raw_Nigeria!G921))</f>
        <v>DTP3</v>
      </c>
      <c r="J921" s="7" t="str">
        <f aca="false">Raw_Nigeria!H921</f>
        <v>Record</v>
      </c>
      <c r="K921" s="7" t="str">
        <f aca="false">Raw_Nigeria!L921</f>
        <v>24-35 m</v>
      </c>
      <c r="L921" s="7" t="str">
        <f aca="false">IF(Raw_Nigeria!K921="","n/a",Raw_Nigeria!K921)</f>
        <v>0-35 m</v>
      </c>
      <c r="M921" s="7" t="n">
        <f aca="false">IF(Raw_Nigeria!I921="","",Raw_Nigeria!I921)</f>
        <v>34.4</v>
      </c>
      <c r="N921" s="7" t="n">
        <f aca="false">Raw_Nigeria!M921</f>
        <v>27.6</v>
      </c>
      <c r="O921" s="7" t="n">
        <f aca="false">IF(Raw_Nigeria!N921="","",Raw_Nigeria!N921)</f>
        <v>1608</v>
      </c>
      <c r="P921" s="7" t="str">
        <f aca="false">IF(K921="CBAW","Women of child-bearing age","Children")</f>
        <v>Children</v>
      </c>
      <c r="Q921" s="7" t="n">
        <f aca="false">IF(J921="NOT USED",1,0)</f>
        <v>0</v>
      </c>
      <c r="R921" s="7" t="n">
        <f aca="false">IF(AND(P921="Children",Q921=0),1,0)</f>
        <v>1</v>
      </c>
      <c r="S921" s="7" t="n">
        <f aca="false">IF(AND(R921=1,J921="Record or Recall",K921="12-23 m"),1,0)</f>
        <v>0</v>
      </c>
      <c r="T921" s="7" t="n">
        <f aca="false">IF(OR(I921="BCG",I921="DTP1",I921="DTP3",I921="POL3",I921="MCV1",I921="FULL"),1,0)</f>
        <v>1</v>
      </c>
      <c r="U921" s="7" t="n">
        <f aca="false">IF(OR(C921="DHS",C921="MICS"),1,0)</f>
        <v>1</v>
      </c>
      <c r="V921" s="7" t="n">
        <f aca="false">IF(O921="",1,0)</f>
        <v>0</v>
      </c>
      <c r="W921" s="7" t="n">
        <f aca="false">IF(M921="",1,0)</f>
        <v>0</v>
      </c>
      <c r="X921" s="7" t="n">
        <f aca="false">COUNTIFS($B$2:$B$1141,B921,$H$2:$H$1141,H921,$I$2:$I$1141,I921,$J$2:$J$1141,J921,$K$2:$K$1141,K921,$L$2:$L$1141,L921)</f>
        <v>1</v>
      </c>
    </row>
    <row r="922" customFormat="false" ht="15" hidden="false" customHeight="false" outlineLevel="0" collapsed="false">
      <c r="A922" s="7" t="n">
        <f aca="false">ROW()-1</f>
        <v>921</v>
      </c>
      <c r="B922" s="7" t="str">
        <f aca="false">IF(Raw_Nigeria!B922="",TRIM(Raw_Nigeria!C922),TRIM(Raw_Nigeria!B922))</f>
        <v>Nigeria Demographic and Health Survey 2024</v>
      </c>
      <c r="C922" s="7" t="str">
        <f aca="false">IF(ISNUMBER(SEARCH("Demographic and Health",B922)),"DHS",IF(OR(ISNUMBER(SEARCH("Multiple Indicator Cluster",B922)),ISNUMBER(SEARCH("MICS",B922))),"MICS",IF(ISNUMBER(SEARCH("Immunization Coverage Survey",B922)),"Coverage survey",IF(ISNUMBER(SEARCH("Nutrition",B922)),"Nutrition survey","Other"))))</f>
        <v>DHS</v>
      </c>
      <c r="D922" s="7" t="n">
        <f aca="false">VALUE(LEFT(Raw_Nigeria!D922,4))</f>
        <v>2023</v>
      </c>
      <c r="E922" s="7" t="n">
        <f aca="false">IF(VALUE(RIGHT(Raw_Nigeria!D922,2))&gt;12,"",VALUE(RIGHT(Raw_Nigeria!D922,2)))</f>
        <v>12</v>
      </c>
      <c r="F922" s="7" t="n">
        <f aca="false">VALUE(LEFT(Raw_Nigeria!E922,4))</f>
        <v>2024</v>
      </c>
      <c r="G922" s="7" t="n">
        <f aca="false">IF(VALUE(RIGHT(Raw_Nigeria!E922,2))&gt;12,"",VALUE(RIGHT(Raw_Nigeria!E922,2)))</f>
        <v>5</v>
      </c>
      <c r="H922" s="7" t="n">
        <f aca="false">Raw_Nigeria!F922</f>
        <v>2021</v>
      </c>
      <c r="I922" s="7" t="str">
        <f aca="false">UPPER(TRIM(Raw_Nigeria!G922))</f>
        <v>DTP3</v>
      </c>
      <c r="J922" s="7" t="str">
        <f aca="false">Raw_Nigeria!H922</f>
        <v>Record or Recall</v>
      </c>
      <c r="K922" s="7" t="str">
        <f aca="false">Raw_Nigeria!L922</f>
        <v>24-35 m</v>
      </c>
      <c r="L922" s="7" t="str">
        <f aca="false">IF(Raw_Nigeria!K922="","n/a",Raw_Nigeria!K922)</f>
        <v>0-35 m</v>
      </c>
      <c r="M922" s="7" t="n">
        <f aca="false">IF(Raw_Nigeria!I922="","",Raw_Nigeria!I922)</f>
        <v>34.4</v>
      </c>
      <c r="N922" s="7" t="n">
        <f aca="false">Raw_Nigeria!M922</f>
        <v>45.7</v>
      </c>
      <c r="O922" s="7" t="n">
        <f aca="false">IF(Raw_Nigeria!N922="","",Raw_Nigeria!N922)</f>
        <v>4680</v>
      </c>
      <c r="P922" s="7" t="str">
        <f aca="false">IF(K922="CBAW","Women of child-bearing age","Children")</f>
        <v>Children</v>
      </c>
      <c r="Q922" s="7" t="n">
        <f aca="false">IF(J922="NOT USED",1,0)</f>
        <v>0</v>
      </c>
      <c r="R922" s="7" t="n">
        <f aca="false">IF(AND(P922="Children",Q922=0),1,0)</f>
        <v>1</v>
      </c>
      <c r="S922" s="7" t="n">
        <f aca="false">IF(AND(R922=1,J922="Record or Recall",K922="12-23 m"),1,0)</f>
        <v>0</v>
      </c>
      <c r="T922" s="7" t="n">
        <f aca="false">IF(OR(I922="BCG",I922="DTP1",I922="DTP3",I922="POL3",I922="MCV1",I922="FULL"),1,0)</f>
        <v>1</v>
      </c>
      <c r="U922" s="7" t="n">
        <f aca="false">IF(OR(C922="DHS",C922="MICS"),1,0)</f>
        <v>1</v>
      </c>
      <c r="V922" s="7" t="n">
        <f aca="false">IF(O922="",1,0)</f>
        <v>0</v>
      </c>
      <c r="W922" s="7" t="n">
        <f aca="false">IF(M922="",1,0)</f>
        <v>0</v>
      </c>
      <c r="X922" s="7" t="n">
        <f aca="false">COUNTIFS($B$2:$B$1141,B922,$H$2:$H$1141,H922,$I$2:$I$1141,I922,$J$2:$J$1141,J922,$K$2:$K$1141,K922,$L$2:$L$1141,L922)</f>
        <v>1</v>
      </c>
    </row>
    <row r="923" customFormat="false" ht="15" hidden="false" customHeight="false" outlineLevel="0" collapsed="false">
      <c r="A923" s="7" t="n">
        <f aca="false">ROW()-1</f>
        <v>922</v>
      </c>
      <c r="B923" s="7" t="str">
        <f aca="false">IF(Raw_Nigeria!B923="",TRIM(Raw_Nigeria!C923),TRIM(Raw_Nigeria!B923))</f>
        <v>Nigeria Demographic and Health Survey 2024</v>
      </c>
      <c r="C923" s="7" t="str">
        <f aca="false">IF(ISNUMBER(SEARCH("Demographic and Health",B923)),"DHS",IF(OR(ISNUMBER(SEARCH("Multiple Indicator Cluster",B923)),ISNUMBER(SEARCH("MICS",B923))),"MICS",IF(ISNUMBER(SEARCH("Immunization Coverage Survey",B923)),"Coverage survey",IF(ISNUMBER(SEARCH("Nutrition",B923)),"Nutrition survey","Other"))))</f>
        <v>DHS</v>
      </c>
      <c r="D923" s="7" t="n">
        <f aca="false">VALUE(LEFT(Raw_Nigeria!D923,4))</f>
        <v>2023</v>
      </c>
      <c r="E923" s="7" t="n">
        <f aca="false">IF(VALUE(RIGHT(Raw_Nigeria!D923,2))&gt;12,"",VALUE(RIGHT(Raw_Nigeria!D923,2)))</f>
        <v>12</v>
      </c>
      <c r="F923" s="7" t="n">
        <f aca="false">VALUE(LEFT(Raw_Nigeria!E923,4))</f>
        <v>2024</v>
      </c>
      <c r="G923" s="7" t="n">
        <f aca="false">IF(VALUE(RIGHT(Raw_Nigeria!E923,2))&gt;12,"",VALUE(RIGHT(Raw_Nigeria!E923,2)))</f>
        <v>5</v>
      </c>
      <c r="H923" s="7" t="n">
        <f aca="false">Raw_Nigeria!F923</f>
        <v>2021</v>
      </c>
      <c r="I923" s="7" t="str">
        <f aca="false">UPPER(TRIM(Raw_Nigeria!G923))</f>
        <v>DTP3</v>
      </c>
      <c r="J923" s="7" t="str">
        <f aca="false">Raw_Nigeria!H923</f>
        <v>Record or Recall&lt;12m</v>
      </c>
      <c r="K923" s="7" t="str">
        <f aca="false">Raw_Nigeria!L923</f>
        <v>24-35 m</v>
      </c>
      <c r="L923" s="7" t="str">
        <f aca="false">IF(Raw_Nigeria!K923="","n/a",Raw_Nigeria!K923)</f>
        <v>0-12 m</v>
      </c>
      <c r="M923" s="7" t="n">
        <f aca="false">IF(Raw_Nigeria!I923="","",Raw_Nigeria!I923)</f>
        <v>34.4</v>
      </c>
      <c r="N923" s="7" t="n">
        <f aca="false">Raw_Nigeria!M923</f>
        <v>42.9</v>
      </c>
      <c r="O923" s="7" t="n">
        <f aca="false">IF(Raw_Nigeria!N923="","",Raw_Nigeria!N923)</f>
        <v>4680</v>
      </c>
      <c r="P923" s="7" t="str">
        <f aca="false">IF(K923="CBAW","Women of child-bearing age","Children")</f>
        <v>Children</v>
      </c>
      <c r="Q923" s="7" t="n">
        <f aca="false">IF(J923="NOT USED",1,0)</f>
        <v>0</v>
      </c>
      <c r="R923" s="7" t="n">
        <f aca="false">IF(AND(P923="Children",Q923=0),1,0)</f>
        <v>1</v>
      </c>
      <c r="S923" s="7" t="n">
        <f aca="false">IF(AND(R923=1,J923="Record or Recall",K923="12-23 m"),1,0)</f>
        <v>0</v>
      </c>
      <c r="T923" s="7" t="n">
        <f aca="false">IF(OR(I923="BCG",I923="DTP1",I923="DTP3",I923="POL3",I923="MCV1",I923="FULL"),1,0)</f>
        <v>1</v>
      </c>
      <c r="U923" s="7" t="n">
        <f aca="false">IF(OR(C923="DHS",C923="MICS"),1,0)</f>
        <v>1</v>
      </c>
      <c r="V923" s="7" t="n">
        <f aca="false">IF(O923="",1,0)</f>
        <v>0</v>
      </c>
      <c r="W923" s="7" t="n">
        <f aca="false">IF(M923="",1,0)</f>
        <v>0</v>
      </c>
      <c r="X923" s="7" t="n">
        <f aca="false">COUNTIFS($B$2:$B$1141,B923,$H$2:$H$1141,H923,$I$2:$I$1141,I923,$J$2:$J$1141,J923,$K$2:$K$1141,K923,$L$2:$L$1141,L923)</f>
        <v>1</v>
      </c>
    </row>
    <row r="924" customFormat="false" ht="15" hidden="false" customHeight="false" outlineLevel="0" collapsed="false">
      <c r="A924" s="7" t="n">
        <f aca="false">ROW()-1</f>
        <v>923</v>
      </c>
      <c r="B924" s="7" t="str">
        <f aca="false">IF(Raw_Nigeria!B924="",TRIM(Raw_Nigeria!C924),TRIM(Raw_Nigeria!B924))</f>
        <v>Nigeria Demographic and Health Survey 2024</v>
      </c>
      <c r="C924" s="7" t="str">
        <f aca="false">IF(ISNUMBER(SEARCH("Demographic and Health",B924)),"DHS",IF(OR(ISNUMBER(SEARCH("Multiple Indicator Cluster",B924)),ISNUMBER(SEARCH("MICS",B924))),"MICS",IF(ISNUMBER(SEARCH("Immunization Coverage Survey",B924)),"Coverage survey",IF(ISNUMBER(SEARCH("Nutrition",B924)),"Nutrition survey","Other"))))</f>
        <v>DHS</v>
      </c>
      <c r="D924" s="7" t="n">
        <f aca="false">VALUE(LEFT(Raw_Nigeria!D924,4))</f>
        <v>2023</v>
      </c>
      <c r="E924" s="7" t="n">
        <f aca="false">IF(VALUE(RIGHT(Raw_Nigeria!D924,2))&gt;12,"",VALUE(RIGHT(Raw_Nigeria!D924,2)))</f>
        <v>12</v>
      </c>
      <c r="F924" s="7" t="n">
        <f aca="false">VALUE(LEFT(Raw_Nigeria!E924,4))</f>
        <v>2024</v>
      </c>
      <c r="G924" s="7" t="n">
        <f aca="false">IF(VALUE(RIGHT(Raw_Nigeria!E924,2))&gt;12,"",VALUE(RIGHT(Raw_Nigeria!E924,2)))</f>
        <v>5</v>
      </c>
      <c r="H924" s="7" t="n">
        <f aca="false">Raw_Nigeria!F924</f>
        <v>2021</v>
      </c>
      <c r="I924" s="7" t="str">
        <f aca="false">UPPER(TRIM(Raw_Nigeria!G924))</f>
        <v>FULL</v>
      </c>
      <c r="J924" s="7" t="str">
        <f aca="false">Raw_Nigeria!H924</f>
        <v>Recall</v>
      </c>
      <c r="K924" s="7" t="str">
        <f aca="false">Raw_Nigeria!L924</f>
        <v>24-35 m</v>
      </c>
      <c r="L924" s="7" t="str">
        <f aca="false">IF(Raw_Nigeria!K924="","n/a",Raw_Nigeria!K924)</f>
        <v>0-35 m</v>
      </c>
      <c r="M924" s="7" t="n">
        <f aca="false">IF(Raw_Nigeria!I924="","",Raw_Nigeria!I924)</f>
        <v>34.4</v>
      </c>
      <c r="N924" s="7" t="n">
        <f aca="false">Raw_Nigeria!M924</f>
        <v>6</v>
      </c>
      <c r="O924" s="7" t="n">
        <f aca="false">IF(Raw_Nigeria!N924="","",Raw_Nigeria!N924)</f>
        <v>3072</v>
      </c>
      <c r="P924" s="7" t="str">
        <f aca="false">IF(K924="CBAW","Women of child-bearing age","Children")</f>
        <v>Children</v>
      </c>
      <c r="Q924" s="7" t="n">
        <f aca="false">IF(J924="NOT USED",1,0)</f>
        <v>0</v>
      </c>
      <c r="R924" s="7" t="n">
        <f aca="false">IF(AND(P924="Children",Q924=0),1,0)</f>
        <v>1</v>
      </c>
      <c r="S924" s="7" t="n">
        <f aca="false">IF(AND(R924=1,J924="Record or Recall",K924="12-23 m"),1,0)</f>
        <v>0</v>
      </c>
      <c r="T924" s="7" t="n">
        <f aca="false">IF(OR(I924="BCG",I924="DTP1",I924="DTP3",I924="POL3",I924="MCV1",I924="FULL"),1,0)</f>
        <v>1</v>
      </c>
      <c r="U924" s="7" t="n">
        <f aca="false">IF(OR(C924="DHS",C924="MICS"),1,0)</f>
        <v>1</v>
      </c>
      <c r="V924" s="7" t="n">
        <f aca="false">IF(O924="",1,0)</f>
        <v>0</v>
      </c>
      <c r="W924" s="7" t="n">
        <f aca="false">IF(M924="",1,0)</f>
        <v>0</v>
      </c>
      <c r="X924" s="7" t="n">
        <f aca="false">COUNTIFS($B$2:$B$1141,B924,$H$2:$H$1141,H924,$I$2:$I$1141,I924,$J$2:$J$1141,J924,$K$2:$K$1141,K924,$L$2:$L$1141,L924)</f>
        <v>1</v>
      </c>
    </row>
    <row r="925" customFormat="false" ht="15" hidden="false" customHeight="false" outlineLevel="0" collapsed="false">
      <c r="A925" s="7" t="n">
        <f aca="false">ROW()-1</f>
        <v>924</v>
      </c>
      <c r="B925" s="7" t="str">
        <f aca="false">IF(Raw_Nigeria!B925="",TRIM(Raw_Nigeria!C925),TRIM(Raw_Nigeria!B925))</f>
        <v>Nigeria Demographic and Health Survey 2024</v>
      </c>
      <c r="C925" s="7" t="str">
        <f aca="false">IF(ISNUMBER(SEARCH("Demographic and Health",B925)),"DHS",IF(OR(ISNUMBER(SEARCH("Multiple Indicator Cluster",B925)),ISNUMBER(SEARCH("MICS",B925))),"MICS",IF(ISNUMBER(SEARCH("Immunization Coverage Survey",B925)),"Coverage survey",IF(ISNUMBER(SEARCH("Nutrition",B925)),"Nutrition survey","Other"))))</f>
        <v>DHS</v>
      </c>
      <c r="D925" s="7" t="n">
        <f aca="false">VALUE(LEFT(Raw_Nigeria!D925,4))</f>
        <v>2023</v>
      </c>
      <c r="E925" s="7" t="n">
        <f aca="false">IF(VALUE(RIGHT(Raw_Nigeria!D925,2))&gt;12,"",VALUE(RIGHT(Raw_Nigeria!D925,2)))</f>
        <v>12</v>
      </c>
      <c r="F925" s="7" t="n">
        <f aca="false">VALUE(LEFT(Raw_Nigeria!E925,4))</f>
        <v>2024</v>
      </c>
      <c r="G925" s="7" t="n">
        <f aca="false">IF(VALUE(RIGHT(Raw_Nigeria!E925,2))&gt;12,"",VALUE(RIGHT(Raw_Nigeria!E925,2)))</f>
        <v>5</v>
      </c>
      <c r="H925" s="7" t="n">
        <f aca="false">Raw_Nigeria!F925</f>
        <v>2021</v>
      </c>
      <c r="I925" s="7" t="str">
        <f aca="false">UPPER(TRIM(Raw_Nigeria!G925))</f>
        <v>FULL</v>
      </c>
      <c r="J925" s="7" t="str">
        <f aca="false">Raw_Nigeria!H925</f>
        <v>Record</v>
      </c>
      <c r="K925" s="7" t="str">
        <f aca="false">Raw_Nigeria!L925</f>
        <v>24-35 m</v>
      </c>
      <c r="L925" s="7" t="str">
        <f aca="false">IF(Raw_Nigeria!K925="","n/a",Raw_Nigeria!K925)</f>
        <v>0-35 m</v>
      </c>
      <c r="M925" s="7" t="n">
        <f aca="false">IF(Raw_Nigeria!I925="","",Raw_Nigeria!I925)</f>
        <v>34.4</v>
      </c>
      <c r="N925" s="7" t="n">
        <f aca="false">Raw_Nigeria!M925</f>
        <v>23.9</v>
      </c>
      <c r="O925" s="7" t="n">
        <f aca="false">IF(Raw_Nigeria!N925="","",Raw_Nigeria!N925)</f>
        <v>1608</v>
      </c>
      <c r="P925" s="7" t="str">
        <f aca="false">IF(K925="CBAW","Women of child-bearing age","Children")</f>
        <v>Children</v>
      </c>
      <c r="Q925" s="7" t="n">
        <f aca="false">IF(J925="NOT USED",1,0)</f>
        <v>0</v>
      </c>
      <c r="R925" s="7" t="n">
        <f aca="false">IF(AND(P925="Children",Q925=0),1,0)</f>
        <v>1</v>
      </c>
      <c r="S925" s="7" t="n">
        <f aca="false">IF(AND(R925=1,J925="Record or Recall",K925="12-23 m"),1,0)</f>
        <v>0</v>
      </c>
      <c r="T925" s="7" t="n">
        <f aca="false">IF(OR(I925="BCG",I925="DTP1",I925="DTP3",I925="POL3",I925="MCV1",I925="FULL"),1,0)</f>
        <v>1</v>
      </c>
      <c r="U925" s="7" t="n">
        <f aca="false">IF(OR(C925="DHS",C925="MICS"),1,0)</f>
        <v>1</v>
      </c>
      <c r="V925" s="7" t="n">
        <f aca="false">IF(O925="",1,0)</f>
        <v>0</v>
      </c>
      <c r="W925" s="7" t="n">
        <f aca="false">IF(M925="",1,0)</f>
        <v>0</v>
      </c>
      <c r="X925" s="7" t="n">
        <f aca="false">COUNTIFS($B$2:$B$1141,B925,$H$2:$H$1141,H925,$I$2:$I$1141,I925,$J$2:$J$1141,J925,$K$2:$K$1141,K925,$L$2:$L$1141,L925)</f>
        <v>1</v>
      </c>
    </row>
    <row r="926" customFormat="false" ht="15" hidden="false" customHeight="false" outlineLevel="0" collapsed="false">
      <c r="A926" s="7" t="n">
        <f aca="false">ROW()-1</f>
        <v>925</v>
      </c>
      <c r="B926" s="7" t="str">
        <f aca="false">IF(Raw_Nigeria!B926="",TRIM(Raw_Nigeria!C926),TRIM(Raw_Nigeria!B926))</f>
        <v>Nigeria Demographic and Health Survey 2024</v>
      </c>
      <c r="C926" s="7" t="str">
        <f aca="false">IF(ISNUMBER(SEARCH("Demographic and Health",B926)),"DHS",IF(OR(ISNUMBER(SEARCH("Multiple Indicator Cluster",B926)),ISNUMBER(SEARCH("MICS",B926))),"MICS",IF(ISNUMBER(SEARCH("Immunization Coverage Survey",B926)),"Coverage survey",IF(ISNUMBER(SEARCH("Nutrition",B926)),"Nutrition survey","Other"))))</f>
        <v>DHS</v>
      </c>
      <c r="D926" s="7" t="n">
        <f aca="false">VALUE(LEFT(Raw_Nigeria!D926,4))</f>
        <v>2023</v>
      </c>
      <c r="E926" s="7" t="n">
        <f aca="false">IF(VALUE(RIGHT(Raw_Nigeria!D926,2))&gt;12,"",VALUE(RIGHT(Raw_Nigeria!D926,2)))</f>
        <v>12</v>
      </c>
      <c r="F926" s="7" t="n">
        <f aca="false">VALUE(LEFT(Raw_Nigeria!E926,4))</f>
        <v>2024</v>
      </c>
      <c r="G926" s="7" t="n">
        <f aca="false">IF(VALUE(RIGHT(Raw_Nigeria!E926,2))&gt;12,"",VALUE(RIGHT(Raw_Nigeria!E926,2)))</f>
        <v>5</v>
      </c>
      <c r="H926" s="7" t="n">
        <f aca="false">Raw_Nigeria!F926</f>
        <v>2021</v>
      </c>
      <c r="I926" s="7" t="str">
        <f aca="false">UPPER(TRIM(Raw_Nigeria!G926))</f>
        <v>FULL</v>
      </c>
      <c r="J926" s="7" t="str">
        <f aca="false">Raw_Nigeria!H926</f>
        <v>Record or Recall</v>
      </c>
      <c r="K926" s="7" t="str">
        <f aca="false">Raw_Nigeria!L926</f>
        <v>24-35 m</v>
      </c>
      <c r="L926" s="7" t="str">
        <f aca="false">IF(Raw_Nigeria!K926="","n/a",Raw_Nigeria!K926)</f>
        <v>0-35 m</v>
      </c>
      <c r="M926" s="7" t="n">
        <f aca="false">IF(Raw_Nigeria!I926="","",Raw_Nigeria!I926)</f>
        <v>34.4</v>
      </c>
      <c r="N926" s="7" t="n">
        <f aca="false">Raw_Nigeria!M926</f>
        <v>29.9</v>
      </c>
      <c r="O926" s="7" t="n">
        <f aca="false">IF(Raw_Nigeria!N926="","",Raw_Nigeria!N926)</f>
        <v>4680</v>
      </c>
      <c r="P926" s="7" t="str">
        <f aca="false">IF(K926="CBAW","Women of child-bearing age","Children")</f>
        <v>Children</v>
      </c>
      <c r="Q926" s="7" t="n">
        <f aca="false">IF(J926="NOT USED",1,0)</f>
        <v>0</v>
      </c>
      <c r="R926" s="7" t="n">
        <f aca="false">IF(AND(P926="Children",Q926=0),1,0)</f>
        <v>1</v>
      </c>
      <c r="S926" s="7" t="n">
        <f aca="false">IF(AND(R926=1,J926="Record or Recall",K926="12-23 m"),1,0)</f>
        <v>0</v>
      </c>
      <c r="T926" s="7" t="n">
        <f aca="false">IF(OR(I926="BCG",I926="DTP1",I926="DTP3",I926="POL3",I926="MCV1",I926="FULL"),1,0)</f>
        <v>1</v>
      </c>
      <c r="U926" s="7" t="n">
        <f aca="false">IF(OR(C926="DHS",C926="MICS"),1,0)</f>
        <v>1</v>
      </c>
      <c r="V926" s="7" t="n">
        <f aca="false">IF(O926="",1,0)</f>
        <v>0</v>
      </c>
      <c r="W926" s="7" t="n">
        <f aca="false">IF(M926="",1,0)</f>
        <v>0</v>
      </c>
      <c r="X926" s="7" t="n">
        <f aca="false">COUNTIFS($B$2:$B$1141,B926,$H$2:$H$1141,H926,$I$2:$I$1141,I926,$J$2:$J$1141,J926,$K$2:$K$1141,K926,$L$2:$L$1141,L926)</f>
        <v>1</v>
      </c>
    </row>
    <row r="927" customFormat="false" ht="15" hidden="false" customHeight="false" outlineLevel="0" collapsed="false">
      <c r="A927" s="7" t="n">
        <f aca="false">ROW()-1</f>
        <v>926</v>
      </c>
      <c r="B927" s="7" t="str">
        <f aca="false">IF(Raw_Nigeria!B927="",TRIM(Raw_Nigeria!C927),TRIM(Raw_Nigeria!B927))</f>
        <v>Nigeria Demographic and Health Survey 2024</v>
      </c>
      <c r="C927" s="7" t="str">
        <f aca="false">IF(ISNUMBER(SEARCH("Demographic and Health",B927)),"DHS",IF(OR(ISNUMBER(SEARCH("Multiple Indicator Cluster",B927)),ISNUMBER(SEARCH("MICS",B927))),"MICS",IF(ISNUMBER(SEARCH("Immunization Coverage Survey",B927)),"Coverage survey",IF(ISNUMBER(SEARCH("Nutrition",B927)),"Nutrition survey","Other"))))</f>
        <v>DHS</v>
      </c>
      <c r="D927" s="7" t="n">
        <f aca="false">VALUE(LEFT(Raw_Nigeria!D927,4))</f>
        <v>2023</v>
      </c>
      <c r="E927" s="7" t="n">
        <f aca="false">IF(VALUE(RIGHT(Raw_Nigeria!D927,2))&gt;12,"",VALUE(RIGHT(Raw_Nigeria!D927,2)))</f>
        <v>12</v>
      </c>
      <c r="F927" s="7" t="n">
        <f aca="false">VALUE(LEFT(Raw_Nigeria!E927,4))</f>
        <v>2024</v>
      </c>
      <c r="G927" s="7" t="n">
        <f aca="false">IF(VALUE(RIGHT(Raw_Nigeria!E927,2))&gt;12,"",VALUE(RIGHT(Raw_Nigeria!E927,2)))</f>
        <v>5</v>
      </c>
      <c r="H927" s="7" t="n">
        <f aca="false">Raw_Nigeria!F927</f>
        <v>2021</v>
      </c>
      <c r="I927" s="7" t="str">
        <f aca="false">UPPER(TRIM(Raw_Nigeria!G927))</f>
        <v>FULL</v>
      </c>
      <c r="J927" s="7" t="str">
        <f aca="false">Raw_Nigeria!H927</f>
        <v>Record or Recall&lt;12m</v>
      </c>
      <c r="K927" s="7" t="str">
        <f aca="false">Raw_Nigeria!L927</f>
        <v>24-35 m</v>
      </c>
      <c r="L927" s="7" t="str">
        <f aca="false">IF(Raw_Nigeria!K927="","n/a",Raw_Nigeria!K927)</f>
        <v>0-12 m</v>
      </c>
      <c r="M927" s="7" t="n">
        <f aca="false">IF(Raw_Nigeria!I927="","",Raw_Nigeria!I927)</f>
        <v>34.4</v>
      </c>
      <c r="N927" s="7" t="n">
        <f aca="false">Raw_Nigeria!M927</f>
        <v>25.5</v>
      </c>
      <c r="O927" s="7" t="n">
        <f aca="false">IF(Raw_Nigeria!N927="","",Raw_Nigeria!N927)</f>
        <v>4680</v>
      </c>
      <c r="P927" s="7" t="str">
        <f aca="false">IF(K927="CBAW","Women of child-bearing age","Children")</f>
        <v>Children</v>
      </c>
      <c r="Q927" s="7" t="n">
        <f aca="false">IF(J927="NOT USED",1,0)</f>
        <v>0</v>
      </c>
      <c r="R927" s="7" t="n">
        <f aca="false">IF(AND(P927="Children",Q927=0),1,0)</f>
        <v>1</v>
      </c>
      <c r="S927" s="7" t="n">
        <f aca="false">IF(AND(R927=1,J927="Record or Recall",K927="12-23 m"),1,0)</f>
        <v>0</v>
      </c>
      <c r="T927" s="7" t="n">
        <f aca="false">IF(OR(I927="BCG",I927="DTP1",I927="DTP3",I927="POL3",I927="MCV1",I927="FULL"),1,0)</f>
        <v>1</v>
      </c>
      <c r="U927" s="7" t="n">
        <f aca="false">IF(OR(C927="DHS",C927="MICS"),1,0)</f>
        <v>1</v>
      </c>
      <c r="V927" s="7" t="n">
        <f aca="false">IF(O927="",1,0)</f>
        <v>0</v>
      </c>
      <c r="W927" s="7" t="n">
        <f aca="false">IF(M927="",1,0)</f>
        <v>0</v>
      </c>
      <c r="X927" s="7" t="n">
        <f aca="false">COUNTIFS($B$2:$B$1141,B927,$H$2:$H$1141,H927,$I$2:$I$1141,I927,$J$2:$J$1141,J927,$K$2:$K$1141,K927,$L$2:$L$1141,L927)</f>
        <v>1</v>
      </c>
    </row>
    <row r="928" customFormat="false" ht="15" hidden="false" customHeight="false" outlineLevel="0" collapsed="false">
      <c r="A928" s="7" t="n">
        <f aca="false">ROW()-1</f>
        <v>927</v>
      </c>
      <c r="B928" s="7" t="str">
        <f aca="false">IF(Raw_Nigeria!B928="",TRIM(Raw_Nigeria!C928),TRIM(Raw_Nigeria!B928))</f>
        <v>Nigeria Demographic and Health Survey 2024</v>
      </c>
      <c r="C928" s="7" t="str">
        <f aca="false">IF(ISNUMBER(SEARCH("Demographic and Health",B928)),"DHS",IF(OR(ISNUMBER(SEARCH("Multiple Indicator Cluster",B928)),ISNUMBER(SEARCH("MICS",B928))),"MICS",IF(ISNUMBER(SEARCH("Immunization Coverage Survey",B928)),"Coverage survey",IF(ISNUMBER(SEARCH("Nutrition",B928)),"Nutrition survey","Other"))))</f>
        <v>DHS</v>
      </c>
      <c r="D928" s="7" t="n">
        <f aca="false">VALUE(LEFT(Raw_Nigeria!D928,4))</f>
        <v>2023</v>
      </c>
      <c r="E928" s="7" t="n">
        <f aca="false">IF(VALUE(RIGHT(Raw_Nigeria!D928,2))&gt;12,"",VALUE(RIGHT(Raw_Nigeria!D928,2)))</f>
        <v>12</v>
      </c>
      <c r="F928" s="7" t="n">
        <f aca="false">VALUE(LEFT(Raw_Nigeria!E928,4))</f>
        <v>2024</v>
      </c>
      <c r="G928" s="7" t="n">
        <f aca="false">IF(VALUE(RIGHT(Raw_Nigeria!E928,2))&gt;12,"",VALUE(RIGHT(Raw_Nigeria!E928,2)))</f>
        <v>5</v>
      </c>
      <c r="H928" s="7" t="n">
        <f aca="false">Raw_Nigeria!F928</f>
        <v>2021</v>
      </c>
      <c r="I928" s="7" t="str">
        <f aca="false">UPPER(TRIM(Raw_Nigeria!G928))</f>
        <v>FULL &lt;1 YEAR</v>
      </c>
      <c r="J928" s="7" t="str">
        <f aca="false">Raw_Nigeria!H928</f>
        <v>Recall</v>
      </c>
      <c r="K928" s="7" t="str">
        <f aca="false">Raw_Nigeria!L928</f>
        <v>24-35 m</v>
      </c>
      <c r="L928" s="7" t="str">
        <f aca="false">IF(Raw_Nigeria!K928="","n/a",Raw_Nigeria!K928)</f>
        <v>0-12 m</v>
      </c>
      <c r="M928" s="7" t="n">
        <f aca="false">IF(Raw_Nigeria!I928="","",Raw_Nigeria!I928)</f>
        <v>34.4</v>
      </c>
      <c r="N928" s="7" t="n">
        <f aca="false">Raw_Nigeria!M928</f>
        <v>2.4</v>
      </c>
      <c r="O928" s="7" t="n">
        <f aca="false">IF(Raw_Nigeria!N928="","",Raw_Nigeria!N928)</f>
        <v>3072</v>
      </c>
      <c r="P928" s="7" t="str">
        <f aca="false">IF(K928="CBAW","Women of child-bearing age","Children")</f>
        <v>Children</v>
      </c>
      <c r="Q928" s="7" t="n">
        <f aca="false">IF(J928="NOT USED",1,0)</f>
        <v>0</v>
      </c>
      <c r="R928" s="7" t="n">
        <f aca="false">IF(AND(P928="Children",Q928=0),1,0)</f>
        <v>1</v>
      </c>
      <c r="S928" s="7" t="n">
        <f aca="false">IF(AND(R928=1,J928="Record or Recall",K928="12-23 m"),1,0)</f>
        <v>0</v>
      </c>
      <c r="T928" s="7" t="n">
        <f aca="false">IF(OR(I928="BCG",I928="DTP1",I928="DTP3",I928="POL3",I928="MCV1",I928="FULL"),1,0)</f>
        <v>0</v>
      </c>
      <c r="U928" s="7" t="n">
        <f aca="false">IF(OR(C928="DHS",C928="MICS"),1,0)</f>
        <v>1</v>
      </c>
      <c r="V928" s="7" t="n">
        <f aca="false">IF(O928="",1,0)</f>
        <v>0</v>
      </c>
      <c r="W928" s="7" t="n">
        <f aca="false">IF(M928="",1,0)</f>
        <v>0</v>
      </c>
      <c r="X928" s="7" t="n">
        <f aca="false">COUNTIFS($B$2:$B$1141,B928,$H$2:$H$1141,H928,$I$2:$I$1141,I928,$J$2:$J$1141,J928,$K$2:$K$1141,K928,$L$2:$L$1141,L928)</f>
        <v>1</v>
      </c>
    </row>
    <row r="929" customFormat="false" ht="15" hidden="false" customHeight="false" outlineLevel="0" collapsed="false">
      <c r="A929" s="7" t="n">
        <f aca="false">ROW()-1</f>
        <v>928</v>
      </c>
      <c r="B929" s="7" t="str">
        <f aca="false">IF(Raw_Nigeria!B929="",TRIM(Raw_Nigeria!C929),TRIM(Raw_Nigeria!B929))</f>
        <v>Nigeria Demographic and Health Survey 2024</v>
      </c>
      <c r="C929" s="7" t="str">
        <f aca="false">IF(ISNUMBER(SEARCH("Demographic and Health",B929)),"DHS",IF(OR(ISNUMBER(SEARCH("Multiple Indicator Cluster",B929)),ISNUMBER(SEARCH("MICS",B929))),"MICS",IF(ISNUMBER(SEARCH("Immunization Coverage Survey",B929)),"Coverage survey",IF(ISNUMBER(SEARCH("Nutrition",B929)),"Nutrition survey","Other"))))</f>
        <v>DHS</v>
      </c>
      <c r="D929" s="7" t="n">
        <f aca="false">VALUE(LEFT(Raw_Nigeria!D929,4))</f>
        <v>2023</v>
      </c>
      <c r="E929" s="7" t="n">
        <f aca="false">IF(VALUE(RIGHT(Raw_Nigeria!D929,2))&gt;12,"",VALUE(RIGHT(Raw_Nigeria!D929,2)))</f>
        <v>12</v>
      </c>
      <c r="F929" s="7" t="n">
        <f aca="false">VALUE(LEFT(Raw_Nigeria!E929,4))</f>
        <v>2024</v>
      </c>
      <c r="G929" s="7" t="n">
        <f aca="false">IF(VALUE(RIGHT(Raw_Nigeria!E929,2))&gt;12,"",VALUE(RIGHT(Raw_Nigeria!E929,2)))</f>
        <v>5</v>
      </c>
      <c r="H929" s="7" t="n">
        <f aca="false">Raw_Nigeria!F929</f>
        <v>2021</v>
      </c>
      <c r="I929" s="7" t="str">
        <f aca="false">UPPER(TRIM(Raw_Nigeria!G929))</f>
        <v>FULL &lt;1 YEAR</v>
      </c>
      <c r="J929" s="7" t="str">
        <f aca="false">Raw_Nigeria!H929</f>
        <v>Record</v>
      </c>
      <c r="K929" s="7" t="str">
        <f aca="false">Raw_Nigeria!L929</f>
        <v>24-35 m</v>
      </c>
      <c r="L929" s="7" t="str">
        <f aca="false">IF(Raw_Nigeria!K929="","n/a",Raw_Nigeria!K929)</f>
        <v>0-12 m</v>
      </c>
      <c r="M929" s="7" t="n">
        <f aca="false">IF(Raw_Nigeria!I929="","",Raw_Nigeria!I929)</f>
        <v>34.4</v>
      </c>
      <c r="N929" s="7" t="n">
        <f aca="false">Raw_Nigeria!M929</f>
        <v>8.8</v>
      </c>
      <c r="O929" s="7" t="n">
        <f aca="false">IF(Raw_Nigeria!N929="","",Raw_Nigeria!N929)</f>
        <v>1608</v>
      </c>
      <c r="P929" s="7" t="str">
        <f aca="false">IF(K929="CBAW","Women of child-bearing age","Children")</f>
        <v>Children</v>
      </c>
      <c r="Q929" s="7" t="n">
        <f aca="false">IF(J929="NOT USED",1,0)</f>
        <v>0</v>
      </c>
      <c r="R929" s="7" t="n">
        <f aca="false">IF(AND(P929="Children",Q929=0),1,0)</f>
        <v>1</v>
      </c>
      <c r="S929" s="7" t="n">
        <f aca="false">IF(AND(R929=1,J929="Record or Recall",K929="12-23 m"),1,0)</f>
        <v>0</v>
      </c>
      <c r="T929" s="7" t="n">
        <f aca="false">IF(OR(I929="BCG",I929="DTP1",I929="DTP3",I929="POL3",I929="MCV1",I929="FULL"),1,0)</f>
        <v>0</v>
      </c>
      <c r="U929" s="7" t="n">
        <f aca="false">IF(OR(C929="DHS",C929="MICS"),1,0)</f>
        <v>1</v>
      </c>
      <c r="V929" s="7" t="n">
        <f aca="false">IF(O929="",1,0)</f>
        <v>0</v>
      </c>
      <c r="W929" s="7" t="n">
        <f aca="false">IF(M929="",1,0)</f>
        <v>0</v>
      </c>
      <c r="X929" s="7" t="n">
        <f aca="false">COUNTIFS($B$2:$B$1141,B929,$H$2:$H$1141,H929,$I$2:$I$1141,I929,$J$2:$J$1141,J929,$K$2:$K$1141,K929,$L$2:$L$1141,L929)</f>
        <v>1</v>
      </c>
    </row>
    <row r="930" customFormat="false" ht="15" hidden="false" customHeight="false" outlineLevel="0" collapsed="false">
      <c r="A930" s="7" t="n">
        <f aca="false">ROW()-1</f>
        <v>929</v>
      </c>
      <c r="B930" s="7" t="str">
        <f aca="false">IF(Raw_Nigeria!B930="",TRIM(Raw_Nigeria!C930),TRIM(Raw_Nigeria!B930))</f>
        <v>Nigeria Demographic and Health Survey 2024</v>
      </c>
      <c r="C930" s="7" t="str">
        <f aca="false">IF(ISNUMBER(SEARCH("Demographic and Health",B930)),"DHS",IF(OR(ISNUMBER(SEARCH("Multiple Indicator Cluster",B930)),ISNUMBER(SEARCH("MICS",B930))),"MICS",IF(ISNUMBER(SEARCH("Immunization Coverage Survey",B930)),"Coverage survey",IF(ISNUMBER(SEARCH("Nutrition",B930)),"Nutrition survey","Other"))))</f>
        <v>DHS</v>
      </c>
      <c r="D930" s="7" t="n">
        <f aca="false">VALUE(LEFT(Raw_Nigeria!D930,4))</f>
        <v>2023</v>
      </c>
      <c r="E930" s="7" t="n">
        <f aca="false">IF(VALUE(RIGHT(Raw_Nigeria!D930,2))&gt;12,"",VALUE(RIGHT(Raw_Nigeria!D930,2)))</f>
        <v>12</v>
      </c>
      <c r="F930" s="7" t="n">
        <f aca="false">VALUE(LEFT(Raw_Nigeria!E930,4))</f>
        <v>2024</v>
      </c>
      <c r="G930" s="7" t="n">
        <f aca="false">IF(VALUE(RIGHT(Raw_Nigeria!E930,2))&gt;12,"",VALUE(RIGHT(Raw_Nigeria!E930,2)))</f>
        <v>5</v>
      </c>
      <c r="H930" s="7" t="n">
        <f aca="false">Raw_Nigeria!F930</f>
        <v>2021</v>
      </c>
      <c r="I930" s="7" t="str">
        <f aca="false">UPPER(TRIM(Raw_Nigeria!G930))</f>
        <v>FULL &lt;1 YEAR</v>
      </c>
      <c r="J930" s="7" t="str">
        <f aca="false">Raw_Nigeria!H930</f>
        <v>Record or Recall</v>
      </c>
      <c r="K930" s="7" t="str">
        <f aca="false">Raw_Nigeria!L930</f>
        <v>24-35 m</v>
      </c>
      <c r="L930" s="7" t="str">
        <f aca="false">IF(Raw_Nigeria!K930="","n/a",Raw_Nigeria!K930)</f>
        <v>0-12 m</v>
      </c>
      <c r="M930" s="7" t="n">
        <f aca="false">IF(Raw_Nigeria!I930="","",Raw_Nigeria!I930)</f>
        <v>34.4</v>
      </c>
      <c r="N930" s="7" t="n">
        <f aca="false">Raw_Nigeria!M930</f>
        <v>11.2</v>
      </c>
      <c r="O930" s="7" t="n">
        <f aca="false">IF(Raw_Nigeria!N930="","",Raw_Nigeria!N930)</f>
        <v>4680</v>
      </c>
      <c r="P930" s="7" t="str">
        <f aca="false">IF(K930="CBAW","Women of child-bearing age","Children")</f>
        <v>Children</v>
      </c>
      <c r="Q930" s="7" t="n">
        <f aca="false">IF(J930="NOT USED",1,0)</f>
        <v>0</v>
      </c>
      <c r="R930" s="7" t="n">
        <f aca="false">IF(AND(P930="Children",Q930=0),1,0)</f>
        <v>1</v>
      </c>
      <c r="S930" s="7" t="n">
        <f aca="false">IF(AND(R930=1,J930="Record or Recall",K930="12-23 m"),1,0)</f>
        <v>0</v>
      </c>
      <c r="T930" s="7" t="n">
        <f aca="false">IF(OR(I930="BCG",I930="DTP1",I930="DTP3",I930="POL3",I930="MCV1",I930="FULL"),1,0)</f>
        <v>0</v>
      </c>
      <c r="U930" s="7" t="n">
        <f aca="false">IF(OR(C930="DHS",C930="MICS"),1,0)</f>
        <v>1</v>
      </c>
      <c r="V930" s="7" t="n">
        <f aca="false">IF(O930="",1,0)</f>
        <v>0</v>
      </c>
      <c r="W930" s="7" t="n">
        <f aca="false">IF(M930="",1,0)</f>
        <v>0</v>
      </c>
      <c r="X930" s="7" t="n">
        <f aca="false">COUNTIFS($B$2:$B$1141,B930,$H$2:$H$1141,H930,$I$2:$I$1141,I930,$J$2:$J$1141,J930,$K$2:$K$1141,K930,$L$2:$L$1141,L930)</f>
        <v>1</v>
      </c>
    </row>
    <row r="931" customFormat="false" ht="15" hidden="false" customHeight="false" outlineLevel="0" collapsed="false">
      <c r="A931" s="7" t="n">
        <f aca="false">ROW()-1</f>
        <v>930</v>
      </c>
      <c r="B931" s="7" t="str">
        <f aca="false">IF(Raw_Nigeria!B931="",TRIM(Raw_Nigeria!C931),TRIM(Raw_Nigeria!B931))</f>
        <v>Nigeria Demographic and Health Survey 2024</v>
      </c>
      <c r="C931" s="7" t="str">
        <f aca="false">IF(ISNUMBER(SEARCH("Demographic and Health",B931)),"DHS",IF(OR(ISNUMBER(SEARCH("Multiple Indicator Cluster",B931)),ISNUMBER(SEARCH("MICS",B931))),"MICS",IF(ISNUMBER(SEARCH("Immunization Coverage Survey",B931)),"Coverage survey",IF(ISNUMBER(SEARCH("Nutrition",B931)),"Nutrition survey","Other"))))</f>
        <v>DHS</v>
      </c>
      <c r="D931" s="7" t="n">
        <f aca="false">VALUE(LEFT(Raw_Nigeria!D931,4))</f>
        <v>2023</v>
      </c>
      <c r="E931" s="7" t="n">
        <f aca="false">IF(VALUE(RIGHT(Raw_Nigeria!D931,2))&gt;12,"",VALUE(RIGHT(Raw_Nigeria!D931,2)))</f>
        <v>12</v>
      </c>
      <c r="F931" s="7" t="n">
        <f aca="false">VALUE(LEFT(Raw_Nigeria!E931,4))</f>
        <v>2024</v>
      </c>
      <c r="G931" s="7" t="n">
        <f aca="false">IF(VALUE(RIGHT(Raw_Nigeria!E931,2))&gt;12,"",VALUE(RIGHT(Raw_Nigeria!E931,2)))</f>
        <v>5</v>
      </c>
      <c r="H931" s="7" t="n">
        <f aca="false">Raw_Nigeria!F931</f>
        <v>2021</v>
      </c>
      <c r="I931" s="7" t="str">
        <f aca="false">UPPER(TRIM(Raw_Nigeria!G931))</f>
        <v>FULL &lt;1 YEAR</v>
      </c>
      <c r="J931" s="7" t="str">
        <f aca="false">Raw_Nigeria!H931</f>
        <v>Record or Recall&lt;12m</v>
      </c>
      <c r="K931" s="7" t="str">
        <f aca="false">Raw_Nigeria!L931</f>
        <v>24-35 m</v>
      </c>
      <c r="L931" s="7" t="str">
        <f aca="false">IF(Raw_Nigeria!K931="","n/a",Raw_Nigeria!K931)</f>
        <v>0-12 m</v>
      </c>
      <c r="M931" s="7" t="n">
        <f aca="false">IF(Raw_Nigeria!I931="","",Raw_Nigeria!I931)</f>
        <v>34.4</v>
      </c>
      <c r="N931" s="7" t="n">
        <f aca="false">Raw_Nigeria!M931</f>
        <v>9</v>
      </c>
      <c r="O931" s="7" t="n">
        <f aca="false">IF(Raw_Nigeria!N931="","",Raw_Nigeria!N931)</f>
        <v>4680</v>
      </c>
      <c r="P931" s="7" t="str">
        <f aca="false">IF(K931="CBAW","Women of child-bearing age","Children")</f>
        <v>Children</v>
      </c>
      <c r="Q931" s="7" t="n">
        <f aca="false">IF(J931="NOT USED",1,0)</f>
        <v>0</v>
      </c>
      <c r="R931" s="7" t="n">
        <f aca="false">IF(AND(P931="Children",Q931=0),1,0)</f>
        <v>1</v>
      </c>
      <c r="S931" s="7" t="n">
        <f aca="false">IF(AND(R931=1,J931="Record or Recall",K931="12-23 m"),1,0)</f>
        <v>0</v>
      </c>
      <c r="T931" s="7" t="n">
        <f aca="false">IF(OR(I931="BCG",I931="DTP1",I931="DTP3",I931="POL3",I931="MCV1",I931="FULL"),1,0)</f>
        <v>0</v>
      </c>
      <c r="U931" s="7" t="n">
        <f aca="false">IF(OR(C931="DHS",C931="MICS"),1,0)</f>
        <v>1</v>
      </c>
      <c r="V931" s="7" t="n">
        <f aca="false">IF(O931="",1,0)</f>
        <v>0</v>
      </c>
      <c r="W931" s="7" t="n">
        <f aca="false">IF(M931="",1,0)</f>
        <v>0</v>
      </c>
      <c r="X931" s="7" t="n">
        <f aca="false">COUNTIFS($B$2:$B$1141,B931,$H$2:$H$1141,H931,$I$2:$I$1141,I931,$J$2:$J$1141,J931,$K$2:$K$1141,K931,$L$2:$L$1141,L931)</f>
        <v>1</v>
      </c>
    </row>
    <row r="932" customFormat="false" ht="15" hidden="false" customHeight="false" outlineLevel="0" collapsed="false">
      <c r="A932" s="7" t="n">
        <f aca="false">ROW()-1</f>
        <v>931</v>
      </c>
      <c r="B932" s="7" t="str">
        <f aca="false">IF(Raw_Nigeria!B932="",TRIM(Raw_Nigeria!C932),TRIM(Raw_Nigeria!B932))</f>
        <v>Nigeria Demographic and Health Survey 2024</v>
      </c>
      <c r="C932" s="7" t="str">
        <f aca="false">IF(ISNUMBER(SEARCH("Demographic and Health",B932)),"DHS",IF(OR(ISNUMBER(SEARCH("Multiple Indicator Cluster",B932)),ISNUMBER(SEARCH("MICS",B932))),"MICS",IF(ISNUMBER(SEARCH("Immunization Coverage Survey",B932)),"Coverage survey",IF(ISNUMBER(SEARCH("Nutrition",B932)),"Nutrition survey","Other"))))</f>
        <v>DHS</v>
      </c>
      <c r="D932" s="7" t="n">
        <f aca="false">VALUE(LEFT(Raw_Nigeria!D932,4))</f>
        <v>2023</v>
      </c>
      <c r="E932" s="7" t="n">
        <f aca="false">IF(VALUE(RIGHT(Raw_Nigeria!D932,2))&gt;12,"",VALUE(RIGHT(Raw_Nigeria!D932,2)))</f>
        <v>12</v>
      </c>
      <c r="F932" s="7" t="n">
        <f aca="false">VALUE(LEFT(Raw_Nigeria!E932,4))</f>
        <v>2024</v>
      </c>
      <c r="G932" s="7" t="n">
        <f aca="false">IF(VALUE(RIGHT(Raw_Nigeria!E932,2))&gt;12,"",VALUE(RIGHT(Raw_Nigeria!E932,2)))</f>
        <v>5</v>
      </c>
      <c r="H932" s="7" t="n">
        <f aca="false">Raw_Nigeria!F932</f>
        <v>2021</v>
      </c>
      <c r="I932" s="7" t="str">
        <f aca="false">UPPER(TRIM(Raw_Nigeria!G932))</f>
        <v>HEPB0</v>
      </c>
      <c r="J932" s="7" t="str">
        <f aca="false">Raw_Nigeria!H932</f>
        <v>Recall</v>
      </c>
      <c r="K932" s="7" t="str">
        <f aca="false">Raw_Nigeria!L932</f>
        <v>24-35 m</v>
      </c>
      <c r="L932" s="7" t="str">
        <f aca="false">IF(Raw_Nigeria!K932="","n/a",Raw_Nigeria!K932)</f>
        <v>0-35 m</v>
      </c>
      <c r="M932" s="7" t="n">
        <f aca="false">IF(Raw_Nigeria!I932="","",Raw_Nigeria!I932)</f>
        <v>34.4</v>
      </c>
      <c r="N932" s="7" t="n">
        <f aca="false">Raw_Nigeria!M932</f>
        <v>9.7</v>
      </c>
      <c r="O932" s="7" t="n">
        <f aca="false">IF(Raw_Nigeria!N932="","",Raw_Nigeria!N932)</f>
        <v>3072</v>
      </c>
      <c r="P932" s="7" t="str">
        <f aca="false">IF(K932="CBAW","Women of child-bearing age","Children")</f>
        <v>Children</v>
      </c>
      <c r="Q932" s="7" t="n">
        <f aca="false">IF(J932="NOT USED",1,0)</f>
        <v>0</v>
      </c>
      <c r="R932" s="7" t="n">
        <f aca="false">IF(AND(P932="Children",Q932=0),1,0)</f>
        <v>1</v>
      </c>
      <c r="S932" s="7" t="n">
        <f aca="false">IF(AND(R932=1,J932="Record or Recall",K932="12-23 m"),1,0)</f>
        <v>0</v>
      </c>
      <c r="T932" s="7" t="n">
        <f aca="false">IF(OR(I932="BCG",I932="DTP1",I932="DTP3",I932="POL3",I932="MCV1",I932="FULL"),1,0)</f>
        <v>0</v>
      </c>
      <c r="U932" s="7" t="n">
        <f aca="false">IF(OR(C932="DHS",C932="MICS"),1,0)</f>
        <v>1</v>
      </c>
      <c r="V932" s="7" t="n">
        <f aca="false">IF(O932="",1,0)</f>
        <v>0</v>
      </c>
      <c r="W932" s="7" t="n">
        <f aca="false">IF(M932="",1,0)</f>
        <v>0</v>
      </c>
      <c r="X932" s="7" t="n">
        <f aca="false">COUNTIFS($B$2:$B$1141,B932,$H$2:$H$1141,H932,$I$2:$I$1141,I932,$J$2:$J$1141,J932,$K$2:$K$1141,K932,$L$2:$L$1141,L932)</f>
        <v>1</v>
      </c>
    </row>
    <row r="933" customFormat="false" ht="15" hidden="false" customHeight="false" outlineLevel="0" collapsed="false">
      <c r="A933" s="7" t="n">
        <f aca="false">ROW()-1</f>
        <v>932</v>
      </c>
      <c r="B933" s="7" t="str">
        <f aca="false">IF(Raw_Nigeria!B933="",TRIM(Raw_Nigeria!C933),TRIM(Raw_Nigeria!B933))</f>
        <v>Nigeria Demographic and Health Survey 2024</v>
      </c>
      <c r="C933" s="7" t="str">
        <f aca="false">IF(ISNUMBER(SEARCH("Demographic and Health",B933)),"DHS",IF(OR(ISNUMBER(SEARCH("Multiple Indicator Cluster",B933)),ISNUMBER(SEARCH("MICS",B933))),"MICS",IF(ISNUMBER(SEARCH("Immunization Coverage Survey",B933)),"Coverage survey",IF(ISNUMBER(SEARCH("Nutrition",B933)),"Nutrition survey","Other"))))</f>
        <v>DHS</v>
      </c>
      <c r="D933" s="7" t="n">
        <f aca="false">VALUE(LEFT(Raw_Nigeria!D933,4))</f>
        <v>2023</v>
      </c>
      <c r="E933" s="7" t="n">
        <f aca="false">IF(VALUE(RIGHT(Raw_Nigeria!D933,2))&gt;12,"",VALUE(RIGHT(Raw_Nigeria!D933,2)))</f>
        <v>12</v>
      </c>
      <c r="F933" s="7" t="n">
        <f aca="false">VALUE(LEFT(Raw_Nigeria!E933,4))</f>
        <v>2024</v>
      </c>
      <c r="G933" s="7" t="n">
        <f aca="false">IF(VALUE(RIGHT(Raw_Nigeria!E933,2))&gt;12,"",VALUE(RIGHT(Raw_Nigeria!E933,2)))</f>
        <v>5</v>
      </c>
      <c r="H933" s="7" t="n">
        <f aca="false">Raw_Nigeria!F933</f>
        <v>2021</v>
      </c>
      <c r="I933" s="7" t="str">
        <f aca="false">UPPER(TRIM(Raw_Nigeria!G933))</f>
        <v>HEPB0</v>
      </c>
      <c r="J933" s="7" t="str">
        <f aca="false">Raw_Nigeria!H933</f>
        <v>Record</v>
      </c>
      <c r="K933" s="7" t="str">
        <f aca="false">Raw_Nigeria!L933</f>
        <v>24-35 m</v>
      </c>
      <c r="L933" s="7" t="str">
        <f aca="false">IF(Raw_Nigeria!K933="","n/a",Raw_Nigeria!K933)</f>
        <v>0-35 m</v>
      </c>
      <c r="M933" s="7" t="n">
        <f aca="false">IF(Raw_Nigeria!I933="","",Raw_Nigeria!I933)</f>
        <v>34.4</v>
      </c>
      <c r="N933" s="7" t="n">
        <f aca="false">Raw_Nigeria!M933</f>
        <v>23.1</v>
      </c>
      <c r="O933" s="7" t="n">
        <f aca="false">IF(Raw_Nigeria!N933="","",Raw_Nigeria!N933)</f>
        <v>1608</v>
      </c>
      <c r="P933" s="7" t="str">
        <f aca="false">IF(K933="CBAW","Women of child-bearing age","Children")</f>
        <v>Children</v>
      </c>
      <c r="Q933" s="7" t="n">
        <f aca="false">IF(J933="NOT USED",1,0)</f>
        <v>0</v>
      </c>
      <c r="R933" s="7" t="n">
        <f aca="false">IF(AND(P933="Children",Q933=0),1,0)</f>
        <v>1</v>
      </c>
      <c r="S933" s="7" t="n">
        <f aca="false">IF(AND(R933=1,J933="Record or Recall",K933="12-23 m"),1,0)</f>
        <v>0</v>
      </c>
      <c r="T933" s="7" t="n">
        <f aca="false">IF(OR(I933="BCG",I933="DTP1",I933="DTP3",I933="POL3",I933="MCV1",I933="FULL"),1,0)</f>
        <v>0</v>
      </c>
      <c r="U933" s="7" t="n">
        <f aca="false">IF(OR(C933="DHS",C933="MICS"),1,0)</f>
        <v>1</v>
      </c>
      <c r="V933" s="7" t="n">
        <f aca="false">IF(O933="",1,0)</f>
        <v>0</v>
      </c>
      <c r="W933" s="7" t="n">
        <f aca="false">IF(M933="",1,0)</f>
        <v>0</v>
      </c>
      <c r="X933" s="7" t="n">
        <f aca="false">COUNTIFS($B$2:$B$1141,B933,$H$2:$H$1141,H933,$I$2:$I$1141,I933,$J$2:$J$1141,J933,$K$2:$K$1141,K933,$L$2:$L$1141,L933)</f>
        <v>1</v>
      </c>
    </row>
    <row r="934" customFormat="false" ht="15" hidden="false" customHeight="false" outlineLevel="0" collapsed="false">
      <c r="A934" s="7" t="n">
        <f aca="false">ROW()-1</f>
        <v>933</v>
      </c>
      <c r="B934" s="7" t="str">
        <f aca="false">IF(Raw_Nigeria!B934="",TRIM(Raw_Nigeria!C934),TRIM(Raw_Nigeria!B934))</f>
        <v>Nigeria Demographic and Health Survey 2024</v>
      </c>
      <c r="C934" s="7" t="str">
        <f aca="false">IF(ISNUMBER(SEARCH("Demographic and Health",B934)),"DHS",IF(OR(ISNUMBER(SEARCH("Multiple Indicator Cluster",B934)),ISNUMBER(SEARCH("MICS",B934))),"MICS",IF(ISNUMBER(SEARCH("Immunization Coverage Survey",B934)),"Coverage survey",IF(ISNUMBER(SEARCH("Nutrition",B934)),"Nutrition survey","Other"))))</f>
        <v>DHS</v>
      </c>
      <c r="D934" s="7" t="n">
        <f aca="false">VALUE(LEFT(Raw_Nigeria!D934,4))</f>
        <v>2023</v>
      </c>
      <c r="E934" s="7" t="n">
        <f aca="false">IF(VALUE(RIGHT(Raw_Nigeria!D934,2))&gt;12,"",VALUE(RIGHT(Raw_Nigeria!D934,2)))</f>
        <v>12</v>
      </c>
      <c r="F934" s="7" t="n">
        <f aca="false">VALUE(LEFT(Raw_Nigeria!E934,4))</f>
        <v>2024</v>
      </c>
      <c r="G934" s="7" t="n">
        <f aca="false">IF(VALUE(RIGHT(Raw_Nigeria!E934,2))&gt;12,"",VALUE(RIGHT(Raw_Nigeria!E934,2)))</f>
        <v>5</v>
      </c>
      <c r="H934" s="7" t="n">
        <f aca="false">Raw_Nigeria!F934</f>
        <v>2021</v>
      </c>
      <c r="I934" s="7" t="str">
        <f aca="false">UPPER(TRIM(Raw_Nigeria!G934))</f>
        <v>HEPB0</v>
      </c>
      <c r="J934" s="7" t="str">
        <f aca="false">Raw_Nigeria!H934</f>
        <v>Record or Recall</v>
      </c>
      <c r="K934" s="7" t="str">
        <f aca="false">Raw_Nigeria!L934</f>
        <v>24-35 m</v>
      </c>
      <c r="L934" s="7" t="str">
        <f aca="false">IF(Raw_Nigeria!K934="","n/a",Raw_Nigeria!K934)</f>
        <v>0-35 m</v>
      </c>
      <c r="M934" s="7" t="n">
        <f aca="false">IF(Raw_Nigeria!I934="","",Raw_Nigeria!I934)</f>
        <v>34.4</v>
      </c>
      <c r="N934" s="7" t="n">
        <f aca="false">Raw_Nigeria!M934</f>
        <v>32.8</v>
      </c>
      <c r="O934" s="7" t="n">
        <f aca="false">IF(Raw_Nigeria!N934="","",Raw_Nigeria!N934)</f>
        <v>4680</v>
      </c>
      <c r="P934" s="7" t="str">
        <f aca="false">IF(K934="CBAW","Women of child-bearing age","Children")</f>
        <v>Children</v>
      </c>
      <c r="Q934" s="7" t="n">
        <f aca="false">IF(J934="NOT USED",1,0)</f>
        <v>0</v>
      </c>
      <c r="R934" s="7" t="n">
        <f aca="false">IF(AND(P934="Children",Q934=0),1,0)</f>
        <v>1</v>
      </c>
      <c r="S934" s="7" t="n">
        <f aca="false">IF(AND(R934=1,J934="Record or Recall",K934="12-23 m"),1,0)</f>
        <v>0</v>
      </c>
      <c r="T934" s="7" t="n">
        <f aca="false">IF(OR(I934="BCG",I934="DTP1",I934="DTP3",I934="POL3",I934="MCV1",I934="FULL"),1,0)</f>
        <v>0</v>
      </c>
      <c r="U934" s="7" t="n">
        <f aca="false">IF(OR(C934="DHS",C934="MICS"),1,0)</f>
        <v>1</v>
      </c>
      <c r="V934" s="7" t="n">
        <f aca="false">IF(O934="",1,0)</f>
        <v>0</v>
      </c>
      <c r="W934" s="7" t="n">
        <f aca="false">IF(M934="",1,0)</f>
        <v>0</v>
      </c>
      <c r="X934" s="7" t="n">
        <f aca="false">COUNTIFS($B$2:$B$1141,B934,$H$2:$H$1141,H934,$I$2:$I$1141,I934,$J$2:$J$1141,J934,$K$2:$K$1141,K934,$L$2:$L$1141,L934)</f>
        <v>1</v>
      </c>
    </row>
    <row r="935" customFormat="false" ht="15" hidden="false" customHeight="false" outlineLevel="0" collapsed="false">
      <c r="A935" s="7" t="n">
        <f aca="false">ROW()-1</f>
        <v>934</v>
      </c>
      <c r="B935" s="7" t="str">
        <f aca="false">IF(Raw_Nigeria!B935="",TRIM(Raw_Nigeria!C935),TRIM(Raw_Nigeria!B935))</f>
        <v>Nigeria Demographic and Health Survey 2024</v>
      </c>
      <c r="C935" s="7" t="str">
        <f aca="false">IF(ISNUMBER(SEARCH("Demographic and Health",B935)),"DHS",IF(OR(ISNUMBER(SEARCH("Multiple Indicator Cluster",B935)),ISNUMBER(SEARCH("MICS",B935))),"MICS",IF(ISNUMBER(SEARCH("Immunization Coverage Survey",B935)),"Coverage survey",IF(ISNUMBER(SEARCH("Nutrition",B935)),"Nutrition survey","Other"))))</f>
        <v>DHS</v>
      </c>
      <c r="D935" s="7" t="n">
        <f aca="false">VALUE(LEFT(Raw_Nigeria!D935,4))</f>
        <v>2023</v>
      </c>
      <c r="E935" s="7" t="n">
        <f aca="false">IF(VALUE(RIGHT(Raw_Nigeria!D935,2))&gt;12,"",VALUE(RIGHT(Raw_Nigeria!D935,2)))</f>
        <v>12</v>
      </c>
      <c r="F935" s="7" t="n">
        <f aca="false">VALUE(LEFT(Raw_Nigeria!E935,4))</f>
        <v>2024</v>
      </c>
      <c r="G935" s="7" t="n">
        <f aca="false">IF(VALUE(RIGHT(Raw_Nigeria!E935,2))&gt;12,"",VALUE(RIGHT(Raw_Nigeria!E935,2)))</f>
        <v>5</v>
      </c>
      <c r="H935" s="7" t="n">
        <f aca="false">Raw_Nigeria!F935</f>
        <v>2021</v>
      </c>
      <c r="I935" s="7" t="str">
        <f aca="false">UPPER(TRIM(Raw_Nigeria!G935))</f>
        <v>HEPB1</v>
      </c>
      <c r="J935" s="7" t="str">
        <f aca="false">Raw_Nigeria!H935</f>
        <v>Recall</v>
      </c>
      <c r="K935" s="7" t="str">
        <f aca="false">Raw_Nigeria!L935</f>
        <v>24-35 m</v>
      </c>
      <c r="L935" s="7" t="str">
        <f aca="false">IF(Raw_Nigeria!K935="","n/a",Raw_Nigeria!K935)</f>
        <v>0-35 m</v>
      </c>
      <c r="M935" s="7" t="n">
        <f aca="false">IF(Raw_Nigeria!I935="","",Raw_Nigeria!I935)</f>
        <v>34.4</v>
      </c>
      <c r="N935" s="7" t="n">
        <f aca="false">Raw_Nigeria!M935</f>
        <v>24.6</v>
      </c>
      <c r="O935" s="7" t="n">
        <f aca="false">IF(Raw_Nigeria!N935="","",Raw_Nigeria!N935)</f>
        <v>3072</v>
      </c>
      <c r="P935" s="7" t="str">
        <f aca="false">IF(K935="CBAW","Women of child-bearing age","Children")</f>
        <v>Children</v>
      </c>
      <c r="Q935" s="7" t="n">
        <f aca="false">IF(J935="NOT USED",1,0)</f>
        <v>0</v>
      </c>
      <c r="R935" s="7" t="n">
        <f aca="false">IF(AND(P935="Children",Q935=0),1,0)</f>
        <v>1</v>
      </c>
      <c r="S935" s="7" t="n">
        <f aca="false">IF(AND(R935=1,J935="Record or Recall",K935="12-23 m"),1,0)</f>
        <v>0</v>
      </c>
      <c r="T935" s="7" t="n">
        <f aca="false">IF(OR(I935="BCG",I935="DTP1",I935="DTP3",I935="POL3",I935="MCV1",I935="FULL"),1,0)</f>
        <v>0</v>
      </c>
      <c r="U935" s="7" t="n">
        <f aca="false">IF(OR(C935="DHS",C935="MICS"),1,0)</f>
        <v>1</v>
      </c>
      <c r="V935" s="7" t="n">
        <f aca="false">IF(O935="",1,0)</f>
        <v>0</v>
      </c>
      <c r="W935" s="7" t="n">
        <f aca="false">IF(M935="",1,0)</f>
        <v>0</v>
      </c>
      <c r="X935" s="7" t="n">
        <f aca="false">COUNTIFS($B$2:$B$1141,B935,$H$2:$H$1141,H935,$I$2:$I$1141,I935,$J$2:$J$1141,J935,$K$2:$K$1141,K935,$L$2:$L$1141,L935)</f>
        <v>1</v>
      </c>
    </row>
    <row r="936" customFormat="false" ht="15" hidden="false" customHeight="false" outlineLevel="0" collapsed="false">
      <c r="A936" s="7" t="n">
        <f aca="false">ROW()-1</f>
        <v>935</v>
      </c>
      <c r="B936" s="7" t="str">
        <f aca="false">IF(Raw_Nigeria!B936="",TRIM(Raw_Nigeria!C936),TRIM(Raw_Nigeria!B936))</f>
        <v>Nigeria Demographic and Health Survey 2024</v>
      </c>
      <c r="C936" s="7" t="str">
        <f aca="false">IF(ISNUMBER(SEARCH("Demographic and Health",B936)),"DHS",IF(OR(ISNUMBER(SEARCH("Multiple Indicator Cluster",B936)),ISNUMBER(SEARCH("MICS",B936))),"MICS",IF(ISNUMBER(SEARCH("Immunization Coverage Survey",B936)),"Coverage survey",IF(ISNUMBER(SEARCH("Nutrition",B936)),"Nutrition survey","Other"))))</f>
        <v>DHS</v>
      </c>
      <c r="D936" s="7" t="n">
        <f aca="false">VALUE(LEFT(Raw_Nigeria!D936,4))</f>
        <v>2023</v>
      </c>
      <c r="E936" s="7" t="n">
        <f aca="false">IF(VALUE(RIGHT(Raw_Nigeria!D936,2))&gt;12,"",VALUE(RIGHT(Raw_Nigeria!D936,2)))</f>
        <v>12</v>
      </c>
      <c r="F936" s="7" t="n">
        <f aca="false">VALUE(LEFT(Raw_Nigeria!E936,4))</f>
        <v>2024</v>
      </c>
      <c r="G936" s="7" t="n">
        <f aca="false">IF(VALUE(RIGHT(Raw_Nigeria!E936,2))&gt;12,"",VALUE(RIGHT(Raw_Nigeria!E936,2)))</f>
        <v>5</v>
      </c>
      <c r="H936" s="7" t="n">
        <f aca="false">Raw_Nigeria!F936</f>
        <v>2021</v>
      </c>
      <c r="I936" s="7" t="str">
        <f aca="false">UPPER(TRIM(Raw_Nigeria!G936))</f>
        <v>HEPB1</v>
      </c>
      <c r="J936" s="7" t="str">
        <f aca="false">Raw_Nigeria!H936</f>
        <v>Record</v>
      </c>
      <c r="K936" s="7" t="str">
        <f aca="false">Raw_Nigeria!L936</f>
        <v>24-35 m</v>
      </c>
      <c r="L936" s="7" t="str">
        <f aca="false">IF(Raw_Nigeria!K936="","n/a",Raw_Nigeria!K936)</f>
        <v>0-35 m</v>
      </c>
      <c r="M936" s="7" t="n">
        <f aca="false">IF(Raw_Nigeria!I936="","",Raw_Nigeria!I936)</f>
        <v>34.4</v>
      </c>
      <c r="N936" s="7" t="n">
        <f aca="false">Raw_Nigeria!M936</f>
        <v>32.3</v>
      </c>
      <c r="O936" s="7" t="n">
        <f aca="false">IF(Raw_Nigeria!N936="","",Raw_Nigeria!N936)</f>
        <v>1608</v>
      </c>
      <c r="P936" s="7" t="str">
        <f aca="false">IF(K936="CBAW","Women of child-bearing age","Children")</f>
        <v>Children</v>
      </c>
      <c r="Q936" s="7" t="n">
        <f aca="false">IF(J936="NOT USED",1,0)</f>
        <v>0</v>
      </c>
      <c r="R936" s="7" t="n">
        <f aca="false">IF(AND(P936="Children",Q936=0),1,0)</f>
        <v>1</v>
      </c>
      <c r="S936" s="7" t="n">
        <f aca="false">IF(AND(R936=1,J936="Record or Recall",K936="12-23 m"),1,0)</f>
        <v>0</v>
      </c>
      <c r="T936" s="7" t="n">
        <f aca="false">IF(OR(I936="BCG",I936="DTP1",I936="DTP3",I936="POL3",I936="MCV1",I936="FULL"),1,0)</f>
        <v>0</v>
      </c>
      <c r="U936" s="7" t="n">
        <f aca="false">IF(OR(C936="DHS",C936="MICS"),1,0)</f>
        <v>1</v>
      </c>
      <c r="V936" s="7" t="n">
        <f aca="false">IF(O936="",1,0)</f>
        <v>0</v>
      </c>
      <c r="W936" s="7" t="n">
        <f aca="false">IF(M936="",1,0)</f>
        <v>0</v>
      </c>
      <c r="X936" s="7" t="n">
        <f aca="false">COUNTIFS($B$2:$B$1141,B936,$H$2:$H$1141,H936,$I$2:$I$1141,I936,$J$2:$J$1141,J936,$K$2:$K$1141,K936,$L$2:$L$1141,L936)</f>
        <v>1</v>
      </c>
    </row>
    <row r="937" customFormat="false" ht="15" hidden="false" customHeight="false" outlineLevel="0" collapsed="false">
      <c r="A937" s="7" t="n">
        <f aca="false">ROW()-1</f>
        <v>936</v>
      </c>
      <c r="B937" s="7" t="str">
        <f aca="false">IF(Raw_Nigeria!B937="",TRIM(Raw_Nigeria!C937),TRIM(Raw_Nigeria!B937))</f>
        <v>Nigeria Demographic and Health Survey 2024</v>
      </c>
      <c r="C937" s="7" t="str">
        <f aca="false">IF(ISNUMBER(SEARCH("Demographic and Health",B937)),"DHS",IF(OR(ISNUMBER(SEARCH("Multiple Indicator Cluster",B937)),ISNUMBER(SEARCH("MICS",B937))),"MICS",IF(ISNUMBER(SEARCH("Immunization Coverage Survey",B937)),"Coverage survey",IF(ISNUMBER(SEARCH("Nutrition",B937)),"Nutrition survey","Other"))))</f>
        <v>DHS</v>
      </c>
      <c r="D937" s="7" t="n">
        <f aca="false">VALUE(LEFT(Raw_Nigeria!D937,4))</f>
        <v>2023</v>
      </c>
      <c r="E937" s="7" t="n">
        <f aca="false">IF(VALUE(RIGHT(Raw_Nigeria!D937,2))&gt;12,"",VALUE(RIGHT(Raw_Nigeria!D937,2)))</f>
        <v>12</v>
      </c>
      <c r="F937" s="7" t="n">
        <f aca="false">VALUE(LEFT(Raw_Nigeria!E937,4))</f>
        <v>2024</v>
      </c>
      <c r="G937" s="7" t="n">
        <f aca="false">IF(VALUE(RIGHT(Raw_Nigeria!E937,2))&gt;12,"",VALUE(RIGHT(Raw_Nigeria!E937,2)))</f>
        <v>5</v>
      </c>
      <c r="H937" s="7" t="n">
        <f aca="false">Raw_Nigeria!F937</f>
        <v>2021</v>
      </c>
      <c r="I937" s="7" t="str">
        <f aca="false">UPPER(TRIM(Raw_Nigeria!G937))</f>
        <v>HEPB1</v>
      </c>
      <c r="J937" s="7" t="str">
        <f aca="false">Raw_Nigeria!H937</f>
        <v>Record or Recall</v>
      </c>
      <c r="K937" s="7" t="str">
        <f aca="false">Raw_Nigeria!L937</f>
        <v>24-35 m</v>
      </c>
      <c r="L937" s="7" t="str">
        <f aca="false">IF(Raw_Nigeria!K937="","n/a",Raw_Nigeria!K937)</f>
        <v>0-35 m</v>
      </c>
      <c r="M937" s="7" t="n">
        <f aca="false">IF(Raw_Nigeria!I937="","",Raw_Nigeria!I937)</f>
        <v>34.4</v>
      </c>
      <c r="N937" s="7" t="n">
        <f aca="false">Raw_Nigeria!M937</f>
        <v>56.9</v>
      </c>
      <c r="O937" s="7" t="n">
        <f aca="false">IF(Raw_Nigeria!N937="","",Raw_Nigeria!N937)</f>
        <v>4680</v>
      </c>
      <c r="P937" s="7" t="str">
        <f aca="false">IF(K937="CBAW","Women of child-bearing age","Children")</f>
        <v>Children</v>
      </c>
      <c r="Q937" s="7" t="n">
        <f aca="false">IF(J937="NOT USED",1,0)</f>
        <v>0</v>
      </c>
      <c r="R937" s="7" t="n">
        <f aca="false">IF(AND(P937="Children",Q937=0),1,0)</f>
        <v>1</v>
      </c>
      <c r="S937" s="7" t="n">
        <f aca="false">IF(AND(R937=1,J937="Record or Recall",K937="12-23 m"),1,0)</f>
        <v>0</v>
      </c>
      <c r="T937" s="7" t="n">
        <f aca="false">IF(OR(I937="BCG",I937="DTP1",I937="DTP3",I937="POL3",I937="MCV1",I937="FULL"),1,0)</f>
        <v>0</v>
      </c>
      <c r="U937" s="7" t="n">
        <f aca="false">IF(OR(C937="DHS",C937="MICS"),1,0)</f>
        <v>1</v>
      </c>
      <c r="V937" s="7" t="n">
        <f aca="false">IF(O937="",1,0)</f>
        <v>0</v>
      </c>
      <c r="W937" s="7" t="n">
        <f aca="false">IF(M937="",1,0)</f>
        <v>0</v>
      </c>
      <c r="X937" s="7" t="n">
        <f aca="false">COUNTIFS($B$2:$B$1141,B937,$H$2:$H$1141,H937,$I$2:$I$1141,I937,$J$2:$J$1141,J937,$K$2:$K$1141,K937,$L$2:$L$1141,L937)</f>
        <v>1</v>
      </c>
    </row>
    <row r="938" customFormat="false" ht="15" hidden="false" customHeight="false" outlineLevel="0" collapsed="false">
      <c r="A938" s="7" t="n">
        <f aca="false">ROW()-1</f>
        <v>937</v>
      </c>
      <c r="B938" s="7" t="str">
        <f aca="false">IF(Raw_Nigeria!B938="",TRIM(Raw_Nigeria!C938),TRIM(Raw_Nigeria!B938))</f>
        <v>Nigeria Demographic and Health Survey 2024</v>
      </c>
      <c r="C938" s="7" t="str">
        <f aca="false">IF(ISNUMBER(SEARCH("Demographic and Health",B938)),"DHS",IF(OR(ISNUMBER(SEARCH("Multiple Indicator Cluster",B938)),ISNUMBER(SEARCH("MICS",B938))),"MICS",IF(ISNUMBER(SEARCH("Immunization Coverage Survey",B938)),"Coverage survey",IF(ISNUMBER(SEARCH("Nutrition",B938)),"Nutrition survey","Other"))))</f>
        <v>DHS</v>
      </c>
      <c r="D938" s="7" t="n">
        <f aca="false">VALUE(LEFT(Raw_Nigeria!D938,4))</f>
        <v>2023</v>
      </c>
      <c r="E938" s="7" t="n">
        <f aca="false">IF(VALUE(RIGHT(Raw_Nigeria!D938,2))&gt;12,"",VALUE(RIGHT(Raw_Nigeria!D938,2)))</f>
        <v>12</v>
      </c>
      <c r="F938" s="7" t="n">
        <f aca="false">VALUE(LEFT(Raw_Nigeria!E938,4))</f>
        <v>2024</v>
      </c>
      <c r="G938" s="7" t="n">
        <f aca="false">IF(VALUE(RIGHT(Raw_Nigeria!E938,2))&gt;12,"",VALUE(RIGHT(Raw_Nigeria!E938,2)))</f>
        <v>5</v>
      </c>
      <c r="H938" s="7" t="n">
        <f aca="false">Raw_Nigeria!F938</f>
        <v>2021</v>
      </c>
      <c r="I938" s="7" t="str">
        <f aca="false">UPPER(TRIM(Raw_Nigeria!G938))</f>
        <v>HEPB1</v>
      </c>
      <c r="J938" s="7" t="str">
        <f aca="false">Raw_Nigeria!H938</f>
        <v>Record or Recall&lt;12m</v>
      </c>
      <c r="K938" s="7" t="str">
        <f aca="false">Raw_Nigeria!L938</f>
        <v>24-35 m</v>
      </c>
      <c r="L938" s="7" t="str">
        <f aca="false">IF(Raw_Nigeria!K938="","n/a",Raw_Nigeria!K938)</f>
        <v>0-12 m</v>
      </c>
      <c r="M938" s="7" t="n">
        <f aca="false">IF(Raw_Nigeria!I938="","",Raw_Nigeria!I938)</f>
        <v>34.4</v>
      </c>
      <c r="N938" s="7" t="n">
        <f aca="false">Raw_Nigeria!M938</f>
        <v>55.5</v>
      </c>
      <c r="O938" s="7" t="n">
        <f aca="false">IF(Raw_Nigeria!N938="","",Raw_Nigeria!N938)</f>
        <v>4680</v>
      </c>
      <c r="P938" s="7" t="str">
        <f aca="false">IF(K938="CBAW","Women of child-bearing age","Children")</f>
        <v>Children</v>
      </c>
      <c r="Q938" s="7" t="n">
        <f aca="false">IF(J938="NOT USED",1,0)</f>
        <v>0</v>
      </c>
      <c r="R938" s="7" t="n">
        <f aca="false">IF(AND(P938="Children",Q938=0),1,0)</f>
        <v>1</v>
      </c>
      <c r="S938" s="7" t="n">
        <f aca="false">IF(AND(R938=1,J938="Record or Recall",K938="12-23 m"),1,0)</f>
        <v>0</v>
      </c>
      <c r="T938" s="7" t="n">
        <f aca="false">IF(OR(I938="BCG",I938="DTP1",I938="DTP3",I938="POL3",I938="MCV1",I938="FULL"),1,0)</f>
        <v>0</v>
      </c>
      <c r="U938" s="7" t="n">
        <f aca="false">IF(OR(C938="DHS",C938="MICS"),1,0)</f>
        <v>1</v>
      </c>
      <c r="V938" s="7" t="n">
        <f aca="false">IF(O938="",1,0)</f>
        <v>0</v>
      </c>
      <c r="W938" s="7" t="n">
        <f aca="false">IF(M938="",1,0)</f>
        <v>0</v>
      </c>
      <c r="X938" s="7" t="n">
        <f aca="false">COUNTIFS($B$2:$B$1141,B938,$H$2:$H$1141,H938,$I$2:$I$1141,I938,$J$2:$J$1141,J938,$K$2:$K$1141,K938,$L$2:$L$1141,L938)</f>
        <v>1</v>
      </c>
    </row>
    <row r="939" customFormat="false" ht="15" hidden="false" customHeight="false" outlineLevel="0" collapsed="false">
      <c r="A939" s="7" t="n">
        <f aca="false">ROW()-1</f>
        <v>938</v>
      </c>
      <c r="B939" s="7" t="str">
        <f aca="false">IF(Raw_Nigeria!B939="",TRIM(Raw_Nigeria!C939),TRIM(Raw_Nigeria!B939))</f>
        <v>Nigeria Demographic and Health Survey 2024</v>
      </c>
      <c r="C939" s="7" t="str">
        <f aca="false">IF(ISNUMBER(SEARCH("Demographic and Health",B939)),"DHS",IF(OR(ISNUMBER(SEARCH("Multiple Indicator Cluster",B939)),ISNUMBER(SEARCH("MICS",B939))),"MICS",IF(ISNUMBER(SEARCH("Immunization Coverage Survey",B939)),"Coverage survey",IF(ISNUMBER(SEARCH("Nutrition",B939)),"Nutrition survey","Other"))))</f>
        <v>DHS</v>
      </c>
      <c r="D939" s="7" t="n">
        <f aca="false">VALUE(LEFT(Raw_Nigeria!D939,4))</f>
        <v>2023</v>
      </c>
      <c r="E939" s="7" t="n">
        <f aca="false">IF(VALUE(RIGHT(Raw_Nigeria!D939,2))&gt;12,"",VALUE(RIGHT(Raw_Nigeria!D939,2)))</f>
        <v>12</v>
      </c>
      <c r="F939" s="7" t="n">
        <f aca="false">VALUE(LEFT(Raw_Nigeria!E939,4))</f>
        <v>2024</v>
      </c>
      <c r="G939" s="7" t="n">
        <f aca="false">IF(VALUE(RIGHT(Raw_Nigeria!E939,2))&gt;12,"",VALUE(RIGHT(Raw_Nigeria!E939,2)))</f>
        <v>5</v>
      </c>
      <c r="H939" s="7" t="n">
        <f aca="false">Raw_Nigeria!F939</f>
        <v>2021</v>
      </c>
      <c r="I939" s="7" t="str">
        <f aca="false">UPPER(TRIM(Raw_Nigeria!G939))</f>
        <v>HEPB2</v>
      </c>
      <c r="J939" s="7" t="str">
        <f aca="false">Raw_Nigeria!H939</f>
        <v>Recall</v>
      </c>
      <c r="K939" s="7" t="str">
        <f aca="false">Raw_Nigeria!L939</f>
        <v>24-35 m</v>
      </c>
      <c r="L939" s="7" t="str">
        <f aca="false">IF(Raw_Nigeria!K939="","n/a",Raw_Nigeria!K939)</f>
        <v>0-35 m</v>
      </c>
      <c r="M939" s="7" t="n">
        <f aca="false">IF(Raw_Nigeria!I939="","",Raw_Nigeria!I939)</f>
        <v>34.4</v>
      </c>
      <c r="N939" s="7" t="n">
        <f aca="false">Raw_Nigeria!M939</f>
        <v>23.2</v>
      </c>
      <c r="O939" s="7" t="n">
        <f aca="false">IF(Raw_Nigeria!N939="","",Raw_Nigeria!N939)</f>
        <v>3072</v>
      </c>
      <c r="P939" s="7" t="str">
        <f aca="false">IF(K939="CBAW","Women of child-bearing age","Children")</f>
        <v>Children</v>
      </c>
      <c r="Q939" s="7" t="n">
        <f aca="false">IF(J939="NOT USED",1,0)</f>
        <v>0</v>
      </c>
      <c r="R939" s="7" t="n">
        <f aca="false">IF(AND(P939="Children",Q939=0),1,0)</f>
        <v>1</v>
      </c>
      <c r="S939" s="7" t="n">
        <f aca="false">IF(AND(R939=1,J939="Record or Recall",K939="12-23 m"),1,0)</f>
        <v>0</v>
      </c>
      <c r="T939" s="7" t="n">
        <f aca="false">IF(OR(I939="BCG",I939="DTP1",I939="DTP3",I939="POL3",I939="MCV1",I939="FULL"),1,0)</f>
        <v>0</v>
      </c>
      <c r="U939" s="7" t="n">
        <f aca="false">IF(OR(C939="DHS",C939="MICS"),1,0)</f>
        <v>1</v>
      </c>
      <c r="V939" s="7" t="n">
        <f aca="false">IF(O939="",1,0)</f>
        <v>0</v>
      </c>
      <c r="W939" s="7" t="n">
        <f aca="false">IF(M939="",1,0)</f>
        <v>0</v>
      </c>
      <c r="X939" s="7" t="n">
        <f aca="false">COUNTIFS($B$2:$B$1141,B939,$H$2:$H$1141,H939,$I$2:$I$1141,I939,$J$2:$J$1141,J939,$K$2:$K$1141,K939,$L$2:$L$1141,L939)</f>
        <v>1</v>
      </c>
    </row>
    <row r="940" customFormat="false" ht="15" hidden="false" customHeight="false" outlineLevel="0" collapsed="false">
      <c r="A940" s="7" t="n">
        <f aca="false">ROW()-1</f>
        <v>939</v>
      </c>
      <c r="B940" s="7" t="str">
        <f aca="false">IF(Raw_Nigeria!B940="",TRIM(Raw_Nigeria!C940),TRIM(Raw_Nigeria!B940))</f>
        <v>Nigeria Demographic and Health Survey 2024</v>
      </c>
      <c r="C940" s="7" t="str">
        <f aca="false">IF(ISNUMBER(SEARCH("Demographic and Health",B940)),"DHS",IF(OR(ISNUMBER(SEARCH("Multiple Indicator Cluster",B940)),ISNUMBER(SEARCH("MICS",B940))),"MICS",IF(ISNUMBER(SEARCH("Immunization Coverage Survey",B940)),"Coverage survey",IF(ISNUMBER(SEARCH("Nutrition",B940)),"Nutrition survey","Other"))))</f>
        <v>DHS</v>
      </c>
      <c r="D940" s="7" t="n">
        <f aca="false">VALUE(LEFT(Raw_Nigeria!D940,4))</f>
        <v>2023</v>
      </c>
      <c r="E940" s="7" t="n">
        <f aca="false">IF(VALUE(RIGHT(Raw_Nigeria!D940,2))&gt;12,"",VALUE(RIGHT(Raw_Nigeria!D940,2)))</f>
        <v>12</v>
      </c>
      <c r="F940" s="7" t="n">
        <f aca="false">VALUE(LEFT(Raw_Nigeria!E940,4))</f>
        <v>2024</v>
      </c>
      <c r="G940" s="7" t="n">
        <f aca="false">IF(VALUE(RIGHT(Raw_Nigeria!E940,2))&gt;12,"",VALUE(RIGHT(Raw_Nigeria!E940,2)))</f>
        <v>5</v>
      </c>
      <c r="H940" s="7" t="n">
        <f aca="false">Raw_Nigeria!F940</f>
        <v>2021</v>
      </c>
      <c r="I940" s="7" t="str">
        <f aca="false">UPPER(TRIM(Raw_Nigeria!G940))</f>
        <v>HEPB2</v>
      </c>
      <c r="J940" s="7" t="str">
        <f aca="false">Raw_Nigeria!H940</f>
        <v>Record</v>
      </c>
      <c r="K940" s="7" t="str">
        <f aca="false">Raw_Nigeria!L940</f>
        <v>24-35 m</v>
      </c>
      <c r="L940" s="7" t="str">
        <f aca="false">IF(Raw_Nigeria!K940="","n/a",Raw_Nigeria!K940)</f>
        <v>0-35 m</v>
      </c>
      <c r="M940" s="7" t="n">
        <f aca="false">IF(Raw_Nigeria!I940="","",Raw_Nigeria!I940)</f>
        <v>34.4</v>
      </c>
      <c r="N940" s="7" t="n">
        <f aca="false">Raw_Nigeria!M940</f>
        <v>30.1</v>
      </c>
      <c r="O940" s="7" t="n">
        <f aca="false">IF(Raw_Nigeria!N940="","",Raw_Nigeria!N940)</f>
        <v>1608</v>
      </c>
      <c r="P940" s="7" t="str">
        <f aca="false">IF(K940="CBAW","Women of child-bearing age","Children")</f>
        <v>Children</v>
      </c>
      <c r="Q940" s="7" t="n">
        <f aca="false">IF(J940="NOT USED",1,0)</f>
        <v>0</v>
      </c>
      <c r="R940" s="7" t="n">
        <f aca="false">IF(AND(P940="Children",Q940=0),1,0)</f>
        <v>1</v>
      </c>
      <c r="S940" s="7" t="n">
        <f aca="false">IF(AND(R940=1,J940="Record or Recall",K940="12-23 m"),1,0)</f>
        <v>0</v>
      </c>
      <c r="T940" s="7" t="n">
        <f aca="false">IF(OR(I940="BCG",I940="DTP1",I940="DTP3",I940="POL3",I940="MCV1",I940="FULL"),1,0)</f>
        <v>0</v>
      </c>
      <c r="U940" s="7" t="n">
        <f aca="false">IF(OR(C940="DHS",C940="MICS"),1,0)</f>
        <v>1</v>
      </c>
      <c r="V940" s="7" t="n">
        <f aca="false">IF(O940="",1,0)</f>
        <v>0</v>
      </c>
      <c r="W940" s="7" t="n">
        <f aca="false">IF(M940="",1,0)</f>
        <v>0</v>
      </c>
      <c r="X940" s="7" t="n">
        <f aca="false">COUNTIFS($B$2:$B$1141,B940,$H$2:$H$1141,H940,$I$2:$I$1141,I940,$J$2:$J$1141,J940,$K$2:$K$1141,K940,$L$2:$L$1141,L940)</f>
        <v>1</v>
      </c>
    </row>
    <row r="941" customFormat="false" ht="15" hidden="false" customHeight="false" outlineLevel="0" collapsed="false">
      <c r="A941" s="7" t="n">
        <f aca="false">ROW()-1</f>
        <v>940</v>
      </c>
      <c r="B941" s="7" t="str">
        <f aca="false">IF(Raw_Nigeria!B941="",TRIM(Raw_Nigeria!C941),TRIM(Raw_Nigeria!B941))</f>
        <v>Nigeria Demographic and Health Survey 2024</v>
      </c>
      <c r="C941" s="7" t="str">
        <f aca="false">IF(ISNUMBER(SEARCH("Demographic and Health",B941)),"DHS",IF(OR(ISNUMBER(SEARCH("Multiple Indicator Cluster",B941)),ISNUMBER(SEARCH("MICS",B941))),"MICS",IF(ISNUMBER(SEARCH("Immunization Coverage Survey",B941)),"Coverage survey",IF(ISNUMBER(SEARCH("Nutrition",B941)),"Nutrition survey","Other"))))</f>
        <v>DHS</v>
      </c>
      <c r="D941" s="7" t="n">
        <f aca="false">VALUE(LEFT(Raw_Nigeria!D941,4))</f>
        <v>2023</v>
      </c>
      <c r="E941" s="7" t="n">
        <f aca="false">IF(VALUE(RIGHT(Raw_Nigeria!D941,2))&gt;12,"",VALUE(RIGHT(Raw_Nigeria!D941,2)))</f>
        <v>12</v>
      </c>
      <c r="F941" s="7" t="n">
        <f aca="false">VALUE(LEFT(Raw_Nigeria!E941,4))</f>
        <v>2024</v>
      </c>
      <c r="G941" s="7" t="n">
        <f aca="false">IF(VALUE(RIGHT(Raw_Nigeria!E941,2))&gt;12,"",VALUE(RIGHT(Raw_Nigeria!E941,2)))</f>
        <v>5</v>
      </c>
      <c r="H941" s="7" t="n">
        <f aca="false">Raw_Nigeria!F941</f>
        <v>2021</v>
      </c>
      <c r="I941" s="7" t="str">
        <f aca="false">UPPER(TRIM(Raw_Nigeria!G941))</f>
        <v>HEPB2</v>
      </c>
      <c r="J941" s="7" t="str">
        <f aca="false">Raw_Nigeria!H941</f>
        <v>Record or Recall</v>
      </c>
      <c r="K941" s="7" t="str">
        <f aca="false">Raw_Nigeria!L941</f>
        <v>24-35 m</v>
      </c>
      <c r="L941" s="7" t="str">
        <f aca="false">IF(Raw_Nigeria!K941="","n/a",Raw_Nigeria!K941)</f>
        <v>0-35 m</v>
      </c>
      <c r="M941" s="7" t="n">
        <f aca="false">IF(Raw_Nigeria!I941="","",Raw_Nigeria!I941)</f>
        <v>34.4</v>
      </c>
      <c r="N941" s="7" t="n">
        <f aca="false">Raw_Nigeria!M941</f>
        <v>53.4</v>
      </c>
      <c r="O941" s="7" t="n">
        <f aca="false">IF(Raw_Nigeria!N941="","",Raw_Nigeria!N941)</f>
        <v>4680</v>
      </c>
      <c r="P941" s="7" t="str">
        <f aca="false">IF(K941="CBAW","Women of child-bearing age","Children")</f>
        <v>Children</v>
      </c>
      <c r="Q941" s="7" t="n">
        <f aca="false">IF(J941="NOT USED",1,0)</f>
        <v>0</v>
      </c>
      <c r="R941" s="7" t="n">
        <f aca="false">IF(AND(P941="Children",Q941=0),1,0)</f>
        <v>1</v>
      </c>
      <c r="S941" s="7" t="n">
        <f aca="false">IF(AND(R941=1,J941="Record or Recall",K941="12-23 m"),1,0)</f>
        <v>0</v>
      </c>
      <c r="T941" s="7" t="n">
        <f aca="false">IF(OR(I941="BCG",I941="DTP1",I941="DTP3",I941="POL3",I941="MCV1",I941="FULL"),1,0)</f>
        <v>0</v>
      </c>
      <c r="U941" s="7" t="n">
        <f aca="false">IF(OR(C941="DHS",C941="MICS"),1,0)</f>
        <v>1</v>
      </c>
      <c r="V941" s="7" t="n">
        <f aca="false">IF(O941="",1,0)</f>
        <v>0</v>
      </c>
      <c r="W941" s="7" t="n">
        <f aca="false">IF(M941="",1,0)</f>
        <v>0</v>
      </c>
      <c r="X941" s="7" t="n">
        <f aca="false">COUNTIFS($B$2:$B$1141,B941,$H$2:$H$1141,H941,$I$2:$I$1141,I941,$J$2:$J$1141,J941,$K$2:$K$1141,K941,$L$2:$L$1141,L941)</f>
        <v>1</v>
      </c>
    </row>
    <row r="942" customFormat="false" ht="15" hidden="false" customHeight="false" outlineLevel="0" collapsed="false">
      <c r="A942" s="7" t="n">
        <f aca="false">ROW()-1</f>
        <v>941</v>
      </c>
      <c r="B942" s="7" t="str">
        <f aca="false">IF(Raw_Nigeria!B942="",TRIM(Raw_Nigeria!C942),TRIM(Raw_Nigeria!B942))</f>
        <v>Nigeria Demographic and Health Survey 2024</v>
      </c>
      <c r="C942" s="7" t="str">
        <f aca="false">IF(ISNUMBER(SEARCH("Demographic and Health",B942)),"DHS",IF(OR(ISNUMBER(SEARCH("Multiple Indicator Cluster",B942)),ISNUMBER(SEARCH("MICS",B942))),"MICS",IF(ISNUMBER(SEARCH("Immunization Coverage Survey",B942)),"Coverage survey",IF(ISNUMBER(SEARCH("Nutrition",B942)),"Nutrition survey","Other"))))</f>
        <v>DHS</v>
      </c>
      <c r="D942" s="7" t="n">
        <f aca="false">VALUE(LEFT(Raw_Nigeria!D942,4))</f>
        <v>2023</v>
      </c>
      <c r="E942" s="7" t="n">
        <f aca="false">IF(VALUE(RIGHT(Raw_Nigeria!D942,2))&gt;12,"",VALUE(RIGHT(Raw_Nigeria!D942,2)))</f>
        <v>12</v>
      </c>
      <c r="F942" s="7" t="n">
        <f aca="false">VALUE(LEFT(Raw_Nigeria!E942,4))</f>
        <v>2024</v>
      </c>
      <c r="G942" s="7" t="n">
        <f aca="false">IF(VALUE(RIGHT(Raw_Nigeria!E942,2))&gt;12,"",VALUE(RIGHT(Raw_Nigeria!E942,2)))</f>
        <v>5</v>
      </c>
      <c r="H942" s="7" t="n">
        <f aca="false">Raw_Nigeria!F942</f>
        <v>2021</v>
      </c>
      <c r="I942" s="7" t="str">
        <f aca="false">UPPER(TRIM(Raw_Nigeria!G942))</f>
        <v>HEPB2</v>
      </c>
      <c r="J942" s="7" t="str">
        <f aca="false">Raw_Nigeria!H942</f>
        <v>Record or Recall&lt;12m</v>
      </c>
      <c r="K942" s="7" t="str">
        <f aca="false">Raw_Nigeria!L942</f>
        <v>24-35 m</v>
      </c>
      <c r="L942" s="7" t="str">
        <f aca="false">IF(Raw_Nigeria!K942="","n/a",Raw_Nigeria!K942)</f>
        <v>0-12 m</v>
      </c>
      <c r="M942" s="7" t="n">
        <f aca="false">IF(Raw_Nigeria!I942="","",Raw_Nigeria!I942)</f>
        <v>34.4</v>
      </c>
      <c r="N942" s="7" t="n">
        <f aca="false">Raw_Nigeria!M942</f>
        <v>51.5</v>
      </c>
      <c r="O942" s="7" t="n">
        <f aca="false">IF(Raw_Nigeria!N942="","",Raw_Nigeria!N942)</f>
        <v>4680</v>
      </c>
      <c r="P942" s="7" t="str">
        <f aca="false">IF(K942="CBAW","Women of child-bearing age","Children")</f>
        <v>Children</v>
      </c>
      <c r="Q942" s="7" t="n">
        <f aca="false">IF(J942="NOT USED",1,0)</f>
        <v>0</v>
      </c>
      <c r="R942" s="7" t="n">
        <f aca="false">IF(AND(P942="Children",Q942=0),1,0)</f>
        <v>1</v>
      </c>
      <c r="S942" s="7" t="n">
        <f aca="false">IF(AND(R942=1,J942="Record or Recall",K942="12-23 m"),1,0)</f>
        <v>0</v>
      </c>
      <c r="T942" s="7" t="n">
        <f aca="false">IF(OR(I942="BCG",I942="DTP1",I942="DTP3",I942="POL3",I942="MCV1",I942="FULL"),1,0)</f>
        <v>0</v>
      </c>
      <c r="U942" s="7" t="n">
        <f aca="false">IF(OR(C942="DHS",C942="MICS"),1,0)</f>
        <v>1</v>
      </c>
      <c r="V942" s="7" t="n">
        <f aca="false">IF(O942="",1,0)</f>
        <v>0</v>
      </c>
      <c r="W942" s="7" t="n">
        <f aca="false">IF(M942="",1,0)</f>
        <v>0</v>
      </c>
      <c r="X942" s="7" t="n">
        <f aca="false">COUNTIFS($B$2:$B$1141,B942,$H$2:$H$1141,H942,$I$2:$I$1141,I942,$J$2:$J$1141,J942,$K$2:$K$1141,K942,$L$2:$L$1141,L942)</f>
        <v>1</v>
      </c>
    </row>
    <row r="943" customFormat="false" ht="15" hidden="false" customHeight="false" outlineLevel="0" collapsed="false">
      <c r="A943" s="7" t="n">
        <f aca="false">ROW()-1</f>
        <v>942</v>
      </c>
      <c r="B943" s="7" t="str">
        <f aca="false">IF(Raw_Nigeria!B943="",TRIM(Raw_Nigeria!C943),TRIM(Raw_Nigeria!B943))</f>
        <v>Nigeria Demographic and Health Survey 2024</v>
      </c>
      <c r="C943" s="7" t="str">
        <f aca="false">IF(ISNUMBER(SEARCH("Demographic and Health",B943)),"DHS",IF(OR(ISNUMBER(SEARCH("Multiple Indicator Cluster",B943)),ISNUMBER(SEARCH("MICS",B943))),"MICS",IF(ISNUMBER(SEARCH("Immunization Coverage Survey",B943)),"Coverage survey",IF(ISNUMBER(SEARCH("Nutrition",B943)),"Nutrition survey","Other"))))</f>
        <v>DHS</v>
      </c>
      <c r="D943" s="7" t="n">
        <f aca="false">VALUE(LEFT(Raw_Nigeria!D943,4))</f>
        <v>2023</v>
      </c>
      <c r="E943" s="7" t="n">
        <f aca="false">IF(VALUE(RIGHT(Raw_Nigeria!D943,2))&gt;12,"",VALUE(RIGHT(Raw_Nigeria!D943,2)))</f>
        <v>12</v>
      </c>
      <c r="F943" s="7" t="n">
        <f aca="false">VALUE(LEFT(Raw_Nigeria!E943,4))</f>
        <v>2024</v>
      </c>
      <c r="G943" s="7" t="n">
        <f aca="false">IF(VALUE(RIGHT(Raw_Nigeria!E943,2))&gt;12,"",VALUE(RIGHT(Raw_Nigeria!E943,2)))</f>
        <v>5</v>
      </c>
      <c r="H943" s="7" t="n">
        <f aca="false">Raw_Nigeria!F943</f>
        <v>2021</v>
      </c>
      <c r="I943" s="7" t="str">
        <f aca="false">UPPER(TRIM(Raw_Nigeria!G943))</f>
        <v>HEPB3</v>
      </c>
      <c r="J943" s="7" t="str">
        <f aca="false">Raw_Nigeria!H943</f>
        <v>Recall</v>
      </c>
      <c r="K943" s="7" t="str">
        <f aca="false">Raw_Nigeria!L943</f>
        <v>24-35 m</v>
      </c>
      <c r="L943" s="7" t="str">
        <f aca="false">IF(Raw_Nigeria!K943="","n/a",Raw_Nigeria!K943)</f>
        <v>0-35 m</v>
      </c>
      <c r="M943" s="7" t="n">
        <f aca="false">IF(Raw_Nigeria!I943="","",Raw_Nigeria!I943)</f>
        <v>34.4</v>
      </c>
      <c r="N943" s="7" t="n">
        <f aca="false">Raw_Nigeria!M943</f>
        <v>18.1</v>
      </c>
      <c r="O943" s="7" t="n">
        <f aca="false">IF(Raw_Nigeria!N943="","",Raw_Nigeria!N943)</f>
        <v>3072</v>
      </c>
      <c r="P943" s="7" t="str">
        <f aca="false">IF(K943="CBAW","Women of child-bearing age","Children")</f>
        <v>Children</v>
      </c>
      <c r="Q943" s="7" t="n">
        <f aca="false">IF(J943="NOT USED",1,0)</f>
        <v>0</v>
      </c>
      <c r="R943" s="7" t="n">
        <f aca="false">IF(AND(P943="Children",Q943=0),1,0)</f>
        <v>1</v>
      </c>
      <c r="S943" s="7" t="n">
        <f aca="false">IF(AND(R943=1,J943="Record or Recall",K943="12-23 m"),1,0)</f>
        <v>0</v>
      </c>
      <c r="T943" s="7" t="n">
        <f aca="false">IF(OR(I943="BCG",I943="DTP1",I943="DTP3",I943="POL3",I943="MCV1",I943="FULL"),1,0)</f>
        <v>0</v>
      </c>
      <c r="U943" s="7" t="n">
        <f aca="false">IF(OR(C943="DHS",C943="MICS"),1,0)</f>
        <v>1</v>
      </c>
      <c r="V943" s="7" t="n">
        <f aca="false">IF(O943="",1,0)</f>
        <v>0</v>
      </c>
      <c r="W943" s="7" t="n">
        <f aca="false">IF(M943="",1,0)</f>
        <v>0</v>
      </c>
      <c r="X943" s="7" t="n">
        <f aca="false">COUNTIFS($B$2:$B$1141,B943,$H$2:$H$1141,H943,$I$2:$I$1141,I943,$J$2:$J$1141,J943,$K$2:$K$1141,K943,$L$2:$L$1141,L943)</f>
        <v>1</v>
      </c>
    </row>
    <row r="944" customFormat="false" ht="15" hidden="false" customHeight="false" outlineLevel="0" collapsed="false">
      <c r="A944" s="7" t="n">
        <f aca="false">ROW()-1</f>
        <v>943</v>
      </c>
      <c r="B944" s="7" t="str">
        <f aca="false">IF(Raw_Nigeria!B944="",TRIM(Raw_Nigeria!C944),TRIM(Raw_Nigeria!B944))</f>
        <v>Nigeria Demographic and Health Survey 2024</v>
      </c>
      <c r="C944" s="7" t="str">
        <f aca="false">IF(ISNUMBER(SEARCH("Demographic and Health",B944)),"DHS",IF(OR(ISNUMBER(SEARCH("Multiple Indicator Cluster",B944)),ISNUMBER(SEARCH("MICS",B944))),"MICS",IF(ISNUMBER(SEARCH("Immunization Coverage Survey",B944)),"Coverage survey",IF(ISNUMBER(SEARCH("Nutrition",B944)),"Nutrition survey","Other"))))</f>
        <v>DHS</v>
      </c>
      <c r="D944" s="7" t="n">
        <f aca="false">VALUE(LEFT(Raw_Nigeria!D944,4))</f>
        <v>2023</v>
      </c>
      <c r="E944" s="7" t="n">
        <f aca="false">IF(VALUE(RIGHT(Raw_Nigeria!D944,2))&gt;12,"",VALUE(RIGHT(Raw_Nigeria!D944,2)))</f>
        <v>12</v>
      </c>
      <c r="F944" s="7" t="n">
        <f aca="false">VALUE(LEFT(Raw_Nigeria!E944,4))</f>
        <v>2024</v>
      </c>
      <c r="G944" s="7" t="n">
        <f aca="false">IF(VALUE(RIGHT(Raw_Nigeria!E944,2))&gt;12,"",VALUE(RIGHT(Raw_Nigeria!E944,2)))</f>
        <v>5</v>
      </c>
      <c r="H944" s="7" t="n">
        <f aca="false">Raw_Nigeria!F944</f>
        <v>2021</v>
      </c>
      <c r="I944" s="7" t="str">
        <f aca="false">UPPER(TRIM(Raw_Nigeria!G944))</f>
        <v>HEPB3</v>
      </c>
      <c r="J944" s="7" t="str">
        <f aca="false">Raw_Nigeria!H944</f>
        <v>Record</v>
      </c>
      <c r="K944" s="7" t="str">
        <f aca="false">Raw_Nigeria!L944</f>
        <v>24-35 m</v>
      </c>
      <c r="L944" s="7" t="str">
        <f aca="false">IF(Raw_Nigeria!K944="","n/a",Raw_Nigeria!K944)</f>
        <v>0-35 m</v>
      </c>
      <c r="M944" s="7" t="n">
        <f aca="false">IF(Raw_Nigeria!I944="","",Raw_Nigeria!I944)</f>
        <v>34.4</v>
      </c>
      <c r="N944" s="7" t="n">
        <f aca="false">Raw_Nigeria!M944</f>
        <v>27.6</v>
      </c>
      <c r="O944" s="7" t="n">
        <f aca="false">IF(Raw_Nigeria!N944="","",Raw_Nigeria!N944)</f>
        <v>1608</v>
      </c>
      <c r="P944" s="7" t="str">
        <f aca="false">IF(K944="CBAW","Women of child-bearing age","Children")</f>
        <v>Children</v>
      </c>
      <c r="Q944" s="7" t="n">
        <f aca="false">IF(J944="NOT USED",1,0)</f>
        <v>0</v>
      </c>
      <c r="R944" s="7" t="n">
        <f aca="false">IF(AND(P944="Children",Q944=0),1,0)</f>
        <v>1</v>
      </c>
      <c r="S944" s="7" t="n">
        <f aca="false">IF(AND(R944=1,J944="Record or Recall",K944="12-23 m"),1,0)</f>
        <v>0</v>
      </c>
      <c r="T944" s="7" t="n">
        <f aca="false">IF(OR(I944="BCG",I944="DTP1",I944="DTP3",I944="POL3",I944="MCV1",I944="FULL"),1,0)</f>
        <v>0</v>
      </c>
      <c r="U944" s="7" t="n">
        <f aca="false">IF(OR(C944="DHS",C944="MICS"),1,0)</f>
        <v>1</v>
      </c>
      <c r="V944" s="7" t="n">
        <f aca="false">IF(O944="",1,0)</f>
        <v>0</v>
      </c>
      <c r="W944" s="7" t="n">
        <f aca="false">IF(M944="",1,0)</f>
        <v>0</v>
      </c>
      <c r="X944" s="7" t="n">
        <f aca="false">COUNTIFS($B$2:$B$1141,B944,$H$2:$H$1141,H944,$I$2:$I$1141,I944,$J$2:$J$1141,J944,$K$2:$K$1141,K944,$L$2:$L$1141,L944)</f>
        <v>1</v>
      </c>
    </row>
    <row r="945" customFormat="false" ht="15" hidden="false" customHeight="false" outlineLevel="0" collapsed="false">
      <c r="A945" s="7" t="n">
        <f aca="false">ROW()-1</f>
        <v>944</v>
      </c>
      <c r="B945" s="7" t="str">
        <f aca="false">IF(Raw_Nigeria!B945="",TRIM(Raw_Nigeria!C945),TRIM(Raw_Nigeria!B945))</f>
        <v>Nigeria Demographic and Health Survey 2024</v>
      </c>
      <c r="C945" s="7" t="str">
        <f aca="false">IF(ISNUMBER(SEARCH("Demographic and Health",B945)),"DHS",IF(OR(ISNUMBER(SEARCH("Multiple Indicator Cluster",B945)),ISNUMBER(SEARCH("MICS",B945))),"MICS",IF(ISNUMBER(SEARCH("Immunization Coverage Survey",B945)),"Coverage survey",IF(ISNUMBER(SEARCH("Nutrition",B945)),"Nutrition survey","Other"))))</f>
        <v>DHS</v>
      </c>
      <c r="D945" s="7" t="n">
        <f aca="false">VALUE(LEFT(Raw_Nigeria!D945,4))</f>
        <v>2023</v>
      </c>
      <c r="E945" s="7" t="n">
        <f aca="false">IF(VALUE(RIGHT(Raw_Nigeria!D945,2))&gt;12,"",VALUE(RIGHT(Raw_Nigeria!D945,2)))</f>
        <v>12</v>
      </c>
      <c r="F945" s="7" t="n">
        <f aca="false">VALUE(LEFT(Raw_Nigeria!E945,4))</f>
        <v>2024</v>
      </c>
      <c r="G945" s="7" t="n">
        <f aca="false">IF(VALUE(RIGHT(Raw_Nigeria!E945,2))&gt;12,"",VALUE(RIGHT(Raw_Nigeria!E945,2)))</f>
        <v>5</v>
      </c>
      <c r="H945" s="7" t="n">
        <f aca="false">Raw_Nigeria!F945</f>
        <v>2021</v>
      </c>
      <c r="I945" s="7" t="str">
        <f aca="false">UPPER(TRIM(Raw_Nigeria!G945))</f>
        <v>HEPB3</v>
      </c>
      <c r="J945" s="7" t="str">
        <f aca="false">Raw_Nigeria!H945</f>
        <v>Record or Recall</v>
      </c>
      <c r="K945" s="7" t="str">
        <f aca="false">Raw_Nigeria!L945</f>
        <v>24-35 m</v>
      </c>
      <c r="L945" s="7" t="str">
        <f aca="false">IF(Raw_Nigeria!K945="","n/a",Raw_Nigeria!K945)</f>
        <v>0-35 m</v>
      </c>
      <c r="M945" s="7" t="n">
        <f aca="false">IF(Raw_Nigeria!I945="","",Raw_Nigeria!I945)</f>
        <v>34.4</v>
      </c>
      <c r="N945" s="7" t="n">
        <f aca="false">Raw_Nigeria!M945</f>
        <v>45.7</v>
      </c>
      <c r="O945" s="7" t="n">
        <f aca="false">IF(Raw_Nigeria!N945="","",Raw_Nigeria!N945)</f>
        <v>4680</v>
      </c>
      <c r="P945" s="7" t="str">
        <f aca="false">IF(K945="CBAW","Women of child-bearing age","Children")</f>
        <v>Children</v>
      </c>
      <c r="Q945" s="7" t="n">
        <f aca="false">IF(J945="NOT USED",1,0)</f>
        <v>0</v>
      </c>
      <c r="R945" s="7" t="n">
        <f aca="false">IF(AND(P945="Children",Q945=0),1,0)</f>
        <v>1</v>
      </c>
      <c r="S945" s="7" t="n">
        <f aca="false">IF(AND(R945=1,J945="Record or Recall",K945="12-23 m"),1,0)</f>
        <v>0</v>
      </c>
      <c r="T945" s="7" t="n">
        <f aca="false">IF(OR(I945="BCG",I945="DTP1",I945="DTP3",I945="POL3",I945="MCV1",I945="FULL"),1,0)</f>
        <v>0</v>
      </c>
      <c r="U945" s="7" t="n">
        <f aca="false">IF(OR(C945="DHS",C945="MICS"),1,0)</f>
        <v>1</v>
      </c>
      <c r="V945" s="7" t="n">
        <f aca="false">IF(O945="",1,0)</f>
        <v>0</v>
      </c>
      <c r="W945" s="7" t="n">
        <f aca="false">IF(M945="",1,0)</f>
        <v>0</v>
      </c>
      <c r="X945" s="7" t="n">
        <f aca="false">COUNTIFS($B$2:$B$1141,B945,$H$2:$H$1141,H945,$I$2:$I$1141,I945,$J$2:$J$1141,J945,$K$2:$K$1141,K945,$L$2:$L$1141,L945)</f>
        <v>1</v>
      </c>
    </row>
    <row r="946" customFormat="false" ht="15" hidden="false" customHeight="false" outlineLevel="0" collapsed="false">
      <c r="A946" s="7" t="n">
        <f aca="false">ROW()-1</f>
        <v>945</v>
      </c>
      <c r="B946" s="7" t="str">
        <f aca="false">IF(Raw_Nigeria!B946="",TRIM(Raw_Nigeria!C946),TRIM(Raw_Nigeria!B946))</f>
        <v>Nigeria Demographic and Health Survey 2024</v>
      </c>
      <c r="C946" s="7" t="str">
        <f aca="false">IF(ISNUMBER(SEARCH("Demographic and Health",B946)),"DHS",IF(OR(ISNUMBER(SEARCH("Multiple Indicator Cluster",B946)),ISNUMBER(SEARCH("MICS",B946))),"MICS",IF(ISNUMBER(SEARCH("Immunization Coverage Survey",B946)),"Coverage survey",IF(ISNUMBER(SEARCH("Nutrition",B946)),"Nutrition survey","Other"))))</f>
        <v>DHS</v>
      </c>
      <c r="D946" s="7" t="n">
        <f aca="false">VALUE(LEFT(Raw_Nigeria!D946,4))</f>
        <v>2023</v>
      </c>
      <c r="E946" s="7" t="n">
        <f aca="false">IF(VALUE(RIGHT(Raw_Nigeria!D946,2))&gt;12,"",VALUE(RIGHT(Raw_Nigeria!D946,2)))</f>
        <v>12</v>
      </c>
      <c r="F946" s="7" t="n">
        <f aca="false">VALUE(LEFT(Raw_Nigeria!E946,4))</f>
        <v>2024</v>
      </c>
      <c r="G946" s="7" t="n">
        <f aca="false">IF(VALUE(RIGHT(Raw_Nigeria!E946,2))&gt;12,"",VALUE(RIGHT(Raw_Nigeria!E946,2)))</f>
        <v>5</v>
      </c>
      <c r="H946" s="7" t="n">
        <f aca="false">Raw_Nigeria!F946</f>
        <v>2021</v>
      </c>
      <c r="I946" s="7" t="str">
        <f aca="false">UPPER(TRIM(Raw_Nigeria!G946))</f>
        <v>HEPB3</v>
      </c>
      <c r="J946" s="7" t="str">
        <f aca="false">Raw_Nigeria!H946</f>
        <v>Record or Recall&lt;12m</v>
      </c>
      <c r="K946" s="7" t="str">
        <f aca="false">Raw_Nigeria!L946</f>
        <v>24-35 m</v>
      </c>
      <c r="L946" s="7" t="str">
        <f aca="false">IF(Raw_Nigeria!K946="","n/a",Raw_Nigeria!K946)</f>
        <v>0-12 m</v>
      </c>
      <c r="M946" s="7" t="n">
        <f aca="false">IF(Raw_Nigeria!I946="","",Raw_Nigeria!I946)</f>
        <v>34.4</v>
      </c>
      <c r="N946" s="7" t="n">
        <f aca="false">Raw_Nigeria!M946</f>
        <v>42.9</v>
      </c>
      <c r="O946" s="7" t="n">
        <f aca="false">IF(Raw_Nigeria!N946="","",Raw_Nigeria!N946)</f>
        <v>4680</v>
      </c>
      <c r="P946" s="7" t="str">
        <f aca="false">IF(K946="CBAW","Women of child-bearing age","Children")</f>
        <v>Children</v>
      </c>
      <c r="Q946" s="7" t="n">
        <f aca="false">IF(J946="NOT USED",1,0)</f>
        <v>0</v>
      </c>
      <c r="R946" s="7" t="n">
        <f aca="false">IF(AND(P946="Children",Q946=0),1,0)</f>
        <v>1</v>
      </c>
      <c r="S946" s="7" t="n">
        <f aca="false">IF(AND(R946=1,J946="Record or Recall",K946="12-23 m"),1,0)</f>
        <v>0</v>
      </c>
      <c r="T946" s="7" t="n">
        <f aca="false">IF(OR(I946="BCG",I946="DTP1",I946="DTP3",I946="POL3",I946="MCV1",I946="FULL"),1,0)</f>
        <v>0</v>
      </c>
      <c r="U946" s="7" t="n">
        <f aca="false">IF(OR(C946="DHS",C946="MICS"),1,0)</f>
        <v>1</v>
      </c>
      <c r="V946" s="7" t="n">
        <f aca="false">IF(O946="",1,0)</f>
        <v>0</v>
      </c>
      <c r="W946" s="7" t="n">
        <f aca="false">IF(M946="",1,0)</f>
        <v>0</v>
      </c>
      <c r="X946" s="7" t="n">
        <f aca="false">COUNTIFS($B$2:$B$1141,B946,$H$2:$H$1141,H946,$I$2:$I$1141,I946,$J$2:$J$1141,J946,$K$2:$K$1141,K946,$L$2:$L$1141,L946)</f>
        <v>1</v>
      </c>
    </row>
    <row r="947" customFormat="false" ht="15" hidden="false" customHeight="false" outlineLevel="0" collapsed="false">
      <c r="A947" s="7" t="n">
        <f aca="false">ROW()-1</f>
        <v>946</v>
      </c>
      <c r="B947" s="7" t="str">
        <f aca="false">IF(Raw_Nigeria!B947="",TRIM(Raw_Nigeria!C947),TRIM(Raw_Nigeria!B947))</f>
        <v>Nigeria Demographic and Health Survey 2024</v>
      </c>
      <c r="C947" s="7" t="str">
        <f aca="false">IF(ISNUMBER(SEARCH("Demographic and Health",B947)),"DHS",IF(OR(ISNUMBER(SEARCH("Multiple Indicator Cluster",B947)),ISNUMBER(SEARCH("MICS",B947))),"MICS",IF(ISNUMBER(SEARCH("Immunization Coverage Survey",B947)),"Coverage survey",IF(ISNUMBER(SEARCH("Nutrition",B947)),"Nutrition survey","Other"))))</f>
        <v>DHS</v>
      </c>
      <c r="D947" s="7" t="n">
        <f aca="false">VALUE(LEFT(Raw_Nigeria!D947,4))</f>
        <v>2023</v>
      </c>
      <c r="E947" s="7" t="n">
        <f aca="false">IF(VALUE(RIGHT(Raw_Nigeria!D947,2))&gt;12,"",VALUE(RIGHT(Raw_Nigeria!D947,2)))</f>
        <v>12</v>
      </c>
      <c r="F947" s="7" t="n">
        <f aca="false">VALUE(LEFT(Raw_Nigeria!E947,4))</f>
        <v>2024</v>
      </c>
      <c r="G947" s="7" t="n">
        <f aca="false">IF(VALUE(RIGHT(Raw_Nigeria!E947,2))&gt;12,"",VALUE(RIGHT(Raw_Nigeria!E947,2)))</f>
        <v>5</v>
      </c>
      <c r="H947" s="7" t="n">
        <f aca="false">Raw_Nigeria!F947</f>
        <v>2021</v>
      </c>
      <c r="I947" s="7" t="str">
        <f aca="false">UPPER(TRIM(Raw_Nigeria!G947))</f>
        <v>HEPBB</v>
      </c>
      <c r="J947" s="7" t="str">
        <f aca="false">Raw_Nigeria!H947</f>
        <v>Recall</v>
      </c>
      <c r="K947" s="7" t="str">
        <f aca="false">Raw_Nigeria!L947</f>
        <v>24-35 m</v>
      </c>
      <c r="L947" s="7" t="str">
        <f aca="false">IF(Raw_Nigeria!K947="","n/a",Raw_Nigeria!K947)</f>
        <v>0-35 m</v>
      </c>
      <c r="M947" s="7" t="n">
        <f aca="false">IF(Raw_Nigeria!I947="","",Raw_Nigeria!I947)</f>
        <v>34.4</v>
      </c>
      <c r="N947" s="7" t="n">
        <f aca="false">Raw_Nigeria!M947</f>
        <v>15.8</v>
      </c>
      <c r="O947" s="7" t="n">
        <f aca="false">IF(Raw_Nigeria!N947="","",Raw_Nigeria!N947)</f>
        <v>3072</v>
      </c>
      <c r="P947" s="7" t="str">
        <f aca="false">IF(K947="CBAW","Women of child-bearing age","Children")</f>
        <v>Children</v>
      </c>
      <c r="Q947" s="7" t="n">
        <f aca="false">IF(J947="NOT USED",1,0)</f>
        <v>0</v>
      </c>
      <c r="R947" s="7" t="n">
        <f aca="false">IF(AND(P947="Children",Q947=0),1,0)</f>
        <v>1</v>
      </c>
      <c r="S947" s="7" t="n">
        <f aca="false">IF(AND(R947=1,J947="Record or Recall",K947="12-23 m"),1,0)</f>
        <v>0</v>
      </c>
      <c r="T947" s="7" t="n">
        <f aca="false">IF(OR(I947="BCG",I947="DTP1",I947="DTP3",I947="POL3",I947="MCV1",I947="FULL"),1,0)</f>
        <v>0</v>
      </c>
      <c r="U947" s="7" t="n">
        <f aca="false">IF(OR(C947="DHS",C947="MICS"),1,0)</f>
        <v>1</v>
      </c>
      <c r="V947" s="7" t="n">
        <f aca="false">IF(O947="",1,0)</f>
        <v>0</v>
      </c>
      <c r="W947" s="7" t="n">
        <f aca="false">IF(M947="",1,0)</f>
        <v>0</v>
      </c>
      <c r="X947" s="7" t="n">
        <f aca="false">COUNTIFS($B$2:$B$1141,B947,$H$2:$H$1141,H947,$I$2:$I$1141,I947,$J$2:$J$1141,J947,$K$2:$K$1141,K947,$L$2:$L$1141,L947)</f>
        <v>1</v>
      </c>
    </row>
    <row r="948" customFormat="false" ht="15" hidden="false" customHeight="false" outlineLevel="0" collapsed="false">
      <c r="A948" s="7" t="n">
        <f aca="false">ROW()-1</f>
        <v>947</v>
      </c>
      <c r="B948" s="7" t="str">
        <f aca="false">IF(Raw_Nigeria!B948="",TRIM(Raw_Nigeria!C948),TRIM(Raw_Nigeria!B948))</f>
        <v>Nigeria Demographic and Health Survey 2024</v>
      </c>
      <c r="C948" s="7" t="str">
        <f aca="false">IF(ISNUMBER(SEARCH("Demographic and Health",B948)),"DHS",IF(OR(ISNUMBER(SEARCH("Multiple Indicator Cluster",B948)),ISNUMBER(SEARCH("MICS",B948))),"MICS",IF(ISNUMBER(SEARCH("Immunization Coverage Survey",B948)),"Coverage survey",IF(ISNUMBER(SEARCH("Nutrition",B948)),"Nutrition survey","Other"))))</f>
        <v>DHS</v>
      </c>
      <c r="D948" s="7" t="n">
        <f aca="false">VALUE(LEFT(Raw_Nigeria!D948,4))</f>
        <v>2023</v>
      </c>
      <c r="E948" s="7" t="n">
        <f aca="false">IF(VALUE(RIGHT(Raw_Nigeria!D948,2))&gt;12,"",VALUE(RIGHT(Raw_Nigeria!D948,2)))</f>
        <v>12</v>
      </c>
      <c r="F948" s="7" t="n">
        <f aca="false">VALUE(LEFT(Raw_Nigeria!E948,4))</f>
        <v>2024</v>
      </c>
      <c r="G948" s="7" t="n">
        <f aca="false">IF(VALUE(RIGHT(Raw_Nigeria!E948,2))&gt;12,"",VALUE(RIGHT(Raw_Nigeria!E948,2)))</f>
        <v>5</v>
      </c>
      <c r="H948" s="7" t="n">
        <f aca="false">Raw_Nigeria!F948</f>
        <v>2021</v>
      </c>
      <c r="I948" s="7" t="str">
        <f aca="false">UPPER(TRIM(Raw_Nigeria!G948))</f>
        <v>HEPBB</v>
      </c>
      <c r="J948" s="7" t="str">
        <f aca="false">Raw_Nigeria!H948</f>
        <v>Record</v>
      </c>
      <c r="K948" s="7" t="str">
        <f aca="false">Raw_Nigeria!L948</f>
        <v>24-35 m</v>
      </c>
      <c r="L948" s="7" t="str">
        <f aca="false">IF(Raw_Nigeria!K948="","n/a",Raw_Nigeria!K948)</f>
        <v>0-35 m</v>
      </c>
      <c r="M948" s="7" t="n">
        <f aca="false">IF(Raw_Nigeria!I948="","",Raw_Nigeria!I948)</f>
        <v>34.4</v>
      </c>
      <c r="N948" s="7" t="n">
        <f aca="false">Raw_Nigeria!M948</f>
        <v>4.8</v>
      </c>
      <c r="O948" s="7" t="n">
        <f aca="false">IF(Raw_Nigeria!N948="","",Raw_Nigeria!N948)</f>
        <v>1608</v>
      </c>
      <c r="P948" s="7" t="str">
        <f aca="false">IF(K948="CBAW","Women of child-bearing age","Children")</f>
        <v>Children</v>
      </c>
      <c r="Q948" s="7" t="n">
        <f aca="false">IF(J948="NOT USED",1,0)</f>
        <v>0</v>
      </c>
      <c r="R948" s="7" t="n">
        <f aca="false">IF(AND(P948="Children",Q948=0),1,0)</f>
        <v>1</v>
      </c>
      <c r="S948" s="7" t="n">
        <f aca="false">IF(AND(R948=1,J948="Record or Recall",K948="12-23 m"),1,0)</f>
        <v>0</v>
      </c>
      <c r="T948" s="7" t="n">
        <f aca="false">IF(OR(I948="BCG",I948="DTP1",I948="DTP3",I948="POL3",I948="MCV1",I948="FULL"),1,0)</f>
        <v>0</v>
      </c>
      <c r="U948" s="7" t="n">
        <f aca="false">IF(OR(C948="DHS",C948="MICS"),1,0)</f>
        <v>1</v>
      </c>
      <c r="V948" s="7" t="n">
        <f aca="false">IF(O948="",1,0)</f>
        <v>0</v>
      </c>
      <c r="W948" s="7" t="n">
        <f aca="false">IF(M948="",1,0)</f>
        <v>0</v>
      </c>
      <c r="X948" s="7" t="n">
        <f aca="false">COUNTIFS($B$2:$B$1141,B948,$H$2:$H$1141,H948,$I$2:$I$1141,I948,$J$2:$J$1141,J948,$K$2:$K$1141,K948,$L$2:$L$1141,L948)</f>
        <v>1</v>
      </c>
    </row>
    <row r="949" customFormat="false" ht="15" hidden="false" customHeight="false" outlineLevel="0" collapsed="false">
      <c r="A949" s="7" t="n">
        <f aca="false">ROW()-1</f>
        <v>948</v>
      </c>
      <c r="B949" s="7" t="str">
        <f aca="false">IF(Raw_Nigeria!B949="",TRIM(Raw_Nigeria!C949),TRIM(Raw_Nigeria!B949))</f>
        <v>Nigeria Demographic and Health Survey 2024</v>
      </c>
      <c r="C949" s="7" t="str">
        <f aca="false">IF(ISNUMBER(SEARCH("Demographic and Health",B949)),"DHS",IF(OR(ISNUMBER(SEARCH("Multiple Indicator Cluster",B949)),ISNUMBER(SEARCH("MICS",B949))),"MICS",IF(ISNUMBER(SEARCH("Immunization Coverage Survey",B949)),"Coverage survey",IF(ISNUMBER(SEARCH("Nutrition",B949)),"Nutrition survey","Other"))))</f>
        <v>DHS</v>
      </c>
      <c r="D949" s="7" t="n">
        <f aca="false">VALUE(LEFT(Raw_Nigeria!D949,4))</f>
        <v>2023</v>
      </c>
      <c r="E949" s="7" t="n">
        <f aca="false">IF(VALUE(RIGHT(Raw_Nigeria!D949,2))&gt;12,"",VALUE(RIGHT(Raw_Nigeria!D949,2)))</f>
        <v>12</v>
      </c>
      <c r="F949" s="7" t="n">
        <f aca="false">VALUE(LEFT(Raw_Nigeria!E949,4))</f>
        <v>2024</v>
      </c>
      <c r="G949" s="7" t="n">
        <f aca="false">IF(VALUE(RIGHT(Raw_Nigeria!E949,2))&gt;12,"",VALUE(RIGHT(Raw_Nigeria!E949,2)))</f>
        <v>5</v>
      </c>
      <c r="H949" s="7" t="n">
        <f aca="false">Raw_Nigeria!F949</f>
        <v>2021</v>
      </c>
      <c r="I949" s="7" t="str">
        <f aca="false">UPPER(TRIM(Raw_Nigeria!G949))</f>
        <v>HEPBB</v>
      </c>
      <c r="J949" s="7" t="str">
        <f aca="false">Raw_Nigeria!H949</f>
        <v>Record or Recall</v>
      </c>
      <c r="K949" s="7" t="str">
        <f aca="false">Raw_Nigeria!L949</f>
        <v>24-35 m</v>
      </c>
      <c r="L949" s="7" t="str">
        <f aca="false">IF(Raw_Nigeria!K949="","n/a",Raw_Nigeria!K949)</f>
        <v>0-35 m</v>
      </c>
      <c r="M949" s="7" t="n">
        <f aca="false">IF(Raw_Nigeria!I949="","",Raw_Nigeria!I949)</f>
        <v>34.4</v>
      </c>
      <c r="N949" s="7" t="n">
        <f aca="false">Raw_Nigeria!M949</f>
        <v>20.6</v>
      </c>
      <c r="O949" s="7" t="n">
        <f aca="false">IF(Raw_Nigeria!N949="","",Raw_Nigeria!N949)</f>
        <v>4680</v>
      </c>
      <c r="P949" s="7" t="str">
        <f aca="false">IF(K949="CBAW","Women of child-bearing age","Children")</f>
        <v>Children</v>
      </c>
      <c r="Q949" s="7" t="n">
        <f aca="false">IF(J949="NOT USED",1,0)</f>
        <v>0</v>
      </c>
      <c r="R949" s="7" t="n">
        <f aca="false">IF(AND(P949="Children",Q949=0),1,0)</f>
        <v>1</v>
      </c>
      <c r="S949" s="7" t="n">
        <f aca="false">IF(AND(R949=1,J949="Record or Recall",K949="12-23 m"),1,0)</f>
        <v>0</v>
      </c>
      <c r="T949" s="7" t="n">
        <f aca="false">IF(OR(I949="BCG",I949="DTP1",I949="DTP3",I949="POL3",I949="MCV1",I949="FULL"),1,0)</f>
        <v>0</v>
      </c>
      <c r="U949" s="7" t="n">
        <f aca="false">IF(OR(C949="DHS",C949="MICS"),1,0)</f>
        <v>1</v>
      </c>
      <c r="V949" s="7" t="n">
        <f aca="false">IF(O949="",1,0)</f>
        <v>0</v>
      </c>
      <c r="W949" s="7" t="n">
        <f aca="false">IF(M949="",1,0)</f>
        <v>0</v>
      </c>
      <c r="X949" s="7" t="n">
        <f aca="false">COUNTIFS($B$2:$B$1141,B949,$H$2:$H$1141,H949,$I$2:$I$1141,I949,$J$2:$J$1141,J949,$K$2:$K$1141,K949,$L$2:$L$1141,L949)</f>
        <v>1</v>
      </c>
    </row>
    <row r="950" customFormat="false" ht="15" hidden="false" customHeight="false" outlineLevel="0" collapsed="false">
      <c r="A950" s="7" t="n">
        <f aca="false">ROW()-1</f>
        <v>949</v>
      </c>
      <c r="B950" s="7" t="str">
        <f aca="false">IF(Raw_Nigeria!B950="",TRIM(Raw_Nigeria!C950),TRIM(Raw_Nigeria!B950))</f>
        <v>Nigeria Demographic and Health Survey 2024</v>
      </c>
      <c r="C950" s="7" t="str">
        <f aca="false">IF(ISNUMBER(SEARCH("Demographic and Health",B950)),"DHS",IF(OR(ISNUMBER(SEARCH("Multiple Indicator Cluster",B950)),ISNUMBER(SEARCH("MICS",B950))),"MICS",IF(ISNUMBER(SEARCH("Immunization Coverage Survey",B950)),"Coverage survey",IF(ISNUMBER(SEARCH("Nutrition",B950)),"Nutrition survey","Other"))))</f>
        <v>DHS</v>
      </c>
      <c r="D950" s="7" t="n">
        <f aca="false">VALUE(LEFT(Raw_Nigeria!D950,4))</f>
        <v>2023</v>
      </c>
      <c r="E950" s="7" t="n">
        <f aca="false">IF(VALUE(RIGHT(Raw_Nigeria!D950,2))&gt;12,"",VALUE(RIGHT(Raw_Nigeria!D950,2)))</f>
        <v>12</v>
      </c>
      <c r="F950" s="7" t="n">
        <f aca="false">VALUE(LEFT(Raw_Nigeria!E950,4))</f>
        <v>2024</v>
      </c>
      <c r="G950" s="7" t="n">
        <f aca="false">IF(VALUE(RIGHT(Raw_Nigeria!E950,2))&gt;12,"",VALUE(RIGHT(Raw_Nigeria!E950,2)))</f>
        <v>5</v>
      </c>
      <c r="H950" s="7" t="n">
        <f aca="false">Raw_Nigeria!F950</f>
        <v>2021</v>
      </c>
      <c r="I950" s="7" t="str">
        <f aca="false">UPPER(TRIM(Raw_Nigeria!G950))</f>
        <v>HIB1</v>
      </c>
      <c r="J950" s="7" t="str">
        <f aca="false">Raw_Nigeria!H950</f>
        <v>Recall</v>
      </c>
      <c r="K950" s="7" t="str">
        <f aca="false">Raw_Nigeria!L950</f>
        <v>24-35 m</v>
      </c>
      <c r="L950" s="7" t="str">
        <f aca="false">IF(Raw_Nigeria!K950="","n/a",Raw_Nigeria!K950)</f>
        <v>0-35 m</v>
      </c>
      <c r="M950" s="7" t="n">
        <f aca="false">IF(Raw_Nigeria!I950="","",Raw_Nigeria!I950)</f>
        <v>34.4</v>
      </c>
      <c r="N950" s="7" t="n">
        <f aca="false">Raw_Nigeria!M950</f>
        <v>24.6</v>
      </c>
      <c r="O950" s="7" t="n">
        <f aca="false">IF(Raw_Nigeria!N950="","",Raw_Nigeria!N950)</f>
        <v>3072</v>
      </c>
      <c r="P950" s="7" t="str">
        <f aca="false">IF(K950="CBAW","Women of child-bearing age","Children")</f>
        <v>Children</v>
      </c>
      <c r="Q950" s="7" t="n">
        <f aca="false">IF(J950="NOT USED",1,0)</f>
        <v>0</v>
      </c>
      <c r="R950" s="7" t="n">
        <f aca="false">IF(AND(P950="Children",Q950=0),1,0)</f>
        <v>1</v>
      </c>
      <c r="S950" s="7" t="n">
        <f aca="false">IF(AND(R950=1,J950="Record or Recall",K950="12-23 m"),1,0)</f>
        <v>0</v>
      </c>
      <c r="T950" s="7" t="n">
        <f aca="false">IF(OR(I950="BCG",I950="DTP1",I950="DTP3",I950="POL3",I950="MCV1",I950="FULL"),1,0)</f>
        <v>0</v>
      </c>
      <c r="U950" s="7" t="n">
        <f aca="false">IF(OR(C950="DHS",C950="MICS"),1,0)</f>
        <v>1</v>
      </c>
      <c r="V950" s="7" t="n">
        <f aca="false">IF(O950="",1,0)</f>
        <v>0</v>
      </c>
      <c r="W950" s="7" t="n">
        <f aca="false">IF(M950="",1,0)</f>
        <v>0</v>
      </c>
      <c r="X950" s="7" t="n">
        <f aca="false">COUNTIFS($B$2:$B$1141,B950,$H$2:$H$1141,H950,$I$2:$I$1141,I950,$J$2:$J$1141,J950,$K$2:$K$1141,K950,$L$2:$L$1141,L950)</f>
        <v>1</v>
      </c>
    </row>
    <row r="951" customFormat="false" ht="15" hidden="false" customHeight="false" outlineLevel="0" collapsed="false">
      <c r="A951" s="7" t="n">
        <f aca="false">ROW()-1</f>
        <v>950</v>
      </c>
      <c r="B951" s="7" t="str">
        <f aca="false">IF(Raw_Nigeria!B951="",TRIM(Raw_Nigeria!C951),TRIM(Raw_Nigeria!B951))</f>
        <v>Nigeria Demographic and Health Survey 2024</v>
      </c>
      <c r="C951" s="7" t="str">
        <f aca="false">IF(ISNUMBER(SEARCH("Demographic and Health",B951)),"DHS",IF(OR(ISNUMBER(SEARCH("Multiple Indicator Cluster",B951)),ISNUMBER(SEARCH("MICS",B951))),"MICS",IF(ISNUMBER(SEARCH("Immunization Coverage Survey",B951)),"Coverage survey",IF(ISNUMBER(SEARCH("Nutrition",B951)),"Nutrition survey","Other"))))</f>
        <v>DHS</v>
      </c>
      <c r="D951" s="7" t="n">
        <f aca="false">VALUE(LEFT(Raw_Nigeria!D951,4))</f>
        <v>2023</v>
      </c>
      <c r="E951" s="7" t="n">
        <f aca="false">IF(VALUE(RIGHT(Raw_Nigeria!D951,2))&gt;12,"",VALUE(RIGHT(Raw_Nigeria!D951,2)))</f>
        <v>12</v>
      </c>
      <c r="F951" s="7" t="n">
        <f aca="false">VALUE(LEFT(Raw_Nigeria!E951,4))</f>
        <v>2024</v>
      </c>
      <c r="G951" s="7" t="n">
        <f aca="false">IF(VALUE(RIGHT(Raw_Nigeria!E951,2))&gt;12,"",VALUE(RIGHT(Raw_Nigeria!E951,2)))</f>
        <v>5</v>
      </c>
      <c r="H951" s="7" t="n">
        <f aca="false">Raw_Nigeria!F951</f>
        <v>2021</v>
      </c>
      <c r="I951" s="7" t="str">
        <f aca="false">UPPER(TRIM(Raw_Nigeria!G951))</f>
        <v>HIB1</v>
      </c>
      <c r="J951" s="7" t="str">
        <f aca="false">Raw_Nigeria!H951</f>
        <v>Record</v>
      </c>
      <c r="K951" s="7" t="str">
        <f aca="false">Raw_Nigeria!L951</f>
        <v>24-35 m</v>
      </c>
      <c r="L951" s="7" t="str">
        <f aca="false">IF(Raw_Nigeria!K951="","n/a",Raw_Nigeria!K951)</f>
        <v>0-35 m</v>
      </c>
      <c r="M951" s="7" t="n">
        <f aca="false">IF(Raw_Nigeria!I951="","",Raw_Nigeria!I951)</f>
        <v>34.4</v>
      </c>
      <c r="N951" s="7" t="n">
        <f aca="false">Raw_Nigeria!M951</f>
        <v>32.3</v>
      </c>
      <c r="O951" s="7" t="n">
        <f aca="false">IF(Raw_Nigeria!N951="","",Raw_Nigeria!N951)</f>
        <v>1608</v>
      </c>
      <c r="P951" s="7" t="str">
        <f aca="false">IF(K951="CBAW","Women of child-bearing age","Children")</f>
        <v>Children</v>
      </c>
      <c r="Q951" s="7" t="n">
        <f aca="false">IF(J951="NOT USED",1,0)</f>
        <v>0</v>
      </c>
      <c r="R951" s="7" t="n">
        <f aca="false">IF(AND(P951="Children",Q951=0),1,0)</f>
        <v>1</v>
      </c>
      <c r="S951" s="7" t="n">
        <f aca="false">IF(AND(R951=1,J951="Record or Recall",K951="12-23 m"),1,0)</f>
        <v>0</v>
      </c>
      <c r="T951" s="7" t="n">
        <f aca="false">IF(OR(I951="BCG",I951="DTP1",I951="DTP3",I951="POL3",I951="MCV1",I951="FULL"),1,0)</f>
        <v>0</v>
      </c>
      <c r="U951" s="7" t="n">
        <f aca="false">IF(OR(C951="DHS",C951="MICS"),1,0)</f>
        <v>1</v>
      </c>
      <c r="V951" s="7" t="n">
        <f aca="false">IF(O951="",1,0)</f>
        <v>0</v>
      </c>
      <c r="W951" s="7" t="n">
        <f aca="false">IF(M951="",1,0)</f>
        <v>0</v>
      </c>
      <c r="X951" s="7" t="n">
        <f aca="false">COUNTIFS($B$2:$B$1141,B951,$H$2:$H$1141,H951,$I$2:$I$1141,I951,$J$2:$J$1141,J951,$K$2:$K$1141,K951,$L$2:$L$1141,L951)</f>
        <v>1</v>
      </c>
    </row>
    <row r="952" customFormat="false" ht="15" hidden="false" customHeight="false" outlineLevel="0" collapsed="false">
      <c r="A952" s="7" t="n">
        <f aca="false">ROW()-1</f>
        <v>951</v>
      </c>
      <c r="B952" s="7" t="str">
        <f aca="false">IF(Raw_Nigeria!B952="",TRIM(Raw_Nigeria!C952),TRIM(Raw_Nigeria!B952))</f>
        <v>Nigeria Demographic and Health Survey 2024</v>
      </c>
      <c r="C952" s="7" t="str">
        <f aca="false">IF(ISNUMBER(SEARCH("Demographic and Health",B952)),"DHS",IF(OR(ISNUMBER(SEARCH("Multiple Indicator Cluster",B952)),ISNUMBER(SEARCH("MICS",B952))),"MICS",IF(ISNUMBER(SEARCH("Immunization Coverage Survey",B952)),"Coverage survey",IF(ISNUMBER(SEARCH("Nutrition",B952)),"Nutrition survey","Other"))))</f>
        <v>DHS</v>
      </c>
      <c r="D952" s="7" t="n">
        <f aca="false">VALUE(LEFT(Raw_Nigeria!D952,4))</f>
        <v>2023</v>
      </c>
      <c r="E952" s="7" t="n">
        <f aca="false">IF(VALUE(RIGHT(Raw_Nigeria!D952,2))&gt;12,"",VALUE(RIGHT(Raw_Nigeria!D952,2)))</f>
        <v>12</v>
      </c>
      <c r="F952" s="7" t="n">
        <f aca="false">VALUE(LEFT(Raw_Nigeria!E952,4))</f>
        <v>2024</v>
      </c>
      <c r="G952" s="7" t="n">
        <f aca="false">IF(VALUE(RIGHT(Raw_Nigeria!E952,2))&gt;12,"",VALUE(RIGHT(Raw_Nigeria!E952,2)))</f>
        <v>5</v>
      </c>
      <c r="H952" s="7" t="n">
        <f aca="false">Raw_Nigeria!F952</f>
        <v>2021</v>
      </c>
      <c r="I952" s="7" t="str">
        <f aca="false">UPPER(TRIM(Raw_Nigeria!G952))</f>
        <v>HIB1</v>
      </c>
      <c r="J952" s="7" t="str">
        <f aca="false">Raw_Nigeria!H952</f>
        <v>Record or Recall</v>
      </c>
      <c r="K952" s="7" t="str">
        <f aca="false">Raw_Nigeria!L952</f>
        <v>24-35 m</v>
      </c>
      <c r="L952" s="7" t="str">
        <f aca="false">IF(Raw_Nigeria!K952="","n/a",Raw_Nigeria!K952)</f>
        <v>0-35 m</v>
      </c>
      <c r="M952" s="7" t="n">
        <f aca="false">IF(Raw_Nigeria!I952="","",Raw_Nigeria!I952)</f>
        <v>34.4</v>
      </c>
      <c r="N952" s="7" t="n">
        <f aca="false">Raw_Nigeria!M952</f>
        <v>56.9</v>
      </c>
      <c r="O952" s="7" t="n">
        <f aca="false">IF(Raw_Nigeria!N952="","",Raw_Nigeria!N952)</f>
        <v>4680</v>
      </c>
      <c r="P952" s="7" t="str">
        <f aca="false">IF(K952="CBAW","Women of child-bearing age","Children")</f>
        <v>Children</v>
      </c>
      <c r="Q952" s="7" t="n">
        <f aca="false">IF(J952="NOT USED",1,0)</f>
        <v>0</v>
      </c>
      <c r="R952" s="7" t="n">
        <f aca="false">IF(AND(P952="Children",Q952=0),1,0)</f>
        <v>1</v>
      </c>
      <c r="S952" s="7" t="n">
        <f aca="false">IF(AND(R952=1,J952="Record or Recall",K952="12-23 m"),1,0)</f>
        <v>0</v>
      </c>
      <c r="T952" s="7" t="n">
        <f aca="false">IF(OR(I952="BCG",I952="DTP1",I952="DTP3",I952="POL3",I952="MCV1",I952="FULL"),1,0)</f>
        <v>0</v>
      </c>
      <c r="U952" s="7" t="n">
        <f aca="false">IF(OR(C952="DHS",C952="MICS"),1,0)</f>
        <v>1</v>
      </c>
      <c r="V952" s="7" t="n">
        <f aca="false">IF(O952="",1,0)</f>
        <v>0</v>
      </c>
      <c r="W952" s="7" t="n">
        <f aca="false">IF(M952="",1,0)</f>
        <v>0</v>
      </c>
      <c r="X952" s="7" t="n">
        <f aca="false">COUNTIFS($B$2:$B$1141,B952,$H$2:$H$1141,H952,$I$2:$I$1141,I952,$J$2:$J$1141,J952,$K$2:$K$1141,K952,$L$2:$L$1141,L952)</f>
        <v>1</v>
      </c>
    </row>
    <row r="953" customFormat="false" ht="15" hidden="false" customHeight="false" outlineLevel="0" collapsed="false">
      <c r="A953" s="7" t="n">
        <f aca="false">ROW()-1</f>
        <v>952</v>
      </c>
      <c r="B953" s="7" t="str">
        <f aca="false">IF(Raw_Nigeria!B953="",TRIM(Raw_Nigeria!C953),TRIM(Raw_Nigeria!B953))</f>
        <v>Nigeria Demographic and Health Survey 2024</v>
      </c>
      <c r="C953" s="7" t="str">
        <f aca="false">IF(ISNUMBER(SEARCH("Demographic and Health",B953)),"DHS",IF(OR(ISNUMBER(SEARCH("Multiple Indicator Cluster",B953)),ISNUMBER(SEARCH("MICS",B953))),"MICS",IF(ISNUMBER(SEARCH("Immunization Coverage Survey",B953)),"Coverage survey",IF(ISNUMBER(SEARCH("Nutrition",B953)),"Nutrition survey","Other"))))</f>
        <v>DHS</v>
      </c>
      <c r="D953" s="7" t="n">
        <f aca="false">VALUE(LEFT(Raw_Nigeria!D953,4))</f>
        <v>2023</v>
      </c>
      <c r="E953" s="7" t="n">
        <f aca="false">IF(VALUE(RIGHT(Raw_Nigeria!D953,2))&gt;12,"",VALUE(RIGHT(Raw_Nigeria!D953,2)))</f>
        <v>12</v>
      </c>
      <c r="F953" s="7" t="n">
        <f aca="false">VALUE(LEFT(Raw_Nigeria!E953,4))</f>
        <v>2024</v>
      </c>
      <c r="G953" s="7" t="n">
        <f aca="false">IF(VALUE(RIGHT(Raw_Nigeria!E953,2))&gt;12,"",VALUE(RIGHT(Raw_Nigeria!E953,2)))</f>
        <v>5</v>
      </c>
      <c r="H953" s="7" t="n">
        <f aca="false">Raw_Nigeria!F953</f>
        <v>2021</v>
      </c>
      <c r="I953" s="7" t="str">
        <f aca="false">UPPER(TRIM(Raw_Nigeria!G953))</f>
        <v>HIB1</v>
      </c>
      <c r="J953" s="7" t="str">
        <f aca="false">Raw_Nigeria!H953</f>
        <v>Record or Recall&lt;12m</v>
      </c>
      <c r="K953" s="7" t="str">
        <f aca="false">Raw_Nigeria!L953</f>
        <v>24-35 m</v>
      </c>
      <c r="L953" s="7" t="str">
        <f aca="false">IF(Raw_Nigeria!K953="","n/a",Raw_Nigeria!K953)</f>
        <v>0-12 m</v>
      </c>
      <c r="M953" s="7" t="n">
        <f aca="false">IF(Raw_Nigeria!I953="","",Raw_Nigeria!I953)</f>
        <v>34.4</v>
      </c>
      <c r="N953" s="7" t="n">
        <f aca="false">Raw_Nigeria!M953</f>
        <v>55.5</v>
      </c>
      <c r="O953" s="7" t="n">
        <f aca="false">IF(Raw_Nigeria!N953="","",Raw_Nigeria!N953)</f>
        <v>4680</v>
      </c>
      <c r="P953" s="7" t="str">
        <f aca="false">IF(K953="CBAW","Women of child-bearing age","Children")</f>
        <v>Children</v>
      </c>
      <c r="Q953" s="7" t="n">
        <f aca="false">IF(J953="NOT USED",1,0)</f>
        <v>0</v>
      </c>
      <c r="R953" s="7" t="n">
        <f aca="false">IF(AND(P953="Children",Q953=0),1,0)</f>
        <v>1</v>
      </c>
      <c r="S953" s="7" t="n">
        <f aca="false">IF(AND(R953=1,J953="Record or Recall",K953="12-23 m"),1,0)</f>
        <v>0</v>
      </c>
      <c r="T953" s="7" t="n">
        <f aca="false">IF(OR(I953="BCG",I953="DTP1",I953="DTP3",I953="POL3",I953="MCV1",I953="FULL"),1,0)</f>
        <v>0</v>
      </c>
      <c r="U953" s="7" t="n">
        <f aca="false">IF(OR(C953="DHS",C953="MICS"),1,0)</f>
        <v>1</v>
      </c>
      <c r="V953" s="7" t="n">
        <f aca="false">IF(O953="",1,0)</f>
        <v>0</v>
      </c>
      <c r="W953" s="7" t="n">
        <f aca="false">IF(M953="",1,0)</f>
        <v>0</v>
      </c>
      <c r="X953" s="7" t="n">
        <f aca="false">COUNTIFS($B$2:$B$1141,B953,$H$2:$H$1141,H953,$I$2:$I$1141,I953,$J$2:$J$1141,J953,$K$2:$K$1141,K953,$L$2:$L$1141,L953)</f>
        <v>1</v>
      </c>
    </row>
    <row r="954" customFormat="false" ht="15" hidden="false" customHeight="false" outlineLevel="0" collapsed="false">
      <c r="A954" s="7" t="n">
        <f aca="false">ROW()-1</f>
        <v>953</v>
      </c>
      <c r="B954" s="7" t="str">
        <f aca="false">IF(Raw_Nigeria!B954="",TRIM(Raw_Nigeria!C954),TRIM(Raw_Nigeria!B954))</f>
        <v>Nigeria Demographic and Health Survey 2024</v>
      </c>
      <c r="C954" s="7" t="str">
        <f aca="false">IF(ISNUMBER(SEARCH("Demographic and Health",B954)),"DHS",IF(OR(ISNUMBER(SEARCH("Multiple Indicator Cluster",B954)),ISNUMBER(SEARCH("MICS",B954))),"MICS",IF(ISNUMBER(SEARCH("Immunization Coverage Survey",B954)),"Coverage survey",IF(ISNUMBER(SEARCH("Nutrition",B954)),"Nutrition survey","Other"))))</f>
        <v>DHS</v>
      </c>
      <c r="D954" s="7" t="n">
        <f aca="false">VALUE(LEFT(Raw_Nigeria!D954,4))</f>
        <v>2023</v>
      </c>
      <c r="E954" s="7" t="n">
        <f aca="false">IF(VALUE(RIGHT(Raw_Nigeria!D954,2))&gt;12,"",VALUE(RIGHT(Raw_Nigeria!D954,2)))</f>
        <v>12</v>
      </c>
      <c r="F954" s="7" t="n">
        <f aca="false">VALUE(LEFT(Raw_Nigeria!E954,4))</f>
        <v>2024</v>
      </c>
      <c r="G954" s="7" t="n">
        <f aca="false">IF(VALUE(RIGHT(Raw_Nigeria!E954,2))&gt;12,"",VALUE(RIGHT(Raw_Nigeria!E954,2)))</f>
        <v>5</v>
      </c>
      <c r="H954" s="7" t="n">
        <f aca="false">Raw_Nigeria!F954</f>
        <v>2021</v>
      </c>
      <c r="I954" s="7" t="str">
        <f aca="false">UPPER(TRIM(Raw_Nigeria!G954))</f>
        <v>HIB2</v>
      </c>
      <c r="J954" s="7" t="str">
        <f aca="false">Raw_Nigeria!H954</f>
        <v>Recall</v>
      </c>
      <c r="K954" s="7" t="str">
        <f aca="false">Raw_Nigeria!L954</f>
        <v>24-35 m</v>
      </c>
      <c r="L954" s="7" t="str">
        <f aca="false">IF(Raw_Nigeria!K954="","n/a",Raw_Nigeria!K954)</f>
        <v>0-35 m</v>
      </c>
      <c r="M954" s="7" t="n">
        <f aca="false">IF(Raw_Nigeria!I954="","",Raw_Nigeria!I954)</f>
        <v>34.4</v>
      </c>
      <c r="N954" s="7" t="n">
        <f aca="false">Raw_Nigeria!M954</f>
        <v>23.2</v>
      </c>
      <c r="O954" s="7" t="n">
        <f aca="false">IF(Raw_Nigeria!N954="","",Raw_Nigeria!N954)</f>
        <v>3072</v>
      </c>
      <c r="P954" s="7" t="str">
        <f aca="false">IF(K954="CBAW","Women of child-bearing age","Children")</f>
        <v>Children</v>
      </c>
      <c r="Q954" s="7" t="n">
        <f aca="false">IF(J954="NOT USED",1,0)</f>
        <v>0</v>
      </c>
      <c r="R954" s="7" t="n">
        <f aca="false">IF(AND(P954="Children",Q954=0),1,0)</f>
        <v>1</v>
      </c>
      <c r="S954" s="7" t="n">
        <f aca="false">IF(AND(R954=1,J954="Record or Recall",K954="12-23 m"),1,0)</f>
        <v>0</v>
      </c>
      <c r="T954" s="7" t="n">
        <f aca="false">IF(OR(I954="BCG",I954="DTP1",I954="DTP3",I954="POL3",I954="MCV1",I954="FULL"),1,0)</f>
        <v>0</v>
      </c>
      <c r="U954" s="7" t="n">
        <f aca="false">IF(OR(C954="DHS",C954="MICS"),1,0)</f>
        <v>1</v>
      </c>
      <c r="V954" s="7" t="n">
        <f aca="false">IF(O954="",1,0)</f>
        <v>0</v>
      </c>
      <c r="W954" s="7" t="n">
        <f aca="false">IF(M954="",1,0)</f>
        <v>0</v>
      </c>
      <c r="X954" s="7" t="n">
        <f aca="false">COUNTIFS($B$2:$B$1141,B954,$H$2:$H$1141,H954,$I$2:$I$1141,I954,$J$2:$J$1141,J954,$K$2:$K$1141,K954,$L$2:$L$1141,L954)</f>
        <v>1</v>
      </c>
    </row>
    <row r="955" customFormat="false" ht="15" hidden="false" customHeight="false" outlineLevel="0" collapsed="false">
      <c r="A955" s="7" t="n">
        <f aca="false">ROW()-1</f>
        <v>954</v>
      </c>
      <c r="B955" s="7" t="str">
        <f aca="false">IF(Raw_Nigeria!B955="",TRIM(Raw_Nigeria!C955),TRIM(Raw_Nigeria!B955))</f>
        <v>Nigeria Demographic and Health Survey 2024</v>
      </c>
      <c r="C955" s="7" t="str">
        <f aca="false">IF(ISNUMBER(SEARCH("Demographic and Health",B955)),"DHS",IF(OR(ISNUMBER(SEARCH("Multiple Indicator Cluster",B955)),ISNUMBER(SEARCH("MICS",B955))),"MICS",IF(ISNUMBER(SEARCH("Immunization Coverage Survey",B955)),"Coverage survey",IF(ISNUMBER(SEARCH("Nutrition",B955)),"Nutrition survey","Other"))))</f>
        <v>DHS</v>
      </c>
      <c r="D955" s="7" t="n">
        <f aca="false">VALUE(LEFT(Raw_Nigeria!D955,4))</f>
        <v>2023</v>
      </c>
      <c r="E955" s="7" t="n">
        <f aca="false">IF(VALUE(RIGHT(Raw_Nigeria!D955,2))&gt;12,"",VALUE(RIGHT(Raw_Nigeria!D955,2)))</f>
        <v>12</v>
      </c>
      <c r="F955" s="7" t="n">
        <f aca="false">VALUE(LEFT(Raw_Nigeria!E955,4))</f>
        <v>2024</v>
      </c>
      <c r="G955" s="7" t="n">
        <f aca="false">IF(VALUE(RIGHT(Raw_Nigeria!E955,2))&gt;12,"",VALUE(RIGHT(Raw_Nigeria!E955,2)))</f>
        <v>5</v>
      </c>
      <c r="H955" s="7" t="n">
        <f aca="false">Raw_Nigeria!F955</f>
        <v>2021</v>
      </c>
      <c r="I955" s="7" t="str">
        <f aca="false">UPPER(TRIM(Raw_Nigeria!G955))</f>
        <v>HIB2</v>
      </c>
      <c r="J955" s="7" t="str">
        <f aca="false">Raw_Nigeria!H955</f>
        <v>Record</v>
      </c>
      <c r="K955" s="7" t="str">
        <f aca="false">Raw_Nigeria!L955</f>
        <v>24-35 m</v>
      </c>
      <c r="L955" s="7" t="str">
        <f aca="false">IF(Raw_Nigeria!K955="","n/a",Raw_Nigeria!K955)</f>
        <v>0-35 m</v>
      </c>
      <c r="M955" s="7" t="n">
        <f aca="false">IF(Raw_Nigeria!I955="","",Raw_Nigeria!I955)</f>
        <v>34.4</v>
      </c>
      <c r="N955" s="7" t="n">
        <f aca="false">Raw_Nigeria!M955</f>
        <v>30.1</v>
      </c>
      <c r="O955" s="7" t="n">
        <f aca="false">IF(Raw_Nigeria!N955="","",Raw_Nigeria!N955)</f>
        <v>1608</v>
      </c>
      <c r="P955" s="7" t="str">
        <f aca="false">IF(K955="CBAW","Women of child-bearing age","Children")</f>
        <v>Children</v>
      </c>
      <c r="Q955" s="7" t="n">
        <f aca="false">IF(J955="NOT USED",1,0)</f>
        <v>0</v>
      </c>
      <c r="R955" s="7" t="n">
        <f aca="false">IF(AND(P955="Children",Q955=0),1,0)</f>
        <v>1</v>
      </c>
      <c r="S955" s="7" t="n">
        <f aca="false">IF(AND(R955=1,J955="Record or Recall",K955="12-23 m"),1,0)</f>
        <v>0</v>
      </c>
      <c r="T955" s="7" t="n">
        <f aca="false">IF(OR(I955="BCG",I955="DTP1",I955="DTP3",I955="POL3",I955="MCV1",I955="FULL"),1,0)</f>
        <v>0</v>
      </c>
      <c r="U955" s="7" t="n">
        <f aca="false">IF(OR(C955="DHS",C955="MICS"),1,0)</f>
        <v>1</v>
      </c>
      <c r="V955" s="7" t="n">
        <f aca="false">IF(O955="",1,0)</f>
        <v>0</v>
      </c>
      <c r="W955" s="7" t="n">
        <f aca="false">IF(M955="",1,0)</f>
        <v>0</v>
      </c>
      <c r="X955" s="7" t="n">
        <f aca="false">COUNTIFS($B$2:$B$1141,B955,$H$2:$H$1141,H955,$I$2:$I$1141,I955,$J$2:$J$1141,J955,$K$2:$K$1141,K955,$L$2:$L$1141,L955)</f>
        <v>1</v>
      </c>
    </row>
    <row r="956" customFormat="false" ht="15" hidden="false" customHeight="false" outlineLevel="0" collapsed="false">
      <c r="A956" s="7" t="n">
        <f aca="false">ROW()-1</f>
        <v>955</v>
      </c>
      <c r="B956" s="7" t="str">
        <f aca="false">IF(Raw_Nigeria!B956="",TRIM(Raw_Nigeria!C956),TRIM(Raw_Nigeria!B956))</f>
        <v>Nigeria Demographic and Health Survey 2024</v>
      </c>
      <c r="C956" s="7" t="str">
        <f aca="false">IF(ISNUMBER(SEARCH("Demographic and Health",B956)),"DHS",IF(OR(ISNUMBER(SEARCH("Multiple Indicator Cluster",B956)),ISNUMBER(SEARCH("MICS",B956))),"MICS",IF(ISNUMBER(SEARCH("Immunization Coverage Survey",B956)),"Coverage survey",IF(ISNUMBER(SEARCH("Nutrition",B956)),"Nutrition survey","Other"))))</f>
        <v>DHS</v>
      </c>
      <c r="D956" s="7" t="n">
        <f aca="false">VALUE(LEFT(Raw_Nigeria!D956,4))</f>
        <v>2023</v>
      </c>
      <c r="E956" s="7" t="n">
        <f aca="false">IF(VALUE(RIGHT(Raw_Nigeria!D956,2))&gt;12,"",VALUE(RIGHT(Raw_Nigeria!D956,2)))</f>
        <v>12</v>
      </c>
      <c r="F956" s="7" t="n">
        <f aca="false">VALUE(LEFT(Raw_Nigeria!E956,4))</f>
        <v>2024</v>
      </c>
      <c r="G956" s="7" t="n">
        <f aca="false">IF(VALUE(RIGHT(Raw_Nigeria!E956,2))&gt;12,"",VALUE(RIGHT(Raw_Nigeria!E956,2)))</f>
        <v>5</v>
      </c>
      <c r="H956" s="7" t="n">
        <f aca="false">Raw_Nigeria!F956</f>
        <v>2021</v>
      </c>
      <c r="I956" s="7" t="str">
        <f aca="false">UPPER(TRIM(Raw_Nigeria!G956))</f>
        <v>HIB2</v>
      </c>
      <c r="J956" s="7" t="str">
        <f aca="false">Raw_Nigeria!H956</f>
        <v>Record or Recall</v>
      </c>
      <c r="K956" s="7" t="str">
        <f aca="false">Raw_Nigeria!L956</f>
        <v>24-35 m</v>
      </c>
      <c r="L956" s="7" t="str">
        <f aca="false">IF(Raw_Nigeria!K956="","n/a",Raw_Nigeria!K956)</f>
        <v>0-35 m</v>
      </c>
      <c r="M956" s="7" t="n">
        <f aca="false">IF(Raw_Nigeria!I956="","",Raw_Nigeria!I956)</f>
        <v>34.4</v>
      </c>
      <c r="N956" s="7" t="n">
        <f aca="false">Raw_Nigeria!M956</f>
        <v>53.4</v>
      </c>
      <c r="O956" s="7" t="n">
        <f aca="false">IF(Raw_Nigeria!N956="","",Raw_Nigeria!N956)</f>
        <v>4680</v>
      </c>
      <c r="P956" s="7" t="str">
        <f aca="false">IF(K956="CBAW","Women of child-bearing age","Children")</f>
        <v>Children</v>
      </c>
      <c r="Q956" s="7" t="n">
        <f aca="false">IF(J956="NOT USED",1,0)</f>
        <v>0</v>
      </c>
      <c r="R956" s="7" t="n">
        <f aca="false">IF(AND(P956="Children",Q956=0),1,0)</f>
        <v>1</v>
      </c>
      <c r="S956" s="7" t="n">
        <f aca="false">IF(AND(R956=1,J956="Record or Recall",K956="12-23 m"),1,0)</f>
        <v>0</v>
      </c>
      <c r="T956" s="7" t="n">
        <f aca="false">IF(OR(I956="BCG",I956="DTP1",I956="DTP3",I956="POL3",I956="MCV1",I956="FULL"),1,0)</f>
        <v>0</v>
      </c>
      <c r="U956" s="7" t="n">
        <f aca="false">IF(OR(C956="DHS",C956="MICS"),1,0)</f>
        <v>1</v>
      </c>
      <c r="V956" s="7" t="n">
        <f aca="false">IF(O956="",1,0)</f>
        <v>0</v>
      </c>
      <c r="W956" s="7" t="n">
        <f aca="false">IF(M956="",1,0)</f>
        <v>0</v>
      </c>
      <c r="X956" s="7" t="n">
        <f aca="false">COUNTIFS($B$2:$B$1141,B956,$H$2:$H$1141,H956,$I$2:$I$1141,I956,$J$2:$J$1141,J956,$K$2:$K$1141,K956,$L$2:$L$1141,L956)</f>
        <v>1</v>
      </c>
    </row>
    <row r="957" customFormat="false" ht="15" hidden="false" customHeight="false" outlineLevel="0" collapsed="false">
      <c r="A957" s="7" t="n">
        <f aca="false">ROW()-1</f>
        <v>956</v>
      </c>
      <c r="B957" s="7" t="str">
        <f aca="false">IF(Raw_Nigeria!B957="",TRIM(Raw_Nigeria!C957),TRIM(Raw_Nigeria!B957))</f>
        <v>Nigeria Demographic and Health Survey 2024</v>
      </c>
      <c r="C957" s="7" t="str">
        <f aca="false">IF(ISNUMBER(SEARCH("Demographic and Health",B957)),"DHS",IF(OR(ISNUMBER(SEARCH("Multiple Indicator Cluster",B957)),ISNUMBER(SEARCH("MICS",B957))),"MICS",IF(ISNUMBER(SEARCH("Immunization Coverage Survey",B957)),"Coverage survey",IF(ISNUMBER(SEARCH("Nutrition",B957)),"Nutrition survey","Other"))))</f>
        <v>DHS</v>
      </c>
      <c r="D957" s="7" t="n">
        <f aca="false">VALUE(LEFT(Raw_Nigeria!D957,4))</f>
        <v>2023</v>
      </c>
      <c r="E957" s="7" t="n">
        <f aca="false">IF(VALUE(RIGHT(Raw_Nigeria!D957,2))&gt;12,"",VALUE(RIGHT(Raw_Nigeria!D957,2)))</f>
        <v>12</v>
      </c>
      <c r="F957" s="7" t="n">
        <f aca="false">VALUE(LEFT(Raw_Nigeria!E957,4))</f>
        <v>2024</v>
      </c>
      <c r="G957" s="7" t="n">
        <f aca="false">IF(VALUE(RIGHT(Raw_Nigeria!E957,2))&gt;12,"",VALUE(RIGHT(Raw_Nigeria!E957,2)))</f>
        <v>5</v>
      </c>
      <c r="H957" s="7" t="n">
        <f aca="false">Raw_Nigeria!F957</f>
        <v>2021</v>
      </c>
      <c r="I957" s="7" t="str">
        <f aca="false">UPPER(TRIM(Raw_Nigeria!G957))</f>
        <v>HIB2</v>
      </c>
      <c r="J957" s="7" t="str">
        <f aca="false">Raw_Nigeria!H957</f>
        <v>Record or Recall&lt;12m</v>
      </c>
      <c r="K957" s="7" t="str">
        <f aca="false">Raw_Nigeria!L957</f>
        <v>24-35 m</v>
      </c>
      <c r="L957" s="7" t="str">
        <f aca="false">IF(Raw_Nigeria!K957="","n/a",Raw_Nigeria!K957)</f>
        <v>0-12 m</v>
      </c>
      <c r="M957" s="7" t="n">
        <f aca="false">IF(Raw_Nigeria!I957="","",Raw_Nigeria!I957)</f>
        <v>34.4</v>
      </c>
      <c r="N957" s="7" t="n">
        <f aca="false">Raw_Nigeria!M957</f>
        <v>51.5</v>
      </c>
      <c r="O957" s="7" t="n">
        <f aca="false">IF(Raw_Nigeria!N957="","",Raw_Nigeria!N957)</f>
        <v>4680</v>
      </c>
      <c r="P957" s="7" t="str">
        <f aca="false">IF(K957="CBAW","Women of child-bearing age","Children")</f>
        <v>Children</v>
      </c>
      <c r="Q957" s="7" t="n">
        <f aca="false">IF(J957="NOT USED",1,0)</f>
        <v>0</v>
      </c>
      <c r="R957" s="7" t="n">
        <f aca="false">IF(AND(P957="Children",Q957=0),1,0)</f>
        <v>1</v>
      </c>
      <c r="S957" s="7" t="n">
        <f aca="false">IF(AND(R957=1,J957="Record or Recall",K957="12-23 m"),1,0)</f>
        <v>0</v>
      </c>
      <c r="T957" s="7" t="n">
        <f aca="false">IF(OR(I957="BCG",I957="DTP1",I957="DTP3",I957="POL3",I957="MCV1",I957="FULL"),1,0)</f>
        <v>0</v>
      </c>
      <c r="U957" s="7" t="n">
        <f aca="false">IF(OR(C957="DHS",C957="MICS"),1,0)</f>
        <v>1</v>
      </c>
      <c r="V957" s="7" t="n">
        <f aca="false">IF(O957="",1,0)</f>
        <v>0</v>
      </c>
      <c r="W957" s="7" t="n">
        <f aca="false">IF(M957="",1,0)</f>
        <v>0</v>
      </c>
      <c r="X957" s="7" t="n">
        <f aca="false">COUNTIFS($B$2:$B$1141,B957,$H$2:$H$1141,H957,$I$2:$I$1141,I957,$J$2:$J$1141,J957,$K$2:$K$1141,K957,$L$2:$L$1141,L957)</f>
        <v>1</v>
      </c>
    </row>
    <row r="958" customFormat="false" ht="15" hidden="false" customHeight="false" outlineLevel="0" collapsed="false">
      <c r="A958" s="7" t="n">
        <f aca="false">ROW()-1</f>
        <v>957</v>
      </c>
      <c r="B958" s="7" t="str">
        <f aca="false">IF(Raw_Nigeria!B958="",TRIM(Raw_Nigeria!C958),TRIM(Raw_Nigeria!B958))</f>
        <v>Nigeria Demographic and Health Survey 2024</v>
      </c>
      <c r="C958" s="7" t="str">
        <f aca="false">IF(ISNUMBER(SEARCH("Demographic and Health",B958)),"DHS",IF(OR(ISNUMBER(SEARCH("Multiple Indicator Cluster",B958)),ISNUMBER(SEARCH("MICS",B958))),"MICS",IF(ISNUMBER(SEARCH("Immunization Coverage Survey",B958)),"Coverage survey",IF(ISNUMBER(SEARCH("Nutrition",B958)),"Nutrition survey","Other"))))</f>
        <v>DHS</v>
      </c>
      <c r="D958" s="7" t="n">
        <f aca="false">VALUE(LEFT(Raw_Nigeria!D958,4))</f>
        <v>2023</v>
      </c>
      <c r="E958" s="7" t="n">
        <f aca="false">IF(VALUE(RIGHT(Raw_Nigeria!D958,2))&gt;12,"",VALUE(RIGHT(Raw_Nigeria!D958,2)))</f>
        <v>12</v>
      </c>
      <c r="F958" s="7" t="n">
        <f aca="false">VALUE(LEFT(Raw_Nigeria!E958,4))</f>
        <v>2024</v>
      </c>
      <c r="G958" s="7" t="n">
        <f aca="false">IF(VALUE(RIGHT(Raw_Nigeria!E958,2))&gt;12,"",VALUE(RIGHT(Raw_Nigeria!E958,2)))</f>
        <v>5</v>
      </c>
      <c r="H958" s="7" t="n">
        <f aca="false">Raw_Nigeria!F958</f>
        <v>2021</v>
      </c>
      <c r="I958" s="7" t="str">
        <f aca="false">UPPER(TRIM(Raw_Nigeria!G958))</f>
        <v>HIB3</v>
      </c>
      <c r="J958" s="7" t="str">
        <f aca="false">Raw_Nigeria!H958</f>
        <v>Recall</v>
      </c>
      <c r="K958" s="7" t="str">
        <f aca="false">Raw_Nigeria!L958</f>
        <v>24-35 m</v>
      </c>
      <c r="L958" s="7" t="str">
        <f aca="false">IF(Raw_Nigeria!K958="","n/a",Raw_Nigeria!K958)</f>
        <v>0-35 m</v>
      </c>
      <c r="M958" s="7" t="n">
        <f aca="false">IF(Raw_Nigeria!I958="","",Raw_Nigeria!I958)</f>
        <v>34.4</v>
      </c>
      <c r="N958" s="7" t="n">
        <f aca="false">Raw_Nigeria!M958</f>
        <v>18.1</v>
      </c>
      <c r="O958" s="7" t="n">
        <f aca="false">IF(Raw_Nigeria!N958="","",Raw_Nigeria!N958)</f>
        <v>3072</v>
      </c>
      <c r="P958" s="7" t="str">
        <f aca="false">IF(K958="CBAW","Women of child-bearing age","Children")</f>
        <v>Children</v>
      </c>
      <c r="Q958" s="7" t="n">
        <f aca="false">IF(J958="NOT USED",1,0)</f>
        <v>0</v>
      </c>
      <c r="R958" s="7" t="n">
        <f aca="false">IF(AND(P958="Children",Q958=0),1,0)</f>
        <v>1</v>
      </c>
      <c r="S958" s="7" t="n">
        <f aca="false">IF(AND(R958=1,J958="Record or Recall",K958="12-23 m"),1,0)</f>
        <v>0</v>
      </c>
      <c r="T958" s="7" t="n">
        <f aca="false">IF(OR(I958="BCG",I958="DTP1",I958="DTP3",I958="POL3",I958="MCV1",I958="FULL"),1,0)</f>
        <v>0</v>
      </c>
      <c r="U958" s="7" t="n">
        <f aca="false">IF(OR(C958="DHS",C958="MICS"),1,0)</f>
        <v>1</v>
      </c>
      <c r="V958" s="7" t="n">
        <f aca="false">IF(O958="",1,0)</f>
        <v>0</v>
      </c>
      <c r="W958" s="7" t="n">
        <f aca="false">IF(M958="",1,0)</f>
        <v>0</v>
      </c>
      <c r="X958" s="7" t="n">
        <f aca="false">COUNTIFS($B$2:$B$1141,B958,$H$2:$H$1141,H958,$I$2:$I$1141,I958,$J$2:$J$1141,J958,$K$2:$K$1141,K958,$L$2:$L$1141,L958)</f>
        <v>1</v>
      </c>
    </row>
    <row r="959" customFormat="false" ht="15" hidden="false" customHeight="false" outlineLevel="0" collapsed="false">
      <c r="A959" s="7" t="n">
        <f aca="false">ROW()-1</f>
        <v>958</v>
      </c>
      <c r="B959" s="7" t="str">
        <f aca="false">IF(Raw_Nigeria!B959="",TRIM(Raw_Nigeria!C959),TRIM(Raw_Nigeria!B959))</f>
        <v>Nigeria Demographic and Health Survey 2024</v>
      </c>
      <c r="C959" s="7" t="str">
        <f aca="false">IF(ISNUMBER(SEARCH("Demographic and Health",B959)),"DHS",IF(OR(ISNUMBER(SEARCH("Multiple Indicator Cluster",B959)),ISNUMBER(SEARCH("MICS",B959))),"MICS",IF(ISNUMBER(SEARCH("Immunization Coverage Survey",B959)),"Coverage survey",IF(ISNUMBER(SEARCH("Nutrition",B959)),"Nutrition survey","Other"))))</f>
        <v>DHS</v>
      </c>
      <c r="D959" s="7" t="n">
        <f aca="false">VALUE(LEFT(Raw_Nigeria!D959,4))</f>
        <v>2023</v>
      </c>
      <c r="E959" s="7" t="n">
        <f aca="false">IF(VALUE(RIGHT(Raw_Nigeria!D959,2))&gt;12,"",VALUE(RIGHT(Raw_Nigeria!D959,2)))</f>
        <v>12</v>
      </c>
      <c r="F959" s="7" t="n">
        <f aca="false">VALUE(LEFT(Raw_Nigeria!E959,4))</f>
        <v>2024</v>
      </c>
      <c r="G959" s="7" t="n">
        <f aca="false">IF(VALUE(RIGHT(Raw_Nigeria!E959,2))&gt;12,"",VALUE(RIGHT(Raw_Nigeria!E959,2)))</f>
        <v>5</v>
      </c>
      <c r="H959" s="7" t="n">
        <f aca="false">Raw_Nigeria!F959</f>
        <v>2021</v>
      </c>
      <c r="I959" s="7" t="str">
        <f aca="false">UPPER(TRIM(Raw_Nigeria!G959))</f>
        <v>HIB3</v>
      </c>
      <c r="J959" s="7" t="str">
        <f aca="false">Raw_Nigeria!H959</f>
        <v>Record</v>
      </c>
      <c r="K959" s="7" t="str">
        <f aca="false">Raw_Nigeria!L959</f>
        <v>24-35 m</v>
      </c>
      <c r="L959" s="7" t="str">
        <f aca="false">IF(Raw_Nigeria!K959="","n/a",Raw_Nigeria!K959)</f>
        <v>0-35 m</v>
      </c>
      <c r="M959" s="7" t="n">
        <f aca="false">IF(Raw_Nigeria!I959="","",Raw_Nigeria!I959)</f>
        <v>34.4</v>
      </c>
      <c r="N959" s="7" t="n">
        <f aca="false">Raw_Nigeria!M959</f>
        <v>27.6</v>
      </c>
      <c r="O959" s="7" t="n">
        <f aca="false">IF(Raw_Nigeria!N959="","",Raw_Nigeria!N959)</f>
        <v>1608</v>
      </c>
      <c r="P959" s="7" t="str">
        <f aca="false">IF(K959="CBAW","Women of child-bearing age","Children")</f>
        <v>Children</v>
      </c>
      <c r="Q959" s="7" t="n">
        <f aca="false">IF(J959="NOT USED",1,0)</f>
        <v>0</v>
      </c>
      <c r="R959" s="7" t="n">
        <f aca="false">IF(AND(P959="Children",Q959=0),1,0)</f>
        <v>1</v>
      </c>
      <c r="S959" s="7" t="n">
        <f aca="false">IF(AND(R959=1,J959="Record or Recall",K959="12-23 m"),1,0)</f>
        <v>0</v>
      </c>
      <c r="T959" s="7" t="n">
        <f aca="false">IF(OR(I959="BCG",I959="DTP1",I959="DTP3",I959="POL3",I959="MCV1",I959="FULL"),1,0)</f>
        <v>0</v>
      </c>
      <c r="U959" s="7" t="n">
        <f aca="false">IF(OR(C959="DHS",C959="MICS"),1,0)</f>
        <v>1</v>
      </c>
      <c r="V959" s="7" t="n">
        <f aca="false">IF(O959="",1,0)</f>
        <v>0</v>
      </c>
      <c r="W959" s="7" t="n">
        <f aca="false">IF(M959="",1,0)</f>
        <v>0</v>
      </c>
      <c r="X959" s="7" t="n">
        <f aca="false">COUNTIFS($B$2:$B$1141,B959,$H$2:$H$1141,H959,$I$2:$I$1141,I959,$J$2:$J$1141,J959,$K$2:$K$1141,K959,$L$2:$L$1141,L959)</f>
        <v>1</v>
      </c>
    </row>
    <row r="960" customFormat="false" ht="15" hidden="false" customHeight="false" outlineLevel="0" collapsed="false">
      <c r="A960" s="7" t="n">
        <f aca="false">ROW()-1</f>
        <v>959</v>
      </c>
      <c r="B960" s="7" t="str">
        <f aca="false">IF(Raw_Nigeria!B960="",TRIM(Raw_Nigeria!C960),TRIM(Raw_Nigeria!B960))</f>
        <v>Nigeria Demographic and Health Survey 2024</v>
      </c>
      <c r="C960" s="7" t="str">
        <f aca="false">IF(ISNUMBER(SEARCH("Demographic and Health",B960)),"DHS",IF(OR(ISNUMBER(SEARCH("Multiple Indicator Cluster",B960)),ISNUMBER(SEARCH("MICS",B960))),"MICS",IF(ISNUMBER(SEARCH("Immunization Coverage Survey",B960)),"Coverage survey",IF(ISNUMBER(SEARCH("Nutrition",B960)),"Nutrition survey","Other"))))</f>
        <v>DHS</v>
      </c>
      <c r="D960" s="7" t="n">
        <f aca="false">VALUE(LEFT(Raw_Nigeria!D960,4))</f>
        <v>2023</v>
      </c>
      <c r="E960" s="7" t="n">
        <f aca="false">IF(VALUE(RIGHT(Raw_Nigeria!D960,2))&gt;12,"",VALUE(RIGHT(Raw_Nigeria!D960,2)))</f>
        <v>12</v>
      </c>
      <c r="F960" s="7" t="n">
        <f aca="false">VALUE(LEFT(Raw_Nigeria!E960,4))</f>
        <v>2024</v>
      </c>
      <c r="G960" s="7" t="n">
        <f aca="false">IF(VALUE(RIGHT(Raw_Nigeria!E960,2))&gt;12,"",VALUE(RIGHT(Raw_Nigeria!E960,2)))</f>
        <v>5</v>
      </c>
      <c r="H960" s="7" t="n">
        <f aca="false">Raw_Nigeria!F960</f>
        <v>2021</v>
      </c>
      <c r="I960" s="7" t="str">
        <f aca="false">UPPER(TRIM(Raw_Nigeria!G960))</f>
        <v>HIB3</v>
      </c>
      <c r="J960" s="7" t="str">
        <f aca="false">Raw_Nigeria!H960</f>
        <v>Record or Recall</v>
      </c>
      <c r="K960" s="7" t="str">
        <f aca="false">Raw_Nigeria!L960</f>
        <v>24-35 m</v>
      </c>
      <c r="L960" s="7" t="str">
        <f aca="false">IF(Raw_Nigeria!K960="","n/a",Raw_Nigeria!K960)</f>
        <v>0-35 m</v>
      </c>
      <c r="M960" s="7" t="n">
        <f aca="false">IF(Raw_Nigeria!I960="","",Raw_Nigeria!I960)</f>
        <v>34.4</v>
      </c>
      <c r="N960" s="7" t="n">
        <f aca="false">Raw_Nigeria!M960</f>
        <v>45.7</v>
      </c>
      <c r="O960" s="7" t="n">
        <f aca="false">IF(Raw_Nigeria!N960="","",Raw_Nigeria!N960)</f>
        <v>4680</v>
      </c>
      <c r="P960" s="7" t="str">
        <f aca="false">IF(K960="CBAW","Women of child-bearing age","Children")</f>
        <v>Children</v>
      </c>
      <c r="Q960" s="7" t="n">
        <f aca="false">IF(J960="NOT USED",1,0)</f>
        <v>0</v>
      </c>
      <c r="R960" s="7" t="n">
        <f aca="false">IF(AND(P960="Children",Q960=0),1,0)</f>
        <v>1</v>
      </c>
      <c r="S960" s="7" t="n">
        <f aca="false">IF(AND(R960=1,J960="Record or Recall",K960="12-23 m"),1,0)</f>
        <v>0</v>
      </c>
      <c r="T960" s="7" t="n">
        <f aca="false">IF(OR(I960="BCG",I960="DTP1",I960="DTP3",I960="POL3",I960="MCV1",I960="FULL"),1,0)</f>
        <v>0</v>
      </c>
      <c r="U960" s="7" t="n">
        <f aca="false">IF(OR(C960="DHS",C960="MICS"),1,0)</f>
        <v>1</v>
      </c>
      <c r="V960" s="7" t="n">
        <f aca="false">IF(O960="",1,0)</f>
        <v>0</v>
      </c>
      <c r="W960" s="7" t="n">
        <f aca="false">IF(M960="",1,0)</f>
        <v>0</v>
      </c>
      <c r="X960" s="7" t="n">
        <f aca="false">COUNTIFS($B$2:$B$1141,B960,$H$2:$H$1141,H960,$I$2:$I$1141,I960,$J$2:$J$1141,J960,$K$2:$K$1141,K960,$L$2:$L$1141,L960)</f>
        <v>1</v>
      </c>
    </row>
    <row r="961" customFormat="false" ht="15" hidden="false" customHeight="false" outlineLevel="0" collapsed="false">
      <c r="A961" s="7" t="n">
        <f aca="false">ROW()-1</f>
        <v>960</v>
      </c>
      <c r="B961" s="7" t="str">
        <f aca="false">IF(Raw_Nigeria!B961="",TRIM(Raw_Nigeria!C961),TRIM(Raw_Nigeria!B961))</f>
        <v>Nigeria Demographic and Health Survey 2024</v>
      </c>
      <c r="C961" s="7" t="str">
        <f aca="false">IF(ISNUMBER(SEARCH("Demographic and Health",B961)),"DHS",IF(OR(ISNUMBER(SEARCH("Multiple Indicator Cluster",B961)),ISNUMBER(SEARCH("MICS",B961))),"MICS",IF(ISNUMBER(SEARCH("Immunization Coverage Survey",B961)),"Coverage survey",IF(ISNUMBER(SEARCH("Nutrition",B961)),"Nutrition survey","Other"))))</f>
        <v>DHS</v>
      </c>
      <c r="D961" s="7" t="n">
        <f aca="false">VALUE(LEFT(Raw_Nigeria!D961,4))</f>
        <v>2023</v>
      </c>
      <c r="E961" s="7" t="n">
        <f aca="false">IF(VALUE(RIGHT(Raw_Nigeria!D961,2))&gt;12,"",VALUE(RIGHT(Raw_Nigeria!D961,2)))</f>
        <v>12</v>
      </c>
      <c r="F961" s="7" t="n">
        <f aca="false">VALUE(LEFT(Raw_Nigeria!E961,4))</f>
        <v>2024</v>
      </c>
      <c r="G961" s="7" t="n">
        <f aca="false">IF(VALUE(RIGHT(Raw_Nigeria!E961,2))&gt;12,"",VALUE(RIGHT(Raw_Nigeria!E961,2)))</f>
        <v>5</v>
      </c>
      <c r="H961" s="7" t="n">
        <f aca="false">Raw_Nigeria!F961</f>
        <v>2021</v>
      </c>
      <c r="I961" s="7" t="str">
        <f aca="false">UPPER(TRIM(Raw_Nigeria!G961))</f>
        <v>HIB3</v>
      </c>
      <c r="J961" s="7" t="str">
        <f aca="false">Raw_Nigeria!H961</f>
        <v>Record or Recall&lt;12m</v>
      </c>
      <c r="K961" s="7" t="str">
        <f aca="false">Raw_Nigeria!L961</f>
        <v>24-35 m</v>
      </c>
      <c r="L961" s="7" t="str">
        <f aca="false">IF(Raw_Nigeria!K961="","n/a",Raw_Nigeria!K961)</f>
        <v>0-12 m</v>
      </c>
      <c r="M961" s="7" t="n">
        <f aca="false">IF(Raw_Nigeria!I961="","",Raw_Nigeria!I961)</f>
        <v>34.4</v>
      </c>
      <c r="N961" s="7" t="n">
        <f aca="false">Raw_Nigeria!M961</f>
        <v>42.9</v>
      </c>
      <c r="O961" s="7" t="n">
        <f aca="false">IF(Raw_Nigeria!N961="","",Raw_Nigeria!N961)</f>
        <v>4680</v>
      </c>
      <c r="P961" s="7" t="str">
        <f aca="false">IF(K961="CBAW","Women of child-bearing age","Children")</f>
        <v>Children</v>
      </c>
      <c r="Q961" s="7" t="n">
        <f aca="false">IF(J961="NOT USED",1,0)</f>
        <v>0</v>
      </c>
      <c r="R961" s="7" t="n">
        <f aca="false">IF(AND(P961="Children",Q961=0),1,0)</f>
        <v>1</v>
      </c>
      <c r="S961" s="7" t="n">
        <f aca="false">IF(AND(R961=1,J961="Record or Recall",K961="12-23 m"),1,0)</f>
        <v>0</v>
      </c>
      <c r="T961" s="7" t="n">
        <f aca="false">IF(OR(I961="BCG",I961="DTP1",I961="DTP3",I961="POL3",I961="MCV1",I961="FULL"),1,0)</f>
        <v>0</v>
      </c>
      <c r="U961" s="7" t="n">
        <f aca="false">IF(OR(C961="DHS",C961="MICS"),1,0)</f>
        <v>1</v>
      </c>
      <c r="V961" s="7" t="n">
        <f aca="false">IF(O961="",1,0)</f>
        <v>0</v>
      </c>
      <c r="W961" s="7" t="n">
        <f aca="false">IF(M961="",1,0)</f>
        <v>0</v>
      </c>
      <c r="X961" s="7" t="n">
        <f aca="false">COUNTIFS($B$2:$B$1141,B961,$H$2:$H$1141,H961,$I$2:$I$1141,I961,$J$2:$J$1141,J961,$K$2:$K$1141,K961,$L$2:$L$1141,L961)</f>
        <v>1</v>
      </c>
    </row>
    <row r="962" customFormat="false" ht="15" hidden="false" customHeight="false" outlineLevel="0" collapsed="false">
      <c r="A962" s="7" t="n">
        <f aca="false">ROW()-1</f>
        <v>961</v>
      </c>
      <c r="B962" s="7" t="str">
        <f aca="false">IF(Raw_Nigeria!B962="",TRIM(Raw_Nigeria!C962),TRIM(Raw_Nigeria!B962))</f>
        <v>Nigeria Demographic and Health Survey 2024</v>
      </c>
      <c r="C962" s="7" t="str">
        <f aca="false">IF(ISNUMBER(SEARCH("Demographic and Health",B962)),"DHS",IF(OR(ISNUMBER(SEARCH("Multiple Indicator Cluster",B962)),ISNUMBER(SEARCH("MICS",B962))),"MICS",IF(ISNUMBER(SEARCH("Immunization Coverage Survey",B962)),"Coverage survey",IF(ISNUMBER(SEARCH("Nutrition",B962)),"Nutrition survey","Other"))))</f>
        <v>DHS</v>
      </c>
      <c r="D962" s="7" t="n">
        <f aca="false">VALUE(LEFT(Raw_Nigeria!D962,4))</f>
        <v>2023</v>
      </c>
      <c r="E962" s="7" t="n">
        <f aca="false">IF(VALUE(RIGHT(Raw_Nigeria!D962,2))&gt;12,"",VALUE(RIGHT(Raw_Nigeria!D962,2)))</f>
        <v>12</v>
      </c>
      <c r="F962" s="7" t="n">
        <f aca="false">VALUE(LEFT(Raw_Nigeria!E962,4))</f>
        <v>2024</v>
      </c>
      <c r="G962" s="7" t="n">
        <f aca="false">IF(VALUE(RIGHT(Raw_Nigeria!E962,2))&gt;12,"",VALUE(RIGHT(Raw_Nigeria!E962,2)))</f>
        <v>5</v>
      </c>
      <c r="H962" s="7" t="n">
        <f aca="false">Raw_Nigeria!F962</f>
        <v>2021</v>
      </c>
      <c r="I962" s="7" t="str">
        <f aca="false">UPPER(TRIM(Raw_Nigeria!G962))</f>
        <v>IPV1</v>
      </c>
      <c r="J962" s="7" t="str">
        <f aca="false">Raw_Nigeria!H962</f>
        <v>Recall</v>
      </c>
      <c r="K962" s="7" t="str">
        <f aca="false">Raw_Nigeria!L962</f>
        <v>24-35 m</v>
      </c>
      <c r="L962" s="7" t="str">
        <f aca="false">IF(Raw_Nigeria!K962="","n/a",Raw_Nigeria!K962)</f>
        <v>0-35 m</v>
      </c>
      <c r="M962" s="7" t="n">
        <f aca="false">IF(Raw_Nigeria!I962="","",Raw_Nigeria!I962)</f>
        <v>34.4</v>
      </c>
      <c r="N962" s="7" t="n">
        <f aca="false">Raw_Nigeria!M962</f>
        <v>23.9</v>
      </c>
      <c r="O962" s="7" t="n">
        <f aca="false">IF(Raw_Nigeria!N962="","",Raw_Nigeria!N962)</f>
        <v>3072</v>
      </c>
      <c r="P962" s="7" t="str">
        <f aca="false">IF(K962="CBAW","Women of child-bearing age","Children")</f>
        <v>Children</v>
      </c>
      <c r="Q962" s="7" t="n">
        <f aca="false">IF(J962="NOT USED",1,0)</f>
        <v>0</v>
      </c>
      <c r="R962" s="7" t="n">
        <f aca="false">IF(AND(P962="Children",Q962=0),1,0)</f>
        <v>1</v>
      </c>
      <c r="S962" s="7" t="n">
        <f aca="false">IF(AND(R962=1,J962="Record or Recall",K962="12-23 m"),1,0)</f>
        <v>0</v>
      </c>
      <c r="T962" s="7" t="n">
        <f aca="false">IF(OR(I962="BCG",I962="DTP1",I962="DTP3",I962="POL3",I962="MCV1",I962="FULL"),1,0)</f>
        <v>0</v>
      </c>
      <c r="U962" s="7" t="n">
        <f aca="false">IF(OR(C962="DHS",C962="MICS"),1,0)</f>
        <v>1</v>
      </c>
      <c r="V962" s="7" t="n">
        <f aca="false">IF(O962="",1,0)</f>
        <v>0</v>
      </c>
      <c r="W962" s="7" t="n">
        <f aca="false">IF(M962="",1,0)</f>
        <v>0</v>
      </c>
      <c r="X962" s="7" t="n">
        <f aca="false">COUNTIFS($B$2:$B$1141,B962,$H$2:$H$1141,H962,$I$2:$I$1141,I962,$J$2:$J$1141,J962,$K$2:$K$1141,K962,$L$2:$L$1141,L962)</f>
        <v>1</v>
      </c>
    </row>
    <row r="963" customFormat="false" ht="15" hidden="false" customHeight="false" outlineLevel="0" collapsed="false">
      <c r="A963" s="7" t="n">
        <f aca="false">ROW()-1</f>
        <v>962</v>
      </c>
      <c r="B963" s="7" t="str">
        <f aca="false">IF(Raw_Nigeria!B963="",TRIM(Raw_Nigeria!C963),TRIM(Raw_Nigeria!B963))</f>
        <v>Nigeria Demographic and Health Survey 2024</v>
      </c>
      <c r="C963" s="7" t="str">
        <f aca="false">IF(ISNUMBER(SEARCH("Demographic and Health",B963)),"DHS",IF(OR(ISNUMBER(SEARCH("Multiple Indicator Cluster",B963)),ISNUMBER(SEARCH("MICS",B963))),"MICS",IF(ISNUMBER(SEARCH("Immunization Coverage Survey",B963)),"Coverage survey",IF(ISNUMBER(SEARCH("Nutrition",B963)),"Nutrition survey","Other"))))</f>
        <v>DHS</v>
      </c>
      <c r="D963" s="7" t="n">
        <f aca="false">VALUE(LEFT(Raw_Nigeria!D963,4))</f>
        <v>2023</v>
      </c>
      <c r="E963" s="7" t="n">
        <f aca="false">IF(VALUE(RIGHT(Raw_Nigeria!D963,2))&gt;12,"",VALUE(RIGHT(Raw_Nigeria!D963,2)))</f>
        <v>12</v>
      </c>
      <c r="F963" s="7" t="n">
        <f aca="false">VALUE(LEFT(Raw_Nigeria!E963,4))</f>
        <v>2024</v>
      </c>
      <c r="G963" s="7" t="n">
        <f aca="false">IF(VALUE(RIGHT(Raw_Nigeria!E963,2))&gt;12,"",VALUE(RIGHT(Raw_Nigeria!E963,2)))</f>
        <v>5</v>
      </c>
      <c r="H963" s="7" t="n">
        <f aca="false">Raw_Nigeria!F963</f>
        <v>2021</v>
      </c>
      <c r="I963" s="7" t="str">
        <f aca="false">UPPER(TRIM(Raw_Nigeria!G963))</f>
        <v>IPV1</v>
      </c>
      <c r="J963" s="7" t="str">
        <f aca="false">Raw_Nigeria!H963</f>
        <v>Record</v>
      </c>
      <c r="K963" s="7" t="str">
        <f aca="false">Raw_Nigeria!L963</f>
        <v>24-35 m</v>
      </c>
      <c r="L963" s="7" t="str">
        <f aca="false">IF(Raw_Nigeria!K963="","n/a",Raw_Nigeria!K963)</f>
        <v>0-35 m</v>
      </c>
      <c r="M963" s="7" t="n">
        <f aca="false">IF(Raw_Nigeria!I963="","",Raw_Nigeria!I963)</f>
        <v>34.4</v>
      </c>
      <c r="N963" s="7" t="n">
        <f aca="false">Raw_Nigeria!M963</f>
        <v>27.1</v>
      </c>
      <c r="O963" s="7" t="n">
        <f aca="false">IF(Raw_Nigeria!N963="","",Raw_Nigeria!N963)</f>
        <v>1608</v>
      </c>
      <c r="P963" s="7" t="str">
        <f aca="false">IF(K963="CBAW","Women of child-bearing age","Children")</f>
        <v>Children</v>
      </c>
      <c r="Q963" s="7" t="n">
        <f aca="false">IF(J963="NOT USED",1,0)</f>
        <v>0</v>
      </c>
      <c r="R963" s="7" t="n">
        <f aca="false">IF(AND(P963="Children",Q963=0),1,0)</f>
        <v>1</v>
      </c>
      <c r="S963" s="7" t="n">
        <f aca="false">IF(AND(R963=1,J963="Record or Recall",K963="12-23 m"),1,0)</f>
        <v>0</v>
      </c>
      <c r="T963" s="7" t="n">
        <f aca="false">IF(OR(I963="BCG",I963="DTP1",I963="DTP3",I963="POL3",I963="MCV1",I963="FULL"),1,0)</f>
        <v>0</v>
      </c>
      <c r="U963" s="7" t="n">
        <f aca="false">IF(OR(C963="DHS",C963="MICS"),1,0)</f>
        <v>1</v>
      </c>
      <c r="V963" s="7" t="n">
        <f aca="false">IF(O963="",1,0)</f>
        <v>0</v>
      </c>
      <c r="W963" s="7" t="n">
        <f aca="false">IF(M963="",1,0)</f>
        <v>0</v>
      </c>
      <c r="X963" s="7" t="n">
        <f aca="false">COUNTIFS($B$2:$B$1141,B963,$H$2:$H$1141,H963,$I$2:$I$1141,I963,$J$2:$J$1141,J963,$K$2:$K$1141,K963,$L$2:$L$1141,L963)</f>
        <v>1</v>
      </c>
    </row>
    <row r="964" customFormat="false" ht="15" hidden="false" customHeight="false" outlineLevel="0" collapsed="false">
      <c r="A964" s="7" t="n">
        <f aca="false">ROW()-1</f>
        <v>963</v>
      </c>
      <c r="B964" s="7" t="str">
        <f aca="false">IF(Raw_Nigeria!B964="",TRIM(Raw_Nigeria!C964),TRIM(Raw_Nigeria!B964))</f>
        <v>Nigeria Demographic and Health Survey 2024</v>
      </c>
      <c r="C964" s="7" t="str">
        <f aca="false">IF(ISNUMBER(SEARCH("Demographic and Health",B964)),"DHS",IF(OR(ISNUMBER(SEARCH("Multiple Indicator Cluster",B964)),ISNUMBER(SEARCH("MICS",B964))),"MICS",IF(ISNUMBER(SEARCH("Immunization Coverage Survey",B964)),"Coverage survey",IF(ISNUMBER(SEARCH("Nutrition",B964)),"Nutrition survey","Other"))))</f>
        <v>DHS</v>
      </c>
      <c r="D964" s="7" t="n">
        <f aca="false">VALUE(LEFT(Raw_Nigeria!D964,4))</f>
        <v>2023</v>
      </c>
      <c r="E964" s="7" t="n">
        <f aca="false">IF(VALUE(RIGHT(Raw_Nigeria!D964,2))&gt;12,"",VALUE(RIGHT(Raw_Nigeria!D964,2)))</f>
        <v>12</v>
      </c>
      <c r="F964" s="7" t="n">
        <f aca="false">VALUE(LEFT(Raw_Nigeria!E964,4))</f>
        <v>2024</v>
      </c>
      <c r="G964" s="7" t="n">
        <f aca="false">IF(VALUE(RIGHT(Raw_Nigeria!E964,2))&gt;12,"",VALUE(RIGHT(Raw_Nigeria!E964,2)))</f>
        <v>5</v>
      </c>
      <c r="H964" s="7" t="n">
        <f aca="false">Raw_Nigeria!F964</f>
        <v>2021</v>
      </c>
      <c r="I964" s="7" t="str">
        <f aca="false">UPPER(TRIM(Raw_Nigeria!G964))</f>
        <v>IPV1</v>
      </c>
      <c r="J964" s="7" t="str">
        <f aca="false">Raw_Nigeria!H964</f>
        <v>Record or Recall</v>
      </c>
      <c r="K964" s="7" t="str">
        <f aca="false">Raw_Nigeria!L964</f>
        <v>24-35 m</v>
      </c>
      <c r="L964" s="7" t="str">
        <f aca="false">IF(Raw_Nigeria!K964="","n/a",Raw_Nigeria!K964)</f>
        <v>0-35 m</v>
      </c>
      <c r="M964" s="7" t="n">
        <f aca="false">IF(Raw_Nigeria!I964="","",Raw_Nigeria!I964)</f>
        <v>34.4</v>
      </c>
      <c r="N964" s="7" t="n">
        <f aca="false">Raw_Nigeria!M964</f>
        <v>51</v>
      </c>
      <c r="O964" s="7" t="n">
        <f aca="false">IF(Raw_Nigeria!N964="","",Raw_Nigeria!N964)</f>
        <v>4680</v>
      </c>
      <c r="P964" s="7" t="str">
        <f aca="false">IF(K964="CBAW","Women of child-bearing age","Children")</f>
        <v>Children</v>
      </c>
      <c r="Q964" s="7" t="n">
        <f aca="false">IF(J964="NOT USED",1,0)</f>
        <v>0</v>
      </c>
      <c r="R964" s="7" t="n">
        <f aca="false">IF(AND(P964="Children",Q964=0),1,0)</f>
        <v>1</v>
      </c>
      <c r="S964" s="7" t="n">
        <f aca="false">IF(AND(R964=1,J964="Record or Recall",K964="12-23 m"),1,0)</f>
        <v>0</v>
      </c>
      <c r="T964" s="7" t="n">
        <f aca="false">IF(OR(I964="BCG",I964="DTP1",I964="DTP3",I964="POL3",I964="MCV1",I964="FULL"),1,0)</f>
        <v>0</v>
      </c>
      <c r="U964" s="7" t="n">
        <f aca="false">IF(OR(C964="DHS",C964="MICS"),1,0)</f>
        <v>1</v>
      </c>
      <c r="V964" s="7" t="n">
        <f aca="false">IF(O964="",1,0)</f>
        <v>0</v>
      </c>
      <c r="W964" s="7" t="n">
        <f aca="false">IF(M964="",1,0)</f>
        <v>0</v>
      </c>
      <c r="X964" s="7" t="n">
        <f aca="false">COUNTIFS($B$2:$B$1141,B964,$H$2:$H$1141,H964,$I$2:$I$1141,I964,$J$2:$J$1141,J964,$K$2:$K$1141,K964,$L$2:$L$1141,L964)</f>
        <v>1</v>
      </c>
    </row>
    <row r="965" customFormat="false" ht="15" hidden="false" customHeight="false" outlineLevel="0" collapsed="false">
      <c r="A965" s="7" t="n">
        <f aca="false">ROW()-1</f>
        <v>964</v>
      </c>
      <c r="B965" s="7" t="str">
        <f aca="false">IF(Raw_Nigeria!B965="",TRIM(Raw_Nigeria!C965),TRIM(Raw_Nigeria!B965))</f>
        <v>Nigeria Demographic and Health Survey 2024</v>
      </c>
      <c r="C965" s="7" t="str">
        <f aca="false">IF(ISNUMBER(SEARCH("Demographic and Health",B965)),"DHS",IF(OR(ISNUMBER(SEARCH("Multiple Indicator Cluster",B965)),ISNUMBER(SEARCH("MICS",B965))),"MICS",IF(ISNUMBER(SEARCH("Immunization Coverage Survey",B965)),"Coverage survey",IF(ISNUMBER(SEARCH("Nutrition",B965)),"Nutrition survey","Other"))))</f>
        <v>DHS</v>
      </c>
      <c r="D965" s="7" t="n">
        <f aca="false">VALUE(LEFT(Raw_Nigeria!D965,4))</f>
        <v>2023</v>
      </c>
      <c r="E965" s="7" t="n">
        <f aca="false">IF(VALUE(RIGHT(Raw_Nigeria!D965,2))&gt;12,"",VALUE(RIGHT(Raw_Nigeria!D965,2)))</f>
        <v>12</v>
      </c>
      <c r="F965" s="7" t="n">
        <f aca="false">VALUE(LEFT(Raw_Nigeria!E965,4))</f>
        <v>2024</v>
      </c>
      <c r="G965" s="7" t="n">
        <f aca="false">IF(VALUE(RIGHT(Raw_Nigeria!E965,2))&gt;12,"",VALUE(RIGHT(Raw_Nigeria!E965,2)))</f>
        <v>5</v>
      </c>
      <c r="H965" s="7" t="n">
        <f aca="false">Raw_Nigeria!F965</f>
        <v>2021</v>
      </c>
      <c r="I965" s="7" t="str">
        <f aca="false">UPPER(TRIM(Raw_Nigeria!G965))</f>
        <v>IPV1</v>
      </c>
      <c r="J965" s="7" t="str">
        <f aca="false">Raw_Nigeria!H965</f>
        <v>Record or Recall&lt;12m</v>
      </c>
      <c r="K965" s="7" t="str">
        <f aca="false">Raw_Nigeria!L965</f>
        <v>24-35 m</v>
      </c>
      <c r="L965" s="7" t="str">
        <f aca="false">IF(Raw_Nigeria!K965="","n/a",Raw_Nigeria!K965)</f>
        <v>0-12 m</v>
      </c>
      <c r="M965" s="7" t="n">
        <f aca="false">IF(Raw_Nigeria!I965="","",Raw_Nigeria!I965)</f>
        <v>34.4</v>
      </c>
      <c r="N965" s="7" t="n">
        <f aca="false">Raw_Nigeria!M965</f>
        <v>49.3</v>
      </c>
      <c r="O965" s="7" t="n">
        <f aca="false">IF(Raw_Nigeria!N965="","",Raw_Nigeria!N965)</f>
        <v>4680</v>
      </c>
      <c r="P965" s="7" t="str">
        <f aca="false">IF(K965="CBAW","Women of child-bearing age","Children")</f>
        <v>Children</v>
      </c>
      <c r="Q965" s="7" t="n">
        <f aca="false">IF(J965="NOT USED",1,0)</f>
        <v>0</v>
      </c>
      <c r="R965" s="7" t="n">
        <f aca="false">IF(AND(P965="Children",Q965=0),1,0)</f>
        <v>1</v>
      </c>
      <c r="S965" s="7" t="n">
        <f aca="false">IF(AND(R965=1,J965="Record or Recall",K965="12-23 m"),1,0)</f>
        <v>0</v>
      </c>
      <c r="T965" s="7" t="n">
        <f aca="false">IF(OR(I965="BCG",I965="DTP1",I965="DTP3",I965="POL3",I965="MCV1",I965="FULL"),1,0)</f>
        <v>0</v>
      </c>
      <c r="U965" s="7" t="n">
        <f aca="false">IF(OR(C965="DHS",C965="MICS"),1,0)</f>
        <v>1</v>
      </c>
      <c r="V965" s="7" t="n">
        <f aca="false">IF(O965="",1,0)</f>
        <v>0</v>
      </c>
      <c r="W965" s="7" t="n">
        <f aca="false">IF(M965="",1,0)</f>
        <v>0</v>
      </c>
      <c r="X965" s="7" t="n">
        <f aca="false">COUNTIFS($B$2:$B$1141,B965,$H$2:$H$1141,H965,$I$2:$I$1141,I965,$J$2:$J$1141,J965,$K$2:$K$1141,K965,$L$2:$L$1141,L965)</f>
        <v>1</v>
      </c>
    </row>
    <row r="966" customFormat="false" ht="15" hidden="false" customHeight="false" outlineLevel="0" collapsed="false">
      <c r="A966" s="7" t="n">
        <f aca="false">ROW()-1</f>
        <v>965</v>
      </c>
      <c r="B966" s="7" t="str">
        <f aca="false">IF(Raw_Nigeria!B966="",TRIM(Raw_Nigeria!C966),TRIM(Raw_Nigeria!B966))</f>
        <v>Nigeria Demographic and Health Survey 2024</v>
      </c>
      <c r="C966" s="7" t="str">
        <f aca="false">IF(ISNUMBER(SEARCH("Demographic and Health",B966)),"DHS",IF(OR(ISNUMBER(SEARCH("Multiple Indicator Cluster",B966)),ISNUMBER(SEARCH("MICS",B966))),"MICS",IF(ISNUMBER(SEARCH("Immunization Coverage Survey",B966)),"Coverage survey",IF(ISNUMBER(SEARCH("Nutrition",B966)),"Nutrition survey","Other"))))</f>
        <v>DHS</v>
      </c>
      <c r="D966" s="7" t="n">
        <f aca="false">VALUE(LEFT(Raw_Nigeria!D966,4))</f>
        <v>2023</v>
      </c>
      <c r="E966" s="7" t="n">
        <f aca="false">IF(VALUE(RIGHT(Raw_Nigeria!D966,2))&gt;12,"",VALUE(RIGHT(Raw_Nigeria!D966,2)))</f>
        <v>12</v>
      </c>
      <c r="F966" s="7" t="n">
        <f aca="false">VALUE(LEFT(Raw_Nigeria!E966,4))</f>
        <v>2024</v>
      </c>
      <c r="G966" s="7" t="n">
        <f aca="false">IF(VALUE(RIGHT(Raw_Nigeria!E966,2))&gt;12,"",VALUE(RIGHT(Raw_Nigeria!E966,2)))</f>
        <v>5</v>
      </c>
      <c r="H966" s="7" t="n">
        <f aca="false">Raw_Nigeria!F966</f>
        <v>2021</v>
      </c>
      <c r="I966" s="7" t="str">
        <f aca="false">UPPER(TRIM(Raw_Nigeria!G966))</f>
        <v>IPVC</v>
      </c>
      <c r="J966" s="7" t="str">
        <f aca="false">Raw_Nigeria!H966</f>
        <v>Recall</v>
      </c>
      <c r="K966" s="7" t="str">
        <f aca="false">Raw_Nigeria!L966</f>
        <v>24-35 m</v>
      </c>
      <c r="L966" s="7" t="str">
        <f aca="false">IF(Raw_Nigeria!K966="","n/a",Raw_Nigeria!K966)</f>
        <v>0-35 m</v>
      </c>
      <c r="M966" s="7" t="n">
        <f aca="false">IF(Raw_Nigeria!I966="","",Raw_Nigeria!I966)</f>
        <v>34.4</v>
      </c>
      <c r="N966" s="7" t="n">
        <f aca="false">Raw_Nigeria!M966</f>
        <v>17.4</v>
      </c>
      <c r="O966" s="7" t="n">
        <f aca="false">IF(Raw_Nigeria!N966="","",Raw_Nigeria!N966)</f>
        <v>3072</v>
      </c>
      <c r="P966" s="7" t="str">
        <f aca="false">IF(K966="CBAW","Women of child-bearing age","Children")</f>
        <v>Children</v>
      </c>
      <c r="Q966" s="7" t="n">
        <f aca="false">IF(J966="NOT USED",1,0)</f>
        <v>0</v>
      </c>
      <c r="R966" s="7" t="n">
        <f aca="false">IF(AND(P966="Children",Q966=0),1,0)</f>
        <v>1</v>
      </c>
      <c r="S966" s="7" t="n">
        <f aca="false">IF(AND(R966=1,J966="Record or Recall",K966="12-23 m"),1,0)</f>
        <v>0</v>
      </c>
      <c r="T966" s="7" t="n">
        <f aca="false">IF(OR(I966="BCG",I966="DTP1",I966="DTP3",I966="POL3",I966="MCV1",I966="FULL"),1,0)</f>
        <v>0</v>
      </c>
      <c r="U966" s="7" t="n">
        <f aca="false">IF(OR(C966="DHS",C966="MICS"),1,0)</f>
        <v>1</v>
      </c>
      <c r="V966" s="7" t="n">
        <f aca="false">IF(O966="",1,0)</f>
        <v>0</v>
      </c>
      <c r="W966" s="7" t="n">
        <f aca="false">IF(M966="",1,0)</f>
        <v>0</v>
      </c>
      <c r="X966" s="7" t="n">
        <f aca="false">COUNTIFS($B$2:$B$1141,B966,$H$2:$H$1141,H966,$I$2:$I$1141,I966,$J$2:$J$1141,J966,$K$2:$K$1141,K966,$L$2:$L$1141,L966)</f>
        <v>1</v>
      </c>
    </row>
    <row r="967" customFormat="false" ht="15" hidden="false" customHeight="false" outlineLevel="0" collapsed="false">
      <c r="A967" s="7" t="n">
        <f aca="false">ROW()-1</f>
        <v>966</v>
      </c>
      <c r="B967" s="7" t="str">
        <f aca="false">IF(Raw_Nigeria!B967="",TRIM(Raw_Nigeria!C967),TRIM(Raw_Nigeria!B967))</f>
        <v>Nigeria Demographic and Health Survey 2024</v>
      </c>
      <c r="C967" s="7" t="str">
        <f aca="false">IF(ISNUMBER(SEARCH("Demographic and Health",B967)),"DHS",IF(OR(ISNUMBER(SEARCH("Multiple Indicator Cluster",B967)),ISNUMBER(SEARCH("MICS",B967))),"MICS",IF(ISNUMBER(SEARCH("Immunization Coverage Survey",B967)),"Coverage survey",IF(ISNUMBER(SEARCH("Nutrition",B967)),"Nutrition survey","Other"))))</f>
        <v>DHS</v>
      </c>
      <c r="D967" s="7" t="n">
        <f aca="false">VALUE(LEFT(Raw_Nigeria!D967,4))</f>
        <v>2023</v>
      </c>
      <c r="E967" s="7" t="n">
        <f aca="false">IF(VALUE(RIGHT(Raw_Nigeria!D967,2))&gt;12,"",VALUE(RIGHT(Raw_Nigeria!D967,2)))</f>
        <v>12</v>
      </c>
      <c r="F967" s="7" t="n">
        <f aca="false">VALUE(LEFT(Raw_Nigeria!E967,4))</f>
        <v>2024</v>
      </c>
      <c r="G967" s="7" t="n">
        <f aca="false">IF(VALUE(RIGHT(Raw_Nigeria!E967,2))&gt;12,"",VALUE(RIGHT(Raw_Nigeria!E967,2)))</f>
        <v>5</v>
      </c>
      <c r="H967" s="7" t="n">
        <f aca="false">Raw_Nigeria!F967</f>
        <v>2021</v>
      </c>
      <c r="I967" s="7" t="str">
        <f aca="false">UPPER(TRIM(Raw_Nigeria!G967))</f>
        <v>IPVC</v>
      </c>
      <c r="J967" s="7" t="str">
        <f aca="false">Raw_Nigeria!H967</f>
        <v>Record</v>
      </c>
      <c r="K967" s="7" t="str">
        <f aca="false">Raw_Nigeria!L967</f>
        <v>24-35 m</v>
      </c>
      <c r="L967" s="7" t="str">
        <f aca="false">IF(Raw_Nigeria!K967="","n/a",Raw_Nigeria!K967)</f>
        <v>0-35 m</v>
      </c>
      <c r="M967" s="7" t="n">
        <f aca="false">IF(Raw_Nigeria!I967="","",Raw_Nigeria!I967)</f>
        <v>34.4</v>
      </c>
      <c r="N967" s="7" t="n">
        <f aca="false">Raw_Nigeria!M967</f>
        <v>19.9</v>
      </c>
      <c r="O967" s="7" t="n">
        <f aca="false">IF(Raw_Nigeria!N967="","",Raw_Nigeria!N967)</f>
        <v>1608</v>
      </c>
      <c r="P967" s="7" t="str">
        <f aca="false">IF(K967="CBAW","Women of child-bearing age","Children")</f>
        <v>Children</v>
      </c>
      <c r="Q967" s="7" t="n">
        <f aca="false">IF(J967="NOT USED",1,0)</f>
        <v>0</v>
      </c>
      <c r="R967" s="7" t="n">
        <f aca="false">IF(AND(P967="Children",Q967=0),1,0)</f>
        <v>1</v>
      </c>
      <c r="S967" s="7" t="n">
        <f aca="false">IF(AND(R967=1,J967="Record or Recall",K967="12-23 m"),1,0)</f>
        <v>0</v>
      </c>
      <c r="T967" s="7" t="n">
        <f aca="false">IF(OR(I967="BCG",I967="DTP1",I967="DTP3",I967="POL3",I967="MCV1",I967="FULL"),1,0)</f>
        <v>0</v>
      </c>
      <c r="U967" s="7" t="n">
        <f aca="false">IF(OR(C967="DHS",C967="MICS"),1,0)</f>
        <v>1</v>
      </c>
      <c r="V967" s="7" t="n">
        <f aca="false">IF(O967="",1,0)</f>
        <v>0</v>
      </c>
      <c r="W967" s="7" t="n">
        <f aca="false">IF(M967="",1,0)</f>
        <v>0</v>
      </c>
      <c r="X967" s="7" t="n">
        <f aca="false">COUNTIFS($B$2:$B$1141,B967,$H$2:$H$1141,H967,$I$2:$I$1141,I967,$J$2:$J$1141,J967,$K$2:$K$1141,K967,$L$2:$L$1141,L967)</f>
        <v>1</v>
      </c>
    </row>
    <row r="968" customFormat="false" ht="15" hidden="false" customHeight="false" outlineLevel="0" collapsed="false">
      <c r="A968" s="7" t="n">
        <f aca="false">ROW()-1</f>
        <v>967</v>
      </c>
      <c r="B968" s="7" t="str">
        <f aca="false">IF(Raw_Nigeria!B968="",TRIM(Raw_Nigeria!C968),TRIM(Raw_Nigeria!B968))</f>
        <v>Nigeria Demographic and Health Survey 2024</v>
      </c>
      <c r="C968" s="7" t="str">
        <f aca="false">IF(ISNUMBER(SEARCH("Demographic and Health",B968)),"DHS",IF(OR(ISNUMBER(SEARCH("Multiple Indicator Cluster",B968)),ISNUMBER(SEARCH("MICS",B968))),"MICS",IF(ISNUMBER(SEARCH("Immunization Coverage Survey",B968)),"Coverage survey",IF(ISNUMBER(SEARCH("Nutrition",B968)),"Nutrition survey","Other"))))</f>
        <v>DHS</v>
      </c>
      <c r="D968" s="7" t="n">
        <f aca="false">VALUE(LEFT(Raw_Nigeria!D968,4))</f>
        <v>2023</v>
      </c>
      <c r="E968" s="7" t="n">
        <f aca="false">IF(VALUE(RIGHT(Raw_Nigeria!D968,2))&gt;12,"",VALUE(RIGHT(Raw_Nigeria!D968,2)))</f>
        <v>12</v>
      </c>
      <c r="F968" s="7" t="n">
        <f aca="false">VALUE(LEFT(Raw_Nigeria!E968,4))</f>
        <v>2024</v>
      </c>
      <c r="G968" s="7" t="n">
        <f aca="false">IF(VALUE(RIGHT(Raw_Nigeria!E968,2))&gt;12,"",VALUE(RIGHT(Raw_Nigeria!E968,2)))</f>
        <v>5</v>
      </c>
      <c r="H968" s="7" t="n">
        <f aca="false">Raw_Nigeria!F968</f>
        <v>2021</v>
      </c>
      <c r="I968" s="7" t="str">
        <f aca="false">UPPER(TRIM(Raw_Nigeria!G968))</f>
        <v>IPVC</v>
      </c>
      <c r="J968" s="7" t="str">
        <f aca="false">Raw_Nigeria!H968</f>
        <v>Record or Recall</v>
      </c>
      <c r="K968" s="7" t="str">
        <f aca="false">Raw_Nigeria!L968</f>
        <v>24-35 m</v>
      </c>
      <c r="L968" s="7" t="str">
        <f aca="false">IF(Raw_Nigeria!K968="","n/a",Raw_Nigeria!K968)</f>
        <v>0-35 m</v>
      </c>
      <c r="M968" s="7" t="n">
        <f aca="false">IF(Raw_Nigeria!I968="","",Raw_Nigeria!I968)</f>
        <v>34.4</v>
      </c>
      <c r="N968" s="7" t="n">
        <f aca="false">Raw_Nigeria!M968</f>
        <v>37.3</v>
      </c>
      <c r="O968" s="7" t="n">
        <f aca="false">IF(Raw_Nigeria!N968="","",Raw_Nigeria!N968)</f>
        <v>4680</v>
      </c>
      <c r="P968" s="7" t="str">
        <f aca="false">IF(K968="CBAW","Women of child-bearing age","Children")</f>
        <v>Children</v>
      </c>
      <c r="Q968" s="7" t="n">
        <f aca="false">IF(J968="NOT USED",1,0)</f>
        <v>0</v>
      </c>
      <c r="R968" s="7" t="n">
        <f aca="false">IF(AND(P968="Children",Q968=0),1,0)</f>
        <v>1</v>
      </c>
      <c r="S968" s="7" t="n">
        <f aca="false">IF(AND(R968=1,J968="Record or Recall",K968="12-23 m"),1,0)</f>
        <v>0</v>
      </c>
      <c r="T968" s="7" t="n">
        <f aca="false">IF(OR(I968="BCG",I968="DTP1",I968="DTP3",I968="POL3",I968="MCV1",I968="FULL"),1,0)</f>
        <v>0</v>
      </c>
      <c r="U968" s="7" t="n">
        <f aca="false">IF(OR(C968="DHS",C968="MICS"),1,0)</f>
        <v>1</v>
      </c>
      <c r="V968" s="7" t="n">
        <f aca="false">IF(O968="",1,0)</f>
        <v>0</v>
      </c>
      <c r="W968" s="7" t="n">
        <f aca="false">IF(M968="",1,0)</f>
        <v>0</v>
      </c>
      <c r="X968" s="7" t="n">
        <f aca="false">COUNTIFS($B$2:$B$1141,B968,$H$2:$H$1141,H968,$I$2:$I$1141,I968,$J$2:$J$1141,J968,$K$2:$K$1141,K968,$L$2:$L$1141,L968)</f>
        <v>1</v>
      </c>
    </row>
    <row r="969" customFormat="false" ht="15" hidden="false" customHeight="false" outlineLevel="0" collapsed="false">
      <c r="A969" s="7" t="n">
        <f aca="false">ROW()-1</f>
        <v>968</v>
      </c>
      <c r="B969" s="7" t="str">
        <f aca="false">IF(Raw_Nigeria!B969="",TRIM(Raw_Nigeria!C969),TRIM(Raw_Nigeria!B969))</f>
        <v>Nigeria Demographic and Health Survey 2024</v>
      </c>
      <c r="C969" s="7" t="str">
        <f aca="false">IF(ISNUMBER(SEARCH("Demographic and Health",B969)),"DHS",IF(OR(ISNUMBER(SEARCH("Multiple Indicator Cluster",B969)),ISNUMBER(SEARCH("MICS",B969))),"MICS",IF(ISNUMBER(SEARCH("Immunization Coverage Survey",B969)),"Coverage survey",IF(ISNUMBER(SEARCH("Nutrition",B969)),"Nutrition survey","Other"))))</f>
        <v>DHS</v>
      </c>
      <c r="D969" s="7" t="n">
        <f aca="false">VALUE(LEFT(Raw_Nigeria!D969,4))</f>
        <v>2023</v>
      </c>
      <c r="E969" s="7" t="n">
        <f aca="false">IF(VALUE(RIGHT(Raw_Nigeria!D969,2))&gt;12,"",VALUE(RIGHT(Raw_Nigeria!D969,2)))</f>
        <v>12</v>
      </c>
      <c r="F969" s="7" t="n">
        <f aca="false">VALUE(LEFT(Raw_Nigeria!E969,4))</f>
        <v>2024</v>
      </c>
      <c r="G969" s="7" t="n">
        <f aca="false">IF(VALUE(RIGHT(Raw_Nigeria!E969,2))&gt;12,"",VALUE(RIGHT(Raw_Nigeria!E969,2)))</f>
        <v>5</v>
      </c>
      <c r="H969" s="7" t="n">
        <f aca="false">Raw_Nigeria!F969</f>
        <v>2021</v>
      </c>
      <c r="I969" s="7" t="str">
        <f aca="false">UPPER(TRIM(Raw_Nigeria!G969))</f>
        <v>IPVC</v>
      </c>
      <c r="J969" s="7" t="str">
        <f aca="false">Raw_Nigeria!H969</f>
        <v>Record or Recall&lt;12m</v>
      </c>
      <c r="K969" s="7" t="str">
        <f aca="false">Raw_Nigeria!L969</f>
        <v>24-35 m</v>
      </c>
      <c r="L969" s="7" t="str">
        <f aca="false">IF(Raw_Nigeria!K969="","n/a",Raw_Nigeria!K969)</f>
        <v>0-12 m</v>
      </c>
      <c r="M969" s="7" t="n">
        <f aca="false">IF(Raw_Nigeria!I969="","",Raw_Nigeria!I969)</f>
        <v>34.4</v>
      </c>
      <c r="N969" s="7" t="n">
        <f aca="false">Raw_Nigeria!M969</f>
        <v>34.3</v>
      </c>
      <c r="O969" s="7" t="n">
        <f aca="false">IF(Raw_Nigeria!N969="","",Raw_Nigeria!N969)</f>
        <v>4680</v>
      </c>
      <c r="P969" s="7" t="str">
        <f aca="false">IF(K969="CBAW","Women of child-bearing age","Children")</f>
        <v>Children</v>
      </c>
      <c r="Q969" s="7" t="n">
        <f aca="false">IF(J969="NOT USED",1,0)</f>
        <v>0</v>
      </c>
      <c r="R969" s="7" t="n">
        <f aca="false">IF(AND(P969="Children",Q969=0),1,0)</f>
        <v>1</v>
      </c>
      <c r="S969" s="7" t="n">
        <f aca="false">IF(AND(R969=1,J969="Record or Recall",K969="12-23 m"),1,0)</f>
        <v>0</v>
      </c>
      <c r="T969" s="7" t="n">
        <f aca="false">IF(OR(I969="BCG",I969="DTP1",I969="DTP3",I969="POL3",I969="MCV1",I969="FULL"),1,0)</f>
        <v>0</v>
      </c>
      <c r="U969" s="7" t="n">
        <f aca="false">IF(OR(C969="DHS",C969="MICS"),1,0)</f>
        <v>1</v>
      </c>
      <c r="V969" s="7" t="n">
        <f aca="false">IF(O969="",1,0)</f>
        <v>0</v>
      </c>
      <c r="W969" s="7" t="n">
        <f aca="false">IF(M969="",1,0)</f>
        <v>0</v>
      </c>
      <c r="X969" s="7" t="n">
        <f aca="false">COUNTIFS($B$2:$B$1141,B969,$H$2:$H$1141,H969,$I$2:$I$1141,I969,$J$2:$J$1141,J969,$K$2:$K$1141,K969,$L$2:$L$1141,L969)</f>
        <v>1</v>
      </c>
    </row>
    <row r="970" customFormat="false" ht="15" hidden="false" customHeight="false" outlineLevel="0" collapsed="false">
      <c r="A970" s="7" t="n">
        <f aca="false">ROW()-1</f>
        <v>969</v>
      </c>
      <c r="B970" s="7" t="str">
        <f aca="false">IF(Raw_Nigeria!B970="",TRIM(Raw_Nigeria!C970),TRIM(Raw_Nigeria!B970))</f>
        <v>Nigeria Demographic and Health Survey 2024</v>
      </c>
      <c r="C970" s="7" t="str">
        <f aca="false">IF(ISNUMBER(SEARCH("Demographic and Health",B970)),"DHS",IF(OR(ISNUMBER(SEARCH("Multiple Indicator Cluster",B970)),ISNUMBER(SEARCH("MICS",B970))),"MICS",IF(ISNUMBER(SEARCH("Immunization Coverage Survey",B970)),"Coverage survey",IF(ISNUMBER(SEARCH("Nutrition",B970)),"Nutrition survey","Other"))))</f>
        <v>DHS</v>
      </c>
      <c r="D970" s="7" t="n">
        <f aca="false">VALUE(LEFT(Raw_Nigeria!D970,4))</f>
        <v>2023</v>
      </c>
      <c r="E970" s="7" t="n">
        <f aca="false">IF(VALUE(RIGHT(Raw_Nigeria!D970,2))&gt;12,"",VALUE(RIGHT(Raw_Nigeria!D970,2)))</f>
        <v>12</v>
      </c>
      <c r="F970" s="7" t="n">
        <f aca="false">VALUE(LEFT(Raw_Nigeria!E970,4))</f>
        <v>2024</v>
      </c>
      <c r="G970" s="7" t="n">
        <f aca="false">IF(VALUE(RIGHT(Raw_Nigeria!E970,2))&gt;12,"",VALUE(RIGHT(Raw_Nigeria!E970,2)))</f>
        <v>5</v>
      </c>
      <c r="H970" s="7" t="n">
        <f aca="false">Raw_Nigeria!F970</f>
        <v>2021</v>
      </c>
      <c r="I970" s="7" t="str">
        <f aca="false">UPPER(TRIM(Raw_Nigeria!G970))</f>
        <v>MCV1</v>
      </c>
      <c r="J970" s="7" t="str">
        <f aca="false">Raw_Nigeria!H970</f>
        <v>Recall</v>
      </c>
      <c r="K970" s="7" t="str">
        <f aca="false">Raw_Nigeria!L970</f>
        <v>24-35 m</v>
      </c>
      <c r="L970" s="7" t="str">
        <f aca="false">IF(Raw_Nigeria!K970="","n/a",Raw_Nigeria!K970)</f>
        <v>0-35 m</v>
      </c>
      <c r="M970" s="7" t="n">
        <f aca="false">IF(Raw_Nigeria!I970="","",Raw_Nigeria!I970)</f>
        <v>34.4</v>
      </c>
      <c r="N970" s="7" t="n">
        <f aca="false">Raw_Nigeria!M970</f>
        <v>22.3</v>
      </c>
      <c r="O970" s="7" t="n">
        <f aca="false">IF(Raw_Nigeria!N970="","",Raw_Nigeria!N970)</f>
        <v>3072</v>
      </c>
      <c r="P970" s="7" t="str">
        <f aca="false">IF(K970="CBAW","Women of child-bearing age","Children")</f>
        <v>Children</v>
      </c>
      <c r="Q970" s="7" t="n">
        <f aca="false">IF(J970="NOT USED",1,0)</f>
        <v>0</v>
      </c>
      <c r="R970" s="7" t="n">
        <f aca="false">IF(AND(P970="Children",Q970=0),1,0)</f>
        <v>1</v>
      </c>
      <c r="S970" s="7" t="n">
        <f aca="false">IF(AND(R970=1,J970="Record or Recall",K970="12-23 m"),1,0)</f>
        <v>0</v>
      </c>
      <c r="T970" s="7" t="n">
        <f aca="false">IF(OR(I970="BCG",I970="DTP1",I970="DTP3",I970="POL3",I970="MCV1",I970="FULL"),1,0)</f>
        <v>1</v>
      </c>
      <c r="U970" s="7" t="n">
        <f aca="false">IF(OR(C970="DHS",C970="MICS"),1,0)</f>
        <v>1</v>
      </c>
      <c r="V970" s="7" t="n">
        <f aca="false">IF(O970="",1,0)</f>
        <v>0</v>
      </c>
      <c r="W970" s="7" t="n">
        <f aca="false">IF(M970="",1,0)</f>
        <v>0</v>
      </c>
      <c r="X970" s="7" t="n">
        <f aca="false">COUNTIFS($B$2:$B$1141,B970,$H$2:$H$1141,H970,$I$2:$I$1141,I970,$J$2:$J$1141,J970,$K$2:$K$1141,K970,$L$2:$L$1141,L970)</f>
        <v>1</v>
      </c>
    </row>
    <row r="971" customFormat="false" ht="15" hidden="false" customHeight="false" outlineLevel="0" collapsed="false">
      <c r="A971" s="7" t="n">
        <f aca="false">ROW()-1</f>
        <v>970</v>
      </c>
      <c r="B971" s="7" t="str">
        <f aca="false">IF(Raw_Nigeria!B971="",TRIM(Raw_Nigeria!C971),TRIM(Raw_Nigeria!B971))</f>
        <v>Nigeria Demographic and Health Survey 2024</v>
      </c>
      <c r="C971" s="7" t="str">
        <f aca="false">IF(ISNUMBER(SEARCH("Demographic and Health",B971)),"DHS",IF(OR(ISNUMBER(SEARCH("Multiple Indicator Cluster",B971)),ISNUMBER(SEARCH("MICS",B971))),"MICS",IF(ISNUMBER(SEARCH("Immunization Coverage Survey",B971)),"Coverage survey",IF(ISNUMBER(SEARCH("Nutrition",B971)),"Nutrition survey","Other"))))</f>
        <v>DHS</v>
      </c>
      <c r="D971" s="7" t="n">
        <f aca="false">VALUE(LEFT(Raw_Nigeria!D971,4))</f>
        <v>2023</v>
      </c>
      <c r="E971" s="7" t="n">
        <f aca="false">IF(VALUE(RIGHT(Raw_Nigeria!D971,2))&gt;12,"",VALUE(RIGHT(Raw_Nigeria!D971,2)))</f>
        <v>12</v>
      </c>
      <c r="F971" s="7" t="n">
        <f aca="false">VALUE(LEFT(Raw_Nigeria!E971,4))</f>
        <v>2024</v>
      </c>
      <c r="G971" s="7" t="n">
        <f aca="false">IF(VALUE(RIGHT(Raw_Nigeria!E971,2))&gt;12,"",VALUE(RIGHT(Raw_Nigeria!E971,2)))</f>
        <v>5</v>
      </c>
      <c r="H971" s="7" t="n">
        <f aca="false">Raw_Nigeria!F971</f>
        <v>2021</v>
      </c>
      <c r="I971" s="7" t="str">
        <f aca="false">UPPER(TRIM(Raw_Nigeria!G971))</f>
        <v>MCV1</v>
      </c>
      <c r="J971" s="7" t="str">
        <f aca="false">Raw_Nigeria!H971</f>
        <v>Record</v>
      </c>
      <c r="K971" s="7" t="str">
        <f aca="false">Raw_Nigeria!L971</f>
        <v>24-35 m</v>
      </c>
      <c r="L971" s="7" t="str">
        <f aca="false">IF(Raw_Nigeria!K971="","n/a",Raw_Nigeria!K971)</f>
        <v>0-35 m</v>
      </c>
      <c r="M971" s="7" t="n">
        <f aca="false">IF(Raw_Nigeria!I971="","",Raw_Nigeria!I971)</f>
        <v>34.4</v>
      </c>
      <c r="N971" s="7" t="n">
        <f aca="false">Raw_Nigeria!M971</f>
        <v>25.7</v>
      </c>
      <c r="O971" s="7" t="n">
        <f aca="false">IF(Raw_Nigeria!N971="","",Raw_Nigeria!N971)</f>
        <v>1608</v>
      </c>
      <c r="P971" s="7" t="str">
        <f aca="false">IF(K971="CBAW","Women of child-bearing age","Children")</f>
        <v>Children</v>
      </c>
      <c r="Q971" s="7" t="n">
        <f aca="false">IF(J971="NOT USED",1,0)</f>
        <v>0</v>
      </c>
      <c r="R971" s="7" t="n">
        <f aca="false">IF(AND(P971="Children",Q971=0),1,0)</f>
        <v>1</v>
      </c>
      <c r="S971" s="7" t="n">
        <f aca="false">IF(AND(R971=1,J971="Record or Recall",K971="12-23 m"),1,0)</f>
        <v>0</v>
      </c>
      <c r="T971" s="7" t="n">
        <f aca="false">IF(OR(I971="BCG",I971="DTP1",I971="DTP3",I971="POL3",I971="MCV1",I971="FULL"),1,0)</f>
        <v>1</v>
      </c>
      <c r="U971" s="7" t="n">
        <f aca="false">IF(OR(C971="DHS",C971="MICS"),1,0)</f>
        <v>1</v>
      </c>
      <c r="V971" s="7" t="n">
        <f aca="false">IF(O971="",1,0)</f>
        <v>0</v>
      </c>
      <c r="W971" s="7" t="n">
        <f aca="false">IF(M971="",1,0)</f>
        <v>0</v>
      </c>
      <c r="X971" s="7" t="n">
        <f aca="false">COUNTIFS($B$2:$B$1141,B971,$H$2:$H$1141,H971,$I$2:$I$1141,I971,$J$2:$J$1141,J971,$K$2:$K$1141,K971,$L$2:$L$1141,L971)</f>
        <v>1</v>
      </c>
    </row>
    <row r="972" customFormat="false" ht="15" hidden="false" customHeight="false" outlineLevel="0" collapsed="false">
      <c r="A972" s="7" t="n">
        <f aca="false">ROW()-1</f>
        <v>971</v>
      </c>
      <c r="B972" s="7" t="str">
        <f aca="false">IF(Raw_Nigeria!B972="",TRIM(Raw_Nigeria!C972),TRIM(Raw_Nigeria!B972))</f>
        <v>Nigeria Demographic and Health Survey 2024</v>
      </c>
      <c r="C972" s="7" t="str">
        <f aca="false">IF(ISNUMBER(SEARCH("Demographic and Health",B972)),"DHS",IF(OR(ISNUMBER(SEARCH("Multiple Indicator Cluster",B972)),ISNUMBER(SEARCH("MICS",B972))),"MICS",IF(ISNUMBER(SEARCH("Immunization Coverage Survey",B972)),"Coverage survey",IF(ISNUMBER(SEARCH("Nutrition",B972)),"Nutrition survey","Other"))))</f>
        <v>DHS</v>
      </c>
      <c r="D972" s="7" t="n">
        <f aca="false">VALUE(LEFT(Raw_Nigeria!D972,4))</f>
        <v>2023</v>
      </c>
      <c r="E972" s="7" t="n">
        <f aca="false">IF(VALUE(RIGHT(Raw_Nigeria!D972,2))&gt;12,"",VALUE(RIGHT(Raw_Nigeria!D972,2)))</f>
        <v>12</v>
      </c>
      <c r="F972" s="7" t="n">
        <f aca="false">VALUE(LEFT(Raw_Nigeria!E972,4))</f>
        <v>2024</v>
      </c>
      <c r="G972" s="7" t="n">
        <f aca="false">IF(VALUE(RIGHT(Raw_Nigeria!E972,2))&gt;12,"",VALUE(RIGHT(Raw_Nigeria!E972,2)))</f>
        <v>5</v>
      </c>
      <c r="H972" s="7" t="n">
        <f aca="false">Raw_Nigeria!F972</f>
        <v>2021</v>
      </c>
      <c r="I972" s="7" t="str">
        <f aca="false">UPPER(TRIM(Raw_Nigeria!G972))</f>
        <v>MCV1</v>
      </c>
      <c r="J972" s="7" t="str">
        <f aca="false">Raw_Nigeria!H972</f>
        <v>Record or Recall</v>
      </c>
      <c r="K972" s="7" t="str">
        <f aca="false">Raw_Nigeria!L972</f>
        <v>24-35 m</v>
      </c>
      <c r="L972" s="7" t="str">
        <f aca="false">IF(Raw_Nigeria!K972="","n/a",Raw_Nigeria!K972)</f>
        <v>0-35 m</v>
      </c>
      <c r="M972" s="7" t="n">
        <f aca="false">IF(Raw_Nigeria!I972="","",Raw_Nigeria!I972)</f>
        <v>34.4</v>
      </c>
      <c r="N972" s="7" t="n">
        <f aca="false">Raw_Nigeria!M972</f>
        <v>47.9</v>
      </c>
      <c r="O972" s="7" t="n">
        <f aca="false">IF(Raw_Nigeria!N972="","",Raw_Nigeria!N972)</f>
        <v>4680</v>
      </c>
      <c r="P972" s="7" t="str">
        <f aca="false">IF(K972="CBAW","Women of child-bearing age","Children")</f>
        <v>Children</v>
      </c>
      <c r="Q972" s="7" t="n">
        <f aca="false">IF(J972="NOT USED",1,0)</f>
        <v>0</v>
      </c>
      <c r="R972" s="7" t="n">
        <f aca="false">IF(AND(P972="Children",Q972=0),1,0)</f>
        <v>1</v>
      </c>
      <c r="S972" s="7" t="n">
        <f aca="false">IF(AND(R972=1,J972="Record or Recall",K972="12-23 m"),1,0)</f>
        <v>0</v>
      </c>
      <c r="T972" s="7" t="n">
        <f aca="false">IF(OR(I972="BCG",I972="DTP1",I972="DTP3",I972="POL3",I972="MCV1",I972="FULL"),1,0)</f>
        <v>1</v>
      </c>
      <c r="U972" s="7" t="n">
        <f aca="false">IF(OR(C972="DHS",C972="MICS"),1,0)</f>
        <v>1</v>
      </c>
      <c r="V972" s="7" t="n">
        <f aca="false">IF(O972="",1,0)</f>
        <v>0</v>
      </c>
      <c r="W972" s="7" t="n">
        <f aca="false">IF(M972="",1,0)</f>
        <v>0</v>
      </c>
      <c r="X972" s="7" t="n">
        <f aca="false">COUNTIFS($B$2:$B$1141,B972,$H$2:$H$1141,H972,$I$2:$I$1141,I972,$J$2:$J$1141,J972,$K$2:$K$1141,K972,$L$2:$L$1141,L972)</f>
        <v>1</v>
      </c>
    </row>
    <row r="973" customFormat="false" ht="15" hidden="false" customHeight="false" outlineLevel="0" collapsed="false">
      <c r="A973" s="7" t="n">
        <f aca="false">ROW()-1</f>
        <v>972</v>
      </c>
      <c r="B973" s="7" t="str">
        <f aca="false">IF(Raw_Nigeria!B973="",TRIM(Raw_Nigeria!C973),TRIM(Raw_Nigeria!B973))</f>
        <v>Nigeria Demographic and Health Survey 2024</v>
      </c>
      <c r="C973" s="7" t="str">
        <f aca="false">IF(ISNUMBER(SEARCH("Demographic and Health",B973)),"DHS",IF(OR(ISNUMBER(SEARCH("Multiple Indicator Cluster",B973)),ISNUMBER(SEARCH("MICS",B973))),"MICS",IF(ISNUMBER(SEARCH("Immunization Coverage Survey",B973)),"Coverage survey",IF(ISNUMBER(SEARCH("Nutrition",B973)),"Nutrition survey","Other"))))</f>
        <v>DHS</v>
      </c>
      <c r="D973" s="7" t="n">
        <f aca="false">VALUE(LEFT(Raw_Nigeria!D973,4))</f>
        <v>2023</v>
      </c>
      <c r="E973" s="7" t="n">
        <f aca="false">IF(VALUE(RIGHT(Raw_Nigeria!D973,2))&gt;12,"",VALUE(RIGHT(Raw_Nigeria!D973,2)))</f>
        <v>12</v>
      </c>
      <c r="F973" s="7" t="n">
        <f aca="false">VALUE(LEFT(Raw_Nigeria!E973,4))</f>
        <v>2024</v>
      </c>
      <c r="G973" s="7" t="n">
        <f aca="false">IF(VALUE(RIGHT(Raw_Nigeria!E973,2))&gt;12,"",VALUE(RIGHT(Raw_Nigeria!E973,2)))</f>
        <v>5</v>
      </c>
      <c r="H973" s="7" t="n">
        <f aca="false">Raw_Nigeria!F973</f>
        <v>2021</v>
      </c>
      <c r="I973" s="7" t="str">
        <f aca="false">UPPER(TRIM(Raw_Nigeria!G973))</f>
        <v>MCV1</v>
      </c>
      <c r="J973" s="7" t="str">
        <f aca="false">Raw_Nigeria!H973</f>
        <v>Record or Recall&lt;12m</v>
      </c>
      <c r="K973" s="7" t="str">
        <f aca="false">Raw_Nigeria!L973</f>
        <v>24-35 m</v>
      </c>
      <c r="L973" s="7" t="str">
        <f aca="false">IF(Raw_Nigeria!K973="","n/a",Raw_Nigeria!K973)</f>
        <v>0-12 m</v>
      </c>
      <c r="M973" s="7" t="n">
        <f aca="false">IF(Raw_Nigeria!I973="","",Raw_Nigeria!I973)</f>
        <v>34.4</v>
      </c>
      <c r="N973" s="7" t="n">
        <f aca="false">Raw_Nigeria!M973</f>
        <v>41.4</v>
      </c>
      <c r="O973" s="7" t="n">
        <f aca="false">IF(Raw_Nigeria!N973="","",Raw_Nigeria!N973)</f>
        <v>4680</v>
      </c>
      <c r="P973" s="7" t="str">
        <f aca="false">IF(K973="CBAW","Women of child-bearing age","Children")</f>
        <v>Children</v>
      </c>
      <c r="Q973" s="7" t="n">
        <f aca="false">IF(J973="NOT USED",1,0)</f>
        <v>0</v>
      </c>
      <c r="R973" s="7" t="n">
        <f aca="false">IF(AND(P973="Children",Q973=0),1,0)</f>
        <v>1</v>
      </c>
      <c r="S973" s="7" t="n">
        <f aca="false">IF(AND(R973=1,J973="Record or Recall",K973="12-23 m"),1,0)</f>
        <v>0</v>
      </c>
      <c r="T973" s="7" t="n">
        <f aca="false">IF(OR(I973="BCG",I973="DTP1",I973="DTP3",I973="POL3",I973="MCV1",I973="FULL"),1,0)</f>
        <v>1</v>
      </c>
      <c r="U973" s="7" t="n">
        <f aca="false">IF(OR(C973="DHS",C973="MICS"),1,0)</f>
        <v>1</v>
      </c>
      <c r="V973" s="7" t="n">
        <f aca="false">IF(O973="",1,0)</f>
        <v>0</v>
      </c>
      <c r="W973" s="7" t="n">
        <f aca="false">IF(M973="",1,0)</f>
        <v>0</v>
      </c>
      <c r="X973" s="7" t="n">
        <f aca="false">COUNTIFS($B$2:$B$1141,B973,$H$2:$H$1141,H973,$I$2:$I$1141,I973,$J$2:$J$1141,J973,$K$2:$K$1141,K973,$L$2:$L$1141,L973)</f>
        <v>1</v>
      </c>
    </row>
    <row r="974" customFormat="false" ht="15" hidden="false" customHeight="false" outlineLevel="0" collapsed="false">
      <c r="A974" s="7" t="n">
        <f aca="false">ROW()-1</f>
        <v>973</v>
      </c>
      <c r="B974" s="7" t="str">
        <f aca="false">IF(Raw_Nigeria!B974="",TRIM(Raw_Nigeria!C974),TRIM(Raw_Nigeria!B974))</f>
        <v>Nigeria Demographic and Health Survey 2024</v>
      </c>
      <c r="C974" s="7" t="str">
        <f aca="false">IF(ISNUMBER(SEARCH("Demographic and Health",B974)),"DHS",IF(OR(ISNUMBER(SEARCH("Multiple Indicator Cluster",B974)),ISNUMBER(SEARCH("MICS",B974))),"MICS",IF(ISNUMBER(SEARCH("Immunization Coverage Survey",B974)),"Coverage survey",IF(ISNUMBER(SEARCH("Nutrition",B974)),"Nutrition survey","Other"))))</f>
        <v>DHS</v>
      </c>
      <c r="D974" s="7" t="n">
        <f aca="false">VALUE(LEFT(Raw_Nigeria!D974,4))</f>
        <v>2023</v>
      </c>
      <c r="E974" s="7" t="n">
        <f aca="false">IF(VALUE(RIGHT(Raw_Nigeria!D974,2))&gt;12,"",VALUE(RIGHT(Raw_Nigeria!D974,2)))</f>
        <v>12</v>
      </c>
      <c r="F974" s="7" t="n">
        <f aca="false">VALUE(LEFT(Raw_Nigeria!E974,4))</f>
        <v>2024</v>
      </c>
      <c r="G974" s="7" t="n">
        <f aca="false">IF(VALUE(RIGHT(Raw_Nigeria!E974,2))&gt;12,"",VALUE(RIGHT(Raw_Nigeria!E974,2)))</f>
        <v>5</v>
      </c>
      <c r="H974" s="7" t="n">
        <f aca="false">Raw_Nigeria!F974</f>
        <v>2021</v>
      </c>
      <c r="I974" s="7" t="str">
        <f aca="false">UPPER(TRIM(Raw_Nigeria!G974))</f>
        <v>MENGA</v>
      </c>
      <c r="J974" s="7" t="str">
        <f aca="false">Raw_Nigeria!H974</f>
        <v>Recall</v>
      </c>
      <c r="K974" s="7" t="str">
        <f aca="false">Raw_Nigeria!L974</f>
        <v>24-35 m</v>
      </c>
      <c r="L974" s="7" t="str">
        <f aca="false">IF(Raw_Nigeria!K974="","n/a",Raw_Nigeria!K974)</f>
        <v>0-35 m</v>
      </c>
      <c r="M974" s="7" t="n">
        <f aca="false">IF(Raw_Nigeria!I974="","",Raw_Nigeria!I974)</f>
        <v>34.4</v>
      </c>
      <c r="N974" s="7" t="n">
        <f aca="false">Raw_Nigeria!M974</f>
        <v>20.4</v>
      </c>
      <c r="O974" s="7" t="n">
        <f aca="false">IF(Raw_Nigeria!N974="","",Raw_Nigeria!N974)</f>
        <v>3072</v>
      </c>
      <c r="P974" s="7" t="str">
        <f aca="false">IF(K974="CBAW","Women of child-bearing age","Children")</f>
        <v>Children</v>
      </c>
      <c r="Q974" s="7" t="n">
        <f aca="false">IF(J974="NOT USED",1,0)</f>
        <v>0</v>
      </c>
      <c r="R974" s="7" t="n">
        <f aca="false">IF(AND(P974="Children",Q974=0),1,0)</f>
        <v>1</v>
      </c>
      <c r="S974" s="7" t="n">
        <f aca="false">IF(AND(R974=1,J974="Record or Recall",K974="12-23 m"),1,0)</f>
        <v>0</v>
      </c>
      <c r="T974" s="7" t="n">
        <f aca="false">IF(OR(I974="BCG",I974="DTP1",I974="DTP3",I974="POL3",I974="MCV1",I974="FULL"),1,0)</f>
        <v>0</v>
      </c>
      <c r="U974" s="7" t="n">
        <f aca="false">IF(OR(C974="DHS",C974="MICS"),1,0)</f>
        <v>1</v>
      </c>
      <c r="V974" s="7" t="n">
        <f aca="false">IF(O974="",1,0)</f>
        <v>0</v>
      </c>
      <c r="W974" s="7" t="n">
        <f aca="false">IF(M974="",1,0)</f>
        <v>0</v>
      </c>
      <c r="X974" s="7" t="n">
        <f aca="false">COUNTIFS($B$2:$B$1141,B974,$H$2:$H$1141,H974,$I$2:$I$1141,I974,$J$2:$J$1141,J974,$K$2:$K$1141,K974,$L$2:$L$1141,L974)</f>
        <v>1</v>
      </c>
    </row>
    <row r="975" customFormat="false" ht="15" hidden="false" customHeight="false" outlineLevel="0" collapsed="false">
      <c r="A975" s="7" t="n">
        <f aca="false">ROW()-1</f>
        <v>974</v>
      </c>
      <c r="B975" s="7" t="str">
        <f aca="false">IF(Raw_Nigeria!B975="",TRIM(Raw_Nigeria!C975),TRIM(Raw_Nigeria!B975))</f>
        <v>Nigeria Demographic and Health Survey 2024</v>
      </c>
      <c r="C975" s="7" t="str">
        <f aca="false">IF(ISNUMBER(SEARCH("Demographic and Health",B975)),"DHS",IF(OR(ISNUMBER(SEARCH("Multiple Indicator Cluster",B975)),ISNUMBER(SEARCH("MICS",B975))),"MICS",IF(ISNUMBER(SEARCH("Immunization Coverage Survey",B975)),"Coverage survey",IF(ISNUMBER(SEARCH("Nutrition",B975)),"Nutrition survey","Other"))))</f>
        <v>DHS</v>
      </c>
      <c r="D975" s="7" t="n">
        <f aca="false">VALUE(LEFT(Raw_Nigeria!D975,4))</f>
        <v>2023</v>
      </c>
      <c r="E975" s="7" t="n">
        <f aca="false">IF(VALUE(RIGHT(Raw_Nigeria!D975,2))&gt;12,"",VALUE(RIGHT(Raw_Nigeria!D975,2)))</f>
        <v>12</v>
      </c>
      <c r="F975" s="7" t="n">
        <f aca="false">VALUE(LEFT(Raw_Nigeria!E975,4))</f>
        <v>2024</v>
      </c>
      <c r="G975" s="7" t="n">
        <f aca="false">IF(VALUE(RIGHT(Raw_Nigeria!E975,2))&gt;12,"",VALUE(RIGHT(Raw_Nigeria!E975,2)))</f>
        <v>5</v>
      </c>
      <c r="H975" s="7" t="n">
        <f aca="false">Raw_Nigeria!F975</f>
        <v>2021</v>
      </c>
      <c r="I975" s="7" t="str">
        <f aca="false">UPPER(TRIM(Raw_Nigeria!G975))</f>
        <v>MENGA</v>
      </c>
      <c r="J975" s="7" t="str">
        <f aca="false">Raw_Nigeria!H975</f>
        <v>Record</v>
      </c>
      <c r="K975" s="7" t="str">
        <f aca="false">Raw_Nigeria!L975</f>
        <v>24-35 m</v>
      </c>
      <c r="L975" s="7" t="str">
        <f aca="false">IF(Raw_Nigeria!K975="","n/a",Raw_Nigeria!K975)</f>
        <v>0-35 m</v>
      </c>
      <c r="M975" s="7" t="n">
        <f aca="false">IF(Raw_Nigeria!I975="","",Raw_Nigeria!I975)</f>
        <v>34.4</v>
      </c>
      <c r="N975" s="7" t="n">
        <f aca="false">Raw_Nigeria!M975</f>
        <v>24.5</v>
      </c>
      <c r="O975" s="7" t="n">
        <f aca="false">IF(Raw_Nigeria!N975="","",Raw_Nigeria!N975)</f>
        <v>1608</v>
      </c>
      <c r="P975" s="7" t="str">
        <f aca="false">IF(K975="CBAW","Women of child-bearing age","Children")</f>
        <v>Children</v>
      </c>
      <c r="Q975" s="7" t="n">
        <f aca="false">IF(J975="NOT USED",1,0)</f>
        <v>0</v>
      </c>
      <c r="R975" s="7" t="n">
        <f aca="false">IF(AND(P975="Children",Q975=0),1,0)</f>
        <v>1</v>
      </c>
      <c r="S975" s="7" t="n">
        <f aca="false">IF(AND(R975=1,J975="Record or Recall",K975="12-23 m"),1,0)</f>
        <v>0</v>
      </c>
      <c r="T975" s="7" t="n">
        <f aca="false">IF(OR(I975="BCG",I975="DTP1",I975="DTP3",I975="POL3",I975="MCV1",I975="FULL"),1,0)</f>
        <v>0</v>
      </c>
      <c r="U975" s="7" t="n">
        <f aca="false">IF(OR(C975="DHS",C975="MICS"),1,0)</f>
        <v>1</v>
      </c>
      <c r="V975" s="7" t="n">
        <f aca="false">IF(O975="",1,0)</f>
        <v>0</v>
      </c>
      <c r="W975" s="7" t="n">
        <f aca="false">IF(M975="",1,0)</f>
        <v>0</v>
      </c>
      <c r="X975" s="7" t="n">
        <f aca="false">COUNTIFS($B$2:$B$1141,B975,$H$2:$H$1141,H975,$I$2:$I$1141,I975,$J$2:$J$1141,J975,$K$2:$K$1141,K975,$L$2:$L$1141,L975)</f>
        <v>1</v>
      </c>
    </row>
    <row r="976" customFormat="false" ht="15" hidden="false" customHeight="false" outlineLevel="0" collapsed="false">
      <c r="A976" s="7" t="n">
        <f aca="false">ROW()-1</f>
        <v>975</v>
      </c>
      <c r="B976" s="7" t="str">
        <f aca="false">IF(Raw_Nigeria!B976="",TRIM(Raw_Nigeria!C976),TRIM(Raw_Nigeria!B976))</f>
        <v>Nigeria Demographic and Health Survey 2024</v>
      </c>
      <c r="C976" s="7" t="str">
        <f aca="false">IF(ISNUMBER(SEARCH("Demographic and Health",B976)),"DHS",IF(OR(ISNUMBER(SEARCH("Multiple Indicator Cluster",B976)),ISNUMBER(SEARCH("MICS",B976))),"MICS",IF(ISNUMBER(SEARCH("Immunization Coverage Survey",B976)),"Coverage survey",IF(ISNUMBER(SEARCH("Nutrition",B976)),"Nutrition survey","Other"))))</f>
        <v>DHS</v>
      </c>
      <c r="D976" s="7" t="n">
        <f aca="false">VALUE(LEFT(Raw_Nigeria!D976,4))</f>
        <v>2023</v>
      </c>
      <c r="E976" s="7" t="n">
        <f aca="false">IF(VALUE(RIGHT(Raw_Nigeria!D976,2))&gt;12,"",VALUE(RIGHT(Raw_Nigeria!D976,2)))</f>
        <v>12</v>
      </c>
      <c r="F976" s="7" t="n">
        <f aca="false">VALUE(LEFT(Raw_Nigeria!E976,4))</f>
        <v>2024</v>
      </c>
      <c r="G976" s="7" t="n">
        <f aca="false">IF(VALUE(RIGHT(Raw_Nigeria!E976,2))&gt;12,"",VALUE(RIGHT(Raw_Nigeria!E976,2)))</f>
        <v>5</v>
      </c>
      <c r="H976" s="7" t="n">
        <f aca="false">Raw_Nigeria!F976</f>
        <v>2021</v>
      </c>
      <c r="I976" s="7" t="str">
        <f aca="false">UPPER(TRIM(Raw_Nigeria!G976))</f>
        <v>MENGA</v>
      </c>
      <c r="J976" s="7" t="str">
        <f aca="false">Raw_Nigeria!H976</f>
        <v>Record or Recall</v>
      </c>
      <c r="K976" s="7" t="str">
        <f aca="false">Raw_Nigeria!L976</f>
        <v>24-35 m</v>
      </c>
      <c r="L976" s="7" t="str">
        <f aca="false">IF(Raw_Nigeria!K976="","n/a",Raw_Nigeria!K976)</f>
        <v>0-35 m</v>
      </c>
      <c r="M976" s="7" t="n">
        <f aca="false">IF(Raw_Nigeria!I976="","",Raw_Nigeria!I976)</f>
        <v>34.4</v>
      </c>
      <c r="N976" s="7" t="n">
        <f aca="false">Raw_Nigeria!M976</f>
        <v>44.9</v>
      </c>
      <c r="O976" s="7" t="n">
        <f aca="false">IF(Raw_Nigeria!N976="","",Raw_Nigeria!N976)</f>
        <v>4680</v>
      </c>
      <c r="P976" s="7" t="str">
        <f aca="false">IF(K976="CBAW","Women of child-bearing age","Children")</f>
        <v>Children</v>
      </c>
      <c r="Q976" s="7" t="n">
        <f aca="false">IF(J976="NOT USED",1,0)</f>
        <v>0</v>
      </c>
      <c r="R976" s="7" t="n">
        <f aca="false">IF(AND(P976="Children",Q976=0),1,0)</f>
        <v>1</v>
      </c>
      <c r="S976" s="7" t="n">
        <f aca="false">IF(AND(R976=1,J976="Record or Recall",K976="12-23 m"),1,0)</f>
        <v>0</v>
      </c>
      <c r="T976" s="7" t="n">
        <f aca="false">IF(OR(I976="BCG",I976="DTP1",I976="DTP3",I976="POL3",I976="MCV1",I976="FULL"),1,0)</f>
        <v>0</v>
      </c>
      <c r="U976" s="7" t="n">
        <f aca="false">IF(OR(C976="DHS",C976="MICS"),1,0)</f>
        <v>1</v>
      </c>
      <c r="V976" s="7" t="n">
        <f aca="false">IF(O976="",1,0)</f>
        <v>0</v>
      </c>
      <c r="W976" s="7" t="n">
        <f aca="false">IF(M976="",1,0)</f>
        <v>0</v>
      </c>
      <c r="X976" s="7" t="n">
        <f aca="false">COUNTIFS($B$2:$B$1141,B976,$H$2:$H$1141,H976,$I$2:$I$1141,I976,$J$2:$J$1141,J976,$K$2:$K$1141,K976,$L$2:$L$1141,L976)</f>
        <v>1</v>
      </c>
    </row>
    <row r="977" customFormat="false" ht="15" hidden="false" customHeight="false" outlineLevel="0" collapsed="false">
      <c r="A977" s="7" t="n">
        <f aca="false">ROW()-1</f>
        <v>976</v>
      </c>
      <c r="B977" s="7" t="str">
        <f aca="false">IF(Raw_Nigeria!B977="",TRIM(Raw_Nigeria!C977),TRIM(Raw_Nigeria!B977))</f>
        <v>Nigeria Demographic and Health Survey 2024</v>
      </c>
      <c r="C977" s="7" t="str">
        <f aca="false">IF(ISNUMBER(SEARCH("Demographic and Health",B977)),"DHS",IF(OR(ISNUMBER(SEARCH("Multiple Indicator Cluster",B977)),ISNUMBER(SEARCH("MICS",B977))),"MICS",IF(ISNUMBER(SEARCH("Immunization Coverage Survey",B977)),"Coverage survey",IF(ISNUMBER(SEARCH("Nutrition",B977)),"Nutrition survey","Other"))))</f>
        <v>DHS</v>
      </c>
      <c r="D977" s="7" t="n">
        <f aca="false">VALUE(LEFT(Raw_Nigeria!D977,4))</f>
        <v>2023</v>
      </c>
      <c r="E977" s="7" t="n">
        <f aca="false">IF(VALUE(RIGHT(Raw_Nigeria!D977,2))&gt;12,"",VALUE(RIGHT(Raw_Nigeria!D977,2)))</f>
        <v>12</v>
      </c>
      <c r="F977" s="7" t="n">
        <f aca="false">VALUE(LEFT(Raw_Nigeria!E977,4))</f>
        <v>2024</v>
      </c>
      <c r="G977" s="7" t="n">
        <f aca="false">IF(VALUE(RIGHT(Raw_Nigeria!E977,2))&gt;12,"",VALUE(RIGHT(Raw_Nigeria!E977,2)))</f>
        <v>5</v>
      </c>
      <c r="H977" s="7" t="n">
        <f aca="false">Raw_Nigeria!F977</f>
        <v>2021</v>
      </c>
      <c r="I977" s="7" t="str">
        <f aca="false">UPPER(TRIM(Raw_Nigeria!G977))</f>
        <v>MENGA</v>
      </c>
      <c r="J977" s="7" t="str">
        <f aca="false">Raw_Nigeria!H977</f>
        <v>Record or Recall&lt;12m</v>
      </c>
      <c r="K977" s="7" t="str">
        <f aca="false">Raw_Nigeria!L977</f>
        <v>24-35 m</v>
      </c>
      <c r="L977" s="7" t="str">
        <f aca="false">IF(Raw_Nigeria!K977="","n/a",Raw_Nigeria!K977)</f>
        <v>0-12 m</v>
      </c>
      <c r="M977" s="7" t="n">
        <f aca="false">IF(Raw_Nigeria!I977="","",Raw_Nigeria!I977)</f>
        <v>34.4</v>
      </c>
      <c r="N977" s="7" t="n">
        <f aca="false">Raw_Nigeria!M977</f>
        <v>38.2</v>
      </c>
      <c r="O977" s="7" t="n">
        <f aca="false">IF(Raw_Nigeria!N977="","",Raw_Nigeria!N977)</f>
        <v>4680</v>
      </c>
      <c r="P977" s="7" t="str">
        <f aca="false">IF(K977="CBAW","Women of child-bearing age","Children")</f>
        <v>Children</v>
      </c>
      <c r="Q977" s="7" t="n">
        <f aca="false">IF(J977="NOT USED",1,0)</f>
        <v>0</v>
      </c>
      <c r="R977" s="7" t="n">
        <f aca="false">IF(AND(P977="Children",Q977=0),1,0)</f>
        <v>1</v>
      </c>
      <c r="S977" s="7" t="n">
        <f aca="false">IF(AND(R977=1,J977="Record or Recall",K977="12-23 m"),1,0)</f>
        <v>0</v>
      </c>
      <c r="T977" s="7" t="n">
        <f aca="false">IF(OR(I977="BCG",I977="DTP1",I977="DTP3",I977="POL3",I977="MCV1",I977="FULL"),1,0)</f>
        <v>0</v>
      </c>
      <c r="U977" s="7" t="n">
        <f aca="false">IF(OR(C977="DHS",C977="MICS"),1,0)</f>
        <v>1</v>
      </c>
      <c r="V977" s="7" t="n">
        <f aca="false">IF(O977="",1,0)</f>
        <v>0</v>
      </c>
      <c r="W977" s="7" t="n">
        <f aca="false">IF(M977="",1,0)</f>
        <v>0</v>
      </c>
      <c r="X977" s="7" t="n">
        <f aca="false">COUNTIFS($B$2:$B$1141,B977,$H$2:$H$1141,H977,$I$2:$I$1141,I977,$J$2:$J$1141,J977,$K$2:$K$1141,K977,$L$2:$L$1141,L977)</f>
        <v>1</v>
      </c>
    </row>
    <row r="978" customFormat="false" ht="15" hidden="false" customHeight="false" outlineLevel="0" collapsed="false">
      <c r="A978" s="7" t="n">
        <f aca="false">ROW()-1</f>
        <v>977</v>
      </c>
      <c r="B978" s="7" t="str">
        <f aca="false">IF(Raw_Nigeria!B978="",TRIM(Raw_Nigeria!C978),TRIM(Raw_Nigeria!B978))</f>
        <v>Nigeria Demographic and Health Survey 2024</v>
      </c>
      <c r="C978" s="7" t="str">
        <f aca="false">IF(ISNUMBER(SEARCH("Demographic and Health",B978)),"DHS",IF(OR(ISNUMBER(SEARCH("Multiple Indicator Cluster",B978)),ISNUMBER(SEARCH("MICS",B978))),"MICS",IF(ISNUMBER(SEARCH("Immunization Coverage Survey",B978)),"Coverage survey",IF(ISNUMBER(SEARCH("Nutrition",B978)),"Nutrition survey","Other"))))</f>
        <v>DHS</v>
      </c>
      <c r="D978" s="7" t="n">
        <f aca="false">VALUE(LEFT(Raw_Nigeria!D978,4))</f>
        <v>2023</v>
      </c>
      <c r="E978" s="7" t="n">
        <f aca="false">IF(VALUE(RIGHT(Raw_Nigeria!D978,2))&gt;12,"",VALUE(RIGHT(Raw_Nigeria!D978,2)))</f>
        <v>12</v>
      </c>
      <c r="F978" s="7" t="n">
        <f aca="false">VALUE(LEFT(Raw_Nigeria!E978,4))</f>
        <v>2024</v>
      </c>
      <c r="G978" s="7" t="n">
        <f aca="false">IF(VALUE(RIGHT(Raw_Nigeria!E978,2))&gt;12,"",VALUE(RIGHT(Raw_Nigeria!E978,2)))</f>
        <v>5</v>
      </c>
      <c r="H978" s="7" t="n">
        <f aca="false">Raw_Nigeria!F978</f>
        <v>2021</v>
      </c>
      <c r="I978" s="7" t="str">
        <f aca="false">UPPER(TRIM(Raw_Nigeria!G978))</f>
        <v>PCV1</v>
      </c>
      <c r="J978" s="7" t="str">
        <f aca="false">Raw_Nigeria!H978</f>
        <v>Recall</v>
      </c>
      <c r="K978" s="7" t="str">
        <f aca="false">Raw_Nigeria!L978</f>
        <v>24-35 m</v>
      </c>
      <c r="L978" s="7" t="str">
        <f aca="false">IF(Raw_Nigeria!K978="","n/a",Raw_Nigeria!K978)</f>
        <v>0-35 m</v>
      </c>
      <c r="M978" s="7" t="n">
        <f aca="false">IF(Raw_Nigeria!I978="","",Raw_Nigeria!I978)</f>
        <v>34.4</v>
      </c>
      <c r="N978" s="7" t="n">
        <f aca="false">Raw_Nigeria!M978</f>
        <v>24</v>
      </c>
      <c r="O978" s="7" t="n">
        <f aca="false">IF(Raw_Nigeria!N978="","",Raw_Nigeria!N978)</f>
        <v>3072</v>
      </c>
      <c r="P978" s="7" t="str">
        <f aca="false">IF(K978="CBAW","Women of child-bearing age","Children")</f>
        <v>Children</v>
      </c>
      <c r="Q978" s="7" t="n">
        <f aca="false">IF(J978="NOT USED",1,0)</f>
        <v>0</v>
      </c>
      <c r="R978" s="7" t="n">
        <f aca="false">IF(AND(P978="Children",Q978=0),1,0)</f>
        <v>1</v>
      </c>
      <c r="S978" s="7" t="n">
        <f aca="false">IF(AND(R978=1,J978="Record or Recall",K978="12-23 m"),1,0)</f>
        <v>0</v>
      </c>
      <c r="T978" s="7" t="n">
        <f aca="false">IF(OR(I978="BCG",I978="DTP1",I978="DTP3",I978="POL3",I978="MCV1",I978="FULL"),1,0)</f>
        <v>0</v>
      </c>
      <c r="U978" s="7" t="n">
        <f aca="false">IF(OR(C978="DHS",C978="MICS"),1,0)</f>
        <v>1</v>
      </c>
      <c r="V978" s="7" t="n">
        <f aca="false">IF(O978="",1,0)</f>
        <v>0</v>
      </c>
      <c r="W978" s="7" t="n">
        <f aca="false">IF(M978="",1,0)</f>
        <v>0</v>
      </c>
      <c r="X978" s="7" t="n">
        <f aca="false">COUNTIFS($B$2:$B$1141,B978,$H$2:$H$1141,H978,$I$2:$I$1141,I978,$J$2:$J$1141,J978,$K$2:$K$1141,K978,$L$2:$L$1141,L978)</f>
        <v>1</v>
      </c>
    </row>
    <row r="979" customFormat="false" ht="15" hidden="false" customHeight="false" outlineLevel="0" collapsed="false">
      <c r="A979" s="7" t="n">
        <f aca="false">ROW()-1</f>
        <v>978</v>
      </c>
      <c r="B979" s="7" t="str">
        <f aca="false">IF(Raw_Nigeria!B979="",TRIM(Raw_Nigeria!C979),TRIM(Raw_Nigeria!B979))</f>
        <v>Nigeria Demographic and Health Survey 2024</v>
      </c>
      <c r="C979" s="7" t="str">
        <f aca="false">IF(ISNUMBER(SEARCH("Demographic and Health",B979)),"DHS",IF(OR(ISNUMBER(SEARCH("Multiple Indicator Cluster",B979)),ISNUMBER(SEARCH("MICS",B979))),"MICS",IF(ISNUMBER(SEARCH("Immunization Coverage Survey",B979)),"Coverage survey",IF(ISNUMBER(SEARCH("Nutrition",B979)),"Nutrition survey","Other"))))</f>
        <v>DHS</v>
      </c>
      <c r="D979" s="7" t="n">
        <f aca="false">VALUE(LEFT(Raw_Nigeria!D979,4))</f>
        <v>2023</v>
      </c>
      <c r="E979" s="7" t="n">
        <f aca="false">IF(VALUE(RIGHT(Raw_Nigeria!D979,2))&gt;12,"",VALUE(RIGHT(Raw_Nigeria!D979,2)))</f>
        <v>12</v>
      </c>
      <c r="F979" s="7" t="n">
        <f aca="false">VALUE(LEFT(Raw_Nigeria!E979,4))</f>
        <v>2024</v>
      </c>
      <c r="G979" s="7" t="n">
        <f aca="false">IF(VALUE(RIGHT(Raw_Nigeria!E979,2))&gt;12,"",VALUE(RIGHT(Raw_Nigeria!E979,2)))</f>
        <v>5</v>
      </c>
      <c r="H979" s="7" t="n">
        <f aca="false">Raw_Nigeria!F979</f>
        <v>2021</v>
      </c>
      <c r="I979" s="7" t="str">
        <f aca="false">UPPER(TRIM(Raw_Nigeria!G979))</f>
        <v>PCV1</v>
      </c>
      <c r="J979" s="7" t="str">
        <f aca="false">Raw_Nigeria!H979</f>
        <v>Record</v>
      </c>
      <c r="K979" s="7" t="str">
        <f aca="false">Raw_Nigeria!L979</f>
        <v>24-35 m</v>
      </c>
      <c r="L979" s="7" t="str">
        <f aca="false">IF(Raw_Nigeria!K979="","n/a",Raw_Nigeria!K979)</f>
        <v>0-35 m</v>
      </c>
      <c r="M979" s="7" t="n">
        <f aca="false">IF(Raw_Nigeria!I979="","",Raw_Nigeria!I979)</f>
        <v>34.4</v>
      </c>
      <c r="N979" s="7" t="n">
        <f aca="false">Raw_Nigeria!M979</f>
        <v>32.7</v>
      </c>
      <c r="O979" s="7" t="n">
        <f aca="false">IF(Raw_Nigeria!N979="","",Raw_Nigeria!N979)</f>
        <v>1608</v>
      </c>
      <c r="P979" s="7" t="str">
        <f aca="false">IF(K979="CBAW","Women of child-bearing age","Children")</f>
        <v>Children</v>
      </c>
      <c r="Q979" s="7" t="n">
        <f aca="false">IF(J979="NOT USED",1,0)</f>
        <v>0</v>
      </c>
      <c r="R979" s="7" t="n">
        <f aca="false">IF(AND(P979="Children",Q979=0),1,0)</f>
        <v>1</v>
      </c>
      <c r="S979" s="7" t="n">
        <f aca="false">IF(AND(R979=1,J979="Record or Recall",K979="12-23 m"),1,0)</f>
        <v>0</v>
      </c>
      <c r="T979" s="7" t="n">
        <f aca="false">IF(OR(I979="BCG",I979="DTP1",I979="DTP3",I979="POL3",I979="MCV1",I979="FULL"),1,0)</f>
        <v>0</v>
      </c>
      <c r="U979" s="7" t="n">
        <f aca="false">IF(OR(C979="DHS",C979="MICS"),1,0)</f>
        <v>1</v>
      </c>
      <c r="V979" s="7" t="n">
        <f aca="false">IF(O979="",1,0)</f>
        <v>0</v>
      </c>
      <c r="W979" s="7" t="n">
        <f aca="false">IF(M979="",1,0)</f>
        <v>0</v>
      </c>
      <c r="X979" s="7" t="n">
        <f aca="false">COUNTIFS($B$2:$B$1141,B979,$H$2:$H$1141,H979,$I$2:$I$1141,I979,$J$2:$J$1141,J979,$K$2:$K$1141,K979,$L$2:$L$1141,L979)</f>
        <v>1</v>
      </c>
    </row>
    <row r="980" customFormat="false" ht="15" hidden="false" customHeight="false" outlineLevel="0" collapsed="false">
      <c r="A980" s="7" t="n">
        <f aca="false">ROW()-1</f>
        <v>979</v>
      </c>
      <c r="B980" s="7" t="str">
        <f aca="false">IF(Raw_Nigeria!B980="",TRIM(Raw_Nigeria!C980),TRIM(Raw_Nigeria!B980))</f>
        <v>Nigeria Demographic and Health Survey 2024</v>
      </c>
      <c r="C980" s="7" t="str">
        <f aca="false">IF(ISNUMBER(SEARCH("Demographic and Health",B980)),"DHS",IF(OR(ISNUMBER(SEARCH("Multiple Indicator Cluster",B980)),ISNUMBER(SEARCH("MICS",B980))),"MICS",IF(ISNUMBER(SEARCH("Immunization Coverage Survey",B980)),"Coverage survey",IF(ISNUMBER(SEARCH("Nutrition",B980)),"Nutrition survey","Other"))))</f>
        <v>DHS</v>
      </c>
      <c r="D980" s="7" t="n">
        <f aca="false">VALUE(LEFT(Raw_Nigeria!D980,4))</f>
        <v>2023</v>
      </c>
      <c r="E980" s="7" t="n">
        <f aca="false">IF(VALUE(RIGHT(Raw_Nigeria!D980,2))&gt;12,"",VALUE(RIGHT(Raw_Nigeria!D980,2)))</f>
        <v>12</v>
      </c>
      <c r="F980" s="7" t="n">
        <f aca="false">VALUE(LEFT(Raw_Nigeria!E980,4))</f>
        <v>2024</v>
      </c>
      <c r="G980" s="7" t="n">
        <f aca="false">IF(VALUE(RIGHT(Raw_Nigeria!E980,2))&gt;12,"",VALUE(RIGHT(Raw_Nigeria!E980,2)))</f>
        <v>5</v>
      </c>
      <c r="H980" s="7" t="n">
        <f aca="false">Raw_Nigeria!F980</f>
        <v>2021</v>
      </c>
      <c r="I980" s="7" t="str">
        <f aca="false">UPPER(TRIM(Raw_Nigeria!G980))</f>
        <v>PCV1</v>
      </c>
      <c r="J980" s="7" t="str">
        <f aca="false">Raw_Nigeria!H980</f>
        <v>Record or Recall</v>
      </c>
      <c r="K980" s="7" t="str">
        <f aca="false">Raw_Nigeria!L980</f>
        <v>24-35 m</v>
      </c>
      <c r="L980" s="7" t="str">
        <f aca="false">IF(Raw_Nigeria!K980="","n/a",Raw_Nigeria!K980)</f>
        <v>0-35 m</v>
      </c>
      <c r="M980" s="7" t="n">
        <f aca="false">IF(Raw_Nigeria!I980="","",Raw_Nigeria!I980)</f>
        <v>34.4</v>
      </c>
      <c r="N980" s="7" t="n">
        <f aca="false">Raw_Nigeria!M980</f>
        <v>56.7</v>
      </c>
      <c r="O980" s="7" t="n">
        <f aca="false">IF(Raw_Nigeria!N980="","",Raw_Nigeria!N980)</f>
        <v>4680</v>
      </c>
      <c r="P980" s="7" t="str">
        <f aca="false">IF(K980="CBAW","Women of child-bearing age","Children")</f>
        <v>Children</v>
      </c>
      <c r="Q980" s="7" t="n">
        <f aca="false">IF(J980="NOT USED",1,0)</f>
        <v>0</v>
      </c>
      <c r="R980" s="7" t="n">
        <f aca="false">IF(AND(P980="Children",Q980=0),1,0)</f>
        <v>1</v>
      </c>
      <c r="S980" s="7" t="n">
        <f aca="false">IF(AND(R980=1,J980="Record or Recall",K980="12-23 m"),1,0)</f>
        <v>0</v>
      </c>
      <c r="T980" s="7" t="n">
        <f aca="false">IF(OR(I980="BCG",I980="DTP1",I980="DTP3",I980="POL3",I980="MCV1",I980="FULL"),1,0)</f>
        <v>0</v>
      </c>
      <c r="U980" s="7" t="n">
        <f aca="false">IF(OR(C980="DHS",C980="MICS"),1,0)</f>
        <v>1</v>
      </c>
      <c r="V980" s="7" t="n">
        <f aca="false">IF(O980="",1,0)</f>
        <v>0</v>
      </c>
      <c r="W980" s="7" t="n">
        <f aca="false">IF(M980="",1,0)</f>
        <v>0</v>
      </c>
      <c r="X980" s="7" t="n">
        <f aca="false">COUNTIFS($B$2:$B$1141,B980,$H$2:$H$1141,H980,$I$2:$I$1141,I980,$J$2:$J$1141,J980,$K$2:$K$1141,K980,$L$2:$L$1141,L980)</f>
        <v>1</v>
      </c>
    </row>
    <row r="981" customFormat="false" ht="15" hidden="false" customHeight="false" outlineLevel="0" collapsed="false">
      <c r="A981" s="7" t="n">
        <f aca="false">ROW()-1</f>
        <v>980</v>
      </c>
      <c r="B981" s="7" t="str">
        <f aca="false">IF(Raw_Nigeria!B981="",TRIM(Raw_Nigeria!C981),TRIM(Raw_Nigeria!B981))</f>
        <v>Nigeria Demographic and Health Survey 2024</v>
      </c>
      <c r="C981" s="7" t="str">
        <f aca="false">IF(ISNUMBER(SEARCH("Demographic and Health",B981)),"DHS",IF(OR(ISNUMBER(SEARCH("Multiple Indicator Cluster",B981)),ISNUMBER(SEARCH("MICS",B981))),"MICS",IF(ISNUMBER(SEARCH("Immunization Coverage Survey",B981)),"Coverage survey",IF(ISNUMBER(SEARCH("Nutrition",B981)),"Nutrition survey","Other"))))</f>
        <v>DHS</v>
      </c>
      <c r="D981" s="7" t="n">
        <f aca="false">VALUE(LEFT(Raw_Nigeria!D981,4))</f>
        <v>2023</v>
      </c>
      <c r="E981" s="7" t="n">
        <f aca="false">IF(VALUE(RIGHT(Raw_Nigeria!D981,2))&gt;12,"",VALUE(RIGHT(Raw_Nigeria!D981,2)))</f>
        <v>12</v>
      </c>
      <c r="F981" s="7" t="n">
        <f aca="false">VALUE(LEFT(Raw_Nigeria!E981,4))</f>
        <v>2024</v>
      </c>
      <c r="G981" s="7" t="n">
        <f aca="false">IF(VALUE(RIGHT(Raw_Nigeria!E981,2))&gt;12,"",VALUE(RIGHT(Raw_Nigeria!E981,2)))</f>
        <v>5</v>
      </c>
      <c r="H981" s="7" t="n">
        <f aca="false">Raw_Nigeria!F981</f>
        <v>2021</v>
      </c>
      <c r="I981" s="7" t="str">
        <f aca="false">UPPER(TRIM(Raw_Nigeria!G981))</f>
        <v>PCV1</v>
      </c>
      <c r="J981" s="7" t="str">
        <f aca="false">Raw_Nigeria!H981</f>
        <v>Record or Recall&lt;12m</v>
      </c>
      <c r="K981" s="7" t="str">
        <f aca="false">Raw_Nigeria!L981</f>
        <v>24-35 m</v>
      </c>
      <c r="L981" s="7" t="str">
        <f aca="false">IF(Raw_Nigeria!K981="","n/a",Raw_Nigeria!K981)</f>
        <v>0-12 m</v>
      </c>
      <c r="M981" s="7" t="n">
        <f aca="false">IF(Raw_Nigeria!I981="","",Raw_Nigeria!I981)</f>
        <v>34.4</v>
      </c>
      <c r="N981" s="7" t="n">
        <f aca="false">Raw_Nigeria!M981</f>
        <v>55.1</v>
      </c>
      <c r="O981" s="7" t="n">
        <f aca="false">IF(Raw_Nigeria!N981="","",Raw_Nigeria!N981)</f>
        <v>4680</v>
      </c>
      <c r="P981" s="7" t="str">
        <f aca="false">IF(K981="CBAW","Women of child-bearing age","Children")</f>
        <v>Children</v>
      </c>
      <c r="Q981" s="7" t="n">
        <f aca="false">IF(J981="NOT USED",1,0)</f>
        <v>0</v>
      </c>
      <c r="R981" s="7" t="n">
        <f aca="false">IF(AND(P981="Children",Q981=0),1,0)</f>
        <v>1</v>
      </c>
      <c r="S981" s="7" t="n">
        <f aca="false">IF(AND(R981=1,J981="Record or Recall",K981="12-23 m"),1,0)</f>
        <v>0</v>
      </c>
      <c r="T981" s="7" t="n">
        <f aca="false">IF(OR(I981="BCG",I981="DTP1",I981="DTP3",I981="POL3",I981="MCV1",I981="FULL"),1,0)</f>
        <v>0</v>
      </c>
      <c r="U981" s="7" t="n">
        <f aca="false">IF(OR(C981="DHS",C981="MICS"),1,0)</f>
        <v>1</v>
      </c>
      <c r="V981" s="7" t="n">
        <f aca="false">IF(O981="",1,0)</f>
        <v>0</v>
      </c>
      <c r="W981" s="7" t="n">
        <f aca="false">IF(M981="",1,0)</f>
        <v>0</v>
      </c>
      <c r="X981" s="7" t="n">
        <f aca="false">COUNTIFS($B$2:$B$1141,B981,$H$2:$H$1141,H981,$I$2:$I$1141,I981,$J$2:$J$1141,J981,$K$2:$K$1141,K981,$L$2:$L$1141,L981)</f>
        <v>1</v>
      </c>
    </row>
    <row r="982" customFormat="false" ht="15" hidden="false" customHeight="false" outlineLevel="0" collapsed="false">
      <c r="A982" s="7" t="n">
        <f aca="false">ROW()-1</f>
        <v>981</v>
      </c>
      <c r="B982" s="7" t="str">
        <f aca="false">IF(Raw_Nigeria!B982="",TRIM(Raw_Nigeria!C982),TRIM(Raw_Nigeria!B982))</f>
        <v>Nigeria Demographic and Health Survey 2024</v>
      </c>
      <c r="C982" s="7" t="str">
        <f aca="false">IF(ISNUMBER(SEARCH("Demographic and Health",B982)),"DHS",IF(OR(ISNUMBER(SEARCH("Multiple Indicator Cluster",B982)),ISNUMBER(SEARCH("MICS",B982))),"MICS",IF(ISNUMBER(SEARCH("Immunization Coverage Survey",B982)),"Coverage survey",IF(ISNUMBER(SEARCH("Nutrition",B982)),"Nutrition survey","Other"))))</f>
        <v>DHS</v>
      </c>
      <c r="D982" s="7" t="n">
        <f aca="false">VALUE(LEFT(Raw_Nigeria!D982,4))</f>
        <v>2023</v>
      </c>
      <c r="E982" s="7" t="n">
        <f aca="false">IF(VALUE(RIGHT(Raw_Nigeria!D982,2))&gt;12,"",VALUE(RIGHT(Raw_Nigeria!D982,2)))</f>
        <v>12</v>
      </c>
      <c r="F982" s="7" t="n">
        <f aca="false">VALUE(LEFT(Raw_Nigeria!E982,4))</f>
        <v>2024</v>
      </c>
      <c r="G982" s="7" t="n">
        <f aca="false">IF(VALUE(RIGHT(Raw_Nigeria!E982,2))&gt;12,"",VALUE(RIGHT(Raw_Nigeria!E982,2)))</f>
        <v>5</v>
      </c>
      <c r="H982" s="7" t="n">
        <f aca="false">Raw_Nigeria!F982</f>
        <v>2021</v>
      </c>
      <c r="I982" s="7" t="str">
        <f aca="false">UPPER(TRIM(Raw_Nigeria!G982))</f>
        <v>PCV2</v>
      </c>
      <c r="J982" s="7" t="str">
        <f aca="false">Raw_Nigeria!H982</f>
        <v>Recall</v>
      </c>
      <c r="K982" s="7" t="str">
        <f aca="false">Raw_Nigeria!L982</f>
        <v>24-35 m</v>
      </c>
      <c r="L982" s="7" t="str">
        <f aca="false">IF(Raw_Nigeria!K982="","n/a",Raw_Nigeria!K982)</f>
        <v>0-35 m</v>
      </c>
      <c r="M982" s="7" t="n">
        <f aca="false">IF(Raw_Nigeria!I982="","",Raw_Nigeria!I982)</f>
        <v>34.4</v>
      </c>
      <c r="N982" s="7" t="n">
        <f aca="false">Raw_Nigeria!M982</f>
        <v>22.5</v>
      </c>
      <c r="O982" s="7" t="n">
        <f aca="false">IF(Raw_Nigeria!N982="","",Raw_Nigeria!N982)</f>
        <v>3072</v>
      </c>
      <c r="P982" s="7" t="str">
        <f aca="false">IF(K982="CBAW","Women of child-bearing age","Children")</f>
        <v>Children</v>
      </c>
      <c r="Q982" s="7" t="n">
        <f aca="false">IF(J982="NOT USED",1,0)</f>
        <v>0</v>
      </c>
      <c r="R982" s="7" t="n">
        <f aca="false">IF(AND(P982="Children",Q982=0),1,0)</f>
        <v>1</v>
      </c>
      <c r="S982" s="7" t="n">
        <f aca="false">IF(AND(R982=1,J982="Record or Recall",K982="12-23 m"),1,0)</f>
        <v>0</v>
      </c>
      <c r="T982" s="7" t="n">
        <f aca="false">IF(OR(I982="BCG",I982="DTP1",I982="DTP3",I982="POL3",I982="MCV1",I982="FULL"),1,0)</f>
        <v>0</v>
      </c>
      <c r="U982" s="7" t="n">
        <f aca="false">IF(OR(C982="DHS",C982="MICS"),1,0)</f>
        <v>1</v>
      </c>
      <c r="V982" s="7" t="n">
        <f aca="false">IF(O982="",1,0)</f>
        <v>0</v>
      </c>
      <c r="W982" s="7" t="n">
        <f aca="false">IF(M982="",1,0)</f>
        <v>0</v>
      </c>
      <c r="X982" s="7" t="n">
        <f aca="false">COUNTIFS($B$2:$B$1141,B982,$H$2:$H$1141,H982,$I$2:$I$1141,I982,$J$2:$J$1141,J982,$K$2:$K$1141,K982,$L$2:$L$1141,L982)</f>
        <v>1</v>
      </c>
    </row>
    <row r="983" customFormat="false" ht="15" hidden="false" customHeight="false" outlineLevel="0" collapsed="false">
      <c r="A983" s="7" t="n">
        <f aca="false">ROW()-1</f>
        <v>982</v>
      </c>
      <c r="B983" s="7" t="str">
        <f aca="false">IF(Raw_Nigeria!B983="",TRIM(Raw_Nigeria!C983),TRIM(Raw_Nigeria!B983))</f>
        <v>Nigeria Demographic and Health Survey 2024</v>
      </c>
      <c r="C983" s="7" t="str">
        <f aca="false">IF(ISNUMBER(SEARCH("Demographic and Health",B983)),"DHS",IF(OR(ISNUMBER(SEARCH("Multiple Indicator Cluster",B983)),ISNUMBER(SEARCH("MICS",B983))),"MICS",IF(ISNUMBER(SEARCH("Immunization Coverage Survey",B983)),"Coverage survey",IF(ISNUMBER(SEARCH("Nutrition",B983)),"Nutrition survey","Other"))))</f>
        <v>DHS</v>
      </c>
      <c r="D983" s="7" t="n">
        <f aca="false">VALUE(LEFT(Raw_Nigeria!D983,4))</f>
        <v>2023</v>
      </c>
      <c r="E983" s="7" t="n">
        <f aca="false">IF(VALUE(RIGHT(Raw_Nigeria!D983,2))&gt;12,"",VALUE(RIGHT(Raw_Nigeria!D983,2)))</f>
        <v>12</v>
      </c>
      <c r="F983" s="7" t="n">
        <f aca="false">VALUE(LEFT(Raw_Nigeria!E983,4))</f>
        <v>2024</v>
      </c>
      <c r="G983" s="7" t="n">
        <f aca="false">IF(VALUE(RIGHT(Raw_Nigeria!E983,2))&gt;12,"",VALUE(RIGHT(Raw_Nigeria!E983,2)))</f>
        <v>5</v>
      </c>
      <c r="H983" s="7" t="n">
        <f aca="false">Raw_Nigeria!F983</f>
        <v>2021</v>
      </c>
      <c r="I983" s="7" t="str">
        <f aca="false">UPPER(TRIM(Raw_Nigeria!G983))</f>
        <v>PCV2</v>
      </c>
      <c r="J983" s="7" t="str">
        <f aca="false">Raw_Nigeria!H983</f>
        <v>Record</v>
      </c>
      <c r="K983" s="7" t="str">
        <f aca="false">Raw_Nigeria!L983</f>
        <v>24-35 m</v>
      </c>
      <c r="L983" s="7" t="str">
        <f aca="false">IF(Raw_Nigeria!K983="","n/a",Raw_Nigeria!K983)</f>
        <v>0-35 m</v>
      </c>
      <c r="M983" s="7" t="n">
        <f aca="false">IF(Raw_Nigeria!I983="","",Raw_Nigeria!I983)</f>
        <v>34.4</v>
      </c>
      <c r="N983" s="7" t="n">
        <f aca="false">Raw_Nigeria!M983</f>
        <v>30.4</v>
      </c>
      <c r="O983" s="7" t="n">
        <f aca="false">IF(Raw_Nigeria!N983="","",Raw_Nigeria!N983)</f>
        <v>1608</v>
      </c>
      <c r="P983" s="7" t="str">
        <f aca="false">IF(K983="CBAW","Women of child-bearing age","Children")</f>
        <v>Children</v>
      </c>
      <c r="Q983" s="7" t="n">
        <f aca="false">IF(J983="NOT USED",1,0)</f>
        <v>0</v>
      </c>
      <c r="R983" s="7" t="n">
        <f aca="false">IF(AND(P983="Children",Q983=0),1,0)</f>
        <v>1</v>
      </c>
      <c r="S983" s="7" t="n">
        <f aca="false">IF(AND(R983=1,J983="Record or Recall",K983="12-23 m"),1,0)</f>
        <v>0</v>
      </c>
      <c r="T983" s="7" t="n">
        <f aca="false">IF(OR(I983="BCG",I983="DTP1",I983="DTP3",I983="POL3",I983="MCV1",I983="FULL"),1,0)</f>
        <v>0</v>
      </c>
      <c r="U983" s="7" t="n">
        <f aca="false">IF(OR(C983="DHS",C983="MICS"),1,0)</f>
        <v>1</v>
      </c>
      <c r="V983" s="7" t="n">
        <f aca="false">IF(O983="",1,0)</f>
        <v>0</v>
      </c>
      <c r="W983" s="7" t="n">
        <f aca="false">IF(M983="",1,0)</f>
        <v>0</v>
      </c>
      <c r="X983" s="7" t="n">
        <f aca="false">COUNTIFS($B$2:$B$1141,B983,$H$2:$H$1141,H983,$I$2:$I$1141,I983,$J$2:$J$1141,J983,$K$2:$K$1141,K983,$L$2:$L$1141,L983)</f>
        <v>1</v>
      </c>
    </row>
    <row r="984" customFormat="false" ht="15" hidden="false" customHeight="false" outlineLevel="0" collapsed="false">
      <c r="A984" s="7" t="n">
        <f aca="false">ROW()-1</f>
        <v>983</v>
      </c>
      <c r="B984" s="7" t="str">
        <f aca="false">IF(Raw_Nigeria!B984="",TRIM(Raw_Nigeria!C984),TRIM(Raw_Nigeria!B984))</f>
        <v>Nigeria Demographic and Health Survey 2024</v>
      </c>
      <c r="C984" s="7" t="str">
        <f aca="false">IF(ISNUMBER(SEARCH("Demographic and Health",B984)),"DHS",IF(OR(ISNUMBER(SEARCH("Multiple Indicator Cluster",B984)),ISNUMBER(SEARCH("MICS",B984))),"MICS",IF(ISNUMBER(SEARCH("Immunization Coverage Survey",B984)),"Coverage survey",IF(ISNUMBER(SEARCH("Nutrition",B984)),"Nutrition survey","Other"))))</f>
        <v>DHS</v>
      </c>
      <c r="D984" s="7" t="n">
        <f aca="false">VALUE(LEFT(Raw_Nigeria!D984,4))</f>
        <v>2023</v>
      </c>
      <c r="E984" s="7" t="n">
        <f aca="false">IF(VALUE(RIGHT(Raw_Nigeria!D984,2))&gt;12,"",VALUE(RIGHT(Raw_Nigeria!D984,2)))</f>
        <v>12</v>
      </c>
      <c r="F984" s="7" t="n">
        <f aca="false">VALUE(LEFT(Raw_Nigeria!E984,4))</f>
        <v>2024</v>
      </c>
      <c r="G984" s="7" t="n">
        <f aca="false">IF(VALUE(RIGHT(Raw_Nigeria!E984,2))&gt;12,"",VALUE(RIGHT(Raw_Nigeria!E984,2)))</f>
        <v>5</v>
      </c>
      <c r="H984" s="7" t="n">
        <f aca="false">Raw_Nigeria!F984</f>
        <v>2021</v>
      </c>
      <c r="I984" s="7" t="str">
        <f aca="false">UPPER(TRIM(Raw_Nigeria!G984))</f>
        <v>PCV2</v>
      </c>
      <c r="J984" s="7" t="str">
        <f aca="false">Raw_Nigeria!H984</f>
        <v>Record or Recall</v>
      </c>
      <c r="K984" s="7" t="str">
        <f aca="false">Raw_Nigeria!L984</f>
        <v>24-35 m</v>
      </c>
      <c r="L984" s="7" t="str">
        <f aca="false">IF(Raw_Nigeria!K984="","n/a",Raw_Nigeria!K984)</f>
        <v>0-35 m</v>
      </c>
      <c r="M984" s="7" t="n">
        <f aca="false">IF(Raw_Nigeria!I984="","",Raw_Nigeria!I984)</f>
        <v>34.4</v>
      </c>
      <c r="N984" s="7" t="n">
        <f aca="false">Raw_Nigeria!M984</f>
        <v>52.9</v>
      </c>
      <c r="O984" s="7" t="n">
        <f aca="false">IF(Raw_Nigeria!N984="","",Raw_Nigeria!N984)</f>
        <v>4680</v>
      </c>
      <c r="P984" s="7" t="str">
        <f aca="false">IF(K984="CBAW","Women of child-bearing age","Children")</f>
        <v>Children</v>
      </c>
      <c r="Q984" s="7" t="n">
        <f aca="false">IF(J984="NOT USED",1,0)</f>
        <v>0</v>
      </c>
      <c r="R984" s="7" t="n">
        <f aca="false">IF(AND(P984="Children",Q984=0),1,0)</f>
        <v>1</v>
      </c>
      <c r="S984" s="7" t="n">
        <f aca="false">IF(AND(R984=1,J984="Record or Recall",K984="12-23 m"),1,0)</f>
        <v>0</v>
      </c>
      <c r="T984" s="7" t="n">
        <f aca="false">IF(OR(I984="BCG",I984="DTP1",I984="DTP3",I984="POL3",I984="MCV1",I984="FULL"),1,0)</f>
        <v>0</v>
      </c>
      <c r="U984" s="7" t="n">
        <f aca="false">IF(OR(C984="DHS",C984="MICS"),1,0)</f>
        <v>1</v>
      </c>
      <c r="V984" s="7" t="n">
        <f aca="false">IF(O984="",1,0)</f>
        <v>0</v>
      </c>
      <c r="W984" s="7" t="n">
        <f aca="false">IF(M984="",1,0)</f>
        <v>0</v>
      </c>
      <c r="X984" s="7" t="n">
        <f aca="false">COUNTIFS($B$2:$B$1141,B984,$H$2:$H$1141,H984,$I$2:$I$1141,I984,$J$2:$J$1141,J984,$K$2:$K$1141,K984,$L$2:$L$1141,L984)</f>
        <v>1</v>
      </c>
    </row>
    <row r="985" customFormat="false" ht="15" hidden="false" customHeight="false" outlineLevel="0" collapsed="false">
      <c r="A985" s="7" t="n">
        <f aca="false">ROW()-1</f>
        <v>984</v>
      </c>
      <c r="B985" s="7" t="str">
        <f aca="false">IF(Raw_Nigeria!B985="",TRIM(Raw_Nigeria!C985),TRIM(Raw_Nigeria!B985))</f>
        <v>Nigeria Demographic and Health Survey 2024</v>
      </c>
      <c r="C985" s="7" t="str">
        <f aca="false">IF(ISNUMBER(SEARCH("Demographic and Health",B985)),"DHS",IF(OR(ISNUMBER(SEARCH("Multiple Indicator Cluster",B985)),ISNUMBER(SEARCH("MICS",B985))),"MICS",IF(ISNUMBER(SEARCH("Immunization Coverage Survey",B985)),"Coverage survey",IF(ISNUMBER(SEARCH("Nutrition",B985)),"Nutrition survey","Other"))))</f>
        <v>DHS</v>
      </c>
      <c r="D985" s="7" t="n">
        <f aca="false">VALUE(LEFT(Raw_Nigeria!D985,4))</f>
        <v>2023</v>
      </c>
      <c r="E985" s="7" t="n">
        <f aca="false">IF(VALUE(RIGHT(Raw_Nigeria!D985,2))&gt;12,"",VALUE(RIGHT(Raw_Nigeria!D985,2)))</f>
        <v>12</v>
      </c>
      <c r="F985" s="7" t="n">
        <f aca="false">VALUE(LEFT(Raw_Nigeria!E985,4))</f>
        <v>2024</v>
      </c>
      <c r="G985" s="7" t="n">
        <f aca="false">IF(VALUE(RIGHT(Raw_Nigeria!E985,2))&gt;12,"",VALUE(RIGHT(Raw_Nigeria!E985,2)))</f>
        <v>5</v>
      </c>
      <c r="H985" s="7" t="n">
        <f aca="false">Raw_Nigeria!F985</f>
        <v>2021</v>
      </c>
      <c r="I985" s="7" t="str">
        <f aca="false">UPPER(TRIM(Raw_Nigeria!G985))</f>
        <v>PCV2</v>
      </c>
      <c r="J985" s="7" t="str">
        <f aca="false">Raw_Nigeria!H985</f>
        <v>Record or Recall&lt;12m</v>
      </c>
      <c r="K985" s="7" t="str">
        <f aca="false">Raw_Nigeria!L985</f>
        <v>24-35 m</v>
      </c>
      <c r="L985" s="7" t="str">
        <f aca="false">IF(Raw_Nigeria!K985="","n/a",Raw_Nigeria!K985)</f>
        <v>0-12 m</v>
      </c>
      <c r="M985" s="7" t="n">
        <f aca="false">IF(Raw_Nigeria!I985="","",Raw_Nigeria!I985)</f>
        <v>34.4</v>
      </c>
      <c r="N985" s="7" t="n">
        <f aca="false">Raw_Nigeria!M985</f>
        <v>50.9</v>
      </c>
      <c r="O985" s="7" t="n">
        <f aca="false">IF(Raw_Nigeria!N985="","",Raw_Nigeria!N985)</f>
        <v>4680</v>
      </c>
      <c r="P985" s="7" t="str">
        <f aca="false">IF(K985="CBAW","Women of child-bearing age","Children")</f>
        <v>Children</v>
      </c>
      <c r="Q985" s="7" t="n">
        <f aca="false">IF(J985="NOT USED",1,0)</f>
        <v>0</v>
      </c>
      <c r="R985" s="7" t="n">
        <f aca="false">IF(AND(P985="Children",Q985=0),1,0)</f>
        <v>1</v>
      </c>
      <c r="S985" s="7" t="n">
        <f aca="false">IF(AND(R985=1,J985="Record or Recall",K985="12-23 m"),1,0)</f>
        <v>0</v>
      </c>
      <c r="T985" s="7" t="n">
        <f aca="false">IF(OR(I985="BCG",I985="DTP1",I985="DTP3",I985="POL3",I985="MCV1",I985="FULL"),1,0)</f>
        <v>0</v>
      </c>
      <c r="U985" s="7" t="n">
        <f aca="false">IF(OR(C985="DHS",C985="MICS"),1,0)</f>
        <v>1</v>
      </c>
      <c r="V985" s="7" t="n">
        <f aca="false">IF(O985="",1,0)</f>
        <v>0</v>
      </c>
      <c r="W985" s="7" t="n">
        <f aca="false">IF(M985="",1,0)</f>
        <v>0</v>
      </c>
      <c r="X985" s="7" t="n">
        <f aca="false">COUNTIFS($B$2:$B$1141,B985,$H$2:$H$1141,H985,$I$2:$I$1141,I985,$J$2:$J$1141,J985,$K$2:$K$1141,K985,$L$2:$L$1141,L985)</f>
        <v>1</v>
      </c>
    </row>
    <row r="986" customFormat="false" ht="15" hidden="false" customHeight="false" outlineLevel="0" collapsed="false">
      <c r="A986" s="7" t="n">
        <f aca="false">ROW()-1</f>
        <v>985</v>
      </c>
      <c r="B986" s="7" t="str">
        <f aca="false">IF(Raw_Nigeria!B986="",TRIM(Raw_Nigeria!C986),TRIM(Raw_Nigeria!B986))</f>
        <v>Nigeria Demographic and Health Survey 2024</v>
      </c>
      <c r="C986" s="7" t="str">
        <f aca="false">IF(ISNUMBER(SEARCH("Demographic and Health",B986)),"DHS",IF(OR(ISNUMBER(SEARCH("Multiple Indicator Cluster",B986)),ISNUMBER(SEARCH("MICS",B986))),"MICS",IF(ISNUMBER(SEARCH("Immunization Coverage Survey",B986)),"Coverage survey",IF(ISNUMBER(SEARCH("Nutrition",B986)),"Nutrition survey","Other"))))</f>
        <v>DHS</v>
      </c>
      <c r="D986" s="7" t="n">
        <f aca="false">VALUE(LEFT(Raw_Nigeria!D986,4))</f>
        <v>2023</v>
      </c>
      <c r="E986" s="7" t="n">
        <f aca="false">IF(VALUE(RIGHT(Raw_Nigeria!D986,2))&gt;12,"",VALUE(RIGHT(Raw_Nigeria!D986,2)))</f>
        <v>12</v>
      </c>
      <c r="F986" s="7" t="n">
        <f aca="false">VALUE(LEFT(Raw_Nigeria!E986,4))</f>
        <v>2024</v>
      </c>
      <c r="G986" s="7" t="n">
        <f aca="false">IF(VALUE(RIGHT(Raw_Nigeria!E986,2))&gt;12,"",VALUE(RIGHT(Raw_Nigeria!E986,2)))</f>
        <v>5</v>
      </c>
      <c r="H986" s="7" t="n">
        <f aca="false">Raw_Nigeria!F986</f>
        <v>2021</v>
      </c>
      <c r="I986" s="7" t="str">
        <f aca="false">UPPER(TRIM(Raw_Nigeria!G986))</f>
        <v>PCVC</v>
      </c>
      <c r="J986" s="7" t="str">
        <f aca="false">Raw_Nigeria!H986</f>
        <v>Recall</v>
      </c>
      <c r="K986" s="7" t="str">
        <f aca="false">Raw_Nigeria!L986</f>
        <v>24-35 m</v>
      </c>
      <c r="L986" s="7" t="str">
        <f aca="false">IF(Raw_Nigeria!K986="","n/a",Raw_Nigeria!K986)</f>
        <v>0-35 m</v>
      </c>
      <c r="M986" s="7" t="n">
        <f aca="false">IF(Raw_Nigeria!I986="","",Raw_Nigeria!I986)</f>
        <v>34.4</v>
      </c>
      <c r="N986" s="7" t="n">
        <f aca="false">Raw_Nigeria!M986</f>
        <v>17.6</v>
      </c>
      <c r="O986" s="7" t="n">
        <f aca="false">IF(Raw_Nigeria!N986="","",Raw_Nigeria!N986)</f>
        <v>3072</v>
      </c>
      <c r="P986" s="7" t="str">
        <f aca="false">IF(K986="CBAW","Women of child-bearing age","Children")</f>
        <v>Children</v>
      </c>
      <c r="Q986" s="7" t="n">
        <f aca="false">IF(J986="NOT USED",1,0)</f>
        <v>0</v>
      </c>
      <c r="R986" s="7" t="n">
        <f aca="false">IF(AND(P986="Children",Q986=0),1,0)</f>
        <v>1</v>
      </c>
      <c r="S986" s="7" t="n">
        <f aca="false">IF(AND(R986=1,J986="Record or Recall",K986="12-23 m"),1,0)</f>
        <v>0</v>
      </c>
      <c r="T986" s="7" t="n">
        <f aca="false">IF(OR(I986="BCG",I986="DTP1",I986="DTP3",I986="POL3",I986="MCV1",I986="FULL"),1,0)</f>
        <v>0</v>
      </c>
      <c r="U986" s="7" t="n">
        <f aca="false">IF(OR(C986="DHS",C986="MICS"),1,0)</f>
        <v>1</v>
      </c>
      <c r="V986" s="7" t="n">
        <f aca="false">IF(O986="",1,0)</f>
        <v>0</v>
      </c>
      <c r="W986" s="7" t="n">
        <f aca="false">IF(M986="",1,0)</f>
        <v>0</v>
      </c>
      <c r="X986" s="7" t="n">
        <f aca="false">COUNTIFS($B$2:$B$1141,B986,$H$2:$H$1141,H986,$I$2:$I$1141,I986,$J$2:$J$1141,J986,$K$2:$K$1141,K986,$L$2:$L$1141,L986)</f>
        <v>1</v>
      </c>
    </row>
    <row r="987" customFormat="false" ht="15" hidden="false" customHeight="false" outlineLevel="0" collapsed="false">
      <c r="A987" s="7" t="n">
        <f aca="false">ROW()-1</f>
        <v>986</v>
      </c>
      <c r="B987" s="7" t="str">
        <f aca="false">IF(Raw_Nigeria!B987="",TRIM(Raw_Nigeria!C987),TRIM(Raw_Nigeria!B987))</f>
        <v>Nigeria Demographic and Health Survey 2024</v>
      </c>
      <c r="C987" s="7" t="str">
        <f aca="false">IF(ISNUMBER(SEARCH("Demographic and Health",B987)),"DHS",IF(OR(ISNUMBER(SEARCH("Multiple Indicator Cluster",B987)),ISNUMBER(SEARCH("MICS",B987))),"MICS",IF(ISNUMBER(SEARCH("Immunization Coverage Survey",B987)),"Coverage survey",IF(ISNUMBER(SEARCH("Nutrition",B987)),"Nutrition survey","Other"))))</f>
        <v>DHS</v>
      </c>
      <c r="D987" s="7" t="n">
        <f aca="false">VALUE(LEFT(Raw_Nigeria!D987,4))</f>
        <v>2023</v>
      </c>
      <c r="E987" s="7" t="n">
        <f aca="false">IF(VALUE(RIGHT(Raw_Nigeria!D987,2))&gt;12,"",VALUE(RIGHT(Raw_Nigeria!D987,2)))</f>
        <v>12</v>
      </c>
      <c r="F987" s="7" t="n">
        <f aca="false">VALUE(LEFT(Raw_Nigeria!E987,4))</f>
        <v>2024</v>
      </c>
      <c r="G987" s="7" t="n">
        <f aca="false">IF(VALUE(RIGHT(Raw_Nigeria!E987,2))&gt;12,"",VALUE(RIGHT(Raw_Nigeria!E987,2)))</f>
        <v>5</v>
      </c>
      <c r="H987" s="7" t="n">
        <f aca="false">Raw_Nigeria!F987</f>
        <v>2021</v>
      </c>
      <c r="I987" s="7" t="str">
        <f aca="false">UPPER(TRIM(Raw_Nigeria!G987))</f>
        <v>PCVC</v>
      </c>
      <c r="J987" s="7" t="str">
        <f aca="false">Raw_Nigeria!H987</f>
        <v>Record</v>
      </c>
      <c r="K987" s="7" t="str">
        <f aca="false">Raw_Nigeria!L987</f>
        <v>24-35 m</v>
      </c>
      <c r="L987" s="7" t="str">
        <f aca="false">IF(Raw_Nigeria!K987="","n/a",Raw_Nigeria!K987)</f>
        <v>0-35 m</v>
      </c>
      <c r="M987" s="7" t="n">
        <f aca="false">IF(Raw_Nigeria!I987="","",Raw_Nigeria!I987)</f>
        <v>34.4</v>
      </c>
      <c r="N987" s="7" t="n">
        <f aca="false">Raw_Nigeria!M987</f>
        <v>28</v>
      </c>
      <c r="O987" s="7" t="n">
        <f aca="false">IF(Raw_Nigeria!N987="","",Raw_Nigeria!N987)</f>
        <v>1608</v>
      </c>
      <c r="P987" s="7" t="str">
        <f aca="false">IF(K987="CBAW","Women of child-bearing age","Children")</f>
        <v>Children</v>
      </c>
      <c r="Q987" s="7" t="n">
        <f aca="false">IF(J987="NOT USED",1,0)</f>
        <v>0</v>
      </c>
      <c r="R987" s="7" t="n">
        <f aca="false">IF(AND(P987="Children",Q987=0),1,0)</f>
        <v>1</v>
      </c>
      <c r="S987" s="7" t="n">
        <f aca="false">IF(AND(R987=1,J987="Record or Recall",K987="12-23 m"),1,0)</f>
        <v>0</v>
      </c>
      <c r="T987" s="7" t="n">
        <f aca="false">IF(OR(I987="BCG",I987="DTP1",I987="DTP3",I987="POL3",I987="MCV1",I987="FULL"),1,0)</f>
        <v>0</v>
      </c>
      <c r="U987" s="7" t="n">
        <f aca="false">IF(OR(C987="DHS",C987="MICS"),1,0)</f>
        <v>1</v>
      </c>
      <c r="V987" s="7" t="n">
        <f aca="false">IF(O987="",1,0)</f>
        <v>0</v>
      </c>
      <c r="W987" s="7" t="n">
        <f aca="false">IF(M987="",1,0)</f>
        <v>0</v>
      </c>
      <c r="X987" s="7" t="n">
        <f aca="false">COUNTIFS($B$2:$B$1141,B987,$H$2:$H$1141,H987,$I$2:$I$1141,I987,$J$2:$J$1141,J987,$K$2:$K$1141,K987,$L$2:$L$1141,L987)</f>
        <v>1</v>
      </c>
    </row>
    <row r="988" customFormat="false" ht="15" hidden="false" customHeight="false" outlineLevel="0" collapsed="false">
      <c r="A988" s="7" t="n">
        <f aca="false">ROW()-1</f>
        <v>987</v>
      </c>
      <c r="B988" s="7" t="str">
        <f aca="false">IF(Raw_Nigeria!B988="",TRIM(Raw_Nigeria!C988),TRIM(Raw_Nigeria!B988))</f>
        <v>Nigeria Demographic and Health Survey 2024</v>
      </c>
      <c r="C988" s="7" t="str">
        <f aca="false">IF(ISNUMBER(SEARCH("Demographic and Health",B988)),"DHS",IF(OR(ISNUMBER(SEARCH("Multiple Indicator Cluster",B988)),ISNUMBER(SEARCH("MICS",B988))),"MICS",IF(ISNUMBER(SEARCH("Immunization Coverage Survey",B988)),"Coverage survey",IF(ISNUMBER(SEARCH("Nutrition",B988)),"Nutrition survey","Other"))))</f>
        <v>DHS</v>
      </c>
      <c r="D988" s="7" t="n">
        <f aca="false">VALUE(LEFT(Raw_Nigeria!D988,4))</f>
        <v>2023</v>
      </c>
      <c r="E988" s="7" t="n">
        <f aca="false">IF(VALUE(RIGHT(Raw_Nigeria!D988,2))&gt;12,"",VALUE(RIGHT(Raw_Nigeria!D988,2)))</f>
        <v>12</v>
      </c>
      <c r="F988" s="7" t="n">
        <f aca="false">VALUE(LEFT(Raw_Nigeria!E988,4))</f>
        <v>2024</v>
      </c>
      <c r="G988" s="7" t="n">
        <f aca="false">IF(VALUE(RIGHT(Raw_Nigeria!E988,2))&gt;12,"",VALUE(RIGHT(Raw_Nigeria!E988,2)))</f>
        <v>5</v>
      </c>
      <c r="H988" s="7" t="n">
        <f aca="false">Raw_Nigeria!F988</f>
        <v>2021</v>
      </c>
      <c r="I988" s="7" t="str">
        <f aca="false">UPPER(TRIM(Raw_Nigeria!G988))</f>
        <v>PCVC</v>
      </c>
      <c r="J988" s="7" t="str">
        <f aca="false">Raw_Nigeria!H988</f>
        <v>Record or Recall</v>
      </c>
      <c r="K988" s="7" t="str">
        <f aca="false">Raw_Nigeria!L988</f>
        <v>24-35 m</v>
      </c>
      <c r="L988" s="7" t="str">
        <f aca="false">IF(Raw_Nigeria!K988="","n/a",Raw_Nigeria!K988)</f>
        <v>0-35 m</v>
      </c>
      <c r="M988" s="7" t="n">
        <f aca="false">IF(Raw_Nigeria!I988="","",Raw_Nigeria!I988)</f>
        <v>34.4</v>
      </c>
      <c r="N988" s="7" t="n">
        <f aca="false">Raw_Nigeria!M988</f>
        <v>45.6</v>
      </c>
      <c r="O988" s="7" t="n">
        <f aca="false">IF(Raw_Nigeria!N988="","",Raw_Nigeria!N988)</f>
        <v>4680</v>
      </c>
      <c r="P988" s="7" t="str">
        <f aca="false">IF(K988="CBAW","Women of child-bearing age","Children")</f>
        <v>Children</v>
      </c>
      <c r="Q988" s="7" t="n">
        <f aca="false">IF(J988="NOT USED",1,0)</f>
        <v>0</v>
      </c>
      <c r="R988" s="7" t="n">
        <f aca="false">IF(AND(P988="Children",Q988=0),1,0)</f>
        <v>1</v>
      </c>
      <c r="S988" s="7" t="n">
        <f aca="false">IF(AND(R988=1,J988="Record or Recall",K988="12-23 m"),1,0)</f>
        <v>0</v>
      </c>
      <c r="T988" s="7" t="n">
        <f aca="false">IF(OR(I988="BCG",I988="DTP1",I988="DTP3",I988="POL3",I988="MCV1",I988="FULL"),1,0)</f>
        <v>0</v>
      </c>
      <c r="U988" s="7" t="n">
        <f aca="false">IF(OR(C988="DHS",C988="MICS"),1,0)</f>
        <v>1</v>
      </c>
      <c r="V988" s="7" t="n">
        <f aca="false">IF(O988="",1,0)</f>
        <v>0</v>
      </c>
      <c r="W988" s="7" t="n">
        <f aca="false">IF(M988="",1,0)</f>
        <v>0</v>
      </c>
      <c r="X988" s="7" t="n">
        <f aca="false">COUNTIFS($B$2:$B$1141,B988,$H$2:$H$1141,H988,$I$2:$I$1141,I988,$J$2:$J$1141,J988,$K$2:$K$1141,K988,$L$2:$L$1141,L988)</f>
        <v>1</v>
      </c>
    </row>
    <row r="989" customFormat="false" ht="15" hidden="false" customHeight="false" outlineLevel="0" collapsed="false">
      <c r="A989" s="7" t="n">
        <f aca="false">ROW()-1</f>
        <v>988</v>
      </c>
      <c r="B989" s="7" t="str">
        <f aca="false">IF(Raw_Nigeria!B989="",TRIM(Raw_Nigeria!C989),TRIM(Raw_Nigeria!B989))</f>
        <v>Nigeria Demographic and Health Survey 2024</v>
      </c>
      <c r="C989" s="7" t="str">
        <f aca="false">IF(ISNUMBER(SEARCH("Demographic and Health",B989)),"DHS",IF(OR(ISNUMBER(SEARCH("Multiple Indicator Cluster",B989)),ISNUMBER(SEARCH("MICS",B989))),"MICS",IF(ISNUMBER(SEARCH("Immunization Coverage Survey",B989)),"Coverage survey",IF(ISNUMBER(SEARCH("Nutrition",B989)),"Nutrition survey","Other"))))</f>
        <v>DHS</v>
      </c>
      <c r="D989" s="7" t="n">
        <f aca="false">VALUE(LEFT(Raw_Nigeria!D989,4))</f>
        <v>2023</v>
      </c>
      <c r="E989" s="7" t="n">
        <f aca="false">IF(VALUE(RIGHT(Raw_Nigeria!D989,2))&gt;12,"",VALUE(RIGHT(Raw_Nigeria!D989,2)))</f>
        <v>12</v>
      </c>
      <c r="F989" s="7" t="n">
        <f aca="false">VALUE(LEFT(Raw_Nigeria!E989,4))</f>
        <v>2024</v>
      </c>
      <c r="G989" s="7" t="n">
        <f aca="false">IF(VALUE(RIGHT(Raw_Nigeria!E989,2))&gt;12,"",VALUE(RIGHT(Raw_Nigeria!E989,2)))</f>
        <v>5</v>
      </c>
      <c r="H989" s="7" t="n">
        <f aca="false">Raw_Nigeria!F989</f>
        <v>2021</v>
      </c>
      <c r="I989" s="7" t="str">
        <f aca="false">UPPER(TRIM(Raw_Nigeria!G989))</f>
        <v>PCVC</v>
      </c>
      <c r="J989" s="7" t="str">
        <f aca="false">Raw_Nigeria!H989</f>
        <v>Record or Recall&lt;12m</v>
      </c>
      <c r="K989" s="7" t="str">
        <f aca="false">Raw_Nigeria!L989</f>
        <v>24-35 m</v>
      </c>
      <c r="L989" s="7" t="str">
        <f aca="false">IF(Raw_Nigeria!K989="","n/a",Raw_Nigeria!K989)</f>
        <v>0-12 m</v>
      </c>
      <c r="M989" s="7" t="n">
        <f aca="false">IF(Raw_Nigeria!I989="","",Raw_Nigeria!I989)</f>
        <v>34.4</v>
      </c>
      <c r="N989" s="7" t="n">
        <f aca="false">Raw_Nigeria!M989</f>
        <v>43.2</v>
      </c>
      <c r="O989" s="7" t="n">
        <f aca="false">IF(Raw_Nigeria!N989="","",Raw_Nigeria!N989)</f>
        <v>4680</v>
      </c>
      <c r="P989" s="7" t="str">
        <f aca="false">IF(K989="CBAW","Women of child-bearing age","Children")</f>
        <v>Children</v>
      </c>
      <c r="Q989" s="7" t="n">
        <f aca="false">IF(J989="NOT USED",1,0)</f>
        <v>0</v>
      </c>
      <c r="R989" s="7" t="n">
        <f aca="false">IF(AND(P989="Children",Q989=0),1,0)</f>
        <v>1</v>
      </c>
      <c r="S989" s="7" t="n">
        <f aca="false">IF(AND(R989=1,J989="Record or Recall",K989="12-23 m"),1,0)</f>
        <v>0</v>
      </c>
      <c r="T989" s="7" t="n">
        <f aca="false">IF(OR(I989="BCG",I989="DTP1",I989="DTP3",I989="POL3",I989="MCV1",I989="FULL"),1,0)</f>
        <v>0</v>
      </c>
      <c r="U989" s="7" t="n">
        <f aca="false">IF(OR(C989="DHS",C989="MICS"),1,0)</f>
        <v>1</v>
      </c>
      <c r="V989" s="7" t="n">
        <f aca="false">IF(O989="",1,0)</f>
        <v>0</v>
      </c>
      <c r="W989" s="7" t="n">
        <f aca="false">IF(M989="",1,0)</f>
        <v>0</v>
      </c>
      <c r="X989" s="7" t="n">
        <f aca="false">COUNTIFS($B$2:$B$1141,B989,$H$2:$H$1141,H989,$I$2:$I$1141,I989,$J$2:$J$1141,J989,$K$2:$K$1141,K989,$L$2:$L$1141,L989)</f>
        <v>1</v>
      </c>
    </row>
    <row r="990" customFormat="false" ht="15" hidden="false" customHeight="false" outlineLevel="0" collapsed="false">
      <c r="A990" s="7" t="n">
        <f aca="false">ROW()-1</f>
        <v>989</v>
      </c>
      <c r="B990" s="7" t="str">
        <f aca="false">IF(Raw_Nigeria!B990="",TRIM(Raw_Nigeria!C990),TRIM(Raw_Nigeria!B990))</f>
        <v>Nigeria Demographic and Health Survey 2024</v>
      </c>
      <c r="C990" s="7" t="str">
        <f aca="false">IF(ISNUMBER(SEARCH("Demographic and Health",B990)),"DHS",IF(OR(ISNUMBER(SEARCH("Multiple Indicator Cluster",B990)),ISNUMBER(SEARCH("MICS",B990))),"MICS",IF(ISNUMBER(SEARCH("Immunization Coverage Survey",B990)),"Coverage survey",IF(ISNUMBER(SEARCH("Nutrition",B990)),"Nutrition survey","Other"))))</f>
        <v>DHS</v>
      </c>
      <c r="D990" s="7" t="n">
        <f aca="false">VALUE(LEFT(Raw_Nigeria!D990,4))</f>
        <v>2023</v>
      </c>
      <c r="E990" s="7" t="n">
        <f aca="false">IF(VALUE(RIGHT(Raw_Nigeria!D990,2))&gt;12,"",VALUE(RIGHT(Raw_Nigeria!D990,2)))</f>
        <v>12</v>
      </c>
      <c r="F990" s="7" t="n">
        <f aca="false">VALUE(LEFT(Raw_Nigeria!E990,4))</f>
        <v>2024</v>
      </c>
      <c r="G990" s="7" t="n">
        <f aca="false">IF(VALUE(RIGHT(Raw_Nigeria!E990,2))&gt;12,"",VALUE(RIGHT(Raw_Nigeria!E990,2)))</f>
        <v>5</v>
      </c>
      <c r="H990" s="7" t="n">
        <f aca="false">Raw_Nigeria!F990</f>
        <v>2021</v>
      </c>
      <c r="I990" s="7" t="str">
        <f aca="false">UPPER(TRIM(Raw_Nigeria!G990))</f>
        <v>POL0</v>
      </c>
      <c r="J990" s="7" t="str">
        <f aca="false">Raw_Nigeria!H990</f>
        <v>Recall</v>
      </c>
      <c r="K990" s="7" t="str">
        <f aca="false">Raw_Nigeria!L990</f>
        <v>24-35 m</v>
      </c>
      <c r="L990" s="7" t="str">
        <f aca="false">IF(Raw_Nigeria!K990="","n/a",Raw_Nigeria!K990)</f>
        <v>0-35 m</v>
      </c>
      <c r="M990" s="7" t="n">
        <f aca="false">IF(Raw_Nigeria!I990="","",Raw_Nigeria!I990)</f>
        <v>34.4</v>
      </c>
      <c r="N990" s="7" t="n">
        <f aca="false">Raw_Nigeria!M990</f>
        <v>21.9</v>
      </c>
      <c r="O990" s="7" t="n">
        <f aca="false">IF(Raw_Nigeria!N990="","",Raw_Nigeria!N990)</f>
        <v>3072</v>
      </c>
      <c r="P990" s="7" t="str">
        <f aca="false">IF(K990="CBAW","Women of child-bearing age","Children")</f>
        <v>Children</v>
      </c>
      <c r="Q990" s="7" t="n">
        <f aca="false">IF(J990="NOT USED",1,0)</f>
        <v>0</v>
      </c>
      <c r="R990" s="7" t="n">
        <f aca="false">IF(AND(P990="Children",Q990=0),1,0)</f>
        <v>1</v>
      </c>
      <c r="S990" s="7" t="n">
        <f aca="false">IF(AND(R990=1,J990="Record or Recall",K990="12-23 m"),1,0)</f>
        <v>0</v>
      </c>
      <c r="T990" s="7" t="n">
        <f aca="false">IF(OR(I990="BCG",I990="DTP1",I990="DTP3",I990="POL3",I990="MCV1",I990="FULL"),1,0)</f>
        <v>0</v>
      </c>
      <c r="U990" s="7" t="n">
        <f aca="false">IF(OR(C990="DHS",C990="MICS"),1,0)</f>
        <v>1</v>
      </c>
      <c r="V990" s="7" t="n">
        <f aca="false">IF(O990="",1,0)</f>
        <v>0</v>
      </c>
      <c r="W990" s="7" t="n">
        <f aca="false">IF(M990="",1,0)</f>
        <v>0</v>
      </c>
      <c r="X990" s="7" t="n">
        <f aca="false">COUNTIFS($B$2:$B$1141,B990,$H$2:$H$1141,H990,$I$2:$I$1141,I990,$J$2:$J$1141,J990,$K$2:$K$1141,K990,$L$2:$L$1141,L990)</f>
        <v>1</v>
      </c>
    </row>
    <row r="991" customFormat="false" ht="15" hidden="false" customHeight="false" outlineLevel="0" collapsed="false">
      <c r="A991" s="7" t="n">
        <f aca="false">ROW()-1</f>
        <v>990</v>
      </c>
      <c r="B991" s="7" t="str">
        <f aca="false">IF(Raw_Nigeria!B991="",TRIM(Raw_Nigeria!C991),TRIM(Raw_Nigeria!B991))</f>
        <v>Nigeria Demographic and Health Survey 2024</v>
      </c>
      <c r="C991" s="7" t="str">
        <f aca="false">IF(ISNUMBER(SEARCH("Demographic and Health",B991)),"DHS",IF(OR(ISNUMBER(SEARCH("Multiple Indicator Cluster",B991)),ISNUMBER(SEARCH("MICS",B991))),"MICS",IF(ISNUMBER(SEARCH("Immunization Coverage Survey",B991)),"Coverage survey",IF(ISNUMBER(SEARCH("Nutrition",B991)),"Nutrition survey","Other"))))</f>
        <v>DHS</v>
      </c>
      <c r="D991" s="7" t="n">
        <f aca="false">VALUE(LEFT(Raw_Nigeria!D991,4))</f>
        <v>2023</v>
      </c>
      <c r="E991" s="7" t="n">
        <f aca="false">IF(VALUE(RIGHT(Raw_Nigeria!D991,2))&gt;12,"",VALUE(RIGHT(Raw_Nigeria!D991,2)))</f>
        <v>12</v>
      </c>
      <c r="F991" s="7" t="n">
        <f aca="false">VALUE(LEFT(Raw_Nigeria!E991,4))</f>
        <v>2024</v>
      </c>
      <c r="G991" s="7" t="n">
        <f aca="false">IF(VALUE(RIGHT(Raw_Nigeria!E991,2))&gt;12,"",VALUE(RIGHT(Raw_Nigeria!E991,2)))</f>
        <v>5</v>
      </c>
      <c r="H991" s="7" t="n">
        <f aca="false">Raw_Nigeria!F991</f>
        <v>2021</v>
      </c>
      <c r="I991" s="7" t="str">
        <f aca="false">UPPER(TRIM(Raw_Nigeria!G991))</f>
        <v>POL0</v>
      </c>
      <c r="J991" s="7" t="str">
        <f aca="false">Raw_Nigeria!H991</f>
        <v>Record</v>
      </c>
      <c r="K991" s="7" t="str">
        <f aca="false">Raw_Nigeria!L991</f>
        <v>24-35 m</v>
      </c>
      <c r="L991" s="7" t="str">
        <f aca="false">IF(Raw_Nigeria!K991="","n/a",Raw_Nigeria!K991)</f>
        <v>0-35 m</v>
      </c>
      <c r="M991" s="7" t="n">
        <f aca="false">IF(Raw_Nigeria!I991="","",Raw_Nigeria!I991)</f>
        <v>34.4</v>
      </c>
      <c r="N991" s="7" t="n">
        <f aca="false">Raw_Nigeria!M991</f>
        <v>31</v>
      </c>
      <c r="O991" s="7" t="n">
        <f aca="false">IF(Raw_Nigeria!N991="","",Raw_Nigeria!N991)</f>
        <v>1608</v>
      </c>
      <c r="P991" s="7" t="str">
        <f aca="false">IF(K991="CBAW","Women of child-bearing age","Children")</f>
        <v>Children</v>
      </c>
      <c r="Q991" s="7" t="n">
        <f aca="false">IF(J991="NOT USED",1,0)</f>
        <v>0</v>
      </c>
      <c r="R991" s="7" t="n">
        <f aca="false">IF(AND(P991="Children",Q991=0),1,0)</f>
        <v>1</v>
      </c>
      <c r="S991" s="7" t="n">
        <f aca="false">IF(AND(R991=1,J991="Record or Recall",K991="12-23 m"),1,0)</f>
        <v>0</v>
      </c>
      <c r="T991" s="7" t="n">
        <f aca="false">IF(OR(I991="BCG",I991="DTP1",I991="DTP3",I991="POL3",I991="MCV1",I991="FULL"),1,0)</f>
        <v>0</v>
      </c>
      <c r="U991" s="7" t="n">
        <f aca="false">IF(OR(C991="DHS",C991="MICS"),1,0)</f>
        <v>1</v>
      </c>
      <c r="V991" s="7" t="n">
        <f aca="false">IF(O991="",1,0)</f>
        <v>0</v>
      </c>
      <c r="W991" s="7" t="n">
        <f aca="false">IF(M991="",1,0)</f>
        <v>0</v>
      </c>
      <c r="X991" s="7" t="n">
        <f aca="false">COUNTIFS($B$2:$B$1141,B991,$H$2:$H$1141,H991,$I$2:$I$1141,I991,$J$2:$J$1141,J991,$K$2:$K$1141,K991,$L$2:$L$1141,L991)</f>
        <v>1</v>
      </c>
    </row>
    <row r="992" customFormat="false" ht="15" hidden="false" customHeight="false" outlineLevel="0" collapsed="false">
      <c r="A992" s="7" t="n">
        <f aca="false">ROW()-1</f>
        <v>991</v>
      </c>
      <c r="B992" s="7" t="str">
        <f aca="false">IF(Raw_Nigeria!B992="",TRIM(Raw_Nigeria!C992),TRIM(Raw_Nigeria!B992))</f>
        <v>Nigeria Demographic and Health Survey 2024</v>
      </c>
      <c r="C992" s="7" t="str">
        <f aca="false">IF(ISNUMBER(SEARCH("Demographic and Health",B992)),"DHS",IF(OR(ISNUMBER(SEARCH("Multiple Indicator Cluster",B992)),ISNUMBER(SEARCH("MICS",B992))),"MICS",IF(ISNUMBER(SEARCH("Immunization Coverage Survey",B992)),"Coverage survey",IF(ISNUMBER(SEARCH("Nutrition",B992)),"Nutrition survey","Other"))))</f>
        <v>DHS</v>
      </c>
      <c r="D992" s="7" t="n">
        <f aca="false">VALUE(LEFT(Raw_Nigeria!D992,4))</f>
        <v>2023</v>
      </c>
      <c r="E992" s="7" t="n">
        <f aca="false">IF(VALUE(RIGHT(Raw_Nigeria!D992,2))&gt;12,"",VALUE(RIGHT(Raw_Nigeria!D992,2)))</f>
        <v>12</v>
      </c>
      <c r="F992" s="7" t="n">
        <f aca="false">VALUE(LEFT(Raw_Nigeria!E992,4))</f>
        <v>2024</v>
      </c>
      <c r="G992" s="7" t="n">
        <f aca="false">IF(VALUE(RIGHT(Raw_Nigeria!E992,2))&gt;12,"",VALUE(RIGHT(Raw_Nigeria!E992,2)))</f>
        <v>5</v>
      </c>
      <c r="H992" s="7" t="n">
        <f aca="false">Raw_Nigeria!F992</f>
        <v>2021</v>
      </c>
      <c r="I992" s="7" t="str">
        <f aca="false">UPPER(TRIM(Raw_Nigeria!G992))</f>
        <v>POL0</v>
      </c>
      <c r="J992" s="7" t="str">
        <f aca="false">Raw_Nigeria!H992</f>
        <v>Record or Recall</v>
      </c>
      <c r="K992" s="7" t="str">
        <f aca="false">Raw_Nigeria!L992</f>
        <v>24-35 m</v>
      </c>
      <c r="L992" s="7" t="str">
        <f aca="false">IF(Raw_Nigeria!K992="","n/a",Raw_Nigeria!K992)</f>
        <v>0-35 m</v>
      </c>
      <c r="M992" s="7" t="n">
        <f aca="false">IF(Raw_Nigeria!I992="","",Raw_Nigeria!I992)</f>
        <v>34.4</v>
      </c>
      <c r="N992" s="7" t="n">
        <f aca="false">Raw_Nigeria!M992</f>
        <v>52.9</v>
      </c>
      <c r="O992" s="7" t="n">
        <f aca="false">IF(Raw_Nigeria!N992="","",Raw_Nigeria!N992)</f>
        <v>4680</v>
      </c>
      <c r="P992" s="7" t="str">
        <f aca="false">IF(K992="CBAW","Women of child-bearing age","Children")</f>
        <v>Children</v>
      </c>
      <c r="Q992" s="7" t="n">
        <f aca="false">IF(J992="NOT USED",1,0)</f>
        <v>0</v>
      </c>
      <c r="R992" s="7" t="n">
        <f aca="false">IF(AND(P992="Children",Q992=0),1,0)</f>
        <v>1</v>
      </c>
      <c r="S992" s="7" t="n">
        <f aca="false">IF(AND(R992=1,J992="Record or Recall",K992="12-23 m"),1,0)</f>
        <v>0</v>
      </c>
      <c r="T992" s="7" t="n">
        <f aca="false">IF(OR(I992="BCG",I992="DTP1",I992="DTP3",I992="POL3",I992="MCV1",I992="FULL"),1,0)</f>
        <v>0</v>
      </c>
      <c r="U992" s="7" t="n">
        <f aca="false">IF(OR(C992="DHS",C992="MICS"),1,0)</f>
        <v>1</v>
      </c>
      <c r="V992" s="7" t="n">
        <f aca="false">IF(O992="",1,0)</f>
        <v>0</v>
      </c>
      <c r="W992" s="7" t="n">
        <f aca="false">IF(M992="",1,0)</f>
        <v>0</v>
      </c>
      <c r="X992" s="7" t="n">
        <f aca="false">COUNTIFS($B$2:$B$1141,B992,$H$2:$H$1141,H992,$I$2:$I$1141,I992,$J$2:$J$1141,J992,$K$2:$K$1141,K992,$L$2:$L$1141,L992)</f>
        <v>1</v>
      </c>
    </row>
    <row r="993" customFormat="false" ht="15" hidden="false" customHeight="false" outlineLevel="0" collapsed="false">
      <c r="A993" s="7" t="n">
        <f aca="false">ROW()-1</f>
        <v>992</v>
      </c>
      <c r="B993" s="7" t="str">
        <f aca="false">IF(Raw_Nigeria!B993="",TRIM(Raw_Nigeria!C993),TRIM(Raw_Nigeria!B993))</f>
        <v>Nigeria Demographic and Health Survey 2024</v>
      </c>
      <c r="C993" s="7" t="str">
        <f aca="false">IF(ISNUMBER(SEARCH("Demographic and Health",B993)),"DHS",IF(OR(ISNUMBER(SEARCH("Multiple Indicator Cluster",B993)),ISNUMBER(SEARCH("MICS",B993))),"MICS",IF(ISNUMBER(SEARCH("Immunization Coverage Survey",B993)),"Coverage survey",IF(ISNUMBER(SEARCH("Nutrition",B993)),"Nutrition survey","Other"))))</f>
        <v>DHS</v>
      </c>
      <c r="D993" s="7" t="n">
        <f aca="false">VALUE(LEFT(Raw_Nigeria!D993,4))</f>
        <v>2023</v>
      </c>
      <c r="E993" s="7" t="n">
        <f aca="false">IF(VALUE(RIGHT(Raw_Nigeria!D993,2))&gt;12,"",VALUE(RIGHT(Raw_Nigeria!D993,2)))</f>
        <v>12</v>
      </c>
      <c r="F993" s="7" t="n">
        <f aca="false">VALUE(LEFT(Raw_Nigeria!E993,4))</f>
        <v>2024</v>
      </c>
      <c r="G993" s="7" t="n">
        <f aca="false">IF(VALUE(RIGHT(Raw_Nigeria!E993,2))&gt;12,"",VALUE(RIGHT(Raw_Nigeria!E993,2)))</f>
        <v>5</v>
      </c>
      <c r="H993" s="7" t="n">
        <f aca="false">Raw_Nigeria!F993</f>
        <v>2021</v>
      </c>
      <c r="I993" s="7" t="str">
        <f aca="false">UPPER(TRIM(Raw_Nigeria!G993))</f>
        <v>POL0</v>
      </c>
      <c r="J993" s="7" t="str">
        <f aca="false">Raw_Nigeria!H993</f>
        <v>Record or Recall&lt;12m</v>
      </c>
      <c r="K993" s="7" t="str">
        <f aca="false">Raw_Nigeria!L993</f>
        <v>24-35 m</v>
      </c>
      <c r="L993" s="7" t="str">
        <f aca="false">IF(Raw_Nigeria!K993="","n/a",Raw_Nigeria!K993)</f>
        <v>0-12 m</v>
      </c>
      <c r="M993" s="7" t="n">
        <f aca="false">IF(Raw_Nigeria!I993="","",Raw_Nigeria!I993)</f>
        <v>34.4</v>
      </c>
      <c r="N993" s="7" t="n">
        <f aca="false">Raw_Nigeria!M993</f>
        <v>52</v>
      </c>
      <c r="O993" s="7" t="n">
        <f aca="false">IF(Raw_Nigeria!N993="","",Raw_Nigeria!N993)</f>
        <v>4680</v>
      </c>
      <c r="P993" s="7" t="str">
        <f aca="false">IF(K993="CBAW","Women of child-bearing age","Children")</f>
        <v>Children</v>
      </c>
      <c r="Q993" s="7" t="n">
        <f aca="false">IF(J993="NOT USED",1,0)</f>
        <v>0</v>
      </c>
      <c r="R993" s="7" t="n">
        <f aca="false">IF(AND(P993="Children",Q993=0),1,0)</f>
        <v>1</v>
      </c>
      <c r="S993" s="7" t="n">
        <f aca="false">IF(AND(R993=1,J993="Record or Recall",K993="12-23 m"),1,0)</f>
        <v>0</v>
      </c>
      <c r="T993" s="7" t="n">
        <f aca="false">IF(OR(I993="BCG",I993="DTP1",I993="DTP3",I993="POL3",I993="MCV1",I993="FULL"),1,0)</f>
        <v>0</v>
      </c>
      <c r="U993" s="7" t="n">
        <f aca="false">IF(OR(C993="DHS",C993="MICS"),1,0)</f>
        <v>1</v>
      </c>
      <c r="V993" s="7" t="n">
        <f aca="false">IF(O993="",1,0)</f>
        <v>0</v>
      </c>
      <c r="W993" s="7" t="n">
        <f aca="false">IF(M993="",1,0)</f>
        <v>0</v>
      </c>
      <c r="X993" s="7" t="n">
        <f aca="false">COUNTIFS($B$2:$B$1141,B993,$H$2:$H$1141,H993,$I$2:$I$1141,I993,$J$2:$J$1141,J993,$K$2:$K$1141,K993,$L$2:$L$1141,L993)</f>
        <v>1</v>
      </c>
    </row>
    <row r="994" customFormat="false" ht="15" hidden="false" customHeight="false" outlineLevel="0" collapsed="false">
      <c r="A994" s="7" t="n">
        <f aca="false">ROW()-1</f>
        <v>993</v>
      </c>
      <c r="B994" s="7" t="str">
        <f aca="false">IF(Raw_Nigeria!B994="",TRIM(Raw_Nigeria!C994),TRIM(Raw_Nigeria!B994))</f>
        <v>Nigeria Demographic and Health Survey 2024</v>
      </c>
      <c r="C994" s="7" t="str">
        <f aca="false">IF(ISNUMBER(SEARCH("Demographic and Health",B994)),"DHS",IF(OR(ISNUMBER(SEARCH("Multiple Indicator Cluster",B994)),ISNUMBER(SEARCH("MICS",B994))),"MICS",IF(ISNUMBER(SEARCH("Immunization Coverage Survey",B994)),"Coverage survey",IF(ISNUMBER(SEARCH("Nutrition",B994)),"Nutrition survey","Other"))))</f>
        <v>DHS</v>
      </c>
      <c r="D994" s="7" t="n">
        <f aca="false">VALUE(LEFT(Raw_Nigeria!D994,4))</f>
        <v>2023</v>
      </c>
      <c r="E994" s="7" t="n">
        <f aca="false">IF(VALUE(RIGHT(Raw_Nigeria!D994,2))&gt;12,"",VALUE(RIGHT(Raw_Nigeria!D994,2)))</f>
        <v>12</v>
      </c>
      <c r="F994" s="7" t="n">
        <f aca="false">VALUE(LEFT(Raw_Nigeria!E994,4))</f>
        <v>2024</v>
      </c>
      <c r="G994" s="7" t="n">
        <f aca="false">IF(VALUE(RIGHT(Raw_Nigeria!E994,2))&gt;12,"",VALUE(RIGHT(Raw_Nigeria!E994,2)))</f>
        <v>5</v>
      </c>
      <c r="H994" s="7" t="n">
        <f aca="false">Raw_Nigeria!F994</f>
        <v>2021</v>
      </c>
      <c r="I994" s="7" t="str">
        <f aca="false">UPPER(TRIM(Raw_Nigeria!G994))</f>
        <v>POL1</v>
      </c>
      <c r="J994" s="7" t="str">
        <f aca="false">Raw_Nigeria!H994</f>
        <v>Recall</v>
      </c>
      <c r="K994" s="7" t="str">
        <f aca="false">Raw_Nigeria!L994</f>
        <v>24-35 m</v>
      </c>
      <c r="L994" s="7" t="str">
        <f aca="false">IF(Raw_Nigeria!K994="","n/a",Raw_Nigeria!K994)</f>
        <v>0-35 m</v>
      </c>
      <c r="M994" s="7" t="n">
        <f aca="false">IF(Raw_Nigeria!I994="","",Raw_Nigeria!I994)</f>
        <v>34.4</v>
      </c>
      <c r="N994" s="7" t="n">
        <f aca="false">Raw_Nigeria!M994</f>
        <v>26</v>
      </c>
      <c r="O994" s="7" t="n">
        <f aca="false">IF(Raw_Nigeria!N994="","",Raw_Nigeria!N994)</f>
        <v>3072</v>
      </c>
      <c r="P994" s="7" t="str">
        <f aca="false">IF(K994="CBAW","Women of child-bearing age","Children")</f>
        <v>Children</v>
      </c>
      <c r="Q994" s="7" t="n">
        <f aca="false">IF(J994="NOT USED",1,0)</f>
        <v>0</v>
      </c>
      <c r="R994" s="7" t="n">
        <f aca="false">IF(AND(P994="Children",Q994=0),1,0)</f>
        <v>1</v>
      </c>
      <c r="S994" s="7" t="n">
        <f aca="false">IF(AND(R994=1,J994="Record or Recall",K994="12-23 m"),1,0)</f>
        <v>0</v>
      </c>
      <c r="T994" s="7" t="n">
        <f aca="false">IF(OR(I994="BCG",I994="DTP1",I994="DTP3",I994="POL3",I994="MCV1",I994="FULL"),1,0)</f>
        <v>0</v>
      </c>
      <c r="U994" s="7" t="n">
        <f aca="false">IF(OR(C994="DHS",C994="MICS"),1,0)</f>
        <v>1</v>
      </c>
      <c r="V994" s="7" t="n">
        <f aca="false">IF(O994="",1,0)</f>
        <v>0</v>
      </c>
      <c r="W994" s="7" t="n">
        <f aca="false">IF(M994="",1,0)</f>
        <v>0</v>
      </c>
      <c r="X994" s="7" t="n">
        <f aca="false">COUNTIFS($B$2:$B$1141,B994,$H$2:$H$1141,H994,$I$2:$I$1141,I994,$J$2:$J$1141,J994,$K$2:$K$1141,K994,$L$2:$L$1141,L994)</f>
        <v>1</v>
      </c>
    </row>
    <row r="995" customFormat="false" ht="15" hidden="false" customHeight="false" outlineLevel="0" collapsed="false">
      <c r="A995" s="7" t="n">
        <f aca="false">ROW()-1</f>
        <v>994</v>
      </c>
      <c r="B995" s="7" t="str">
        <f aca="false">IF(Raw_Nigeria!B995="",TRIM(Raw_Nigeria!C995),TRIM(Raw_Nigeria!B995))</f>
        <v>Nigeria Demographic and Health Survey 2024</v>
      </c>
      <c r="C995" s="7" t="str">
        <f aca="false">IF(ISNUMBER(SEARCH("Demographic and Health",B995)),"DHS",IF(OR(ISNUMBER(SEARCH("Multiple Indicator Cluster",B995)),ISNUMBER(SEARCH("MICS",B995))),"MICS",IF(ISNUMBER(SEARCH("Immunization Coverage Survey",B995)),"Coverage survey",IF(ISNUMBER(SEARCH("Nutrition",B995)),"Nutrition survey","Other"))))</f>
        <v>DHS</v>
      </c>
      <c r="D995" s="7" t="n">
        <f aca="false">VALUE(LEFT(Raw_Nigeria!D995,4))</f>
        <v>2023</v>
      </c>
      <c r="E995" s="7" t="n">
        <f aca="false">IF(VALUE(RIGHT(Raw_Nigeria!D995,2))&gt;12,"",VALUE(RIGHT(Raw_Nigeria!D995,2)))</f>
        <v>12</v>
      </c>
      <c r="F995" s="7" t="n">
        <f aca="false">VALUE(LEFT(Raw_Nigeria!E995,4))</f>
        <v>2024</v>
      </c>
      <c r="G995" s="7" t="n">
        <f aca="false">IF(VALUE(RIGHT(Raw_Nigeria!E995,2))&gt;12,"",VALUE(RIGHT(Raw_Nigeria!E995,2)))</f>
        <v>5</v>
      </c>
      <c r="H995" s="7" t="n">
        <f aca="false">Raw_Nigeria!F995</f>
        <v>2021</v>
      </c>
      <c r="I995" s="7" t="str">
        <f aca="false">UPPER(TRIM(Raw_Nigeria!G995))</f>
        <v>POL1</v>
      </c>
      <c r="J995" s="7" t="str">
        <f aca="false">Raw_Nigeria!H995</f>
        <v>Record</v>
      </c>
      <c r="K995" s="7" t="str">
        <f aca="false">Raw_Nigeria!L995</f>
        <v>24-35 m</v>
      </c>
      <c r="L995" s="7" t="str">
        <f aca="false">IF(Raw_Nigeria!K995="","n/a",Raw_Nigeria!K995)</f>
        <v>0-35 m</v>
      </c>
      <c r="M995" s="7" t="n">
        <f aca="false">IF(Raw_Nigeria!I995="","",Raw_Nigeria!I995)</f>
        <v>34.4</v>
      </c>
      <c r="N995" s="7" t="n">
        <f aca="false">Raw_Nigeria!M995</f>
        <v>32.8</v>
      </c>
      <c r="O995" s="7" t="n">
        <f aca="false">IF(Raw_Nigeria!N995="","",Raw_Nigeria!N995)</f>
        <v>1608</v>
      </c>
      <c r="P995" s="7" t="str">
        <f aca="false">IF(K995="CBAW","Women of child-bearing age","Children")</f>
        <v>Children</v>
      </c>
      <c r="Q995" s="7" t="n">
        <f aca="false">IF(J995="NOT USED",1,0)</f>
        <v>0</v>
      </c>
      <c r="R995" s="7" t="n">
        <f aca="false">IF(AND(P995="Children",Q995=0),1,0)</f>
        <v>1</v>
      </c>
      <c r="S995" s="7" t="n">
        <f aca="false">IF(AND(R995=1,J995="Record or Recall",K995="12-23 m"),1,0)</f>
        <v>0</v>
      </c>
      <c r="T995" s="7" t="n">
        <f aca="false">IF(OR(I995="BCG",I995="DTP1",I995="DTP3",I995="POL3",I995="MCV1",I995="FULL"),1,0)</f>
        <v>0</v>
      </c>
      <c r="U995" s="7" t="n">
        <f aca="false">IF(OR(C995="DHS",C995="MICS"),1,0)</f>
        <v>1</v>
      </c>
      <c r="V995" s="7" t="n">
        <f aca="false">IF(O995="",1,0)</f>
        <v>0</v>
      </c>
      <c r="W995" s="7" t="n">
        <f aca="false">IF(M995="",1,0)</f>
        <v>0</v>
      </c>
      <c r="X995" s="7" t="n">
        <f aca="false">COUNTIFS($B$2:$B$1141,B995,$H$2:$H$1141,H995,$I$2:$I$1141,I995,$J$2:$J$1141,J995,$K$2:$K$1141,K995,$L$2:$L$1141,L995)</f>
        <v>1</v>
      </c>
    </row>
    <row r="996" customFormat="false" ht="15" hidden="false" customHeight="false" outlineLevel="0" collapsed="false">
      <c r="A996" s="7" t="n">
        <f aca="false">ROW()-1</f>
        <v>995</v>
      </c>
      <c r="B996" s="7" t="str">
        <f aca="false">IF(Raw_Nigeria!B996="",TRIM(Raw_Nigeria!C996),TRIM(Raw_Nigeria!B996))</f>
        <v>Nigeria Demographic and Health Survey 2024</v>
      </c>
      <c r="C996" s="7" t="str">
        <f aca="false">IF(ISNUMBER(SEARCH("Demographic and Health",B996)),"DHS",IF(OR(ISNUMBER(SEARCH("Multiple Indicator Cluster",B996)),ISNUMBER(SEARCH("MICS",B996))),"MICS",IF(ISNUMBER(SEARCH("Immunization Coverage Survey",B996)),"Coverage survey",IF(ISNUMBER(SEARCH("Nutrition",B996)),"Nutrition survey","Other"))))</f>
        <v>DHS</v>
      </c>
      <c r="D996" s="7" t="n">
        <f aca="false">VALUE(LEFT(Raw_Nigeria!D996,4))</f>
        <v>2023</v>
      </c>
      <c r="E996" s="7" t="n">
        <f aca="false">IF(VALUE(RIGHT(Raw_Nigeria!D996,2))&gt;12,"",VALUE(RIGHT(Raw_Nigeria!D996,2)))</f>
        <v>12</v>
      </c>
      <c r="F996" s="7" t="n">
        <f aca="false">VALUE(LEFT(Raw_Nigeria!E996,4))</f>
        <v>2024</v>
      </c>
      <c r="G996" s="7" t="n">
        <f aca="false">IF(VALUE(RIGHT(Raw_Nigeria!E996,2))&gt;12,"",VALUE(RIGHT(Raw_Nigeria!E996,2)))</f>
        <v>5</v>
      </c>
      <c r="H996" s="7" t="n">
        <f aca="false">Raw_Nigeria!F996</f>
        <v>2021</v>
      </c>
      <c r="I996" s="7" t="str">
        <f aca="false">UPPER(TRIM(Raw_Nigeria!G996))</f>
        <v>POL1</v>
      </c>
      <c r="J996" s="7" t="str">
        <f aca="false">Raw_Nigeria!H996</f>
        <v>Record or Recall</v>
      </c>
      <c r="K996" s="7" t="str">
        <f aca="false">Raw_Nigeria!L996</f>
        <v>24-35 m</v>
      </c>
      <c r="L996" s="7" t="str">
        <f aca="false">IF(Raw_Nigeria!K996="","n/a",Raw_Nigeria!K996)</f>
        <v>0-35 m</v>
      </c>
      <c r="M996" s="7" t="n">
        <f aca="false">IF(Raw_Nigeria!I996="","",Raw_Nigeria!I996)</f>
        <v>34.4</v>
      </c>
      <c r="N996" s="7" t="n">
        <f aca="false">Raw_Nigeria!M996</f>
        <v>58.9</v>
      </c>
      <c r="O996" s="7" t="n">
        <f aca="false">IF(Raw_Nigeria!N996="","",Raw_Nigeria!N996)</f>
        <v>4680</v>
      </c>
      <c r="P996" s="7" t="str">
        <f aca="false">IF(K996="CBAW","Women of child-bearing age","Children")</f>
        <v>Children</v>
      </c>
      <c r="Q996" s="7" t="n">
        <f aca="false">IF(J996="NOT USED",1,0)</f>
        <v>0</v>
      </c>
      <c r="R996" s="7" t="n">
        <f aca="false">IF(AND(P996="Children",Q996=0),1,0)</f>
        <v>1</v>
      </c>
      <c r="S996" s="7" t="n">
        <f aca="false">IF(AND(R996=1,J996="Record or Recall",K996="12-23 m"),1,0)</f>
        <v>0</v>
      </c>
      <c r="T996" s="7" t="n">
        <f aca="false">IF(OR(I996="BCG",I996="DTP1",I996="DTP3",I996="POL3",I996="MCV1",I996="FULL"),1,0)</f>
        <v>0</v>
      </c>
      <c r="U996" s="7" t="n">
        <f aca="false">IF(OR(C996="DHS",C996="MICS"),1,0)</f>
        <v>1</v>
      </c>
      <c r="V996" s="7" t="n">
        <f aca="false">IF(O996="",1,0)</f>
        <v>0</v>
      </c>
      <c r="W996" s="7" t="n">
        <f aca="false">IF(M996="",1,0)</f>
        <v>0</v>
      </c>
      <c r="X996" s="7" t="n">
        <f aca="false">COUNTIFS($B$2:$B$1141,B996,$H$2:$H$1141,H996,$I$2:$I$1141,I996,$J$2:$J$1141,J996,$K$2:$K$1141,K996,$L$2:$L$1141,L996)</f>
        <v>1</v>
      </c>
    </row>
    <row r="997" customFormat="false" ht="15" hidden="false" customHeight="false" outlineLevel="0" collapsed="false">
      <c r="A997" s="7" t="n">
        <f aca="false">ROW()-1</f>
        <v>996</v>
      </c>
      <c r="B997" s="7" t="str">
        <f aca="false">IF(Raw_Nigeria!B997="",TRIM(Raw_Nigeria!C997),TRIM(Raw_Nigeria!B997))</f>
        <v>Nigeria Demographic and Health Survey 2024</v>
      </c>
      <c r="C997" s="7" t="str">
        <f aca="false">IF(ISNUMBER(SEARCH("Demographic and Health",B997)),"DHS",IF(OR(ISNUMBER(SEARCH("Multiple Indicator Cluster",B997)),ISNUMBER(SEARCH("MICS",B997))),"MICS",IF(ISNUMBER(SEARCH("Immunization Coverage Survey",B997)),"Coverage survey",IF(ISNUMBER(SEARCH("Nutrition",B997)),"Nutrition survey","Other"))))</f>
        <v>DHS</v>
      </c>
      <c r="D997" s="7" t="n">
        <f aca="false">VALUE(LEFT(Raw_Nigeria!D997,4))</f>
        <v>2023</v>
      </c>
      <c r="E997" s="7" t="n">
        <f aca="false">IF(VALUE(RIGHT(Raw_Nigeria!D997,2))&gt;12,"",VALUE(RIGHT(Raw_Nigeria!D997,2)))</f>
        <v>12</v>
      </c>
      <c r="F997" s="7" t="n">
        <f aca="false">VALUE(LEFT(Raw_Nigeria!E997,4))</f>
        <v>2024</v>
      </c>
      <c r="G997" s="7" t="n">
        <f aca="false">IF(VALUE(RIGHT(Raw_Nigeria!E997,2))&gt;12,"",VALUE(RIGHT(Raw_Nigeria!E997,2)))</f>
        <v>5</v>
      </c>
      <c r="H997" s="7" t="n">
        <f aca="false">Raw_Nigeria!F997</f>
        <v>2021</v>
      </c>
      <c r="I997" s="7" t="str">
        <f aca="false">UPPER(TRIM(Raw_Nigeria!G997))</f>
        <v>POL1</v>
      </c>
      <c r="J997" s="7" t="str">
        <f aca="false">Raw_Nigeria!H997</f>
        <v>Record or Recall&lt;12m</v>
      </c>
      <c r="K997" s="7" t="str">
        <f aca="false">Raw_Nigeria!L997</f>
        <v>24-35 m</v>
      </c>
      <c r="L997" s="7" t="str">
        <f aca="false">IF(Raw_Nigeria!K997="","n/a",Raw_Nigeria!K997)</f>
        <v>0-12 m</v>
      </c>
      <c r="M997" s="7" t="n">
        <f aca="false">IF(Raw_Nigeria!I997="","",Raw_Nigeria!I997)</f>
        <v>34.4</v>
      </c>
      <c r="N997" s="7" t="n">
        <f aca="false">Raw_Nigeria!M997</f>
        <v>57.3</v>
      </c>
      <c r="O997" s="7" t="n">
        <f aca="false">IF(Raw_Nigeria!N997="","",Raw_Nigeria!N997)</f>
        <v>4680</v>
      </c>
      <c r="P997" s="7" t="str">
        <f aca="false">IF(K997="CBAW","Women of child-bearing age","Children")</f>
        <v>Children</v>
      </c>
      <c r="Q997" s="7" t="n">
        <f aca="false">IF(J997="NOT USED",1,0)</f>
        <v>0</v>
      </c>
      <c r="R997" s="7" t="n">
        <f aca="false">IF(AND(P997="Children",Q997=0),1,0)</f>
        <v>1</v>
      </c>
      <c r="S997" s="7" t="n">
        <f aca="false">IF(AND(R997=1,J997="Record or Recall",K997="12-23 m"),1,0)</f>
        <v>0</v>
      </c>
      <c r="T997" s="7" t="n">
        <f aca="false">IF(OR(I997="BCG",I997="DTP1",I997="DTP3",I997="POL3",I997="MCV1",I997="FULL"),1,0)</f>
        <v>0</v>
      </c>
      <c r="U997" s="7" t="n">
        <f aca="false">IF(OR(C997="DHS",C997="MICS"),1,0)</f>
        <v>1</v>
      </c>
      <c r="V997" s="7" t="n">
        <f aca="false">IF(O997="",1,0)</f>
        <v>0</v>
      </c>
      <c r="W997" s="7" t="n">
        <f aca="false">IF(M997="",1,0)</f>
        <v>0</v>
      </c>
      <c r="X997" s="7" t="n">
        <f aca="false">COUNTIFS($B$2:$B$1141,B997,$H$2:$H$1141,H997,$I$2:$I$1141,I997,$J$2:$J$1141,J997,$K$2:$K$1141,K997,$L$2:$L$1141,L997)</f>
        <v>1</v>
      </c>
    </row>
    <row r="998" customFormat="false" ht="15" hidden="false" customHeight="false" outlineLevel="0" collapsed="false">
      <c r="A998" s="7" t="n">
        <f aca="false">ROW()-1</f>
        <v>997</v>
      </c>
      <c r="B998" s="7" t="str">
        <f aca="false">IF(Raw_Nigeria!B998="",TRIM(Raw_Nigeria!C998),TRIM(Raw_Nigeria!B998))</f>
        <v>Nigeria Demographic and Health Survey 2024</v>
      </c>
      <c r="C998" s="7" t="str">
        <f aca="false">IF(ISNUMBER(SEARCH("Demographic and Health",B998)),"DHS",IF(OR(ISNUMBER(SEARCH("Multiple Indicator Cluster",B998)),ISNUMBER(SEARCH("MICS",B998))),"MICS",IF(ISNUMBER(SEARCH("Immunization Coverage Survey",B998)),"Coverage survey",IF(ISNUMBER(SEARCH("Nutrition",B998)),"Nutrition survey","Other"))))</f>
        <v>DHS</v>
      </c>
      <c r="D998" s="7" t="n">
        <f aca="false">VALUE(LEFT(Raw_Nigeria!D998,4))</f>
        <v>2023</v>
      </c>
      <c r="E998" s="7" t="n">
        <f aca="false">IF(VALUE(RIGHT(Raw_Nigeria!D998,2))&gt;12,"",VALUE(RIGHT(Raw_Nigeria!D998,2)))</f>
        <v>12</v>
      </c>
      <c r="F998" s="7" t="n">
        <f aca="false">VALUE(LEFT(Raw_Nigeria!E998,4))</f>
        <v>2024</v>
      </c>
      <c r="G998" s="7" t="n">
        <f aca="false">IF(VALUE(RIGHT(Raw_Nigeria!E998,2))&gt;12,"",VALUE(RIGHT(Raw_Nigeria!E998,2)))</f>
        <v>5</v>
      </c>
      <c r="H998" s="7" t="n">
        <f aca="false">Raw_Nigeria!F998</f>
        <v>2021</v>
      </c>
      <c r="I998" s="7" t="str">
        <f aca="false">UPPER(TRIM(Raw_Nigeria!G998))</f>
        <v>POL2</v>
      </c>
      <c r="J998" s="7" t="str">
        <f aca="false">Raw_Nigeria!H998</f>
        <v>Recall</v>
      </c>
      <c r="K998" s="7" t="str">
        <f aca="false">Raw_Nigeria!L998</f>
        <v>24-35 m</v>
      </c>
      <c r="L998" s="7" t="str">
        <f aca="false">IF(Raw_Nigeria!K998="","n/a",Raw_Nigeria!K998)</f>
        <v>0-35 m</v>
      </c>
      <c r="M998" s="7" t="n">
        <f aca="false">IF(Raw_Nigeria!I998="","",Raw_Nigeria!I998)</f>
        <v>34.4</v>
      </c>
      <c r="N998" s="7" t="n">
        <f aca="false">Raw_Nigeria!M998</f>
        <v>20.2</v>
      </c>
      <c r="O998" s="7" t="n">
        <f aca="false">IF(Raw_Nigeria!N998="","",Raw_Nigeria!N998)</f>
        <v>3072</v>
      </c>
      <c r="P998" s="7" t="str">
        <f aca="false">IF(K998="CBAW","Women of child-bearing age","Children")</f>
        <v>Children</v>
      </c>
      <c r="Q998" s="7" t="n">
        <f aca="false">IF(J998="NOT USED",1,0)</f>
        <v>0</v>
      </c>
      <c r="R998" s="7" t="n">
        <f aca="false">IF(AND(P998="Children",Q998=0),1,0)</f>
        <v>1</v>
      </c>
      <c r="S998" s="7" t="n">
        <f aca="false">IF(AND(R998=1,J998="Record or Recall",K998="12-23 m"),1,0)</f>
        <v>0</v>
      </c>
      <c r="T998" s="7" t="n">
        <f aca="false">IF(OR(I998="BCG",I998="DTP1",I998="DTP3",I998="POL3",I998="MCV1",I998="FULL"),1,0)</f>
        <v>0</v>
      </c>
      <c r="U998" s="7" t="n">
        <f aca="false">IF(OR(C998="DHS",C998="MICS"),1,0)</f>
        <v>1</v>
      </c>
      <c r="V998" s="7" t="n">
        <f aca="false">IF(O998="",1,0)</f>
        <v>0</v>
      </c>
      <c r="W998" s="7" t="n">
        <f aca="false">IF(M998="",1,0)</f>
        <v>0</v>
      </c>
      <c r="X998" s="7" t="n">
        <f aca="false">COUNTIFS($B$2:$B$1141,B998,$H$2:$H$1141,H998,$I$2:$I$1141,I998,$J$2:$J$1141,J998,$K$2:$K$1141,K998,$L$2:$L$1141,L998)</f>
        <v>1</v>
      </c>
    </row>
    <row r="999" customFormat="false" ht="15" hidden="false" customHeight="false" outlineLevel="0" collapsed="false">
      <c r="A999" s="7" t="n">
        <f aca="false">ROW()-1</f>
        <v>998</v>
      </c>
      <c r="B999" s="7" t="str">
        <f aca="false">IF(Raw_Nigeria!B999="",TRIM(Raw_Nigeria!C999),TRIM(Raw_Nigeria!B999))</f>
        <v>Nigeria Demographic and Health Survey 2024</v>
      </c>
      <c r="C999" s="7" t="str">
        <f aca="false">IF(ISNUMBER(SEARCH("Demographic and Health",B999)),"DHS",IF(OR(ISNUMBER(SEARCH("Multiple Indicator Cluster",B999)),ISNUMBER(SEARCH("MICS",B999))),"MICS",IF(ISNUMBER(SEARCH("Immunization Coverage Survey",B999)),"Coverage survey",IF(ISNUMBER(SEARCH("Nutrition",B999)),"Nutrition survey","Other"))))</f>
        <v>DHS</v>
      </c>
      <c r="D999" s="7" t="n">
        <f aca="false">VALUE(LEFT(Raw_Nigeria!D999,4))</f>
        <v>2023</v>
      </c>
      <c r="E999" s="7" t="n">
        <f aca="false">IF(VALUE(RIGHT(Raw_Nigeria!D999,2))&gt;12,"",VALUE(RIGHT(Raw_Nigeria!D999,2)))</f>
        <v>12</v>
      </c>
      <c r="F999" s="7" t="n">
        <f aca="false">VALUE(LEFT(Raw_Nigeria!E999,4))</f>
        <v>2024</v>
      </c>
      <c r="G999" s="7" t="n">
        <f aca="false">IF(VALUE(RIGHT(Raw_Nigeria!E999,2))&gt;12,"",VALUE(RIGHT(Raw_Nigeria!E999,2)))</f>
        <v>5</v>
      </c>
      <c r="H999" s="7" t="n">
        <f aca="false">Raw_Nigeria!F999</f>
        <v>2021</v>
      </c>
      <c r="I999" s="7" t="str">
        <f aca="false">UPPER(TRIM(Raw_Nigeria!G999))</f>
        <v>POL2</v>
      </c>
      <c r="J999" s="7" t="str">
        <f aca="false">Raw_Nigeria!H999</f>
        <v>Record</v>
      </c>
      <c r="K999" s="7" t="str">
        <f aca="false">Raw_Nigeria!L999</f>
        <v>24-35 m</v>
      </c>
      <c r="L999" s="7" t="str">
        <f aca="false">IF(Raw_Nigeria!K999="","n/a",Raw_Nigeria!K999)</f>
        <v>0-35 m</v>
      </c>
      <c r="M999" s="7" t="n">
        <f aca="false">IF(Raw_Nigeria!I999="","",Raw_Nigeria!I999)</f>
        <v>34.4</v>
      </c>
      <c r="N999" s="7" t="n">
        <f aca="false">Raw_Nigeria!M999</f>
        <v>30.6</v>
      </c>
      <c r="O999" s="7" t="n">
        <f aca="false">IF(Raw_Nigeria!N999="","",Raw_Nigeria!N999)</f>
        <v>1608</v>
      </c>
      <c r="P999" s="7" t="str">
        <f aca="false">IF(K999="CBAW","Women of child-bearing age","Children")</f>
        <v>Children</v>
      </c>
      <c r="Q999" s="7" t="n">
        <f aca="false">IF(J999="NOT USED",1,0)</f>
        <v>0</v>
      </c>
      <c r="R999" s="7" t="n">
        <f aca="false">IF(AND(P999="Children",Q999=0),1,0)</f>
        <v>1</v>
      </c>
      <c r="S999" s="7" t="n">
        <f aca="false">IF(AND(R999=1,J999="Record or Recall",K999="12-23 m"),1,0)</f>
        <v>0</v>
      </c>
      <c r="T999" s="7" t="n">
        <f aca="false">IF(OR(I999="BCG",I999="DTP1",I999="DTP3",I999="POL3",I999="MCV1",I999="FULL"),1,0)</f>
        <v>0</v>
      </c>
      <c r="U999" s="7" t="n">
        <f aca="false">IF(OR(C999="DHS",C999="MICS"),1,0)</f>
        <v>1</v>
      </c>
      <c r="V999" s="7" t="n">
        <f aca="false">IF(O999="",1,0)</f>
        <v>0</v>
      </c>
      <c r="W999" s="7" t="n">
        <f aca="false">IF(M999="",1,0)</f>
        <v>0</v>
      </c>
      <c r="X999" s="7" t="n">
        <f aca="false">COUNTIFS($B$2:$B$1141,B999,$H$2:$H$1141,H999,$I$2:$I$1141,I999,$J$2:$J$1141,J999,$K$2:$K$1141,K999,$L$2:$L$1141,L999)</f>
        <v>1</v>
      </c>
    </row>
    <row r="1000" customFormat="false" ht="15" hidden="false" customHeight="false" outlineLevel="0" collapsed="false">
      <c r="A1000" s="7" t="n">
        <f aca="false">ROW()-1</f>
        <v>999</v>
      </c>
      <c r="B1000" s="7" t="str">
        <f aca="false">IF(Raw_Nigeria!B1000="",TRIM(Raw_Nigeria!C1000),TRIM(Raw_Nigeria!B1000))</f>
        <v>Nigeria Demographic and Health Survey 2024</v>
      </c>
      <c r="C1000" s="7" t="str">
        <f aca="false">IF(ISNUMBER(SEARCH("Demographic and Health",B1000)),"DHS",IF(OR(ISNUMBER(SEARCH("Multiple Indicator Cluster",B1000)),ISNUMBER(SEARCH("MICS",B1000))),"MICS",IF(ISNUMBER(SEARCH("Immunization Coverage Survey",B1000)),"Coverage survey",IF(ISNUMBER(SEARCH("Nutrition",B1000)),"Nutrition survey","Other"))))</f>
        <v>DHS</v>
      </c>
      <c r="D1000" s="7" t="n">
        <f aca="false">VALUE(LEFT(Raw_Nigeria!D1000,4))</f>
        <v>2023</v>
      </c>
      <c r="E1000" s="7" t="n">
        <f aca="false">IF(VALUE(RIGHT(Raw_Nigeria!D1000,2))&gt;12,"",VALUE(RIGHT(Raw_Nigeria!D1000,2)))</f>
        <v>12</v>
      </c>
      <c r="F1000" s="7" t="n">
        <f aca="false">VALUE(LEFT(Raw_Nigeria!E1000,4))</f>
        <v>2024</v>
      </c>
      <c r="G1000" s="7" t="n">
        <f aca="false">IF(VALUE(RIGHT(Raw_Nigeria!E1000,2))&gt;12,"",VALUE(RIGHT(Raw_Nigeria!E1000,2)))</f>
        <v>5</v>
      </c>
      <c r="H1000" s="7" t="n">
        <f aca="false">Raw_Nigeria!F1000</f>
        <v>2021</v>
      </c>
      <c r="I1000" s="7" t="str">
        <f aca="false">UPPER(TRIM(Raw_Nigeria!G1000))</f>
        <v>POL2</v>
      </c>
      <c r="J1000" s="7" t="str">
        <f aca="false">Raw_Nigeria!H1000</f>
        <v>Record or Recall</v>
      </c>
      <c r="K1000" s="7" t="str">
        <f aca="false">Raw_Nigeria!L1000</f>
        <v>24-35 m</v>
      </c>
      <c r="L1000" s="7" t="str">
        <f aca="false">IF(Raw_Nigeria!K1000="","n/a",Raw_Nigeria!K1000)</f>
        <v>0-35 m</v>
      </c>
      <c r="M1000" s="7" t="n">
        <f aca="false">IF(Raw_Nigeria!I1000="","",Raw_Nigeria!I1000)</f>
        <v>34.4</v>
      </c>
      <c r="N1000" s="7" t="n">
        <f aca="false">Raw_Nigeria!M1000</f>
        <v>50.8</v>
      </c>
      <c r="O1000" s="7" t="n">
        <f aca="false">IF(Raw_Nigeria!N1000="","",Raw_Nigeria!N1000)</f>
        <v>4680</v>
      </c>
      <c r="P1000" s="7" t="str">
        <f aca="false">IF(K1000="CBAW","Women of child-bearing age","Children")</f>
        <v>Children</v>
      </c>
      <c r="Q1000" s="7" t="n">
        <f aca="false">IF(J1000="NOT USED",1,0)</f>
        <v>0</v>
      </c>
      <c r="R1000" s="7" t="n">
        <f aca="false">IF(AND(P1000="Children",Q1000=0),1,0)</f>
        <v>1</v>
      </c>
      <c r="S1000" s="7" t="n">
        <f aca="false">IF(AND(R1000=1,J1000="Record or Recall",K1000="12-23 m"),1,0)</f>
        <v>0</v>
      </c>
      <c r="T1000" s="7" t="n">
        <f aca="false">IF(OR(I1000="BCG",I1000="DTP1",I1000="DTP3",I1000="POL3",I1000="MCV1",I1000="FULL"),1,0)</f>
        <v>0</v>
      </c>
      <c r="U1000" s="7" t="n">
        <f aca="false">IF(OR(C1000="DHS",C1000="MICS"),1,0)</f>
        <v>1</v>
      </c>
      <c r="V1000" s="7" t="n">
        <f aca="false">IF(O1000="",1,0)</f>
        <v>0</v>
      </c>
      <c r="W1000" s="7" t="n">
        <f aca="false">IF(M1000="",1,0)</f>
        <v>0</v>
      </c>
      <c r="X1000" s="7" t="n">
        <f aca="false">COUNTIFS($B$2:$B$1141,B1000,$H$2:$H$1141,H1000,$I$2:$I$1141,I1000,$J$2:$J$1141,J1000,$K$2:$K$1141,K1000,$L$2:$L$1141,L1000)</f>
        <v>1</v>
      </c>
    </row>
    <row r="1001" customFormat="false" ht="15" hidden="false" customHeight="false" outlineLevel="0" collapsed="false">
      <c r="A1001" s="7" t="n">
        <f aca="false">ROW()-1</f>
        <v>1000</v>
      </c>
      <c r="B1001" s="7" t="str">
        <f aca="false">IF(Raw_Nigeria!B1001="",TRIM(Raw_Nigeria!C1001),TRIM(Raw_Nigeria!B1001))</f>
        <v>Nigeria Demographic and Health Survey 2024</v>
      </c>
      <c r="C1001" s="7" t="str">
        <f aca="false">IF(ISNUMBER(SEARCH("Demographic and Health",B1001)),"DHS",IF(OR(ISNUMBER(SEARCH("Multiple Indicator Cluster",B1001)),ISNUMBER(SEARCH("MICS",B1001))),"MICS",IF(ISNUMBER(SEARCH("Immunization Coverage Survey",B1001)),"Coverage survey",IF(ISNUMBER(SEARCH("Nutrition",B1001)),"Nutrition survey","Other"))))</f>
        <v>DHS</v>
      </c>
      <c r="D1001" s="7" t="n">
        <f aca="false">VALUE(LEFT(Raw_Nigeria!D1001,4))</f>
        <v>2023</v>
      </c>
      <c r="E1001" s="7" t="n">
        <f aca="false">IF(VALUE(RIGHT(Raw_Nigeria!D1001,2))&gt;12,"",VALUE(RIGHT(Raw_Nigeria!D1001,2)))</f>
        <v>12</v>
      </c>
      <c r="F1001" s="7" t="n">
        <f aca="false">VALUE(LEFT(Raw_Nigeria!E1001,4))</f>
        <v>2024</v>
      </c>
      <c r="G1001" s="7" t="n">
        <f aca="false">IF(VALUE(RIGHT(Raw_Nigeria!E1001,2))&gt;12,"",VALUE(RIGHT(Raw_Nigeria!E1001,2)))</f>
        <v>5</v>
      </c>
      <c r="H1001" s="7" t="n">
        <f aca="false">Raw_Nigeria!F1001</f>
        <v>2021</v>
      </c>
      <c r="I1001" s="7" t="str">
        <f aca="false">UPPER(TRIM(Raw_Nigeria!G1001))</f>
        <v>POL2</v>
      </c>
      <c r="J1001" s="7" t="str">
        <f aca="false">Raw_Nigeria!H1001</f>
        <v>Record or Recall&lt;12m</v>
      </c>
      <c r="K1001" s="7" t="str">
        <f aca="false">Raw_Nigeria!L1001</f>
        <v>24-35 m</v>
      </c>
      <c r="L1001" s="7" t="str">
        <f aca="false">IF(Raw_Nigeria!K1001="","n/a",Raw_Nigeria!K1001)</f>
        <v>0-12 m</v>
      </c>
      <c r="M1001" s="7" t="n">
        <f aca="false">IF(Raw_Nigeria!I1001="","",Raw_Nigeria!I1001)</f>
        <v>34.4</v>
      </c>
      <c r="N1001" s="7" t="n">
        <f aca="false">Raw_Nigeria!M1001</f>
        <v>49.1</v>
      </c>
      <c r="O1001" s="7" t="n">
        <f aca="false">IF(Raw_Nigeria!N1001="","",Raw_Nigeria!N1001)</f>
        <v>4680</v>
      </c>
      <c r="P1001" s="7" t="str">
        <f aca="false">IF(K1001="CBAW","Women of child-bearing age","Children")</f>
        <v>Children</v>
      </c>
      <c r="Q1001" s="7" t="n">
        <f aca="false">IF(J1001="NOT USED",1,0)</f>
        <v>0</v>
      </c>
      <c r="R1001" s="7" t="n">
        <f aca="false">IF(AND(P1001="Children",Q1001=0),1,0)</f>
        <v>1</v>
      </c>
      <c r="S1001" s="7" t="n">
        <f aca="false">IF(AND(R1001=1,J1001="Record or Recall",K1001="12-23 m"),1,0)</f>
        <v>0</v>
      </c>
      <c r="T1001" s="7" t="n">
        <f aca="false">IF(OR(I1001="BCG",I1001="DTP1",I1001="DTP3",I1001="POL3",I1001="MCV1",I1001="FULL"),1,0)</f>
        <v>0</v>
      </c>
      <c r="U1001" s="7" t="n">
        <f aca="false">IF(OR(C1001="DHS",C1001="MICS"),1,0)</f>
        <v>1</v>
      </c>
      <c r="V1001" s="7" t="n">
        <f aca="false">IF(O1001="",1,0)</f>
        <v>0</v>
      </c>
      <c r="W1001" s="7" t="n">
        <f aca="false">IF(M1001="",1,0)</f>
        <v>0</v>
      </c>
      <c r="X1001" s="7" t="n">
        <f aca="false">COUNTIFS($B$2:$B$1141,B1001,$H$2:$H$1141,H1001,$I$2:$I$1141,I1001,$J$2:$J$1141,J1001,$K$2:$K$1141,K1001,$L$2:$L$1141,L1001)</f>
        <v>1</v>
      </c>
    </row>
    <row r="1002" customFormat="false" ht="15" hidden="false" customHeight="false" outlineLevel="0" collapsed="false">
      <c r="A1002" s="7" t="n">
        <f aca="false">ROW()-1</f>
        <v>1001</v>
      </c>
      <c r="B1002" s="7" t="str">
        <f aca="false">IF(Raw_Nigeria!B1002="",TRIM(Raw_Nigeria!C1002),TRIM(Raw_Nigeria!B1002))</f>
        <v>Nigeria Demographic and Health Survey 2024</v>
      </c>
      <c r="C1002" s="7" t="str">
        <f aca="false">IF(ISNUMBER(SEARCH("Demographic and Health",B1002)),"DHS",IF(OR(ISNUMBER(SEARCH("Multiple Indicator Cluster",B1002)),ISNUMBER(SEARCH("MICS",B1002))),"MICS",IF(ISNUMBER(SEARCH("Immunization Coverage Survey",B1002)),"Coverage survey",IF(ISNUMBER(SEARCH("Nutrition",B1002)),"Nutrition survey","Other"))))</f>
        <v>DHS</v>
      </c>
      <c r="D1002" s="7" t="n">
        <f aca="false">VALUE(LEFT(Raw_Nigeria!D1002,4))</f>
        <v>2023</v>
      </c>
      <c r="E1002" s="7" t="n">
        <f aca="false">IF(VALUE(RIGHT(Raw_Nigeria!D1002,2))&gt;12,"",VALUE(RIGHT(Raw_Nigeria!D1002,2)))</f>
        <v>12</v>
      </c>
      <c r="F1002" s="7" t="n">
        <f aca="false">VALUE(LEFT(Raw_Nigeria!E1002,4))</f>
        <v>2024</v>
      </c>
      <c r="G1002" s="7" t="n">
        <f aca="false">IF(VALUE(RIGHT(Raw_Nigeria!E1002,2))&gt;12,"",VALUE(RIGHT(Raw_Nigeria!E1002,2)))</f>
        <v>5</v>
      </c>
      <c r="H1002" s="7" t="n">
        <f aca="false">Raw_Nigeria!F1002</f>
        <v>2021</v>
      </c>
      <c r="I1002" s="7" t="str">
        <f aca="false">UPPER(TRIM(Raw_Nigeria!G1002))</f>
        <v>POL3</v>
      </c>
      <c r="J1002" s="7" t="str">
        <f aca="false">Raw_Nigeria!H1002</f>
        <v>Recall</v>
      </c>
      <c r="K1002" s="7" t="str">
        <f aca="false">Raw_Nigeria!L1002</f>
        <v>24-35 m</v>
      </c>
      <c r="L1002" s="7" t="str">
        <f aca="false">IF(Raw_Nigeria!K1002="","n/a",Raw_Nigeria!K1002)</f>
        <v>0-35 m</v>
      </c>
      <c r="M1002" s="7" t="n">
        <f aca="false">IF(Raw_Nigeria!I1002="","",Raw_Nigeria!I1002)</f>
        <v>34.4</v>
      </c>
      <c r="N1002" s="7" t="n">
        <f aca="false">Raw_Nigeria!M1002</f>
        <v>8.1</v>
      </c>
      <c r="O1002" s="7" t="n">
        <f aca="false">IF(Raw_Nigeria!N1002="","",Raw_Nigeria!N1002)</f>
        <v>3072</v>
      </c>
      <c r="P1002" s="7" t="str">
        <f aca="false">IF(K1002="CBAW","Women of child-bearing age","Children")</f>
        <v>Children</v>
      </c>
      <c r="Q1002" s="7" t="n">
        <f aca="false">IF(J1002="NOT USED",1,0)</f>
        <v>0</v>
      </c>
      <c r="R1002" s="7" t="n">
        <f aca="false">IF(AND(P1002="Children",Q1002=0),1,0)</f>
        <v>1</v>
      </c>
      <c r="S1002" s="7" t="n">
        <f aca="false">IF(AND(R1002=1,J1002="Record or Recall",K1002="12-23 m"),1,0)</f>
        <v>0</v>
      </c>
      <c r="T1002" s="7" t="n">
        <f aca="false">IF(OR(I1002="BCG",I1002="DTP1",I1002="DTP3",I1002="POL3",I1002="MCV1",I1002="FULL"),1,0)</f>
        <v>1</v>
      </c>
      <c r="U1002" s="7" t="n">
        <f aca="false">IF(OR(C1002="DHS",C1002="MICS"),1,0)</f>
        <v>1</v>
      </c>
      <c r="V1002" s="7" t="n">
        <f aca="false">IF(O1002="",1,0)</f>
        <v>0</v>
      </c>
      <c r="W1002" s="7" t="n">
        <f aca="false">IF(M1002="",1,0)</f>
        <v>0</v>
      </c>
      <c r="X1002" s="7" t="n">
        <f aca="false">COUNTIFS($B$2:$B$1141,B1002,$H$2:$H$1141,H1002,$I$2:$I$1141,I1002,$J$2:$J$1141,J1002,$K$2:$K$1141,K1002,$L$2:$L$1141,L1002)</f>
        <v>1</v>
      </c>
    </row>
    <row r="1003" customFormat="false" ht="15" hidden="false" customHeight="false" outlineLevel="0" collapsed="false">
      <c r="A1003" s="7" t="n">
        <f aca="false">ROW()-1</f>
        <v>1002</v>
      </c>
      <c r="B1003" s="7" t="str">
        <f aca="false">IF(Raw_Nigeria!B1003="",TRIM(Raw_Nigeria!C1003),TRIM(Raw_Nigeria!B1003))</f>
        <v>Nigeria Demographic and Health Survey 2024</v>
      </c>
      <c r="C1003" s="7" t="str">
        <f aca="false">IF(ISNUMBER(SEARCH("Demographic and Health",B1003)),"DHS",IF(OR(ISNUMBER(SEARCH("Multiple Indicator Cluster",B1003)),ISNUMBER(SEARCH("MICS",B1003))),"MICS",IF(ISNUMBER(SEARCH("Immunization Coverage Survey",B1003)),"Coverage survey",IF(ISNUMBER(SEARCH("Nutrition",B1003)),"Nutrition survey","Other"))))</f>
        <v>DHS</v>
      </c>
      <c r="D1003" s="7" t="n">
        <f aca="false">VALUE(LEFT(Raw_Nigeria!D1003,4))</f>
        <v>2023</v>
      </c>
      <c r="E1003" s="7" t="n">
        <f aca="false">IF(VALUE(RIGHT(Raw_Nigeria!D1003,2))&gt;12,"",VALUE(RIGHT(Raw_Nigeria!D1003,2)))</f>
        <v>12</v>
      </c>
      <c r="F1003" s="7" t="n">
        <f aca="false">VALUE(LEFT(Raw_Nigeria!E1003,4))</f>
        <v>2024</v>
      </c>
      <c r="G1003" s="7" t="n">
        <f aca="false">IF(VALUE(RIGHT(Raw_Nigeria!E1003,2))&gt;12,"",VALUE(RIGHT(Raw_Nigeria!E1003,2)))</f>
        <v>5</v>
      </c>
      <c r="H1003" s="7" t="n">
        <f aca="false">Raw_Nigeria!F1003</f>
        <v>2021</v>
      </c>
      <c r="I1003" s="7" t="str">
        <f aca="false">UPPER(TRIM(Raw_Nigeria!G1003))</f>
        <v>POL3</v>
      </c>
      <c r="J1003" s="7" t="str">
        <f aca="false">Raw_Nigeria!H1003</f>
        <v>Record</v>
      </c>
      <c r="K1003" s="7" t="str">
        <f aca="false">Raw_Nigeria!L1003</f>
        <v>24-35 m</v>
      </c>
      <c r="L1003" s="7" t="str">
        <f aca="false">IF(Raw_Nigeria!K1003="","n/a",Raw_Nigeria!K1003)</f>
        <v>0-35 m</v>
      </c>
      <c r="M1003" s="7" t="n">
        <f aca="false">IF(Raw_Nigeria!I1003="","",Raw_Nigeria!I1003)</f>
        <v>34.4</v>
      </c>
      <c r="N1003" s="7" t="n">
        <f aca="false">Raw_Nigeria!M1003</f>
        <v>27.8</v>
      </c>
      <c r="O1003" s="7" t="n">
        <f aca="false">IF(Raw_Nigeria!N1003="","",Raw_Nigeria!N1003)</f>
        <v>1608</v>
      </c>
      <c r="P1003" s="7" t="str">
        <f aca="false">IF(K1003="CBAW","Women of child-bearing age","Children")</f>
        <v>Children</v>
      </c>
      <c r="Q1003" s="7" t="n">
        <f aca="false">IF(J1003="NOT USED",1,0)</f>
        <v>0</v>
      </c>
      <c r="R1003" s="7" t="n">
        <f aca="false">IF(AND(P1003="Children",Q1003=0),1,0)</f>
        <v>1</v>
      </c>
      <c r="S1003" s="7" t="n">
        <f aca="false">IF(AND(R1003=1,J1003="Record or Recall",K1003="12-23 m"),1,0)</f>
        <v>0</v>
      </c>
      <c r="T1003" s="7" t="n">
        <f aca="false">IF(OR(I1003="BCG",I1003="DTP1",I1003="DTP3",I1003="POL3",I1003="MCV1",I1003="FULL"),1,0)</f>
        <v>1</v>
      </c>
      <c r="U1003" s="7" t="n">
        <f aca="false">IF(OR(C1003="DHS",C1003="MICS"),1,0)</f>
        <v>1</v>
      </c>
      <c r="V1003" s="7" t="n">
        <f aca="false">IF(O1003="",1,0)</f>
        <v>0</v>
      </c>
      <c r="W1003" s="7" t="n">
        <f aca="false">IF(M1003="",1,0)</f>
        <v>0</v>
      </c>
      <c r="X1003" s="7" t="n">
        <f aca="false">COUNTIFS($B$2:$B$1141,B1003,$H$2:$H$1141,H1003,$I$2:$I$1141,I1003,$J$2:$J$1141,J1003,$K$2:$K$1141,K1003,$L$2:$L$1141,L1003)</f>
        <v>1</v>
      </c>
    </row>
    <row r="1004" customFormat="false" ht="15" hidden="false" customHeight="false" outlineLevel="0" collapsed="false">
      <c r="A1004" s="7" t="n">
        <f aca="false">ROW()-1</f>
        <v>1003</v>
      </c>
      <c r="B1004" s="7" t="str">
        <f aca="false">IF(Raw_Nigeria!B1004="",TRIM(Raw_Nigeria!C1004),TRIM(Raw_Nigeria!B1004))</f>
        <v>Nigeria Demographic and Health Survey 2024</v>
      </c>
      <c r="C1004" s="7" t="str">
        <f aca="false">IF(ISNUMBER(SEARCH("Demographic and Health",B1004)),"DHS",IF(OR(ISNUMBER(SEARCH("Multiple Indicator Cluster",B1004)),ISNUMBER(SEARCH("MICS",B1004))),"MICS",IF(ISNUMBER(SEARCH("Immunization Coverage Survey",B1004)),"Coverage survey",IF(ISNUMBER(SEARCH("Nutrition",B1004)),"Nutrition survey","Other"))))</f>
        <v>DHS</v>
      </c>
      <c r="D1004" s="7" t="n">
        <f aca="false">VALUE(LEFT(Raw_Nigeria!D1004,4))</f>
        <v>2023</v>
      </c>
      <c r="E1004" s="7" t="n">
        <f aca="false">IF(VALUE(RIGHT(Raw_Nigeria!D1004,2))&gt;12,"",VALUE(RIGHT(Raw_Nigeria!D1004,2)))</f>
        <v>12</v>
      </c>
      <c r="F1004" s="7" t="n">
        <f aca="false">VALUE(LEFT(Raw_Nigeria!E1004,4))</f>
        <v>2024</v>
      </c>
      <c r="G1004" s="7" t="n">
        <f aca="false">IF(VALUE(RIGHT(Raw_Nigeria!E1004,2))&gt;12,"",VALUE(RIGHT(Raw_Nigeria!E1004,2)))</f>
        <v>5</v>
      </c>
      <c r="H1004" s="7" t="n">
        <f aca="false">Raw_Nigeria!F1004</f>
        <v>2021</v>
      </c>
      <c r="I1004" s="7" t="str">
        <f aca="false">UPPER(TRIM(Raw_Nigeria!G1004))</f>
        <v>POL3</v>
      </c>
      <c r="J1004" s="7" t="str">
        <f aca="false">Raw_Nigeria!H1004</f>
        <v>Record or Recall</v>
      </c>
      <c r="K1004" s="7" t="str">
        <f aca="false">Raw_Nigeria!L1004</f>
        <v>24-35 m</v>
      </c>
      <c r="L1004" s="7" t="str">
        <f aca="false">IF(Raw_Nigeria!K1004="","n/a",Raw_Nigeria!K1004)</f>
        <v>0-35 m</v>
      </c>
      <c r="M1004" s="7" t="n">
        <f aca="false">IF(Raw_Nigeria!I1004="","",Raw_Nigeria!I1004)</f>
        <v>34.4</v>
      </c>
      <c r="N1004" s="7" t="n">
        <f aca="false">Raw_Nigeria!M1004</f>
        <v>35.9</v>
      </c>
      <c r="O1004" s="7" t="n">
        <f aca="false">IF(Raw_Nigeria!N1004="","",Raw_Nigeria!N1004)</f>
        <v>4680</v>
      </c>
      <c r="P1004" s="7" t="str">
        <f aca="false">IF(K1004="CBAW","Women of child-bearing age","Children")</f>
        <v>Children</v>
      </c>
      <c r="Q1004" s="7" t="n">
        <f aca="false">IF(J1004="NOT USED",1,0)</f>
        <v>0</v>
      </c>
      <c r="R1004" s="7" t="n">
        <f aca="false">IF(AND(P1004="Children",Q1004=0),1,0)</f>
        <v>1</v>
      </c>
      <c r="S1004" s="7" t="n">
        <f aca="false">IF(AND(R1004=1,J1004="Record or Recall",K1004="12-23 m"),1,0)</f>
        <v>0</v>
      </c>
      <c r="T1004" s="7" t="n">
        <f aca="false">IF(OR(I1004="BCG",I1004="DTP1",I1004="DTP3",I1004="POL3",I1004="MCV1",I1004="FULL"),1,0)</f>
        <v>1</v>
      </c>
      <c r="U1004" s="7" t="n">
        <f aca="false">IF(OR(C1004="DHS",C1004="MICS"),1,0)</f>
        <v>1</v>
      </c>
      <c r="V1004" s="7" t="n">
        <f aca="false">IF(O1004="",1,0)</f>
        <v>0</v>
      </c>
      <c r="W1004" s="7" t="n">
        <f aca="false">IF(M1004="",1,0)</f>
        <v>0</v>
      </c>
      <c r="X1004" s="7" t="n">
        <f aca="false">COUNTIFS($B$2:$B$1141,B1004,$H$2:$H$1141,H1004,$I$2:$I$1141,I1004,$J$2:$J$1141,J1004,$K$2:$K$1141,K1004,$L$2:$L$1141,L1004)</f>
        <v>1</v>
      </c>
    </row>
    <row r="1005" customFormat="false" ht="15" hidden="false" customHeight="false" outlineLevel="0" collapsed="false">
      <c r="A1005" s="7" t="n">
        <f aca="false">ROW()-1</f>
        <v>1004</v>
      </c>
      <c r="B1005" s="7" t="str">
        <f aca="false">IF(Raw_Nigeria!B1005="",TRIM(Raw_Nigeria!C1005),TRIM(Raw_Nigeria!B1005))</f>
        <v>Nigeria Demographic and Health Survey 2024</v>
      </c>
      <c r="C1005" s="7" t="str">
        <f aca="false">IF(ISNUMBER(SEARCH("Demographic and Health",B1005)),"DHS",IF(OR(ISNUMBER(SEARCH("Multiple Indicator Cluster",B1005)),ISNUMBER(SEARCH("MICS",B1005))),"MICS",IF(ISNUMBER(SEARCH("Immunization Coverage Survey",B1005)),"Coverage survey",IF(ISNUMBER(SEARCH("Nutrition",B1005)),"Nutrition survey","Other"))))</f>
        <v>DHS</v>
      </c>
      <c r="D1005" s="7" t="n">
        <f aca="false">VALUE(LEFT(Raw_Nigeria!D1005,4))</f>
        <v>2023</v>
      </c>
      <c r="E1005" s="7" t="n">
        <f aca="false">IF(VALUE(RIGHT(Raw_Nigeria!D1005,2))&gt;12,"",VALUE(RIGHT(Raw_Nigeria!D1005,2)))</f>
        <v>12</v>
      </c>
      <c r="F1005" s="7" t="n">
        <f aca="false">VALUE(LEFT(Raw_Nigeria!E1005,4))</f>
        <v>2024</v>
      </c>
      <c r="G1005" s="7" t="n">
        <f aca="false">IF(VALUE(RIGHT(Raw_Nigeria!E1005,2))&gt;12,"",VALUE(RIGHT(Raw_Nigeria!E1005,2)))</f>
        <v>5</v>
      </c>
      <c r="H1005" s="7" t="n">
        <f aca="false">Raw_Nigeria!F1005</f>
        <v>2021</v>
      </c>
      <c r="I1005" s="7" t="str">
        <f aca="false">UPPER(TRIM(Raw_Nigeria!G1005))</f>
        <v>POL3</v>
      </c>
      <c r="J1005" s="7" t="str">
        <f aca="false">Raw_Nigeria!H1005</f>
        <v>Record or Recall&lt;12m</v>
      </c>
      <c r="K1005" s="7" t="str">
        <f aca="false">Raw_Nigeria!L1005</f>
        <v>24-35 m</v>
      </c>
      <c r="L1005" s="7" t="str">
        <f aca="false">IF(Raw_Nigeria!K1005="","n/a",Raw_Nigeria!K1005)</f>
        <v>0-12 m</v>
      </c>
      <c r="M1005" s="7" t="n">
        <f aca="false">IF(Raw_Nigeria!I1005="","",Raw_Nigeria!I1005)</f>
        <v>34.4</v>
      </c>
      <c r="N1005" s="7" t="n">
        <f aca="false">Raw_Nigeria!M1005</f>
        <v>34.3</v>
      </c>
      <c r="O1005" s="7" t="n">
        <f aca="false">IF(Raw_Nigeria!N1005="","",Raw_Nigeria!N1005)</f>
        <v>4680</v>
      </c>
      <c r="P1005" s="7" t="str">
        <f aca="false">IF(K1005="CBAW","Women of child-bearing age","Children")</f>
        <v>Children</v>
      </c>
      <c r="Q1005" s="7" t="n">
        <f aca="false">IF(J1005="NOT USED",1,0)</f>
        <v>0</v>
      </c>
      <c r="R1005" s="7" t="n">
        <f aca="false">IF(AND(P1005="Children",Q1005=0),1,0)</f>
        <v>1</v>
      </c>
      <c r="S1005" s="7" t="n">
        <f aca="false">IF(AND(R1005=1,J1005="Record or Recall",K1005="12-23 m"),1,0)</f>
        <v>0</v>
      </c>
      <c r="T1005" s="7" t="n">
        <f aca="false">IF(OR(I1005="BCG",I1005="DTP1",I1005="DTP3",I1005="POL3",I1005="MCV1",I1005="FULL"),1,0)</f>
        <v>1</v>
      </c>
      <c r="U1005" s="7" t="n">
        <f aca="false">IF(OR(C1005="DHS",C1005="MICS"),1,0)</f>
        <v>1</v>
      </c>
      <c r="V1005" s="7" t="n">
        <f aca="false">IF(O1005="",1,0)</f>
        <v>0</v>
      </c>
      <c r="W1005" s="7" t="n">
        <f aca="false">IF(M1005="",1,0)</f>
        <v>0</v>
      </c>
      <c r="X1005" s="7" t="n">
        <f aca="false">COUNTIFS($B$2:$B$1141,B1005,$H$2:$H$1141,H1005,$I$2:$I$1141,I1005,$J$2:$J$1141,J1005,$K$2:$K$1141,K1005,$L$2:$L$1141,L1005)</f>
        <v>1</v>
      </c>
    </row>
    <row r="1006" customFormat="false" ht="15" hidden="false" customHeight="false" outlineLevel="0" collapsed="false">
      <c r="A1006" s="7" t="n">
        <f aca="false">ROW()-1</f>
        <v>1005</v>
      </c>
      <c r="B1006" s="7" t="str">
        <f aca="false">IF(Raw_Nigeria!B1006="",TRIM(Raw_Nigeria!C1006),TRIM(Raw_Nigeria!B1006))</f>
        <v>Nigeria Demographic and Health Survey 2024</v>
      </c>
      <c r="C1006" s="7" t="str">
        <f aca="false">IF(ISNUMBER(SEARCH("Demographic and Health",B1006)),"DHS",IF(OR(ISNUMBER(SEARCH("Multiple Indicator Cluster",B1006)),ISNUMBER(SEARCH("MICS",B1006))),"MICS",IF(ISNUMBER(SEARCH("Immunization Coverage Survey",B1006)),"Coverage survey",IF(ISNUMBER(SEARCH("Nutrition",B1006)),"Nutrition survey","Other"))))</f>
        <v>DHS</v>
      </c>
      <c r="D1006" s="7" t="n">
        <f aca="false">VALUE(LEFT(Raw_Nigeria!D1006,4))</f>
        <v>2023</v>
      </c>
      <c r="E1006" s="7" t="n">
        <f aca="false">IF(VALUE(RIGHT(Raw_Nigeria!D1006,2))&gt;12,"",VALUE(RIGHT(Raw_Nigeria!D1006,2)))</f>
        <v>12</v>
      </c>
      <c r="F1006" s="7" t="n">
        <f aca="false">VALUE(LEFT(Raw_Nigeria!E1006,4))</f>
        <v>2024</v>
      </c>
      <c r="G1006" s="7" t="n">
        <f aca="false">IF(VALUE(RIGHT(Raw_Nigeria!E1006,2))&gt;12,"",VALUE(RIGHT(Raw_Nigeria!E1006,2)))</f>
        <v>5</v>
      </c>
      <c r="H1006" s="7" t="n">
        <f aca="false">Raw_Nigeria!F1006</f>
        <v>2021</v>
      </c>
      <c r="I1006" s="7" t="str">
        <f aca="false">UPPER(TRIM(Raw_Nigeria!G1006))</f>
        <v>ROTA1</v>
      </c>
      <c r="J1006" s="7" t="str">
        <f aca="false">Raw_Nigeria!H1006</f>
        <v>Recall</v>
      </c>
      <c r="K1006" s="7" t="str">
        <f aca="false">Raw_Nigeria!L1006</f>
        <v>24-35 m</v>
      </c>
      <c r="L1006" s="7" t="str">
        <f aca="false">IF(Raw_Nigeria!K1006="","n/a",Raw_Nigeria!K1006)</f>
        <v>0-35 m</v>
      </c>
      <c r="M1006" s="7" t="n">
        <f aca="false">IF(Raw_Nigeria!I1006="","",Raw_Nigeria!I1006)</f>
        <v>34.4</v>
      </c>
      <c r="N1006" s="7" t="n">
        <f aca="false">Raw_Nigeria!M1006</f>
        <v>21.1</v>
      </c>
      <c r="O1006" s="7" t="n">
        <f aca="false">IF(Raw_Nigeria!N1006="","",Raw_Nigeria!N1006)</f>
        <v>3072</v>
      </c>
      <c r="P1006" s="7" t="str">
        <f aca="false">IF(K1006="CBAW","Women of child-bearing age","Children")</f>
        <v>Children</v>
      </c>
      <c r="Q1006" s="7" t="n">
        <f aca="false">IF(J1006="NOT USED",1,0)</f>
        <v>0</v>
      </c>
      <c r="R1006" s="7" t="n">
        <f aca="false">IF(AND(P1006="Children",Q1006=0),1,0)</f>
        <v>1</v>
      </c>
      <c r="S1006" s="7" t="n">
        <f aca="false">IF(AND(R1006=1,J1006="Record or Recall",K1006="12-23 m"),1,0)</f>
        <v>0</v>
      </c>
      <c r="T1006" s="7" t="n">
        <f aca="false">IF(OR(I1006="BCG",I1006="DTP1",I1006="DTP3",I1006="POL3",I1006="MCV1",I1006="FULL"),1,0)</f>
        <v>0</v>
      </c>
      <c r="U1006" s="7" t="n">
        <f aca="false">IF(OR(C1006="DHS",C1006="MICS"),1,0)</f>
        <v>1</v>
      </c>
      <c r="V1006" s="7" t="n">
        <f aca="false">IF(O1006="",1,0)</f>
        <v>0</v>
      </c>
      <c r="W1006" s="7" t="n">
        <f aca="false">IF(M1006="",1,0)</f>
        <v>0</v>
      </c>
      <c r="X1006" s="7" t="n">
        <f aca="false">COUNTIFS($B$2:$B$1141,B1006,$H$2:$H$1141,H1006,$I$2:$I$1141,I1006,$J$2:$J$1141,J1006,$K$2:$K$1141,K1006,$L$2:$L$1141,L1006)</f>
        <v>1</v>
      </c>
    </row>
    <row r="1007" customFormat="false" ht="15" hidden="false" customHeight="false" outlineLevel="0" collapsed="false">
      <c r="A1007" s="7" t="n">
        <f aca="false">ROW()-1</f>
        <v>1006</v>
      </c>
      <c r="B1007" s="7" t="str">
        <f aca="false">IF(Raw_Nigeria!B1007="",TRIM(Raw_Nigeria!C1007),TRIM(Raw_Nigeria!B1007))</f>
        <v>Nigeria Demographic and Health Survey 2024</v>
      </c>
      <c r="C1007" s="7" t="str">
        <f aca="false">IF(ISNUMBER(SEARCH("Demographic and Health",B1007)),"DHS",IF(OR(ISNUMBER(SEARCH("Multiple Indicator Cluster",B1007)),ISNUMBER(SEARCH("MICS",B1007))),"MICS",IF(ISNUMBER(SEARCH("Immunization Coverage Survey",B1007)),"Coverage survey",IF(ISNUMBER(SEARCH("Nutrition",B1007)),"Nutrition survey","Other"))))</f>
        <v>DHS</v>
      </c>
      <c r="D1007" s="7" t="n">
        <f aca="false">VALUE(LEFT(Raw_Nigeria!D1007,4))</f>
        <v>2023</v>
      </c>
      <c r="E1007" s="7" t="n">
        <f aca="false">IF(VALUE(RIGHT(Raw_Nigeria!D1007,2))&gt;12,"",VALUE(RIGHT(Raw_Nigeria!D1007,2)))</f>
        <v>12</v>
      </c>
      <c r="F1007" s="7" t="n">
        <f aca="false">VALUE(LEFT(Raw_Nigeria!E1007,4))</f>
        <v>2024</v>
      </c>
      <c r="G1007" s="7" t="n">
        <f aca="false">IF(VALUE(RIGHT(Raw_Nigeria!E1007,2))&gt;12,"",VALUE(RIGHT(Raw_Nigeria!E1007,2)))</f>
        <v>5</v>
      </c>
      <c r="H1007" s="7" t="n">
        <f aca="false">Raw_Nigeria!F1007</f>
        <v>2021</v>
      </c>
      <c r="I1007" s="7" t="str">
        <f aca="false">UPPER(TRIM(Raw_Nigeria!G1007))</f>
        <v>ROTA1</v>
      </c>
      <c r="J1007" s="7" t="str">
        <f aca="false">Raw_Nigeria!H1007</f>
        <v>Record</v>
      </c>
      <c r="K1007" s="7" t="str">
        <f aca="false">Raw_Nigeria!L1007</f>
        <v>24-35 m</v>
      </c>
      <c r="L1007" s="7" t="str">
        <f aca="false">IF(Raw_Nigeria!K1007="","n/a",Raw_Nigeria!K1007)</f>
        <v>0-35 m</v>
      </c>
      <c r="M1007" s="7" t="n">
        <f aca="false">IF(Raw_Nigeria!I1007="","",Raw_Nigeria!I1007)</f>
        <v>34.4</v>
      </c>
      <c r="N1007" s="7" t="n">
        <f aca="false">Raw_Nigeria!M1007</f>
        <v>15.1</v>
      </c>
      <c r="O1007" s="7" t="n">
        <f aca="false">IF(Raw_Nigeria!N1007="","",Raw_Nigeria!N1007)</f>
        <v>1608</v>
      </c>
      <c r="P1007" s="7" t="str">
        <f aca="false">IF(K1007="CBAW","Women of child-bearing age","Children")</f>
        <v>Children</v>
      </c>
      <c r="Q1007" s="7" t="n">
        <f aca="false">IF(J1007="NOT USED",1,0)</f>
        <v>0</v>
      </c>
      <c r="R1007" s="7" t="n">
        <f aca="false">IF(AND(P1007="Children",Q1007=0),1,0)</f>
        <v>1</v>
      </c>
      <c r="S1007" s="7" t="n">
        <f aca="false">IF(AND(R1007=1,J1007="Record or Recall",K1007="12-23 m"),1,0)</f>
        <v>0</v>
      </c>
      <c r="T1007" s="7" t="n">
        <f aca="false">IF(OR(I1007="BCG",I1007="DTP1",I1007="DTP3",I1007="POL3",I1007="MCV1",I1007="FULL"),1,0)</f>
        <v>0</v>
      </c>
      <c r="U1007" s="7" t="n">
        <f aca="false">IF(OR(C1007="DHS",C1007="MICS"),1,0)</f>
        <v>1</v>
      </c>
      <c r="V1007" s="7" t="n">
        <f aca="false">IF(O1007="",1,0)</f>
        <v>0</v>
      </c>
      <c r="W1007" s="7" t="n">
        <f aca="false">IF(M1007="",1,0)</f>
        <v>0</v>
      </c>
      <c r="X1007" s="7" t="n">
        <f aca="false">COUNTIFS($B$2:$B$1141,B1007,$H$2:$H$1141,H1007,$I$2:$I$1141,I1007,$J$2:$J$1141,J1007,$K$2:$K$1141,K1007,$L$2:$L$1141,L1007)</f>
        <v>1</v>
      </c>
    </row>
    <row r="1008" customFormat="false" ht="15" hidden="false" customHeight="false" outlineLevel="0" collapsed="false">
      <c r="A1008" s="7" t="n">
        <f aca="false">ROW()-1</f>
        <v>1007</v>
      </c>
      <c r="B1008" s="7" t="str">
        <f aca="false">IF(Raw_Nigeria!B1008="",TRIM(Raw_Nigeria!C1008),TRIM(Raw_Nigeria!B1008))</f>
        <v>Nigeria Demographic and Health Survey 2024</v>
      </c>
      <c r="C1008" s="7" t="str">
        <f aca="false">IF(ISNUMBER(SEARCH("Demographic and Health",B1008)),"DHS",IF(OR(ISNUMBER(SEARCH("Multiple Indicator Cluster",B1008)),ISNUMBER(SEARCH("MICS",B1008))),"MICS",IF(ISNUMBER(SEARCH("Immunization Coverage Survey",B1008)),"Coverage survey",IF(ISNUMBER(SEARCH("Nutrition",B1008)),"Nutrition survey","Other"))))</f>
        <v>DHS</v>
      </c>
      <c r="D1008" s="7" t="n">
        <f aca="false">VALUE(LEFT(Raw_Nigeria!D1008,4))</f>
        <v>2023</v>
      </c>
      <c r="E1008" s="7" t="n">
        <f aca="false">IF(VALUE(RIGHT(Raw_Nigeria!D1008,2))&gt;12,"",VALUE(RIGHT(Raw_Nigeria!D1008,2)))</f>
        <v>12</v>
      </c>
      <c r="F1008" s="7" t="n">
        <f aca="false">VALUE(LEFT(Raw_Nigeria!E1008,4))</f>
        <v>2024</v>
      </c>
      <c r="G1008" s="7" t="n">
        <f aca="false">IF(VALUE(RIGHT(Raw_Nigeria!E1008,2))&gt;12,"",VALUE(RIGHT(Raw_Nigeria!E1008,2)))</f>
        <v>5</v>
      </c>
      <c r="H1008" s="7" t="n">
        <f aca="false">Raw_Nigeria!F1008</f>
        <v>2021</v>
      </c>
      <c r="I1008" s="7" t="str">
        <f aca="false">UPPER(TRIM(Raw_Nigeria!G1008))</f>
        <v>ROTA1</v>
      </c>
      <c r="J1008" s="7" t="str">
        <f aca="false">Raw_Nigeria!H1008</f>
        <v>Record or Recall</v>
      </c>
      <c r="K1008" s="7" t="str">
        <f aca="false">Raw_Nigeria!L1008</f>
        <v>24-35 m</v>
      </c>
      <c r="L1008" s="7" t="str">
        <f aca="false">IF(Raw_Nigeria!K1008="","n/a",Raw_Nigeria!K1008)</f>
        <v>0-35 m</v>
      </c>
      <c r="M1008" s="7" t="n">
        <f aca="false">IF(Raw_Nigeria!I1008="","",Raw_Nigeria!I1008)</f>
        <v>34.4</v>
      </c>
      <c r="N1008" s="7" t="n">
        <f aca="false">Raw_Nigeria!M1008</f>
        <v>36.2</v>
      </c>
      <c r="O1008" s="7" t="n">
        <f aca="false">IF(Raw_Nigeria!N1008="","",Raw_Nigeria!N1008)</f>
        <v>4680</v>
      </c>
      <c r="P1008" s="7" t="str">
        <f aca="false">IF(K1008="CBAW","Women of child-bearing age","Children")</f>
        <v>Children</v>
      </c>
      <c r="Q1008" s="7" t="n">
        <f aca="false">IF(J1008="NOT USED",1,0)</f>
        <v>0</v>
      </c>
      <c r="R1008" s="7" t="n">
        <f aca="false">IF(AND(P1008="Children",Q1008=0),1,0)</f>
        <v>1</v>
      </c>
      <c r="S1008" s="7" t="n">
        <f aca="false">IF(AND(R1008=1,J1008="Record or Recall",K1008="12-23 m"),1,0)</f>
        <v>0</v>
      </c>
      <c r="T1008" s="7" t="n">
        <f aca="false">IF(OR(I1008="BCG",I1008="DTP1",I1008="DTP3",I1008="POL3",I1008="MCV1",I1008="FULL"),1,0)</f>
        <v>0</v>
      </c>
      <c r="U1008" s="7" t="n">
        <f aca="false">IF(OR(C1008="DHS",C1008="MICS"),1,0)</f>
        <v>1</v>
      </c>
      <c r="V1008" s="7" t="n">
        <f aca="false">IF(O1008="",1,0)</f>
        <v>0</v>
      </c>
      <c r="W1008" s="7" t="n">
        <f aca="false">IF(M1008="",1,0)</f>
        <v>0</v>
      </c>
      <c r="X1008" s="7" t="n">
        <f aca="false">COUNTIFS($B$2:$B$1141,B1008,$H$2:$H$1141,H1008,$I$2:$I$1141,I1008,$J$2:$J$1141,J1008,$K$2:$K$1141,K1008,$L$2:$L$1141,L1008)</f>
        <v>1</v>
      </c>
    </row>
    <row r="1009" customFormat="false" ht="15" hidden="false" customHeight="false" outlineLevel="0" collapsed="false">
      <c r="A1009" s="7" t="n">
        <f aca="false">ROW()-1</f>
        <v>1008</v>
      </c>
      <c r="B1009" s="7" t="str">
        <f aca="false">IF(Raw_Nigeria!B1009="",TRIM(Raw_Nigeria!C1009),TRIM(Raw_Nigeria!B1009))</f>
        <v>Nigeria Demographic and Health Survey 2024</v>
      </c>
      <c r="C1009" s="7" t="str">
        <f aca="false">IF(ISNUMBER(SEARCH("Demographic and Health",B1009)),"DHS",IF(OR(ISNUMBER(SEARCH("Multiple Indicator Cluster",B1009)),ISNUMBER(SEARCH("MICS",B1009))),"MICS",IF(ISNUMBER(SEARCH("Immunization Coverage Survey",B1009)),"Coverage survey",IF(ISNUMBER(SEARCH("Nutrition",B1009)),"Nutrition survey","Other"))))</f>
        <v>DHS</v>
      </c>
      <c r="D1009" s="7" t="n">
        <f aca="false">VALUE(LEFT(Raw_Nigeria!D1009,4))</f>
        <v>2023</v>
      </c>
      <c r="E1009" s="7" t="n">
        <f aca="false">IF(VALUE(RIGHT(Raw_Nigeria!D1009,2))&gt;12,"",VALUE(RIGHT(Raw_Nigeria!D1009,2)))</f>
        <v>12</v>
      </c>
      <c r="F1009" s="7" t="n">
        <f aca="false">VALUE(LEFT(Raw_Nigeria!E1009,4))</f>
        <v>2024</v>
      </c>
      <c r="G1009" s="7" t="n">
        <f aca="false">IF(VALUE(RIGHT(Raw_Nigeria!E1009,2))&gt;12,"",VALUE(RIGHT(Raw_Nigeria!E1009,2)))</f>
        <v>5</v>
      </c>
      <c r="H1009" s="7" t="n">
        <f aca="false">Raw_Nigeria!F1009</f>
        <v>2021</v>
      </c>
      <c r="I1009" s="7" t="str">
        <f aca="false">UPPER(TRIM(Raw_Nigeria!G1009))</f>
        <v>ROTA1</v>
      </c>
      <c r="J1009" s="7" t="str">
        <f aca="false">Raw_Nigeria!H1009</f>
        <v>Record or Recall&lt;12m</v>
      </c>
      <c r="K1009" s="7" t="str">
        <f aca="false">Raw_Nigeria!L1009</f>
        <v>24-35 m</v>
      </c>
      <c r="L1009" s="7" t="str">
        <f aca="false">IF(Raw_Nigeria!K1009="","n/a",Raw_Nigeria!K1009)</f>
        <v>0-12 m</v>
      </c>
      <c r="M1009" s="7" t="n">
        <f aca="false">IF(Raw_Nigeria!I1009="","",Raw_Nigeria!I1009)</f>
        <v>34.4</v>
      </c>
      <c r="N1009" s="7" t="n">
        <f aca="false">Raw_Nigeria!M1009</f>
        <v>29.4</v>
      </c>
      <c r="O1009" s="7" t="n">
        <f aca="false">IF(Raw_Nigeria!N1009="","",Raw_Nigeria!N1009)</f>
        <v>4680</v>
      </c>
      <c r="P1009" s="7" t="str">
        <f aca="false">IF(K1009="CBAW","Women of child-bearing age","Children")</f>
        <v>Children</v>
      </c>
      <c r="Q1009" s="7" t="n">
        <f aca="false">IF(J1009="NOT USED",1,0)</f>
        <v>0</v>
      </c>
      <c r="R1009" s="7" t="n">
        <f aca="false">IF(AND(P1009="Children",Q1009=0),1,0)</f>
        <v>1</v>
      </c>
      <c r="S1009" s="7" t="n">
        <f aca="false">IF(AND(R1009=1,J1009="Record or Recall",K1009="12-23 m"),1,0)</f>
        <v>0</v>
      </c>
      <c r="T1009" s="7" t="n">
        <f aca="false">IF(OR(I1009="BCG",I1009="DTP1",I1009="DTP3",I1009="POL3",I1009="MCV1",I1009="FULL"),1,0)</f>
        <v>0</v>
      </c>
      <c r="U1009" s="7" t="n">
        <f aca="false">IF(OR(C1009="DHS",C1009="MICS"),1,0)</f>
        <v>1</v>
      </c>
      <c r="V1009" s="7" t="n">
        <f aca="false">IF(O1009="",1,0)</f>
        <v>0</v>
      </c>
      <c r="W1009" s="7" t="n">
        <f aca="false">IF(M1009="",1,0)</f>
        <v>0</v>
      </c>
      <c r="X1009" s="7" t="n">
        <f aca="false">COUNTIFS($B$2:$B$1141,B1009,$H$2:$H$1141,H1009,$I$2:$I$1141,I1009,$J$2:$J$1141,J1009,$K$2:$K$1141,K1009,$L$2:$L$1141,L1009)</f>
        <v>1</v>
      </c>
    </row>
    <row r="1010" customFormat="false" ht="15" hidden="false" customHeight="false" outlineLevel="0" collapsed="false">
      <c r="A1010" s="7" t="n">
        <f aca="false">ROW()-1</f>
        <v>1009</v>
      </c>
      <c r="B1010" s="7" t="str">
        <f aca="false">IF(Raw_Nigeria!B1010="",TRIM(Raw_Nigeria!C1010),TRIM(Raw_Nigeria!B1010))</f>
        <v>Nigeria Demographic and Health Survey 2024</v>
      </c>
      <c r="C1010" s="7" t="str">
        <f aca="false">IF(ISNUMBER(SEARCH("Demographic and Health",B1010)),"DHS",IF(OR(ISNUMBER(SEARCH("Multiple Indicator Cluster",B1010)),ISNUMBER(SEARCH("MICS",B1010))),"MICS",IF(ISNUMBER(SEARCH("Immunization Coverage Survey",B1010)),"Coverage survey",IF(ISNUMBER(SEARCH("Nutrition",B1010)),"Nutrition survey","Other"))))</f>
        <v>DHS</v>
      </c>
      <c r="D1010" s="7" t="n">
        <f aca="false">VALUE(LEFT(Raw_Nigeria!D1010,4))</f>
        <v>2023</v>
      </c>
      <c r="E1010" s="7" t="n">
        <f aca="false">IF(VALUE(RIGHT(Raw_Nigeria!D1010,2))&gt;12,"",VALUE(RIGHT(Raw_Nigeria!D1010,2)))</f>
        <v>12</v>
      </c>
      <c r="F1010" s="7" t="n">
        <f aca="false">VALUE(LEFT(Raw_Nigeria!E1010,4))</f>
        <v>2024</v>
      </c>
      <c r="G1010" s="7" t="n">
        <f aca="false">IF(VALUE(RIGHT(Raw_Nigeria!E1010,2))&gt;12,"",VALUE(RIGHT(Raw_Nigeria!E1010,2)))</f>
        <v>5</v>
      </c>
      <c r="H1010" s="7" t="n">
        <f aca="false">Raw_Nigeria!F1010</f>
        <v>2021</v>
      </c>
      <c r="I1010" s="7" t="str">
        <f aca="false">UPPER(TRIM(Raw_Nigeria!G1010))</f>
        <v>ROTA2</v>
      </c>
      <c r="J1010" s="7" t="str">
        <f aca="false">Raw_Nigeria!H1010</f>
        <v>Recall</v>
      </c>
      <c r="K1010" s="7" t="str">
        <f aca="false">Raw_Nigeria!L1010</f>
        <v>24-35 m</v>
      </c>
      <c r="L1010" s="7" t="str">
        <f aca="false">IF(Raw_Nigeria!K1010="","n/a",Raw_Nigeria!K1010)</f>
        <v>0-35 m</v>
      </c>
      <c r="M1010" s="7" t="n">
        <f aca="false">IF(Raw_Nigeria!I1010="","",Raw_Nigeria!I1010)</f>
        <v>34.4</v>
      </c>
      <c r="N1010" s="7" t="n">
        <f aca="false">Raw_Nigeria!M1010</f>
        <v>17.5</v>
      </c>
      <c r="O1010" s="7" t="n">
        <f aca="false">IF(Raw_Nigeria!N1010="","",Raw_Nigeria!N1010)</f>
        <v>3072</v>
      </c>
      <c r="P1010" s="7" t="str">
        <f aca="false">IF(K1010="CBAW","Women of child-bearing age","Children")</f>
        <v>Children</v>
      </c>
      <c r="Q1010" s="7" t="n">
        <f aca="false">IF(J1010="NOT USED",1,0)</f>
        <v>0</v>
      </c>
      <c r="R1010" s="7" t="n">
        <f aca="false">IF(AND(P1010="Children",Q1010=0),1,0)</f>
        <v>1</v>
      </c>
      <c r="S1010" s="7" t="n">
        <f aca="false">IF(AND(R1010=1,J1010="Record or Recall",K1010="12-23 m"),1,0)</f>
        <v>0</v>
      </c>
      <c r="T1010" s="7" t="n">
        <f aca="false">IF(OR(I1010="BCG",I1010="DTP1",I1010="DTP3",I1010="POL3",I1010="MCV1",I1010="FULL"),1,0)</f>
        <v>0</v>
      </c>
      <c r="U1010" s="7" t="n">
        <f aca="false">IF(OR(C1010="DHS",C1010="MICS"),1,0)</f>
        <v>1</v>
      </c>
      <c r="V1010" s="7" t="n">
        <f aca="false">IF(O1010="",1,0)</f>
        <v>0</v>
      </c>
      <c r="W1010" s="7" t="n">
        <f aca="false">IF(M1010="",1,0)</f>
        <v>0</v>
      </c>
      <c r="X1010" s="7" t="n">
        <f aca="false">COUNTIFS($B$2:$B$1141,B1010,$H$2:$H$1141,H1010,$I$2:$I$1141,I1010,$J$2:$J$1141,J1010,$K$2:$K$1141,K1010,$L$2:$L$1141,L1010)</f>
        <v>1</v>
      </c>
    </row>
    <row r="1011" customFormat="false" ht="15" hidden="false" customHeight="false" outlineLevel="0" collapsed="false">
      <c r="A1011" s="7" t="n">
        <f aca="false">ROW()-1</f>
        <v>1010</v>
      </c>
      <c r="B1011" s="7" t="str">
        <f aca="false">IF(Raw_Nigeria!B1011="",TRIM(Raw_Nigeria!C1011),TRIM(Raw_Nigeria!B1011))</f>
        <v>Nigeria Demographic and Health Survey 2024</v>
      </c>
      <c r="C1011" s="7" t="str">
        <f aca="false">IF(ISNUMBER(SEARCH("Demographic and Health",B1011)),"DHS",IF(OR(ISNUMBER(SEARCH("Multiple Indicator Cluster",B1011)),ISNUMBER(SEARCH("MICS",B1011))),"MICS",IF(ISNUMBER(SEARCH("Immunization Coverage Survey",B1011)),"Coverage survey",IF(ISNUMBER(SEARCH("Nutrition",B1011)),"Nutrition survey","Other"))))</f>
        <v>DHS</v>
      </c>
      <c r="D1011" s="7" t="n">
        <f aca="false">VALUE(LEFT(Raw_Nigeria!D1011,4))</f>
        <v>2023</v>
      </c>
      <c r="E1011" s="7" t="n">
        <f aca="false">IF(VALUE(RIGHT(Raw_Nigeria!D1011,2))&gt;12,"",VALUE(RIGHT(Raw_Nigeria!D1011,2)))</f>
        <v>12</v>
      </c>
      <c r="F1011" s="7" t="n">
        <f aca="false">VALUE(LEFT(Raw_Nigeria!E1011,4))</f>
        <v>2024</v>
      </c>
      <c r="G1011" s="7" t="n">
        <f aca="false">IF(VALUE(RIGHT(Raw_Nigeria!E1011,2))&gt;12,"",VALUE(RIGHT(Raw_Nigeria!E1011,2)))</f>
        <v>5</v>
      </c>
      <c r="H1011" s="7" t="n">
        <f aca="false">Raw_Nigeria!F1011</f>
        <v>2021</v>
      </c>
      <c r="I1011" s="7" t="str">
        <f aca="false">UPPER(TRIM(Raw_Nigeria!G1011))</f>
        <v>ROTA2</v>
      </c>
      <c r="J1011" s="7" t="str">
        <f aca="false">Raw_Nigeria!H1011</f>
        <v>Record</v>
      </c>
      <c r="K1011" s="7" t="str">
        <f aca="false">Raw_Nigeria!L1011</f>
        <v>24-35 m</v>
      </c>
      <c r="L1011" s="7" t="str">
        <f aca="false">IF(Raw_Nigeria!K1011="","n/a",Raw_Nigeria!K1011)</f>
        <v>0-35 m</v>
      </c>
      <c r="M1011" s="7" t="n">
        <f aca="false">IF(Raw_Nigeria!I1011="","",Raw_Nigeria!I1011)</f>
        <v>34.4</v>
      </c>
      <c r="N1011" s="7" t="n">
        <f aca="false">Raw_Nigeria!M1011</f>
        <v>7.4</v>
      </c>
      <c r="O1011" s="7" t="n">
        <f aca="false">IF(Raw_Nigeria!N1011="","",Raw_Nigeria!N1011)</f>
        <v>1608</v>
      </c>
      <c r="P1011" s="7" t="str">
        <f aca="false">IF(K1011="CBAW","Women of child-bearing age","Children")</f>
        <v>Children</v>
      </c>
      <c r="Q1011" s="7" t="n">
        <f aca="false">IF(J1011="NOT USED",1,0)</f>
        <v>0</v>
      </c>
      <c r="R1011" s="7" t="n">
        <f aca="false">IF(AND(P1011="Children",Q1011=0),1,0)</f>
        <v>1</v>
      </c>
      <c r="S1011" s="7" t="n">
        <f aca="false">IF(AND(R1011=1,J1011="Record or Recall",K1011="12-23 m"),1,0)</f>
        <v>0</v>
      </c>
      <c r="T1011" s="7" t="n">
        <f aca="false">IF(OR(I1011="BCG",I1011="DTP1",I1011="DTP3",I1011="POL3",I1011="MCV1",I1011="FULL"),1,0)</f>
        <v>0</v>
      </c>
      <c r="U1011" s="7" t="n">
        <f aca="false">IF(OR(C1011="DHS",C1011="MICS"),1,0)</f>
        <v>1</v>
      </c>
      <c r="V1011" s="7" t="n">
        <f aca="false">IF(O1011="",1,0)</f>
        <v>0</v>
      </c>
      <c r="W1011" s="7" t="n">
        <f aca="false">IF(M1011="",1,0)</f>
        <v>0</v>
      </c>
      <c r="X1011" s="7" t="n">
        <f aca="false">COUNTIFS($B$2:$B$1141,B1011,$H$2:$H$1141,H1011,$I$2:$I$1141,I1011,$J$2:$J$1141,J1011,$K$2:$K$1141,K1011,$L$2:$L$1141,L1011)</f>
        <v>1</v>
      </c>
    </row>
    <row r="1012" customFormat="false" ht="15" hidden="false" customHeight="false" outlineLevel="0" collapsed="false">
      <c r="A1012" s="7" t="n">
        <f aca="false">ROW()-1</f>
        <v>1011</v>
      </c>
      <c r="B1012" s="7" t="str">
        <f aca="false">IF(Raw_Nigeria!B1012="",TRIM(Raw_Nigeria!C1012),TRIM(Raw_Nigeria!B1012))</f>
        <v>Nigeria Demographic and Health Survey 2024</v>
      </c>
      <c r="C1012" s="7" t="str">
        <f aca="false">IF(ISNUMBER(SEARCH("Demographic and Health",B1012)),"DHS",IF(OR(ISNUMBER(SEARCH("Multiple Indicator Cluster",B1012)),ISNUMBER(SEARCH("MICS",B1012))),"MICS",IF(ISNUMBER(SEARCH("Immunization Coverage Survey",B1012)),"Coverage survey",IF(ISNUMBER(SEARCH("Nutrition",B1012)),"Nutrition survey","Other"))))</f>
        <v>DHS</v>
      </c>
      <c r="D1012" s="7" t="n">
        <f aca="false">VALUE(LEFT(Raw_Nigeria!D1012,4))</f>
        <v>2023</v>
      </c>
      <c r="E1012" s="7" t="n">
        <f aca="false">IF(VALUE(RIGHT(Raw_Nigeria!D1012,2))&gt;12,"",VALUE(RIGHT(Raw_Nigeria!D1012,2)))</f>
        <v>12</v>
      </c>
      <c r="F1012" s="7" t="n">
        <f aca="false">VALUE(LEFT(Raw_Nigeria!E1012,4))</f>
        <v>2024</v>
      </c>
      <c r="G1012" s="7" t="n">
        <f aca="false">IF(VALUE(RIGHT(Raw_Nigeria!E1012,2))&gt;12,"",VALUE(RIGHT(Raw_Nigeria!E1012,2)))</f>
        <v>5</v>
      </c>
      <c r="H1012" s="7" t="n">
        <f aca="false">Raw_Nigeria!F1012</f>
        <v>2021</v>
      </c>
      <c r="I1012" s="7" t="str">
        <f aca="false">UPPER(TRIM(Raw_Nigeria!G1012))</f>
        <v>ROTA2</v>
      </c>
      <c r="J1012" s="7" t="str">
        <f aca="false">Raw_Nigeria!H1012</f>
        <v>Record or Recall</v>
      </c>
      <c r="K1012" s="7" t="str">
        <f aca="false">Raw_Nigeria!L1012</f>
        <v>24-35 m</v>
      </c>
      <c r="L1012" s="7" t="str">
        <f aca="false">IF(Raw_Nigeria!K1012="","n/a",Raw_Nigeria!K1012)</f>
        <v>0-35 m</v>
      </c>
      <c r="M1012" s="7" t="n">
        <f aca="false">IF(Raw_Nigeria!I1012="","",Raw_Nigeria!I1012)</f>
        <v>34.4</v>
      </c>
      <c r="N1012" s="7" t="n">
        <f aca="false">Raw_Nigeria!M1012</f>
        <v>24.9</v>
      </c>
      <c r="O1012" s="7" t="n">
        <f aca="false">IF(Raw_Nigeria!N1012="","",Raw_Nigeria!N1012)</f>
        <v>4680</v>
      </c>
      <c r="P1012" s="7" t="str">
        <f aca="false">IF(K1012="CBAW","Women of child-bearing age","Children")</f>
        <v>Children</v>
      </c>
      <c r="Q1012" s="7" t="n">
        <f aca="false">IF(J1012="NOT USED",1,0)</f>
        <v>0</v>
      </c>
      <c r="R1012" s="7" t="n">
        <f aca="false">IF(AND(P1012="Children",Q1012=0),1,0)</f>
        <v>1</v>
      </c>
      <c r="S1012" s="7" t="n">
        <f aca="false">IF(AND(R1012=1,J1012="Record or Recall",K1012="12-23 m"),1,0)</f>
        <v>0</v>
      </c>
      <c r="T1012" s="7" t="n">
        <f aca="false">IF(OR(I1012="BCG",I1012="DTP1",I1012="DTP3",I1012="POL3",I1012="MCV1",I1012="FULL"),1,0)</f>
        <v>0</v>
      </c>
      <c r="U1012" s="7" t="n">
        <f aca="false">IF(OR(C1012="DHS",C1012="MICS"),1,0)</f>
        <v>1</v>
      </c>
      <c r="V1012" s="7" t="n">
        <f aca="false">IF(O1012="",1,0)</f>
        <v>0</v>
      </c>
      <c r="W1012" s="7" t="n">
        <f aca="false">IF(M1012="",1,0)</f>
        <v>0</v>
      </c>
      <c r="X1012" s="7" t="n">
        <f aca="false">COUNTIFS($B$2:$B$1141,B1012,$H$2:$H$1141,H1012,$I$2:$I$1141,I1012,$J$2:$J$1141,J1012,$K$2:$K$1141,K1012,$L$2:$L$1141,L1012)</f>
        <v>1</v>
      </c>
    </row>
    <row r="1013" customFormat="false" ht="15" hidden="false" customHeight="false" outlineLevel="0" collapsed="false">
      <c r="A1013" s="7" t="n">
        <f aca="false">ROW()-1</f>
        <v>1012</v>
      </c>
      <c r="B1013" s="7" t="str">
        <f aca="false">IF(Raw_Nigeria!B1013="",TRIM(Raw_Nigeria!C1013),TRIM(Raw_Nigeria!B1013))</f>
        <v>Nigeria Demographic and Health Survey 2024</v>
      </c>
      <c r="C1013" s="7" t="str">
        <f aca="false">IF(ISNUMBER(SEARCH("Demographic and Health",B1013)),"DHS",IF(OR(ISNUMBER(SEARCH("Multiple Indicator Cluster",B1013)),ISNUMBER(SEARCH("MICS",B1013))),"MICS",IF(ISNUMBER(SEARCH("Immunization Coverage Survey",B1013)),"Coverage survey",IF(ISNUMBER(SEARCH("Nutrition",B1013)),"Nutrition survey","Other"))))</f>
        <v>DHS</v>
      </c>
      <c r="D1013" s="7" t="n">
        <f aca="false">VALUE(LEFT(Raw_Nigeria!D1013,4))</f>
        <v>2023</v>
      </c>
      <c r="E1013" s="7" t="n">
        <f aca="false">IF(VALUE(RIGHT(Raw_Nigeria!D1013,2))&gt;12,"",VALUE(RIGHT(Raw_Nigeria!D1013,2)))</f>
        <v>12</v>
      </c>
      <c r="F1013" s="7" t="n">
        <f aca="false">VALUE(LEFT(Raw_Nigeria!E1013,4))</f>
        <v>2024</v>
      </c>
      <c r="G1013" s="7" t="n">
        <f aca="false">IF(VALUE(RIGHT(Raw_Nigeria!E1013,2))&gt;12,"",VALUE(RIGHT(Raw_Nigeria!E1013,2)))</f>
        <v>5</v>
      </c>
      <c r="H1013" s="7" t="n">
        <f aca="false">Raw_Nigeria!F1013</f>
        <v>2021</v>
      </c>
      <c r="I1013" s="7" t="str">
        <f aca="false">UPPER(TRIM(Raw_Nigeria!G1013))</f>
        <v>ROTA2</v>
      </c>
      <c r="J1013" s="7" t="str">
        <f aca="false">Raw_Nigeria!H1013</f>
        <v>Record or Recall&lt;12m</v>
      </c>
      <c r="K1013" s="7" t="str">
        <f aca="false">Raw_Nigeria!L1013</f>
        <v>24-35 m</v>
      </c>
      <c r="L1013" s="7" t="str">
        <f aca="false">IF(Raw_Nigeria!K1013="","n/a",Raw_Nigeria!K1013)</f>
        <v>0-12 m</v>
      </c>
      <c r="M1013" s="7" t="n">
        <f aca="false">IF(Raw_Nigeria!I1013="","",Raw_Nigeria!I1013)</f>
        <v>34.4</v>
      </c>
      <c r="N1013" s="7" t="n">
        <f aca="false">Raw_Nigeria!M1013</f>
        <v>17.9</v>
      </c>
      <c r="O1013" s="7" t="n">
        <f aca="false">IF(Raw_Nigeria!N1013="","",Raw_Nigeria!N1013)</f>
        <v>4680</v>
      </c>
      <c r="P1013" s="7" t="str">
        <f aca="false">IF(K1013="CBAW","Women of child-bearing age","Children")</f>
        <v>Children</v>
      </c>
      <c r="Q1013" s="7" t="n">
        <f aca="false">IF(J1013="NOT USED",1,0)</f>
        <v>0</v>
      </c>
      <c r="R1013" s="7" t="n">
        <f aca="false">IF(AND(P1013="Children",Q1013=0),1,0)</f>
        <v>1</v>
      </c>
      <c r="S1013" s="7" t="n">
        <f aca="false">IF(AND(R1013=1,J1013="Record or Recall",K1013="12-23 m"),1,0)</f>
        <v>0</v>
      </c>
      <c r="T1013" s="7" t="n">
        <f aca="false">IF(OR(I1013="BCG",I1013="DTP1",I1013="DTP3",I1013="POL3",I1013="MCV1",I1013="FULL"),1,0)</f>
        <v>0</v>
      </c>
      <c r="U1013" s="7" t="n">
        <f aca="false">IF(OR(C1013="DHS",C1013="MICS"),1,0)</f>
        <v>1</v>
      </c>
      <c r="V1013" s="7" t="n">
        <f aca="false">IF(O1013="",1,0)</f>
        <v>0</v>
      </c>
      <c r="W1013" s="7" t="n">
        <f aca="false">IF(M1013="",1,0)</f>
        <v>0</v>
      </c>
      <c r="X1013" s="7" t="n">
        <f aca="false">COUNTIFS($B$2:$B$1141,B1013,$H$2:$H$1141,H1013,$I$2:$I$1141,I1013,$J$2:$J$1141,J1013,$K$2:$K$1141,K1013,$L$2:$L$1141,L1013)</f>
        <v>1</v>
      </c>
    </row>
    <row r="1014" customFormat="false" ht="15" hidden="false" customHeight="false" outlineLevel="0" collapsed="false">
      <c r="A1014" s="7" t="n">
        <f aca="false">ROW()-1</f>
        <v>1013</v>
      </c>
      <c r="B1014" s="7" t="str">
        <f aca="false">IF(Raw_Nigeria!B1014="",TRIM(Raw_Nigeria!C1014),TRIM(Raw_Nigeria!B1014))</f>
        <v>Nigeria Demographic and Health Survey 2024</v>
      </c>
      <c r="C1014" s="7" t="str">
        <f aca="false">IF(ISNUMBER(SEARCH("Demographic and Health",B1014)),"DHS",IF(OR(ISNUMBER(SEARCH("Multiple Indicator Cluster",B1014)),ISNUMBER(SEARCH("MICS",B1014))),"MICS",IF(ISNUMBER(SEARCH("Immunization Coverage Survey",B1014)),"Coverage survey",IF(ISNUMBER(SEARCH("Nutrition",B1014)),"Nutrition survey","Other"))))</f>
        <v>DHS</v>
      </c>
      <c r="D1014" s="7" t="n">
        <f aca="false">VALUE(LEFT(Raw_Nigeria!D1014,4))</f>
        <v>2023</v>
      </c>
      <c r="E1014" s="7" t="n">
        <f aca="false">IF(VALUE(RIGHT(Raw_Nigeria!D1014,2))&gt;12,"",VALUE(RIGHT(Raw_Nigeria!D1014,2)))</f>
        <v>12</v>
      </c>
      <c r="F1014" s="7" t="n">
        <f aca="false">VALUE(LEFT(Raw_Nigeria!E1014,4))</f>
        <v>2024</v>
      </c>
      <c r="G1014" s="7" t="n">
        <f aca="false">IF(VALUE(RIGHT(Raw_Nigeria!E1014,2))&gt;12,"",VALUE(RIGHT(Raw_Nigeria!E1014,2)))</f>
        <v>5</v>
      </c>
      <c r="H1014" s="7" t="n">
        <f aca="false">Raw_Nigeria!F1014</f>
        <v>2021</v>
      </c>
      <c r="I1014" s="7" t="str">
        <f aca="false">UPPER(TRIM(Raw_Nigeria!G1014))</f>
        <v>ROTAC</v>
      </c>
      <c r="J1014" s="7" t="str">
        <f aca="false">Raw_Nigeria!H1014</f>
        <v>Recall</v>
      </c>
      <c r="K1014" s="7" t="str">
        <f aca="false">Raw_Nigeria!L1014</f>
        <v>24-35 m</v>
      </c>
      <c r="L1014" s="7" t="str">
        <f aca="false">IF(Raw_Nigeria!K1014="","n/a",Raw_Nigeria!K1014)</f>
        <v>0-35 m</v>
      </c>
      <c r="M1014" s="7" t="n">
        <f aca="false">IF(Raw_Nigeria!I1014="","",Raw_Nigeria!I1014)</f>
        <v>34.4</v>
      </c>
      <c r="N1014" s="7" t="n">
        <f aca="false">Raw_Nigeria!M1014</f>
        <v>6.4</v>
      </c>
      <c r="O1014" s="7" t="n">
        <f aca="false">IF(Raw_Nigeria!N1014="","",Raw_Nigeria!N1014)</f>
        <v>3072</v>
      </c>
      <c r="P1014" s="7" t="str">
        <f aca="false">IF(K1014="CBAW","Women of child-bearing age","Children")</f>
        <v>Children</v>
      </c>
      <c r="Q1014" s="7" t="n">
        <f aca="false">IF(J1014="NOT USED",1,0)</f>
        <v>0</v>
      </c>
      <c r="R1014" s="7" t="n">
        <f aca="false">IF(AND(P1014="Children",Q1014=0),1,0)</f>
        <v>1</v>
      </c>
      <c r="S1014" s="7" t="n">
        <f aca="false">IF(AND(R1014=1,J1014="Record or Recall",K1014="12-23 m"),1,0)</f>
        <v>0</v>
      </c>
      <c r="T1014" s="7" t="n">
        <f aca="false">IF(OR(I1014="BCG",I1014="DTP1",I1014="DTP3",I1014="POL3",I1014="MCV1",I1014="FULL"),1,0)</f>
        <v>0</v>
      </c>
      <c r="U1014" s="7" t="n">
        <f aca="false">IF(OR(C1014="DHS",C1014="MICS"),1,0)</f>
        <v>1</v>
      </c>
      <c r="V1014" s="7" t="n">
        <f aca="false">IF(O1014="",1,0)</f>
        <v>0</v>
      </c>
      <c r="W1014" s="7" t="n">
        <f aca="false">IF(M1014="",1,0)</f>
        <v>0</v>
      </c>
      <c r="X1014" s="7" t="n">
        <f aca="false">COUNTIFS($B$2:$B$1141,B1014,$H$2:$H$1141,H1014,$I$2:$I$1141,I1014,$J$2:$J$1141,J1014,$K$2:$K$1141,K1014,$L$2:$L$1141,L1014)</f>
        <v>1</v>
      </c>
    </row>
    <row r="1015" customFormat="false" ht="15" hidden="false" customHeight="false" outlineLevel="0" collapsed="false">
      <c r="A1015" s="7" t="n">
        <f aca="false">ROW()-1</f>
        <v>1014</v>
      </c>
      <c r="B1015" s="7" t="str">
        <f aca="false">IF(Raw_Nigeria!B1015="",TRIM(Raw_Nigeria!C1015),TRIM(Raw_Nigeria!B1015))</f>
        <v>Nigeria Demographic and Health Survey 2024</v>
      </c>
      <c r="C1015" s="7" t="str">
        <f aca="false">IF(ISNUMBER(SEARCH("Demographic and Health",B1015)),"DHS",IF(OR(ISNUMBER(SEARCH("Multiple Indicator Cluster",B1015)),ISNUMBER(SEARCH("MICS",B1015))),"MICS",IF(ISNUMBER(SEARCH("Immunization Coverage Survey",B1015)),"Coverage survey",IF(ISNUMBER(SEARCH("Nutrition",B1015)),"Nutrition survey","Other"))))</f>
        <v>DHS</v>
      </c>
      <c r="D1015" s="7" t="n">
        <f aca="false">VALUE(LEFT(Raw_Nigeria!D1015,4))</f>
        <v>2023</v>
      </c>
      <c r="E1015" s="7" t="n">
        <f aca="false">IF(VALUE(RIGHT(Raw_Nigeria!D1015,2))&gt;12,"",VALUE(RIGHT(Raw_Nigeria!D1015,2)))</f>
        <v>12</v>
      </c>
      <c r="F1015" s="7" t="n">
        <f aca="false">VALUE(LEFT(Raw_Nigeria!E1015,4))</f>
        <v>2024</v>
      </c>
      <c r="G1015" s="7" t="n">
        <f aca="false">IF(VALUE(RIGHT(Raw_Nigeria!E1015,2))&gt;12,"",VALUE(RIGHT(Raw_Nigeria!E1015,2)))</f>
        <v>5</v>
      </c>
      <c r="H1015" s="7" t="n">
        <f aca="false">Raw_Nigeria!F1015</f>
        <v>2021</v>
      </c>
      <c r="I1015" s="7" t="str">
        <f aca="false">UPPER(TRIM(Raw_Nigeria!G1015))</f>
        <v>ROTAC</v>
      </c>
      <c r="J1015" s="7" t="str">
        <f aca="false">Raw_Nigeria!H1015</f>
        <v>Record</v>
      </c>
      <c r="K1015" s="7" t="str">
        <f aca="false">Raw_Nigeria!L1015</f>
        <v>24-35 m</v>
      </c>
      <c r="L1015" s="7" t="str">
        <f aca="false">IF(Raw_Nigeria!K1015="","n/a",Raw_Nigeria!K1015)</f>
        <v>0-35 m</v>
      </c>
      <c r="M1015" s="7" t="n">
        <f aca="false">IF(Raw_Nigeria!I1015="","",Raw_Nigeria!I1015)</f>
        <v>34.4</v>
      </c>
      <c r="N1015" s="7" t="n">
        <f aca="false">Raw_Nigeria!M1015</f>
        <v>3.1</v>
      </c>
      <c r="O1015" s="7" t="n">
        <f aca="false">IF(Raw_Nigeria!N1015="","",Raw_Nigeria!N1015)</f>
        <v>1608</v>
      </c>
      <c r="P1015" s="7" t="str">
        <f aca="false">IF(K1015="CBAW","Women of child-bearing age","Children")</f>
        <v>Children</v>
      </c>
      <c r="Q1015" s="7" t="n">
        <f aca="false">IF(J1015="NOT USED",1,0)</f>
        <v>0</v>
      </c>
      <c r="R1015" s="7" t="n">
        <f aca="false">IF(AND(P1015="Children",Q1015=0),1,0)</f>
        <v>1</v>
      </c>
      <c r="S1015" s="7" t="n">
        <f aca="false">IF(AND(R1015=1,J1015="Record or Recall",K1015="12-23 m"),1,0)</f>
        <v>0</v>
      </c>
      <c r="T1015" s="7" t="n">
        <f aca="false">IF(OR(I1015="BCG",I1015="DTP1",I1015="DTP3",I1015="POL3",I1015="MCV1",I1015="FULL"),1,0)</f>
        <v>0</v>
      </c>
      <c r="U1015" s="7" t="n">
        <f aca="false">IF(OR(C1015="DHS",C1015="MICS"),1,0)</f>
        <v>1</v>
      </c>
      <c r="V1015" s="7" t="n">
        <f aca="false">IF(O1015="",1,0)</f>
        <v>0</v>
      </c>
      <c r="W1015" s="7" t="n">
        <f aca="false">IF(M1015="",1,0)</f>
        <v>0</v>
      </c>
      <c r="X1015" s="7" t="n">
        <f aca="false">COUNTIFS($B$2:$B$1141,B1015,$H$2:$H$1141,H1015,$I$2:$I$1141,I1015,$J$2:$J$1141,J1015,$K$2:$K$1141,K1015,$L$2:$L$1141,L1015)</f>
        <v>1</v>
      </c>
    </row>
    <row r="1016" customFormat="false" ht="15" hidden="false" customHeight="false" outlineLevel="0" collapsed="false">
      <c r="A1016" s="7" t="n">
        <f aca="false">ROW()-1</f>
        <v>1015</v>
      </c>
      <c r="B1016" s="7" t="str">
        <f aca="false">IF(Raw_Nigeria!B1016="",TRIM(Raw_Nigeria!C1016),TRIM(Raw_Nigeria!B1016))</f>
        <v>Nigeria Demographic and Health Survey 2024</v>
      </c>
      <c r="C1016" s="7" t="str">
        <f aca="false">IF(ISNUMBER(SEARCH("Demographic and Health",B1016)),"DHS",IF(OR(ISNUMBER(SEARCH("Multiple Indicator Cluster",B1016)),ISNUMBER(SEARCH("MICS",B1016))),"MICS",IF(ISNUMBER(SEARCH("Immunization Coverage Survey",B1016)),"Coverage survey",IF(ISNUMBER(SEARCH("Nutrition",B1016)),"Nutrition survey","Other"))))</f>
        <v>DHS</v>
      </c>
      <c r="D1016" s="7" t="n">
        <f aca="false">VALUE(LEFT(Raw_Nigeria!D1016,4))</f>
        <v>2023</v>
      </c>
      <c r="E1016" s="7" t="n">
        <f aca="false">IF(VALUE(RIGHT(Raw_Nigeria!D1016,2))&gt;12,"",VALUE(RIGHT(Raw_Nigeria!D1016,2)))</f>
        <v>12</v>
      </c>
      <c r="F1016" s="7" t="n">
        <f aca="false">VALUE(LEFT(Raw_Nigeria!E1016,4))</f>
        <v>2024</v>
      </c>
      <c r="G1016" s="7" t="n">
        <f aca="false">IF(VALUE(RIGHT(Raw_Nigeria!E1016,2))&gt;12,"",VALUE(RIGHT(Raw_Nigeria!E1016,2)))</f>
        <v>5</v>
      </c>
      <c r="H1016" s="7" t="n">
        <f aca="false">Raw_Nigeria!F1016</f>
        <v>2021</v>
      </c>
      <c r="I1016" s="7" t="str">
        <f aca="false">UPPER(TRIM(Raw_Nigeria!G1016))</f>
        <v>ROTAC</v>
      </c>
      <c r="J1016" s="7" t="str">
        <f aca="false">Raw_Nigeria!H1016</f>
        <v>Record or Recall</v>
      </c>
      <c r="K1016" s="7" t="str">
        <f aca="false">Raw_Nigeria!L1016</f>
        <v>24-35 m</v>
      </c>
      <c r="L1016" s="7" t="str">
        <f aca="false">IF(Raw_Nigeria!K1016="","n/a",Raw_Nigeria!K1016)</f>
        <v>0-35 m</v>
      </c>
      <c r="M1016" s="7" t="n">
        <f aca="false">IF(Raw_Nigeria!I1016="","",Raw_Nigeria!I1016)</f>
        <v>34.4</v>
      </c>
      <c r="N1016" s="7" t="n">
        <f aca="false">Raw_Nigeria!M1016</f>
        <v>9.5</v>
      </c>
      <c r="O1016" s="7" t="n">
        <f aca="false">IF(Raw_Nigeria!N1016="","",Raw_Nigeria!N1016)</f>
        <v>4680</v>
      </c>
      <c r="P1016" s="7" t="str">
        <f aca="false">IF(K1016="CBAW","Women of child-bearing age","Children")</f>
        <v>Children</v>
      </c>
      <c r="Q1016" s="7" t="n">
        <f aca="false">IF(J1016="NOT USED",1,0)</f>
        <v>0</v>
      </c>
      <c r="R1016" s="7" t="n">
        <f aca="false">IF(AND(P1016="Children",Q1016=0),1,0)</f>
        <v>1</v>
      </c>
      <c r="S1016" s="7" t="n">
        <f aca="false">IF(AND(R1016=1,J1016="Record or Recall",K1016="12-23 m"),1,0)</f>
        <v>0</v>
      </c>
      <c r="T1016" s="7" t="n">
        <f aca="false">IF(OR(I1016="BCG",I1016="DTP1",I1016="DTP3",I1016="POL3",I1016="MCV1",I1016="FULL"),1,0)</f>
        <v>0</v>
      </c>
      <c r="U1016" s="7" t="n">
        <f aca="false">IF(OR(C1016="DHS",C1016="MICS"),1,0)</f>
        <v>1</v>
      </c>
      <c r="V1016" s="7" t="n">
        <f aca="false">IF(O1016="",1,0)</f>
        <v>0</v>
      </c>
      <c r="W1016" s="7" t="n">
        <f aca="false">IF(M1016="",1,0)</f>
        <v>0</v>
      </c>
      <c r="X1016" s="7" t="n">
        <f aca="false">COUNTIFS($B$2:$B$1141,B1016,$H$2:$H$1141,H1016,$I$2:$I$1141,I1016,$J$2:$J$1141,J1016,$K$2:$K$1141,K1016,$L$2:$L$1141,L1016)</f>
        <v>1</v>
      </c>
    </row>
    <row r="1017" customFormat="false" ht="15" hidden="false" customHeight="false" outlineLevel="0" collapsed="false">
      <c r="A1017" s="7" t="n">
        <f aca="false">ROW()-1</f>
        <v>1016</v>
      </c>
      <c r="B1017" s="7" t="str">
        <f aca="false">IF(Raw_Nigeria!B1017="",TRIM(Raw_Nigeria!C1017),TRIM(Raw_Nigeria!B1017))</f>
        <v>Nigeria Demographic and Health Survey 2024</v>
      </c>
      <c r="C1017" s="7" t="str">
        <f aca="false">IF(ISNUMBER(SEARCH("Demographic and Health",B1017)),"DHS",IF(OR(ISNUMBER(SEARCH("Multiple Indicator Cluster",B1017)),ISNUMBER(SEARCH("MICS",B1017))),"MICS",IF(ISNUMBER(SEARCH("Immunization Coverage Survey",B1017)),"Coverage survey",IF(ISNUMBER(SEARCH("Nutrition",B1017)),"Nutrition survey","Other"))))</f>
        <v>DHS</v>
      </c>
      <c r="D1017" s="7" t="n">
        <f aca="false">VALUE(LEFT(Raw_Nigeria!D1017,4))</f>
        <v>2023</v>
      </c>
      <c r="E1017" s="7" t="n">
        <f aca="false">IF(VALUE(RIGHT(Raw_Nigeria!D1017,2))&gt;12,"",VALUE(RIGHT(Raw_Nigeria!D1017,2)))</f>
        <v>12</v>
      </c>
      <c r="F1017" s="7" t="n">
        <f aca="false">VALUE(LEFT(Raw_Nigeria!E1017,4))</f>
        <v>2024</v>
      </c>
      <c r="G1017" s="7" t="n">
        <f aca="false">IF(VALUE(RIGHT(Raw_Nigeria!E1017,2))&gt;12,"",VALUE(RIGHT(Raw_Nigeria!E1017,2)))</f>
        <v>5</v>
      </c>
      <c r="H1017" s="7" t="n">
        <f aca="false">Raw_Nigeria!F1017</f>
        <v>2021</v>
      </c>
      <c r="I1017" s="7" t="str">
        <f aca="false">UPPER(TRIM(Raw_Nigeria!G1017))</f>
        <v>ROTAC</v>
      </c>
      <c r="J1017" s="7" t="str">
        <f aca="false">Raw_Nigeria!H1017</f>
        <v>Record or Recall&lt;12m</v>
      </c>
      <c r="K1017" s="7" t="str">
        <f aca="false">Raw_Nigeria!L1017</f>
        <v>24-35 m</v>
      </c>
      <c r="L1017" s="7" t="str">
        <f aca="false">IF(Raw_Nigeria!K1017="","n/a",Raw_Nigeria!K1017)</f>
        <v>0-12 m</v>
      </c>
      <c r="M1017" s="7" t="n">
        <f aca="false">IF(Raw_Nigeria!I1017="","",Raw_Nigeria!I1017)</f>
        <v>34.4</v>
      </c>
      <c r="N1017" s="7" t="n">
        <f aca="false">Raw_Nigeria!M1017</f>
        <v>5.8</v>
      </c>
      <c r="O1017" s="7" t="n">
        <f aca="false">IF(Raw_Nigeria!N1017="","",Raw_Nigeria!N1017)</f>
        <v>4680</v>
      </c>
      <c r="P1017" s="7" t="str">
        <f aca="false">IF(K1017="CBAW","Women of child-bearing age","Children")</f>
        <v>Children</v>
      </c>
      <c r="Q1017" s="7" t="n">
        <f aca="false">IF(J1017="NOT USED",1,0)</f>
        <v>0</v>
      </c>
      <c r="R1017" s="7" t="n">
        <f aca="false">IF(AND(P1017="Children",Q1017=0),1,0)</f>
        <v>1</v>
      </c>
      <c r="S1017" s="7" t="n">
        <f aca="false">IF(AND(R1017=1,J1017="Record or Recall",K1017="12-23 m"),1,0)</f>
        <v>0</v>
      </c>
      <c r="T1017" s="7" t="n">
        <f aca="false">IF(OR(I1017="BCG",I1017="DTP1",I1017="DTP3",I1017="POL3",I1017="MCV1",I1017="FULL"),1,0)</f>
        <v>0</v>
      </c>
      <c r="U1017" s="7" t="n">
        <f aca="false">IF(OR(C1017="DHS",C1017="MICS"),1,0)</f>
        <v>1</v>
      </c>
      <c r="V1017" s="7" t="n">
        <f aca="false">IF(O1017="",1,0)</f>
        <v>0</v>
      </c>
      <c r="W1017" s="7" t="n">
        <f aca="false">IF(M1017="",1,0)</f>
        <v>0</v>
      </c>
      <c r="X1017" s="7" t="n">
        <f aca="false">COUNTIFS($B$2:$B$1141,B1017,$H$2:$H$1141,H1017,$I$2:$I$1141,I1017,$J$2:$J$1141,J1017,$K$2:$K$1141,K1017,$L$2:$L$1141,L1017)</f>
        <v>1</v>
      </c>
    </row>
    <row r="1018" customFormat="false" ht="15" hidden="false" customHeight="false" outlineLevel="0" collapsed="false">
      <c r="A1018" s="7" t="n">
        <f aca="false">ROW()-1</f>
        <v>1017</v>
      </c>
      <c r="B1018" s="7" t="str">
        <f aca="false">IF(Raw_Nigeria!B1018="",TRIM(Raw_Nigeria!C1018),TRIM(Raw_Nigeria!B1018))</f>
        <v>Nigeria Demographic and Health Survey 2024</v>
      </c>
      <c r="C1018" s="7" t="str">
        <f aca="false">IF(ISNUMBER(SEARCH("Demographic and Health",B1018)),"DHS",IF(OR(ISNUMBER(SEARCH("Multiple Indicator Cluster",B1018)),ISNUMBER(SEARCH("MICS",B1018))),"MICS",IF(ISNUMBER(SEARCH("Immunization Coverage Survey",B1018)),"Coverage survey",IF(ISNUMBER(SEARCH("Nutrition",B1018)),"Nutrition survey","Other"))))</f>
        <v>DHS</v>
      </c>
      <c r="D1018" s="7" t="n">
        <f aca="false">VALUE(LEFT(Raw_Nigeria!D1018,4))</f>
        <v>2023</v>
      </c>
      <c r="E1018" s="7" t="n">
        <f aca="false">IF(VALUE(RIGHT(Raw_Nigeria!D1018,2))&gt;12,"",VALUE(RIGHT(Raw_Nigeria!D1018,2)))</f>
        <v>12</v>
      </c>
      <c r="F1018" s="7" t="n">
        <f aca="false">VALUE(LEFT(Raw_Nigeria!E1018,4))</f>
        <v>2024</v>
      </c>
      <c r="G1018" s="7" t="n">
        <f aca="false">IF(VALUE(RIGHT(Raw_Nigeria!E1018,2))&gt;12,"",VALUE(RIGHT(Raw_Nigeria!E1018,2)))</f>
        <v>5</v>
      </c>
      <c r="H1018" s="7" t="n">
        <f aca="false">Raw_Nigeria!F1018</f>
        <v>2021</v>
      </c>
      <c r="I1018" s="7" t="str">
        <f aca="false">UPPER(TRIM(Raw_Nigeria!G1018))</f>
        <v>YFV</v>
      </c>
      <c r="J1018" s="7" t="str">
        <f aca="false">Raw_Nigeria!H1018</f>
        <v>Recall</v>
      </c>
      <c r="K1018" s="7" t="str">
        <f aca="false">Raw_Nigeria!L1018</f>
        <v>24-35 m</v>
      </c>
      <c r="L1018" s="7" t="str">
        <f aca="false">IF(Raw_Nigeria!K1018="","n/a",Raw_Nigeria!K1018)</f>
        <v>0-35 m</v>
      </c>
      <c r="M1018" s="7" t="n">
        <f aca="false">IF(Raw_Nigeria!I1018="","",Raw_Nigeria!I1018)</f>
        <v>34.4</v>
      </c>
      <c r="N1018" s="7" t="n">
        <f aca="false">Raw_Nigeria!M1018</f>
        <v>20.8</v>
      </c>
      <c r="O1018" s="7" t="n">
        <f aca="false">IF(Raw_Nigeria!N1018="","",Raw_Nigeria!N1018)</f>
        <v>3072</v>
      </c>
      <c r="P1018" s="7" t="str">
        <f aca="false">IF(K1018="CBAW","Women of child-bearing age","Children")</f>
        <v>Children</v>
      </c>
      <c r="Q1018" s="7" t="n">
        <f aca="false">IF(J1018="NOT USED",1,0)</f>
        <v>0</v>
      </c>
      <c r="R1018" s="7" t="n">
        <f aca="false">IF(AND(P1018="Children",Q1018=0),1,0)</f>
        <v>1</v>
      </c>
      <c r="S1018" s="7" t="n">
        <f aca="false">IF(AND(R1018=1,J1018="Record or Recall",K1018="12-23 m"),1,0)</f>
        <v>0</v>
      </c>
      <c r="T1018" s="7" t="n">
        <f aca="false">IF(OR(I1018="BCG",I1018="DTP1",I1018="DTP3",I1018="POL3",I1018="MCV1",I1018="FULL"),1,0)</f>
        <v>0</v>
      </c>
      <c r="U1018" s="7" t="n">
        <f aca="false">IF(OR(C1018="DHS",C1018="MICS"),1,0)</f>
        <v>1</v>
      </c>
      <c r="V1018" s="7" t="n">
        <f aca="false">IF(O1018="",1,0)</f>
        <v>0</v>
      </c>
      <c r="W1018" s="7" t="n">
        <f aca="false">IF(M1018="",1,0)</f>
        <v>0</v>
      </c>
      <c r="X1018" s="7" t="n">
        <f aca="false">COUNTIFS($B$2:$B$1141,B1018,$H$2:$H$1141,H1018,$I$2:$I$1141,I1018,$J$2:$J$1141,J1018,$K$2:$K$1141,K1018,$L$2:$L$1141,L1018)</f>
        <v>1</v>
      </c>
    </row>
    <row r="1019" customFormat="false" ht="15" hidden="false" customHeight="false" outlineLevel="0" collapsed="false">
      <c r="A1019" s="7" t="n">
        <f aca="false">ROW()-1</f>
        <v>1018</v>
      </c>
      <c r="B1019" s="7" t="str">
        <f aca="false">IF(Raw_Nigeria!B1019="",TRIM(Raw_Nigeria!C1019),TRIM(Raw_Nigeria!B1019))</f>
        <v>Nigeria Demographic and Health Survey 2024</v>
      </c>
      <c r="C1019" s="7" t="str">
        <f aca="false">IF(ISNUMBER(SEARCH("Demographic and Health",B1019)),"DHS",IF(OR(ISNUMBER(SEARCH("Multiple Indicator Cluster",B1019)),ISNUMBER(SEARCH("MICS",B1019))),"MICS",IF(ISNUMBER(SEARCH("Immunization Coverage Survey",B1019)),"Coverage survey",IF(ISNUMBER(SEARCH("Nutrition",B1019)),"Nutrition survey","Other"))))</f>
        <v>DHS</v>
      </c>
      <c r="D1019" s="7" t="n">
        <f aca="false">VALUE(LEFT(Raw_Nigeria!D1019,4))</f>
        <v>2023</v>
      </c>
      <c r="E1019" s="7" t="n">
        <f aca="false">IF(VALUE(RIGHT(Raw_Nigeria!D1019,2))&gt;12,"",VALUE(RIGHT(Raw_Nigeria!D1019,2)))</f>
        <v>12</v>
      </c>
      <c r="F1019" s="7" t="n">
        <f aca="false">VALUE(LEFT(Raw_Nigeria!E1019,4))</f>
        <v>2024</v>
      </c>
      <c r="G1019" s="7" t="n">
        <f aca="false">IF(VALUE(RIGHT(Raw_Nigeria!E1019,2))&gt;12,"",VALUE(RIGHT(Raw_Nigeria!E1019,2)))</f>
        <v>5</v>
      </c>
      <c r="H1019" s="7" t="n">
        <f aca="false">Raw_Nigeria!F1019</f>
        <v>2021</v>
      </c>
      <c r="I1019" s="7" t="str">
        <f aca="false">UPPER(TRIM(Raw_Nigeria!G1019))</f>
        <v>YFV</v>
      </c>
      <c r="J1019" s="7" t="str">
        <f aca="false">Raw_Nigeria!H1019</f>
        <v>Record</v>
      </c>
      <c r="K1019" s="7" t="str">
        <f aca="false">Raw_Nigeria!L1019</f>
        <v>24-35 m</v>
      </c>
      <c r="L1019" s="7" t="str">
        <f aca="false">IF(Raw_Nigeria!K1019="","n/a",Raw_Nigeria!K1019)</f>
        <v>0-35 m</v>
      </c>
      <c r="M1019" s="7" t="n">
        <f aca="false">IF(Raw_Nigeria!I1019="","",Raw_Nigeria!I1019)</f>
        <v>34.4</v>
      </c>
      <c r="N1019" s="7" t="n">
        <f aca="false">Raw_Nigeria!M1019</f>
        <v>25.6</v>
      </c>
      <c r="O1019" s="7" t="n">
        <f aca="false">IF(Raw_Nigeria!N1019="","",Raw_Nigeria!N1019)</f>
        <v>1608</v>
      </c>
      <c r="P1019" s="7" t="str">
        <f aca="false">IF(K1019="CBAW","Women of child-bearing age","Children")</f>
        <v>Children</v>
      </c>
      <c r="Q1019" s="7" t="n">
        <f aca="false">IF(J1019="NOT USED",1,0)</f>
        <v>0</v>
      </c>
      <c r="R1019" s="7" t="n">
        <f aca="false">IF(AND(P1019="Children",Q1019=0),1,0)</f>
        <v>1</v>
      </c>
      <c r="S1019" s="7" t="n">
        <f aca="false">IF(AND(R1019=1,J1019="Record or Recall",K1019="12-23 m"),1,0)</f>
        <v>0</v>
      </c>
      <c r="T1019" s="7" t="n">
        <f aca="false">IF(OR(I1019="BCG",I1019="DTP1",I1019="DTP3",I1019="POL3",I1019="MCV1",I1019="FULL"),1,0)</f>
        <v>0</v>
      </c>
      <c r="U1019" s="7" t="n">
        <f aca="false">IF(OR(C1019="DHS",C1019="MICS"),1,0)</f>
        <v>1</v>
      </c>
      <c r="V1019" s="7" t="n">
        <f aca="false">IF(O1019="",1,0)</f>
        <v>0</v>
      </c>
      <c r="W1019" s="7" t="n">
        <f aca="false">IF(M1019="",1,0)</f>
        <v>0</v>
      </c>
      <c r="X1019" s="7" t="n">
        <f aca="false">COUNTIFS($B$2:$B$1141,B1019,$H$2:$H$1141,H1019,$I$2:$I$1141,I1019,$J$2:$J$1141,J1019,$K$2:$K$1141,K1019,$L$2:$L$1141,L1019)</f>
        <v>1</v>
      </c>
    </row>
    <row r="1020" customFormat="false" ht="15" hidden="false" customHeight="false" outlineLevel="0" collapsed="false">
      <c r="A1020" s="7" t="n">
        <f aca="false">ROW()-1</f>
        <v>1019</v>
      </c>
      <c r="B1020" s="7" t="str">
        <f aca="false">IF(Raw_Nigeria!B1020="",TRIM(Raw_Nigeria!C1020),TRIM(Raw_Nigeria!B1020))</f>
        <v>Nigeria Demographic and Health Survey 2024</v>
      </c>
      <c r="C1020" s="7" t="str">
        <f aca="false">IF(ISNUMBER(SEARCH("Demographic and Health",B1020)),"DHS",IF(OR(ISNUMBER(SEARCH("Multiple Indicator Cluster",B1020)),ISNUMBER(SEARCH("MICS",B1020))),"MICS",IF(ISNUMBER(SEARCH("Immunization Coverage Survey",B1020)),"Coverage survey",IF(ISNUMBER(SEARCH("Nutrition",B1020)),"Nutrition survey","Other"))))</f>
        <v>DHS</v>
      </c>
      <c r="D1020" s="7" t="n">
        <f aca="false">VALUE(LEFT(Raw_Nigeria!D1020,4))</f>
        <v>2023</v>
      </c>
      <c r="E1020" s="7" t="n">
        <f aca="false">IF(VALUE(RIGHT(Raw_Nigeria!D1020,2))&gt;12,"",VALUE(RIGHT(Raw_Nigeria!D1020,2)))</f>
        <v>12</v>
      </c>
      <c r="F1020" s="7" t="n">
        <f aca="false">VALUE(LEFT(Raw_Nigeria!E1020,4))</f>
        <v>2024</v>
      </c>
      <c r="G1020" s="7" t="n">
        <f aca="false">IF(VALUE(RIGHT(Raw_Nigeria!E1020,2))&gt;12,"",VALUE(RIGHT(Raw_Nigeria!E1020,2)))</f>
        <v>5</v>
      </c>
      <c r="H1020" s="7" t="n">
        <f aca="false">Raw_Nigeria!F1020</f>
        <v>2021</v>
      </c>
      <c r="I1020" s="7" t="str">
        <f aca="false">UPPER(TRIM(Raw_Nigeria!G1020))</f>
        <v>YFV</v>
      </c>
      <c r="J1020" s="7" t="str">
        <f aca="false">Raw_Nigeria!H1020</f>
        <v>Record or Recall</v>
      </c>
      <c r="K1020" s="7" t="str">
        <f aca="false">Raw_Nigeria!L1020</f>
        <v>24-35 m</v>
      </c>
      <c r="L1020" s="7" t="str">
        <f aca="false">IF(Raw_Nigeria!K1020="","n/a",Raw_Nigeria!K1020)</f>
        <v>0-35 m</v>
      </c>
      <c r="M1020" s="7" t="n">
        <f aca="false">IF(Raw_Nigeria!I1020="","",Raw_Nigeria!I1020)</f>
        <v>34.4</v>
      </c>
      <c r="N1020" s="7" t="n">
        <f aca="false">Raw_Nigeria!M1020</f>
        <v>46.4</v>
      </c>
      <c r="O1020" s="7" t="n">
        <f aca="false">IF(Raw_Nigeria!N1020="","",Raw_Nigeria!N1020)</f>
        <v>4680</v>
      </c>
      <c r="P1020" s="7" t="str">
        <f aca="false">IF(K1020="CBAW","Women of child-bearing age","Children")</f>
        <v>Children</v>
      </c>
      <c r="Q1020" s="7" t="n">
        <f aca="false">IF(J1020="NOT USED",1,0)</f>
        <v>0</v>
      </c>
      <c r="R1020" s="7" t="n">
        <f aca="false">IF(AND(P1020="Children",Q1020=0),1,0)</f>
        <v>1</v>
      </c>
      <c r="S1020" s="7" t="n">
        <f aca="false">IF(AND(R1020=1,J1020="Record or Recall",K1020="12-23 m"),1,0)</f>
        <v>0</v>
      </c>
      <c r="T1020" s="7" t="n">
        <f aca="false">IF(OR(I1020="BCG",I1020="DTP1",I1020="DTP3",I1020="POL3",I1020="MCV1",I1020="FULL"),1,0)</f>
        <v>0</v>
      </c>
      <c r="U1020" s="7" t="n">
        <f aca="false">IF(OR(C1020="DHS",C1020="MICS"),1,0)</f>
        <v>1</v>
      </c>
      <c r="V1020" s="7" t="n">
        <f aca="false">IF(O1020="",1,0)</f>
        <v>0</v>
      </c>
      <c r="W1020" s="7" t="n">
        <f aca="false">IF(M1020="",1,0)</f>
        <v>0</v>
      </c>
      <c r="X1020" s="7" t="n">
        <f aca="false">COUNTIFS($B$2:$B$1141,B1020,$H$2:$H$1141,H1020,$I$2:$I$1141,I1020,$J$2:$J$1141,J1020,$K$2:$K$1141,K1020,$L$2:$L$1141,L1020)</f>
        <v>1</v>
      </c>
    </row>
    <row r="1021" customFormat="false" ht="15" hidden="false" customHeight="false" outlineLevel="0" collapsed="false">
      <c r="A1021" s="7" t="n">
        <f aca="false">ROW()-1</f>
        <v>1020</v>
      </c>
      <c r="B1021" s="7" t="str">
        <f aca="false">IF(Raw_Nigeria!B1021="",TRIM(Raw_Nigeria!C1021),TRIM(Raw_Nigeria!B1021))</f>
        <v>Nigeria Demographic and Health Survey 2024</v>
      </c>
      <c r="C1021" s="7" t="str">
        <f aca="false">IF(ISNUMBER(SEARCH("Demographic and Health",B1021)),"DHS",IF(OR(ISNUMBER(SEARCH("Multiple Indicator Cluster",B1021)),ISNUMBER(SEARCH("MICS",B1021))),"MICS",IF(ISNUMBER(SEARCH("Immunization Coverage Survey",B1021)),"Coverage survey",IF(ISNUMBER(SEARCH("Nutrition",B1021)),"Nutrition survey","Other"))))</f>
        <v>DHS</v>
      </c>
      <c r="D1021" s="7" t="n">
        <f aca="false">VALUE(LEFT(Raw_Nigeria!D1021,4))</f>
        <v>2023</v>
      </c>
      <c r="E1021" s="7" t="n">
        <f aca="false">IF(VALUE(RIGHT(Raw_Nigeria!D1021,2))&gt;12,"",VALUE(RIGHT(Raw_Nigeria!D1021,2)))</f>
        <v>12</v>
      </c>
      <c r="F1021" s="7" t="n">
        <f aca="false">VALUE(LEFT(Raw_Nigeria!E1021,4))</f>
        <v>2024</v>
      </c>
      <c r="G1021" s="7" t="n">
        <f aca="false">IF(VALUE(RIGHT(Raw_Nigeria!E1021,2))&gt;12,"",VALUE(RIGHT(Raw_Nigeria!E1021,2)))</f>
        <v>5</v>
      </c>
      <c r="H1021" s="7" t="n">
        <f aca="false">Raw_Nigeria!F1021</f>
        <v>2021</v>
      </c>
      <c r="I1021" s="7" t="str">
        <f aca="false">UPPER(TRIM(Raw_Nigeria!G1021))</f>
        <v>YFV</v>
      </c>
      <c r="J1021" s="7" t="str">
        <f aca="false">Raw_Nigeria!H1021</f>
        <v>Record or Recall&lt;12m</v>
      </c>
      <c r="K1021" s="7" t="str">
        <f aca="false">Raw_Nigeria!L1021</f>
        <v>24-35 m</v>
      </c>
      <c r="L1021" s="7" t="str">
        <f aca="false">IF(Raw_Nigeria!K1021="","n/a",Raw_Nigeria!K1021)</f>
        <v>0-12 m</v>
      </c>
      <c r="M1021" s="7" t="n">
        <f aca="false">IF(Raw_Nigeria!I1021="","",Raw_Nigeria!I1021)</f>
        <v>34.4</v>
      </c>
      <c r="N1021" s="7" t="n">
        <f aca="false">Raw_Nigeria!M1021</f>
        <v>39.9</v>
      </c>
      <c r="O1021" s="7" t="n">
        <f aca="false">IF(Raw_Nigeria!N1021="","",Raw_Nigeria!N1021)</f>
        <v>4680</v>
      </c>
      <c r="P1021" s="7" t="str">
        <f aca="false">IF(K1021="CBAW","Women of child-bearing age","Children")</f>
        <v>Children</v>
      </c>
      <c r="Q1021" s="7" t="n">
        <f aca="false">IF(J1021="NOT USED",1,0)</f>
        <v>0</v>
      </c>
      <c r="R1021" s="7" t="n">
        <f aca="false">IF(AND(P1021="Children",Q1021=0),1,0)</f>
        <v>1</v>
      </c>
      <c r="S1021" s="7" t="n">
        <f aca="false">IF(AND(R1021=1,J1021="Record or Recall",K1021="12-23 m"),1,0)</f>
        <v>0</v>
      </c>
      <c r="T1021" s="7" t="n">
        <f aca="false">IF(OR(I1021="BCG",I1021="DTP1",I1021="DTP3",I1021="POL3",I1021="MCV1",I1021="FULL"),1,0)</f>
        <v>0</v>
      </c>
      <c r="U1021" s="7" t="n">
        <f aca="false">IF(OR(C1021="DHS",C1021="MICS"),1,0)</f>
        <v>1</v>
      </c>
      <c r="V1021" s="7" t="n">
        <f aca="false">IF(O1021="",1,0)</f>
        <v>0</v>
      </c>
      <c r="W1021" s="7" t="n">
        <f aca="false">IF(M1021="",1,0)</f>
        <v>0</v>
      </c>
      <c r="X1021" s="7" t="n">
        <f aca="false">COUNTIFS($B$2:$B$1141,B1021,$H$2:$H$1141,H1021,$I$2:$I$1141,I1021,$J$2:$J$1141,J1021,$K$2:$K$1141,K1021,$L$2:$L$1141,L1021)</f>
        <v>1</v>
      </c>
    </row>
    <row r="1022" customFormat="false" ht="15" hidden="false" customHeight="false" outlineLevel="0" collapsed="false">
      <c r="A1022" s="7" t="n">
        <f aca="false">ROW()-1</f>
        <v>1021</v>
      </c>
      <c r="B1022" s="7" t="str">
        <f aca="false">IF(Raw_Nigeria!B1022="",TRIM(Raw_Nigeria!C1022),TRIM(Raw_Nigeria!B1022))</f>
        <v>Nigeria Demographic and Health Survey 2024</v>
      </c>
      <c r="C1022" s="7" t="str">
        <f aca="false">IF(ISNUMBER(SEARCH("Demographic and Health",B1022)),"DHS",IF(OR(ISNUMBER(SEARCH("Multiple Indicator Cluster",B1022)),ISNUMBER(SEARCH("MICS",B1022))),"MICS",IF(ISNUMBER(SEARCH("Immunization Coverage Survey",B1022)),"Coverage survey",IF(ISNUMBER(SEARCH("Nutrition",B1022)),"Nutrition survey","Other"))))</f>
        <v>DHS</v>
      </c>
      <c r="D1022" s="7" t="n">
        <f aca="false">VALUE(LEFT(Raw_Nigeria!D1022,4))</f>
        <v>2023</v>
      </c>
      <c r="E1022" s="7" t="n">
        <f aca="false">IF(VALUE(RIGHT(Raw_Nigeria!D1022,2))&gt;12,"",VALUE(RIGHT(Raw_Nigeria!D1022,2)))</f>
        <v>12</v>
      </c>
      <c r="F1022" s="7" t="n">
        <f aca="false">VALUE(LEFT(Raw_Nigeria!E1022,4))</f>
        <v>2024</v>
      </c>
      <c r="G1022" s="7" t="n">
        <f aca="false">IF(VALUE(RIGHT(Raw_Nigeria!E1022,2))&gt;12,"",VALUE(RIGHT(Raw_Nigeria!E1022,2)))</f>
        <v>5</v>
      </c>
      <c r="H1022" s="7" t="n">
        <f aca="false">Raw_Nigeria!F1022</f>
        <v>2022</v>
      </c>
      <c r="I1022" s="7" t="str">
        <f aca="false">UPPER(TRIM(Raw_Nigeria!G1022))</f>
        <v>BCG</v>
      </c>
      <c r="J1022" s="7" t="str">
        <f aca="false">Raw_Nigeria!H1022</f>
        <v>Recall</v>
      </c>
      <c r="K1022" s="7" t="str">
        <f aca="false">Raw_Nigeria!L1022</f>
        <v>12-23 m</v>
      </c>
      <c r="L1022" s="7" t="str">
        <f aca="false">IF(Raw_Nigeria!K1022="","n/a",Raw_Nigeria!K1022)</f>
        <v>0-23 m</v>
      </c>
      <c r="M1022" s="7" t="n">
        <f aca="false">IF(Raw_Nigeria!I1022="","",Raw_Nigeria!I1022)</f>
        <v>50.2</v>
      </c>
      <c r="N1022" s="7" t="n">
        <f aca="false">Raw_Nigeria!M1022</f>
        <v>17.2</v>
      </c>
      <c r="O1022" s="7" t="n">
        <f aca="false">IF(Raw_Nigeria!N1022="","",Raw_Nigeria!N1022)</f>
        <v>2549</v>
      </c>
      <c r="P1022" s="7" t="str">
        <f aca="false">IF(K1022="CBAW","Women of child-bearing age","Children")</f>
        <v>Children</v>
      </c>
      <c r="Q1022" s="7" t="n">
        <f aca="false">IF(J1022="NOT USED",1,0)</f>
        <v>0</v>
      </c>
      <c r="R1022" s="7" t="n">
        <f aca="false">IF(AND(P1022="Children",Q1022=0),1,0)</f>
        <v>1</v>
      </c>
      <c r="S1022" s="7" t="n">
        <f aca="false">IF(AND(R1022=1,J1022="Record or Recall",K1022="12-23 m"),1,0)</f>
        <v>0</v>
      </c>
      <c r="T1022" s="7" t="n">
        <f aca="false">IF(OR(I1022="BCG",I1022="DTP1",I1022="DTP3",I1022="POL3",I1022="MCV1",I1022="FULL"),1,0)</f>
        <v>1</v>
      </c>
      <c r="U1022" s="7" t="n">
        <f aca="false">IF(OR(C1022="DHS",C1022="MICS"),1,0)</f>
        <v>1</v>
      </c>
      <c r="V1022" s="7" t="n">
        <f aca="false">IF(O1022="",1,0)</f>
        <v>0</v>
      </c>
      <c r="W1022" s="7" t="n">
        <f aca="false">IF(M1022="",1,0)</f>
        <v>0</v>
      </c>
      <c r="X1022" s="7" t="n">
        <f aca="false">COUNTIFS($B$2:$B$1141,B1022,$H$2:$H$1141,H1022,$I$2:$I$1141,I1022,$J$2:$J$1141,J1022,$K$2:$K$1141,K1022,$L$2:$L$1141,L1022)</f>
        <v>1</v>
      </c>
    </row>
    <row r="1023" customFormat="false" ht="15" hidden="false" customHeight="false" outlineLevel="0" collapsed="false">
      <c r="A1023" s="7" t="n">
        <f aca="false">ROW()-1</f>
        <v>1022</v>
      </c>
      <c r="B1023" s="7" t="str">
        <f aca="false">IF(Raw_Nigeria!B1023="",TRIM(Raw_Nigeria!C1023),TRIM(Raw_Nigeria!B1023))</f>
        <v>Nigeria Demographic and Health Survey 2024</v>
      </c>
      <c r="C1023" s="7" t="str">
        <f aca="false">IF(ISNUMBER(SEARCH("Demographic and Health",B1023)),"DHS",IF(OR(ISNUMBER(SEARCH("Multiple Indicator Cluster",B1023)),ISNUMBER(SEARCH("MICS",B1023))),"MICS",IF(ISNUMBER(SEARCH("Immunization Coverage Survey",B1023)),"Coverage survey",IF(ISNUMBER(SEARCH("Nutrition",B1023)),"Nutrition survey","Other"))))</f>
        <v>DHS</v>
      </c>
      <c r="D1023" s="7" t="n">
        <f aca="false">VALUE(LEFT(Raw_Nigeria!D1023,4))</f>
        <v>2023</v>
      </c>
      <c r="E1023" s="7" t="n">
        <f aca="false">IF(VALUE(RIGHT(Raw_Nigeria!D1023,2))&gt;12,"",VALUE(RIGHT(Raw_Nigeria!D1023,2)))</f>
        <v>12</v>
      </c>
      <c r="F1023" s="7" t="n">
        <f aca="false">VALUE(LEFT(Raw_Nigeria!E1023,4))</f>
        <v>2024</v>
      </c>
      <c r="G1023" s="7" t="n">
        <f aca="false">IF(VALUE(RIGHT(Raw_Nigeria!E1023,2))&gt;12,"",VALUE(RIGHT(Raw_Nigeria!E1023,2)))</f>
        <v>5</v>
      </c>
      <c r="H1023" s="7" t="n">
        <f aca="false">Raw_Nigeria!F1023</f>
        <v>2022</v>
      </c>
      <c r="I1023" s="7" t="str">
        <f aca="false">UPPER(TRIM(Raw_Nigeria!G1023))</f>
        <v>BCG</v>
      </c>
      <c r="J1023" s="7" t="str">
        <f aca="false">Raw_Nigeria!H1023</f>
        <v>Record</v>
      </c>
      <c r="K1023" s="7" t="str">
        <f aca="false">Raw_Nigeria!L1023</f>
        <v>12-23 m</v>
      </c>
      <c r="L1023" s="7" t="str">
        <f aca="false">IF(Raw_Nigeria!K1023="","n/a",Raw_Nigeria!K1023)</f>
        <v>0-23 m</v>
      </c>
      <c r="M1023" s="7" t="n">
        <f aca="false">IF(Raw_Nigeria!I1023="","",Raw_Nigeria!I1023)</f>
        <v>50.2</v>
      </c>
      <c r="N1023" s="7" t="n">
        <f aca="false">Raw_Nigeria!M1023</f>
        <v>49.5</v>
      </c>
      <c r="O1023" s="7" t="n">
        <f aca="false">IF(Raw_Nigeria!N1023="","",Raw_Nigeria!N1023)</f>
        <v>2572</v>
      </c>
      <c r="P1023" s="7" t="str">
        <f aca="false">IF(K1023="CBAW","Women of child-bearing age","Children")</f>
        <v>Children</v>
      </c>
      <c r="Q1023" s="7" t="n">
        <f aca="false">IF(J1023="NOT USED",1,0)</f>
        <v>0</v>
      </c>
      <c r="R1023" s="7" t="n">
        <f aca="false">IF(AND(P1023="Children",Q1023=0),1,0)</f>
        <v>1</v>
      </c>
      <c r="S1023" s="7" t="n">
        <f aca="false">IF(AND(R1023=1,J1023="Record or Recall",K1023="12-23 m"),1,0)</f>
        <v>0</v>
      </c>
      <c r="T1023" s="7" t="n">
        <f aca="false">IF(OR(I1023="BCG",I1023="DTP1",I1023="DTP3",I1023="POL3",I1023="MCV1",I1023="FULL"),1,0)</f>
        <v>1</v>
      </c>
      <c r="U1023" s="7" t="n">
        <f aca="false">IF(OR(C1023="DHS",C1023="MICS"),1,0)</f>
        <v>1</v>
      </c>
      <c r="V1023" s="7" t="n">
        <f aca="false">IF(O1023="",1,0)</f>
        <v>0</v>
      </c>
      <c r="W1023" s="7" t="n">
        <f aca="false">IF(M1023="",1,0)</f>
        <v>0</v>
      </c>
      <c r="X1023" s="7" t="n">
        <f aca="false">COUNTIFS($B$2:$B$1141,B1023,$H$2:$H$1141,H1023,$I$2:$I$1141,I1023,$J$2:$J$1141,J1023,$K$2:$K$1141,K1023,$L$2:$L$1141,L1023)</f>
        <v>1</v>
      </c>
    </row>
    <row r="1024" customFormat="false" ht="15" hidden="false" customHeight="false" outlineLevel="0" collapsed="false">
      <c r="A1024" s="7" t="n">
        <f aca="false">ROW()-1</f>
        <v>1023</v>
      </c>
      <c r="B1024" s="7" t="str">
        <f aca="false">IF(Raw_Nigeria!B1024="",TRIM(Raw_Nigeria!C1024),TRIM(Raw_Nigeria!B1024))</f>
        <v>Nigeria Demographic and Health Survey 2024</v>
      </c>
      <c r="C1024" s="7" t="str">
        <f aca="false">IF(ISNUMBER(SEARCH("Demographic and Health",B1024)),"DHS",IF(OR(ISNUMBER(SEARCH("Multiple Indicator Cluster",B1024)),ISNUMBER(SEARCH("MICS",B1024))),"MICS",IF(ISNUMBER(SEARCH("Immunization Coverage Survey",B1024)),"Coverage survey",IF(ISNUMBER(SEARCH("Nutrition",B1024)),"Nutrition survey","Other"))))</f>
        <v>DHS</v>
      </c>
      <c r="D1024" s="7" t="n">
        <f aca="false">VALUE(LEFT(Raw_Nigeria!D1024,4))</f>
        <v>2023</v>
      </c>
      <c r="E1024" s="7" t="n">
        <f aca="false">IF(VALUE(RIGHT(Raw_Nigeria!D1024,2))&gt;12,"",VALUE(RIGHT(Raw_Nigeria!D1024,2)))</f>
        <v>12</v>
      </c>
      <c r="F1024" s="7" t="n">
        <f aca="false">VALUE(LEFT(Raw_Nigeria!E1024,4))</f>
        <v>2024</v>
      </c>
      <c r="G1024" s="7" t="n">
        <f aca="false">IF(VALUE(RIGHT(Raw_Nigeria!E1024,2))&gt;12,"",VALUE(RIGHT(Raw_Nigeria!E1024,2)))</f>
        <v>5</v>
      </c>
      <c r="H1024" s="7" t="n">
        <f aca="false">Raw_Nigeria!F1024</f>
        <v>2022</v>
      </c>
      <c r="I1024" s="7" t="str">
        <f aca="false">UPPER(TRIM(Raw_Nigeria!G1024))</f>
        <v>BCG</v>
      </c>
      <c r="J1024" s="7" t="str">
        <f aca="false">Raw_Nigeria!H1024</f>
        <v>Record or Recall</v>
      </c>
      <c r="K1024" s="7" t="str">
        <f aca="false">Raw_Nigeria!L1024</f>
        <v>12-23 m</v>
      </c>
      <c r="L1024" s="7" t="str">
        <f aca="false">IF(Raw_Nigeria!K1024="","n/a",Raw_Nigeria!K1024)</f>
        <v>0-23 m</v>
      </c>
      <c r="M1024" s="7" t="n">
        <f aca="false">IF(Raw_Nigeria!I1024="","",Raw_Nigeria!I1024)</f>
        <v>50.2</v>
      </c>
      <c r="N1024" s="7" t="n">
        <f aca="false">Raw_Nigeria!M1024</f>
        <v>66.7</v>
      </c>
      <c r="O1024" s="7" t="n">
        <f aca="false">IF(Raw_Nigeria!N1024="","",Raw_Nigeria!N1024)</f>
        <v>5121</v>
      </c>
      <c r="P1024" s="7" t="str">
        <f aca="false">IF(K1024="CBAW","Women of child-bearing age","Children")</f>
        <v>Children</v>
      </c>
      <c r="Q1024" s="7" t="n">
        <f aca="false">IF(J1024="NOT USED",1,0)</f>
        <v>0</v>
      </c>
      <c r="R1024" s="7" t="n">
        <f aca="false">IF(AND(P1024="Children",Q1024=0),1,0)</f>
        <v>1</v>
      </c>
      <c r="S1024" s="7" t="n">
        <f aca="false">IF(AND(R1024=1,J1024="Record or Recall",K1024="12-23 m"),1,0)</f>
        <v>1</v>
      </c>
      <c r="T1024" s="7" t="n">
        <f aca="false">IF(OR(I1024="BCG",I1024="DTP1",I1024="DTP3",I1024="POL3",I1024="MCV1",I1024="FULL"),1,0)</f>
        <v>1</v>
      </c>
      <c r="U1024" s="7" t="n">
        <f aca="false">IF(OR(C1024="DHS",C1024="MICS"),1,0)</f>
        <v>1</v>
      </c>
      <c r="V1024" s="7" t="n">
        <f aca="false">IF(O1024="",1,0)</f>
        <v>0</v>
      </c>
      <c r="W1024" s="7" t="n">
        <f aca="false">IF(M1024="",1,0)</f>
        <v>0</v>
      </c>
      <c r="X1024" s="7" t="n">
        <f aca="false">COUNTIFS($B$2:$B$1141,B1024,$H$2:$H$1141,H1024,$I$2:$I$1141,I1024,$J$2:$J$1141,J1024,$K$2:$K$1141,K1024,$L$2:$L$1141,L1024)</f>
        <v>1</v>
      </c>
    </row>
    <row r="1025" customFormat="false" ht="15" hidden="false" customHeight="false" outlineLevel="0" collapsed="false">
      <c r="A1025" s="7" t="n">
        <f aca="false">ROW()-1</f>
        <v>1024</v>
      </c>
      <c r="B1025" s="7" t="str">
        <f aca="false">IF(Raw_Nigeria!B1025="",TRIM(Raw_Nigeria!C1025),TRIM(Raw_Nigeria!B1025))</f>
        <v>Nigeria Demographic and Health Survey 2024</v>
      </c>
      <c r="C1025" s="7" t="str">
        <f aca="false">IF(ISNUMBER(SEARCH("Demographic and Health",B1025)),"DHS",IF(OR(ISNUMBER(SEARCH("Multiple Indicator Cluster",B1025)),ISNUMBER(SEARCH("MICS",B1025))),"MICS",IF(ISNUMBER(SEARCH("Immunization Coverage Survey",B1025)),"Coverage survey",IF(ISNUMBER(SEARCH("Nutrition",B1025)),"Nutrition survey","Other"))))</f>
        <v>DHS</v>
      </c>
      <c r="D1025" s="7" t="n">
        <f aca="false">VALUE(LEFT(Raw_Nigeria!D1025,4))</f>
        <v>2023</v>
      </c>
      <c r="E1025" s="7" t="n">
        <f aca="false">IF(VALUE(RIGHT(Raw_Nigeria!D1025,2))&gt;12,"",VALUE(RIGHT(Raw_Nigeria!D1025,2)))</f>
        <v>12</v>
      </c>
      <c r="F1025" s="7" t="n">
        <f aca="false">VALUE(LEFT(Raw_Nigeria!E1025,4))</f>
        <v>2024</v>
      </c>
      <c r="G1025" s="7" t="n">
        <f aca="false">IF(VALUE(RIGHT(Raw_Nigeria!E1025,2))&gt;12,"",VALUE(RIGHT(Raw_Nigeria!E1025,2)))</f>
        <v>5</v>
      </c>
      <c r="H1025" s="7" t="n">
        <f aca="false">Raw_Nigeria!F1025</f>
        <v>2022</v>
      </c>
      <c r="I1025" s="7" t="str">
        <f aca="false">UPPER(TRIM(Raw_Nigeria!G1025))</f>
        <v>BCG</v>
      </c>
      <c r="J1025" s="7" t="str">
        <f aca="false">Raw_Nigeria!H1025</f>
        <v>Record or Recall&lt;12m</v>
      </c>
      <c r="K1025" s="7" t="str">
        <f aca="false">Raw_Nigeria!L1025</f>
        <v>12-23 m</v>
      </c>
      <c r="L1025" s="7" t="str">
        <f aca="false">IF(Raw_Nigeria!K1025="","n/a",Raw_Nigeria!K1025)</f>
        <v>0-12 m</v>
      </c>
      <c r="M1025" s="7" t="n">
        <f aca="false">IF(Raw_Nigeria!I1025="","",Raw_Nigeria!I1025)</f>
        <v>50.2</v>
      </c>
      <c r="N1025" s="7" t="n">
        <f aca="false">Raw_Nigeria!M1025</f>
        <v>65.9</v>
      </c>
      <c r="O1025" s="7" t="n">
        <f aca="false">IF(Raw_Nigeria!N1025="","",Raw_Nigeria!N1025)</f>
        <v>5121</v>
      </c>
      <c r="P1025" s="7" t="str">
        <f aca="false">IF(K1025="CBAW","Women of child-bearing age","Children")</f>
        <v>Children</v>
      </c>
      <c r="Q1025" s="7" t="n">
        <f aca="false">IF(J1025="NOT USED",1,0)</f>
        <v>0</v>
      </c>
      <c r="R1025" s="7" t="n">
        <f aca="false">IF(AND(P1025="Children",Q1025=0),1,0)</f>
        <v>1</v>
      </c>
      <c r="S1025" s="7" t="n">
        <f aca="false">IF(AND(R1025=1,J1025="Record or Recall",K1025="12-23 m"),1,0)</f>
        <v>0</v>
      </c>
      <c r="T1025" s="7" t="n">
        <f aca="false">IF(OR(I1025="BCG",I1025="DTP1",I1025="DTP3",I1025="POL3",I1025="MCV1",I1025="FULL"),1,0)</f>
        <v>1</v>
      </c>
      <c r="U1025" s="7" t="n">
        <f aca="false">IF(OR(C1025="DHS",C1025="MICS"),1,0)</f>
        <v>1</v>
      </c>
      <c r="V1025" s="7" t="n">
        <f aca="false">IF(O1025="",1,0)</f>
        <v>0</v>
      </c>
      <c r="W1025" s="7" t="n">
        <f aca="false">IF(M1025="",1,0)</f>
        <v>0</v>
      </c>
      <c r="X1025" s="7" t="n">
        <f aca="false">COUNTIFS($B$2:$B$1141,B1025,$H$2:$H$1141,H1025,$I$2:$I$1141,I1025,$J$2:$J$1141,J1025,$K$2:$K$1141,K1025,$L$2:$L$1141,L1025)</f>
        <v>1</v>
      </c>
    </row>
    <row r="1026" customFormat="false" ht="15" hidden="false" customHeight="false" outlineLevel="0" collapsed="false">
      <c r="A1026" s="7" t="n">
        <f aca="false">ROW()-1</f>
        <v>1025</v>
      </c>
      <c r="B1026" s="7" t="str">
        <f aca="false">IF(Raw_Nigeria!B1026="",TRIM(Raw_Nigeria!C1026),TRIM(Raw_Nigeria!B1026))</f>
        <v>Nigeria Demographic and Health Survey 2024</v>
      </c>
      <c r="C1026" s="7" t="str">
        <f aca="false">IF(ISNUMBER(SEARCH("Demographic and Health",B1026)),"DHS",IF(OR(ISNUMBER(SEARCH("Multiple Indicator Cluster",B1026)),ISNUMBER(SEARCH("MICS",B1026))),"MICS",IF(ISNUMBER(SEARCH("Immunization Coverage Survey",B1026)),"Coverage survey",IF(ISNUMBER(SEARCH("Nutrition",B1026)),"Nutrition survey","Other"))))</f>
        <v>DHS</v>
      </c>
      <c r="D1026" s="7" t="n">
        <f aca="false">VALUE(LEFT(Raw_Nigeria!D1026,4))</f>
        <v>2023</v>
      </c>
      <c r="E1026" s="7" t="n">
        <f aca="false">IF(VALUE(RIGHT(Raw_Nigeria!D1026,2))&gt;12,"",VALUE(RIGHT(Raw_Nigeria!D1026,2)))</f>
        <v>12</v>
      </c>
      <c r="F1026" s="7" t="n">
        <f aca="false">VALUE(LEFT(Raw_Nigeria!E1026,4))</f>
        <v>2024</v>
      </c>
      <c r="G1026" s="7" t="n">
        <f aca="false">IF(VALUE(RIGHT(Raw_Nigeria!E1026,2))&gt;12,"",VALUE(RIGHT(Raw_Nigeria!E1026,2)))</f>
        <v>5</v>
      </c>
      <c r="H1026" s="7" t="n">
        <f aca="false">Raw_Nigeria!F1026</f>
        <v>2022</v>
      </c>
      <c r="I1026" s="7" t="str">
        <f aca="false">UPPER(TRIM(Raw_Nigeria!G1026))</f>
        <v>DTP1</v>
      </c>
      <c r="J1026" s="7" t="str">
        <f aca="false">Raw_Nigeria!H1026</f>
        <v>Recall</v>
      </c>
      <c r="K1026" s="7" t="str">
        <f aca="false">Raw_Nigeria!L1026</f>
        <v>12-23 m</v>
      </c>
      <c r="L1026" s="7" t="str">
        <f aca="false">IF(Raw_Nigeria!K1026="","n/a",Raw_Nigeria!K1026)</f>
        <v>0-23 m</v>
      </c>
      <c r="M1026" s="7" t="n">
        <f aca="false">IF(Raw_Nigeria!I1026="","",Raw_Nigeria!I1026)</f>
        <v>50.2</v>
      </c>
      <c r="N1026" s="7" t="n">
        <f aca="false">Raw_Nigeria!M1026</f>
        <v>15.4</v>
      </c>
      <c r="O1026" s="7" t="n">
        <f aca="false">IF(Raw_Nigeria!N1026="","",Raw_Nigeria!N1026)</f>
        <v>2549</v>
      </c>
      <c r="P1026" s="7" t="str">
        <f aca="false">IF(K1026="CBAW","Women of child-bearing age","Children")</f>
        <v>Children</v>
      </c>
      <c r="Q1026" s="7" t="n">
        <f aca="false">IF(J1026="NOT USED",1,0)</f>
        <v>0</v>
      </c>
      <c r="R1026" s="7" t="n">
        <f aca="false">IF(AND(P1026="Children",Q1026=0),1,0)</f>
        <v>1</v>
      </c>
      <c r="S1026" s="7" t="n">
        <f aca="false">IF(AND(R1026=1,J1026="Record or Recall",K1026="12-23 m"),1,0)</f>
        <v>0</v>
      </c>
      <c r="T1026" s="7" t="n">
        <f aca="false">IF(OR(I1026="BCG",I1026="DTP1",I1026="DTP3",I1026="POL3",I1026="MCV1",I1026="FULL"),1,0)</f>
        <v>1</v>
      </c>
      <c r="U1026" s="7" t="n">
        <f aca="false">IF(OR(C1026="DHS",C1026="MICS"),1,0)</f>
        <v>1</v>
      </c>
      <c r="V1026" s="7" t="n">
        <f aca="false">IF(O1026="",1,0)</f>
        <v>0</v>
      </c>
      <c r="W1026" s="7" t="n">
        <f aca="false">IF(M1026="",1,0)</f>
        <v>0</v>
      </c>
      <c r="X1026" s="7" t="n">
        <f aca="false">COUNTIFS($B$2:$B$1141,B1026,$H$2:$H$1141,H1026,$I$2:$I$1141,I1026,$J$2:$J$1141,J1026,$K$2:$K$1141,K1026,$L$2:$L$1141,L1026)</f>
        <v>1</v>
      </c>
    </row>
    <row r="1027" customFormat="false" ht="15" hidden="false" customHeight="false" outlineLevel="0" collapsed="false">
      <c r="A1027" s="7" t="n">
        <f aca="false">ROW()-1</f>
        <v>1026</v>
      </c>
      <c r="B1027" s="7" t="str">
        <f aca="false">IF(Raw_Nigeria!B1027="",TRIM(Raw_Nigeria!C1027),TRIM(Raw_Nigeria!B1027))</f>
        <v>Nigeria Demographic and Health Survey 2024</v>
      </c>
      <c r="C1027" s="7" t="str">
        <f aca="false">IF(ISNUMBER(SEARCH("Demographic and Health",B1027)),"DHS",IF(OR(ISNUMBER(SEARCH("Multiple Indicator Cluster",B1027)),ISNUMBER(SEARCH("MICS",B1027))),"MICS",IF(ISNUMBER(SEARCH("Immunization Coverage Survey",B1027)),"Coverage survey",IF(ISNUMBER(SEARCH("Nutrition",B1027)),"Nutrition survey","Other"))))</f>
        <v>DHS</v>
      </c>
      <c r="D1027" s="7" t="n">
        <f aca="false">VALUE(LEFT(Raw_Nigeria!D1027,4))</f>
        <v>2023</v>
      </c>
      <c r="E1027" s="7" t="n">
        <f aca="false">IF(VALUE(RIGHT(Raw_Nigeria!D1027,2))&gt;12,"",VALUE(RIGHT(Raw_Nigeria!D1027,2)))</f>
        <v>12</v>
      </c>
      <c r="F1027" s="7" t="n">
        <f aca="false">VALUE(LEFT(Raw_Nigeria!E1027,4))</f>
        <v>2024</v>
      </c>
      <c r="G1027" s="7" t="n">
        <f aca="false">IF(VALUE(RIGHT(Raw_Nigeria!E1027,2))&gt;12,"",VALUE(RIGHT(Raw_Nigeria!E1027,2)))</f>
        <v>5</v>
      </c>
      <c r="H1027" s="7" t="n">
        <f aca="false">Raw_Nigeria!F1027</f>
        <v>2022</v>
      </c>
      <c r="I1027" s="7" t="str">
        <f aca="false">UPPER(TRIM(Raw_Nigeria!G1027))</f>
        <v>DTP1</v>
      </c>
      <c r="J1027" s="7" t="str">
        <f aca="false">Raw_Nigeria!H1027</f>
        <v>Record</v>
      </c>
      <c r="K1027" s="7" t="str">
        <f aca="false">Raw_Nigeria!L1027</f>
        <v>12-23 m</v>
      </c>
      <c r="L1027" s="7" t="str">
        <f aca="false">IF(Raw_Nigeria!K1027="","n/a",Raw_Nigeria!K1027)</f>
        <v>0-23 m</v>
      </c>
      <c r="M1027" s="7" t="n">
        <f aca="false">IF(Raw_Nigeria!I1027="","",Raw_Nigeria!I1027)</f>
        <v>50.2</v>
      </c>
      <c r="N1027" s="7" t="n">
        <f aca="false">Raw_Nigeria!M1027</f>
        <v>47.5</v>
      </c>
      <c r="O1027" s="7" t="n">
        <f aca="false">IF(Raw_Nigeria!N1027="","",Raw_Nigeria!N1027)</f>
        <v>2572</v>
      </c>
      <c r="P1027" s="7" t="str">
        <f aca="false">IF(K1027="CBAW","Women of child-bearing age","Children")</f>
        <v>Children</v>
      </c>
      <c r="Q1027" s="7" t="n">
        <f aca="false">IF(J1027="NOT USED",1,0)</f>
        <v>0</v>
      </c>
      <c r="R1027" s="7" t="n">
        <f aca="false">IF(AND(P1027="Children",Q1027=0),1,0)</f>
        <v>1</v>
      </c>
      <c r="S1027" s="7" t="n">
        <f aca="false">IF(AND(R1027=1,J1027="Record or Recall",K1027="12-23 m"),1,0)</f>
        <v>0</v>
      </c>
      <c r="T1027" s="7" t="n">
        <f aca="false">IF(OR(I1027="BCG",I1027="DTP1",I1027="DTP3",I1027="POL3",I1027="MCV1",I1027="FULL"),1,0)</f>
        <v>1</v>
      </c>
      <c r="U1027" s="7" t="n">
        <f aca="false">IF(OR(C1027="DHS",C1027="MICS"),1,0)</f>
        <v>1</v>
      </c>
      <c r="V1027" s="7" t="n">
        <f aca="false">IF(O1027="",1,0)</f>
        <v>0</v>
      </c>
      <c r="W1027" s="7" t="n">
        <f aca="false">IF(M1027="",1,0)</f>
        <v>0</v>
      </c>
      <c r="X1027" s="7" t="n">
        <f aca="false">COUNTIFS($B$2:$B$1141,B1027,$H$2:$H$1141,H1027,$I$2:$I$1141,I1027,$J$2:$J$1141,J1027,$K$2:$K$1141,K1027,$L$2:$L$1141,L1027)</f>
        <v>1</v>
      </c>
    </row>
    <row r="1028" customFormat="false" ht="15" hidden="false" customHeight="false" outlineLevel="0" collapsed="false">
      <c r="A1028" s="7" t="n">
        <f aca="false">ROW()-1</f>
        <v>1027</v>
      </c>
      <c r="B1028" s="7" t="str">
        <f aca="false">IF(Raw_Nigeria!B1028="",TRIM(Raw_Nigeria!C1028),TRIM(Raw_Nigeria!B1028))</f>
        <v>Nigeria Demographic and Health Survey 2024</v>
      </c>
      <c r="C1028" s="7" t="str">
        <f aca="false">IF(ISNUMBER(SEARCH("Demographic and Health",B1028)),"DHS",IF(OR(ISNUMBER(SEARCH("Multiple Indicator Cluster",B1028)),ISNUMBER(SEARCH("MICS",B1028))),"MICS",IF(ISNUMBER(SEARCH("Immunization Coverage Survey",B1028)),"Coverage survey",IF(ISNUMBER(SEARCH("Nutrition",B1028)),"Nutrition survey","Other"))))</f>
        <v>DHS</v>
      </c>
      <c r="D1028" s="7" t="n">
        <f aca="false">VALUE(LEFT(Raw_Nigeria!D1028,4))</f>
        <v>2023</v>
      </c>
      <c r="E1028" s="7" t="n">
        <f aca="false">IF(VALUE(RIGHT(Raw_Nigeria!D1028,2))&gt;12,"",VALUE(RIGHT(Raw_Nigeria!D1028,2)))</f>
        <v>12</v>
      </c>
      <c r="F1028" s="7" t="n">
        <f aca="false">VALUE(LEFT(Raw_Nigeria!E1028,4))</f>
        <v>2024</v>
      </c>
      <c r="G1028" s="7" t="n">
        <f aca="false">IF(VALUE(RIGHT(Raw_Nigeria!E1028,2))&gt;12,"",VALUE(RIGHT(Raw_Nigeria!E1028,2)))</f>
        <v>5</v>
      </c>
      <c r="H1028" s="7" t="n">
        <f aca="false">Raw_Nigeria!F1028</f>
        <v>2022</v>
      </c>
      <c r="I1028" s="7" t="str">
        <f aca="false">UPPER(TRIM(Raw_Nigeria!G1028))</f>
        <v>DTP1</v>
      </c>
      <c r="J1028" s="7" t="str">
        <f aca="false">Raw_Nigeria!H1028</f>
        <v>Record or Recall</v>
      </c>
      <c r="K1028" s="7" t="str">
        <f aca="false">Raw_Nigeria!L1028</f>
        <v>12-23 m</v>
      </c>
      <c r="L1028" s="7" t="str">
        <f aca="false">IF(Raw_Nigeria!K1028="","n/a",Raw_Nigeria!K1028)</f>
        <v>0-23 m</v>
      </c>
      <c r="M1028" s="7" t="n">
        <f aca="false">IF(Raw_Nigeria!I1028="","",Raw_Nigeria!I1028)</f>
        <v>50.2</v>
      </c>
      <c r="N1028" s="7" t="n">
        <f aca="false">Raw_Nigeria!M1028</f>
        <v>62.9</v>
      </c>
      <c r="O1028" s="7" t="n">
        <f aca="false">IF(Raw_Nigeria!N1028="","",Raw_Nigeria!N1028)</f>
        <v>5121</v>
      </c>
      <c r="P1028" s="7" t="str">
        <f aca="false">IF(K1028="CBAW","Women of child-bearing age","Children")</f>
        <v>Children</v>
      </c>
      <c r="Q1028" s="7" t="n">
        <f aca="false">IF(J1028="NOT USED",1,0)</f>
        <v>0</v>
      </c>
      <c r="R1028" s="7" t="n">
        <f aca="false">IF(AND(P1028="Children",Q1028=0),1,0)</f>
        <v>1</v>
      </c>
      <c r="S1028" s="7" t="n">
        <f aca="false">IF(AND(R1028=1,J1028="Record or Recall",K1028="12-23 m"),1,0)</f>
        <v>1</v>
      </c>
      <c r="T1028" s="7" t="n">
        <f aca="false">IF(OR(I1028="BCG",I1028="DTP1",I1028="DTP3",I1028="POL3",I1028="MCV1",I1028="FULL"),1,0)</f>
        <v>1</v>
      </c>
      <c r="U1028" s="7" t="n">
        <f aca="false">IF(OR(C1028="DHS",C1028="MICS"),1,0)</f>
        <v>1</v>
      </c>
      <c r="V1028" s="7" t="n">
        <f aca="false">IF(O1028="",1,0)</f>
        <v>0</v>
      </c>
      <c r="W1028" s="7" t="n">
        <f aca="false">IF(M1028="",1,0)</f>
        <v>0</v>
      </c>
      <c r="X1028" s="7" t="n">
        <f aca="false">COUNTIFS($B$2:$B$1141,B1028,$H$2:$H$1141,H1028,$I$2:$I$1141,I1028,$J$2:$J$1141,J1028,$K$2:$K$1141,K1028,$L$2:$L$1141,L1028)</f>
        <v>1</v>
      </c>
    </row>
    <row r="1029" customFormat="false" ht="15" hidden="false" customHeight="false" outlineLevel="0" collapsed="false">
      <c r="A1029" s="7" t="n">
        <f aca="false">ROW()-1</f>
        <v>1028</v>
      </c>
      <c r="B1029" s="7" t="str">
        <f aca="false">IF(Raw_Nigeria!B1029="",TRIM(Raw_Nigeria!C1029),TRIM(Raw_Nigeria!B1029))</f>
        <v>Nigeria Demographic and Health Survey 2024</v>
      </c>
      <c r="C1029" s="7" t="str">
        <f aca="false">IF(ISNUMBER(SEARCH("Demographic and Health",B1029)),"DHS",IF(OR(ISNUMBER(SEARCH("Multiple Indicator Cluster",B1029)),ISNUMBER(SEARCH("MICS",B1029))),"MICS",IF(ISNUMBER(SEARCH("Immunization Coverage Survey",B1029)),"Coverage survey",IF(ISNUMBER(SEARCH("Nutrition",B1029)),"Nutrition survey","Other"))))</f>
        <v>DHS</v>
      </c>
      <c r="D1029" s="7" t="n">
        <f aca="false">VALUE(LEFT(Raw_Nigeria!D1029,4))</f>
        <v>2023</v>
      </c>
      <c r="E1029" s="7" t="n">
        <f aca="false">IF(VALUE(RIGHT(Raw_Nigeria!D1029,2))&gt;12,"",VALUE(RIGHT(Raw_Nigeria!D1029,2)))</f>
        <v>12</v>
      </c>
      <c r="F1029" s="7" t="n">
        <f aca="false">VALUE(LEFT(Raw_Nigeria!E1029,4))</f>
        <v>2024</v>
      </c>
      <c r="G1029" s="7" t="n">
        <f aca="false">IF(VALUE(RIGHT(Raw_Nigeria!E1029,2))&gt;12,"",VALUE(RIGHT(Raw_Nigeria!E1029,2)))</f>
        <v>5</v>
      </c>
      <c r="H1029" s="7" t="n">
        <f aca="false">Raw_Nigeria!F1029</f>
        <v>2022</v>
      </c>
      <c r="I1029" s="7" t="str">
        <f aca="false">UPPER(TRIM(Raw_Nigeria!G1029))</f>
        <v>DTP1</v>
      </c>
      <c r="J1029" s="7" t="str">
        <f aca="false">Raw_Nigeria!H1029</f>
        <v>Record or Recall&lt;12m</v>
      </c>
      <c r="K1029" s="7" t="str">
        <f aca="false">Raw_Nigeria!L1029</f>
        <v>12-23 m</v>
      </c>
      <c r="L1029" s="7" t="str">
        <f aca="false">IF(Raw_Nigeria!K1029="","n/a",Raw_Nigeria!K1029)</f>
        <v>0-12 m</v>
      </c>
      <c r="M1029" s="7" t="n">
        <f aca="false">IF(Raw_Nigeria!I1029="","",Raw_Nigeria!I1029)</f>
        <v>50.2</v>
      </c>
      <c r="N1029" s="7" t="n">
        <f aca="false">Raw_Nigeria!M1029</f>
        <v>62</v>
      </c>
      <c r="O1029" s="7" t="n">
        <f aca="false">IF(Raw_Nigeria!N1029="","",Raw_Nigeria!N1029)</f>
        <v>5121</v>
      </c>
      <c r="P1029" s="7" t="str">
        <f aca="false">IF(K1029="CBAW","Women of child-bearing age","Children")</f>
        <v>Children</v>
      </c>
      <c r="Q1029" s="7" t="n">
        <f aca="false">IF(J1029="NOT USED",1,0)</f>
        <v>0</v>
      </c>
      <c r="R1029" s="7" t="n">
        <f aca="false">IF(AND(P1029="Children",Q1029=0),1,0)</f>
        <v>1</v>
      </c>
      <c r="S1029" s="7" t="n">
        <f aca="false">IF(AND(R1029=1,J1029="Record or Recall",K1029="12-23 m"),1,0)</f>
        <v>0</v>
      </c>
      <c r="T1029" s="7" t="n">
        <f aca="false">IF(OR(I1029="BCG",I1029="DTP1",I1029="DTP3",I1029="POL3",I1029="MCV1",I1029="FULL"),1,0)</f>
        <v>1</v>
      </c>
      <c r="U1029" s="7" t="n">
        <f aca="false">IF(OR(C1029="DHS",C1029="MICS"),1,0)</f>
        <v>1</v>
      </c>
      <c r="V1029" s="7" t="n">
        <f aca="false">IF(O1029="",1,0)</f>
        <v>0</v>
      </c>
      <c r="W1029" s="7" t="n">
        <f aca="false">IF(M1029="",1,0)</f>
        <v>0</v>
      </c>
      <c r="X1029" s="7" t="n">
        <f aca="false">COUNTIFS($B$2:$B$1141,B1029,$H$2:$H$1141,H1029,$I$2:$I$1141,I1029,$J$2:$J$1141,J1029,$K$2:$K$1141,K1029,$L$2:$L$1141,L1029)</f>
        <v>1</v>
      </c>
    </row>
    <row r="1030" customFormat="false" ht="15" hidden="false" customHeight="false" outlineLevel="0" collapsed="false">
      <c r="A1030" s="7" t="n">
        <f aca="false">ROW()-1</f>
        <v>1029</v>
      </c>
      <c r="B1030" s="7" t="str">
        <f aca="false">IF(Raw_Nigeria!B1030="",TRIM(Raw_Nigeria!C1030),TRIM(Raw_Nigeria!B1030))</f>
        <v>Nigeria Demographic and Health Survey 2024</v>
      </c>
      <c r="C1030" s="7" t="str">
        <f aca="false">IF(ISNUMBER(SEARCH("Demographic and Health",B1030)),"DHS",IF(OR(ISNUMBER(SEARCH("Multiple Indicator Cluster",B1030)),ISNUMBER(SEARCH("MICS",B1030))),"MICS",IF(ISNUMBER(SEARCH("Immunization Coverage Survey",B1030)),"Coverage survey",IF(ISNUMBER(SEARCH("Nutrition",B1030)),"Nutrition survey","Other"))))</f>
        <v>DHS</v>
      </c>
      <c r="D1030" s="7" t="n">
        <f aca="false">VALUE(LEFT(Raw_Nigeria!D1030,4))</f>
        <v>2023</v>
      </c>
      <c r="E1030" s="7" t="n">
        <f aca="false">IF(VALUE(RIGHT(Raw_Nigeria!D1030,2))&gt;12,"",VALUE(RIGHT(Raw_Nigeria!D1030,2)))</f>
        <v>12</v>
      </c>
      <c r="F1030" s="7" t="n">
        <f aca="false">VALUE(LEFT(Raw_Nigeria!E1030,4))</f>
        <v>2024</v>
      </c>
      <c r="G1030" s="7" t="n">
        <f aca="false">IF(VALUE(RIGHT(Raw_Nigeria!E1030,2))&gt;12,"",VALUE(RIGHT(Raw_Nigeria!E1030,2)))</f>
        <v>5</v>
      </c>
      <c r="H1030" s="7" t="n">
        <f aca="false">Raw_Nigeria!F1030</f>
        <v>2022</v>
      </c>
      <c r="I1030" s="7" t="str">
        <f aca="false">UPPER(TRIM(Raw_Nigeria!G1030))</f>
        <v>DTP2</v>
      </c>
      <c r="J1030" s="7" t="str">
        <f aca="false">Raw_Nigeria!H1030</f>
        <v>Recall</v>
      </c>
      <c r="K1030" s="7" t="str">
        <f aca="false">Raw_Nigeria!L1030</f>
        <v>12-23 m</v>
      </c>
      <c r="L1030" s="7" t="str">
        <f aca="false">IF(Raw_Nigeria!K1030="","n/a",Raw_Nigeria!K1030)</f>
        <v>0-23 m</v>
      </c>
      <c r="M1030" s="7" t="n">
        <f aca="false">IF(Raw_Nigeria!I1030="","",Raw_Nigeria!I1030)</f>
        <v>50.2</v>
      </c>
      <c r="N1030" s="7" t="n">
        <f aca="false">Raw_Nigeria!M1030</f>
        <v>14.8</v>
      </c>
      <c r="O1030" s="7" t="n">
        <f aca="false">IF(Raw_Nigeria!N1030="","",Raw_Nigeria!N1030)</f>
        <v>2549</v>
      </c>
      <c r="P1030" s="7" t="str">
        <f aca="false">IF(K1030="CBAW","Women of child-bearing age","Children")</f>
        <v>Children</v>
      </c>
      <c r="Q1030" s="7" t="n">
        <f aca="false">IF(J1030="NOT USED",1,0)</f>
        <v>0</v>
      </c>
      <c r="R1030" s="7" t="n">
        <f aca="false">IF(AND(P1030="Children",Q1030=0),1,0)</f>
        <v>1</v>
      </c>
      <c r="S1030" s="7" t="n">
        <f aca="false">IF(AND(R1030=1,J1030="Record or Recall",K1030="12-23 m"),1,0)</f>
        <v>0</v>
      </c>
      <c r="T1030" s="7" t="n">
        <f aca="false">IF(OR(I1030="BCG",I1030="DTP1",I1030="DTP3",I1030="POL3",I1030="MCV1",I1030="FULL"),1,0)</f>
        <v>0</v>
      </c>
      <c r="U1030" s="7" t="n">
        <f aca="false">IF(OR(C1030="DHS",C1030="MICS"),1,0)</f>
        <v>1</v>
      </c>
      <c r="V1030" s="7" t="n">
        <f aca="false">IF(O1030="",1,0)</f>
        <v>0</v>
      </c>
      <c r="W1030" s="7" t="n">
        <f aca="false">IF(M1030="",1,0)</f>
        <v>0</v>
      </c>
      <c r="X1030" s="7" t="n">
        <f aca="false">COUNTIFS($B$2:$B$1141,B1030,$H$2:$H$1141,H1030,$I$2:$I$1141,I1030,$J$2:$J$1141,J1030,$K$2:$K$1141,K1030,$L$2:$L$1141,L1030)</f>
        <v>1</v>
      </c>
    </row>
    <row r="1031" customFormat="false" ht="15" hidden="false" customHeight="false" outlineLevel="0" collapsed="false">
      <c r="A1031" s="7" t="n">
        <f aca="false">ROW()-1</f>
        <v>1030</v>
      </c>
      <c r="B1031" s="7" t="str">
        <f aca="false">IF(Raw_Nigeria!B1031="",TRIM(Raw_Nigeria!C1031),TRIM(Raw_Nigeria!B1031))</f>
        <v>Nigeria Demographic and Health Survey 2024</v>
      </c>
      <c r="C1031" s="7" t="str">
        <f aca="false">IF(ISNUMBER(SEARCH("Demographic and Health",B1031)),"DHS",IF(OR(ISNUMBER(SEARCH("Multiple Indicator Cluster",B1031)),ISNUMBER(SEARCH("MICS",B1031))),"MICS",IF(ISNUMBER(SEARCH("Immunization Coverage Survey",B1031)),"Coverage survey",IF(ISNUMBER(SEARCH("Nutrition",B1031)),"Nutrition survey","Other"))))</f>
        <v>DHS</v>
      </c>
      <c r="D1031" s="7" t="n">
        <f aca="false">VALUE(LEFT(Raw_Nigeria!D1031,4))</f>
        <v>2023</v>
      </c>
      <c r="E1031" s="7" t="n">
        <f aca="false">IF(VALUE(RIGHT(Raw_Nigeria!D1031,2))&gt;12,"",VALUE(RIGHT(Raw_Nigeria!D1031,2)))</f>
        <v>12</v>
      </c>
      <c r="F1031" s="7" t="n">
        <f aca="false">VALUE(LEFT(Raw_Nigeria!E1031,4))</f>
        <v>2024</v>
      </c>
      <c r="G1031" s="7" t="n">
        <f aca="false">IF(VALUE(RIGHT(Raw_Nigeria!E1031,2))&gt;12,"",VALUE(RIGHT(Raw_Nigeria!E1031,2)))</f>
        <v>5</v>
      </c>
      <c r="H1031" s="7" t="n">
        <f aca="false">Raw_Nigeria!F1031</f>
        <v>2022</v>
      </c>
      <c r="I1031" s="7" t="str">
        <f aca="false">UPPER(TRIM(Raw_Nigeria!G1031))</f>
        <v>DTP2</v>
      </c>
      <c r="J1031" s="7" t="str">
        <f aca="false">Raw_Nigeria!H1031</f>
        <v>Record</v>
      </c>
      <c r="K1031" s="7" t="str">
        <f aca="false">Raw_Nigeria!L1031</f>
        <v>12-23 m</v>
      </c>
      <c r="L1031" s="7" t="str">
        <f aca="false">IF(Raw_Nigeria!K1031="","n/a",Raw_Nigeria!K1031)</f>
        <v>0-23 m</v>
      </c>
      <c r="M1031" s="7" t="n">
        <f aca="false">IF(Raw_Nigeria!I1031="","",Raw_Nigeria!I1031)</f>
        <v>50.2</v>
      </c>
      <c r="N1031" s="7" t="n">
        <f aca="false">Raw_Nigeria!M1031</f>
        <v>45</v>
      </c>
      <c r="O1031" s="7" t="n">
        <f aca="false">IF(Raw_Nigeria!N1031="","",Raw_Nigeria!N1031)</f>
        <v>2572</v>
      </c>
      <c r="P1031" s="7" t="str">
        <f aca="false">IF(K1031="CBAW","Women of child-bearing age","Children")</f>
        <v>Children</v>
      </c>
      <c r="Q1031" s="7" t="n">
        <f aca="false">IF(J1031="NOT USED",1,0)</f>
        <v>0</v>
      </c>
      <c r="R1031" s="7" t="n">
        <f aca="false">IF(AND(P1031="Children",Q1031=0),1,0)</f>
        <v>1</v>
      </c>
      <c r="S1031" s="7" t="n">
        <f aca="false">IF(AND(R1031=1,J1031="Record or Recall",K1031="12-23 m"),1,0)</f>
        <v>0</v>
      </c>
      <c r="T1031" s="7" t="n">
        <f aca="false">IF(OR(I1031="BCG",I1031="DTP1",I1031="DTP3",I1031="POL3",I1031="MCV1",I1031="FULL"),1,0)</f>
        <v>0</v>
      </c>
      <c r="U1031" s="7" t="n">
        <f aca="false">IF(OR(C1031="DHS",C1031="MICS"),1,0)</f>
        <v>1</v>
      </c>
      <c r="V1031" s="7" t="n">
        <f aca="false">IF(O1031="",1,0)</f>
        <v>0</v>
      </c>
      <c r="W1031" s="7" t="n">
        <f aca="false">IF(M1031="",1,0)</f>
        <v>0</v>
      </c>
      <c r="X1031" s="7" t="n">
        <f aca="false">COUNTIFS($B$2:$B$1141,B1031,$H$2:$H$1141,H1031,$I$2:$I$1141,I1031,$J$2:$J$1141,J1031,$K$2:$K$1141,K1031,$L$2:$L$1141,L1031)</f>
        <v>1</v>
      </c>
    </row>
    <row r="1032" customFormat="false" ht="15" hidden="false" customHeight="false" outlineLevel="0" collapsed="false">
      <c r="A1032" s="7" t="n">
        <f aca="false">ROW()-1</f>
        <v>1031</v>
      </c>
      <c r="B1032" s="7" t="str">
        <f aca="false">IF(Raw_Nigeria!B1032="",TRIM(Raw_Nigeria!C1032),TRIM(Raw_Nigeria!B1032))</f>
        <v>Nigeria Demographic and Health Survey 2024</v>
      </c>
      <c r="C1032" s="7" t="str">
        <f aca="false">IF(ISNUMBER(SEARCH("Demographic and Health",B1032)),"DHS",IF(OR(ISNUMBER(SEARCH("Multiple Indicator Cluster",B1032)),ISNUMBER(SEARCH("MICS",B1032))),"MICS",IF(ISNUMBER(SEARCH("Immunization Coverage Survey",B1032)),"Coverage survey",IF(ISNUMBER(SEARCH("Nutrition",B1032)),"Nutrition survey","Other"))))</f>
        <v>DHS</v>
      </c>
      <c r="D1032" s="7" t="n">
        <f aca="false">VALUE(LEFT(Raw_Nigeria!D1032,4))</f>
        <v>2023</v>
      </c>
      <c r="E1032" s="7" t="n">
        <f aca="false">IF(VALUE(RIGHT(Raw_Nigeria!D1032,2))&gt;12,"",VALUE(RIGHT(Raw_Nigeria!D1032,2)))</f>
        <v>12</v>
      </c>
      <c r="F1032" s="7" t="n">
        <f aca="false">VALUE(LEFT(Raw_Nigeria!E1032,4))</f>
        <v>2024</v>
      </c>
      <c r="G1032" s="7" t="n">
        <f aca="false">IF(VALUE(RIGHT(Raw_Nigeria!E1032,2))&gt;12,"",VALUE(RIGHT(Raw_Nigeria!E1032,2)))</f>
        <v>5</v>
      </c>
      <c r="H1032" s="7" t="n">
        <f aca="false">Raw_Nigeria!F1032</f>
        <v>2022</v>
      </c>
      <c r="I1032" s="7" t="str">
        <f aca="false">UPPER(TRIM(Raw_Nigeria!G1032))</f>
        <v>DTP2</v>
      </c>
      <c r="J1032" s="7" t="str">
        <f aca="false">Raw_Nigeria!H1032</f>
        <v>Record or Recall</v>
      </c>
      <c r="K1032" s="7" t="str">
        <f aca="false">Raw_Nigeria!L1032</f>
        <v>12-23 m</v>
      </c>
      <c r="L1032" s="7" t="str">
        <f aca="false">IF(Raw_Nigeria!K1032="","n/a",Raw_Nigeria!K1032)</f>
        <v>0-23 m</v>
      </c>
      <c r="M1032" s="7" t="n">
        <f aca="false">IF(Raw_Nigeria!I1032="","",Raw_Nigeria!I1032)</f>
        <v>50.2</v>
      </c>
      <c r="N1032" s="7" t="n">
        <f aca="false">Raw_Nigeria!M1032</f>
        <v>59.8</v>
      </c>
      <c r="O1032" s="7" t="n">
        <f aca="false">IF(Raw_Nigeria!N1032="","",Raw_Nigeria!N1032)</f>
        <v>5121</v>
      </c>
      <c r="P1032" s="7" t="str">
        <f aca="false">IF(K1032="CBAW","Women of child-bearing age","Children")</f>
        <v>Children</v>
      </c>
      <c r="Q1032" s="7" t="n">
        <f aca="false">IF(J1032="NOT USED",1,0)</f>
        <v>0</v>
      </c>
      <c r="R1032" s="7" t="n">
        <f aca="false">IF(AND(P1032="Children",Q1032=0),1,0)</f>
        <v>1</v>
      </c>
      <c r="S1032" s="7" t="n">
        <f aca="false">IF(AND(R1032=1,J1032="Record or Recall",K1032="12-23 m"),1,0)</f>
        <v>1</v>
      </c>
      <c r="T1032" s="7" t="n">
        <f aca="false">IF(OR(I1032="BCG",I1032="DTP1",I1032="DTP3",I1032="POL3",I1032="MCV1",I1032="FULL"),1,0)</f>
        <v>0</v>
      </c>
      <c r="U1032" s="7" t="n">
        <f aca="false">IF(OR(C1032="DHS",C1032="MICS"),1,0)</f>
        <v>1</v>
      </c>
      <c r="V1032" s="7" t="n">
        <f aca="false">IF(O1032="",1,0)</f>
        <v>0</v>
      </c>
      <c r="W1032" s="7" t="n">
        <f aca="false">IF(M1032="",1,0)</f>
        <v>0</v>
      </c>
      <c r="X1032" s="7" t="n">
        <f aca="false">COUNTIFS($B$2:$B$1141,B1032,$H$2:$H$1141,H1032,$I$2:$I$1141,I1032,$J$2:$J$1141,J1032,$K$2:$K$1141,K1032,$L$2:$L$1141,L1032)</f>
        <v>1</v>
      </c>
    </row>
    <row r="1033" customFormat="false" ht="15" hidden="false" customHeight="false" outlineLevel="0" collapsed="false">
      <c r="A1033" s="7" t="n">
        <f aca="false">ROW()-1</f>
        <v>1032</v>
      </c>
      <c r="B1033" s="7" t="str">
        <f aca="false">IF(Raw_Nigeria!B1033="",TRIM(Raw_Nigeria!C1033),TRIM(Raw_Nigeria!B1033))</f>
        <v>Nigeria Demographic and Health Survey 2024</v>
      </c>
      <c r="C1033" s="7" t="str">
        <f aca="false">IF(ISNUMBER(SEARCH("Demographic and Health",B1033)),"DHS",IF(OR(ISNUMBER(SEARCH("Multiple Indicator Cluster",B1033)),ISNUMBER(SEARCH("MICS",B1033))),"MICS",IF(ISNUMBER(SEARCH("Immunization Coverage Survey",B1033)),"Coverage survey",IF(ISNUMBER(SEARCH("Nutrition",B1033)),"Nutrition survey","Other"))))</f>
        <v>DHS</v>
      </c>
      <c r="D1033" s="7" t="n">
        <f aca="false">VALUE(LEFT(Raw_Nigeria!D1033,4))</f>
        <v>2023</v>
      </c>
      <c r="E1033" s="7" t="n">
        <f aca="false">IF(VALUE(RIGHT(Raw_Nigeria!D1033,2))&gt;12,"",VALUE(RIGHT(Raw_Nigeria!D1033,2)))</f>
        <v>12</v>
      </c>
      <c r="F1033" s="7" t="n">
        <f aca="false">VALUE(LEFT(Raw_Nigeria!E1033,4))</f>
        <v>2024</v>
      </c>
      <c r="G1033" s="7" t="n">
        <f aca="false">IF(VALUE(RIGHT(Raw_Nigeria!E1033,2))&gt;12,"",VALUE(RIGHT(Raw_Nigeria!E1033,2)))</f>
        <v>5</v>
      </c>
      <c r="H1033" s="7" t="n">
        <f aca="false">Raw_Nigeria!F1033</f>
        <v>2022</v>
      </c>
      <c r="I1033" s="7" t="str">
        <f aca="false">UPPER(TRIM(Raw_Nigeria!G1033))</f>
        <v>DTP2</v>
      </c>
      <c r="J1033" s="7" t="str">
        <f aca="false">Raw_Nigeria!H1033</f>
        <v>Record or Recall&lt;12m</v>
      </c>
      <c r="K1033" s="7" t="str">
        <f aca="false">Raw_Nigeria!L1033</f>
        <v>12-23 m</v>
      </c>
      <c r="L1033" s="7" t="str">
        <f aca="false">IF(Raw_Nigeria!K1033="","n/a",Raw_Nigeria!K1033)</f>
        <v>0-12 m</v>
      </c>
      <c r="M1033" s="7" t="n">
        <f aca="false">IF(Raw_Nigeria!I1033="","",Raw_Nigeria!I1033)</f>
        <v>50.2</v>
      </c>
      <c r="N1033" s="7" t="n">
        <f aca="false">Raw_Nigeria!M1033</f>
        <v>58.7</v>
      </c>
      <c r="O1033" s="7" t="n">
        <f aca="false">IF(Raw_Nigeria!N1033="","",Raw_Nigeria!N1033)</f>
        <v>5121</v>
      </c>
      <c r="P1033" s="7" t="str">
        <f aca="false">IF(K1033="CBAW","Women of child-bearing age","Children")</f>
        <v>Children</v>
      </c>
      <c r="Q1033" s="7" t="n">
        <f aca="false">IF(J1033="NOT USED",1,0)</f>
        <v>0</v>
      </c>
      <c r="R1033" s="7" t="n">
        <f aca="false">IF(AND(P1033="Children",Q1033=0),1,0)</f>
        <v>1</v>
      </c>
      <c r="S1033" s="7" t="n">
        <f aca="false">IF(AND(R1033=1,J1033="Record or Recall",K1033="12-23 m"),1,0)</f>
        <v>0</v>
      </c>
      <c r="T1033" s="7" t="n">
        <f aca="false">IF(OR(I1033="BCG",I1033="DTP1",I1033="DTP3",I1033="POL3",I1033="MCV1",I1033="FULL"),1,0)</f>
        <v>0</v>
      </c>
      <c r="U1033" s="7" t="n">
        <f aca="false">IF(OR(C1033="DHS",C1033="MICS"),1,0)</f>
        <v>1</v>
      </c>
      <c r="V1033" s="7" t="n">
        <f aca="false">IF(O1033="",1,0)</f>
        <v>0</v>
      </c>
      <c r="W1033" s="7" t="n">
        <f aca="false">IF(M1033="",1,0)</f>
        <v>0</v>
      </c>
      <c r="X1033" s="7" t="n">
        <f aca="false">COUNTIFS($B$2:$B$1141,B1033,$H$2:$H$1141,H1033,$I$2:$I$1141,I1033,$J$2:$J$1141,J1033,$K$2:$K$1141,K1033,$L$2:$L$1141,L1033)</f>
        <v>1</v>
      </c>
    </row>
    <row r="1034" customFormat="false" ht="15" hidden="false" customHeight="false" outlineLevel="0" collapsed="false">
      <c r="A1034" s="7" t="n">
        <f aca="false">ROW()-1</f>
        <v>1033</v>
      </c>
      <c r="B1034" s="7" t="str">
        <f aca="false">IF(Raw_Nigeria!B1034="",TRIM(Raw_Nigeria!C1034),TRIM(Raw_Nigeria!B1034))</f>
        <v>Nigeria Demographic and Health Survey 2024</v>
      </c>
      <c r="C1034" s="7" t="str">
        <f aca="false">IF(ISNUMBER(SEARCH("Demographic and Health",B1034)),"DHS",IF(OR(ISNUMBER(SEARCH("Multiple Indicator Cluster",B1034)),ISNUMBER(SEARCH("MICS",B1034))),"MICS",IF(ISNUMBER(SEARCH("Immunization Coverage Survey",B1034)),"Coverage survey",IF(ISNUMBER(SEARCH("Nutrition",B1034)),"Nutrition survey","Other"))))</f>
        <v>DHS</v>
      </c>
      <c r="D1034" s="7" t="n">
        <f aca="false">VALUE(LEFT(Raw_Nigeria!D1034,4))</f>
        <v>2023</v>
      </c>
      <c r="E1034" s="7" t="n">
        <f aca="false">IF(VALUE(RIGHT(Raw_Nigeria!D1034,2))&gt;12,"",VALUE(RIGHT(Raw_Nigeria!D1034,2)))</f>
        <v>12</v>
      </c>
      <c r="F1034" s="7" t="n">
        <f aca="false">VALUE(LEFT(Raw_Nigeria!E1034,4))</f>
        <v>2024</v>
      </c>
      <c r="G1034" s="7" t="n">
        <f aca="false">IF(VALUE(RIGHT(Raw_Nigeria!E1034,2))&gt;12,"",VALUE(RIGHT(Raw_Nigeria!E1034,2)))</f>
        <v>5</v>
      </c>
      <c r="H1034" s="7" t="n">
        <f aca="false">Raw_Nigeria!F1034</f>
        <v>2022</v>
      </c>
      <c r="I1034" s="7" t="str">
        <f aca="false">UPPER(TRIM(Raw_Nigeria!G1034))</f>
        <v>DTP3</v>
      </c>
      <c r="J1034" s="7" t="str">
        <f aca="false">Raw_Nigeria!H1034</f>
        <v>Recall</v>
      </c>
      <c r="K1034" s="7" t="str">
        <f aca="false">Raw_Nigeria!L1034</f>
        <v>12-23 m</v>
      </c>
      <c r="L1034" s="7" t="str">
        <f aca="false">IF(Raw_Nigeria!K1034="","n/a",Raw_Nigeria!K1034)</f>
        <v>0-23 m</v>
      </c>
      <c r="M1034" s="7" t="n">
        <f aca="false">IF(Raw_Nigeria!I1034="","",Raw_Nigeria!I1034)</f>
        <v>50.2</v>
      </c>
      <c r="N1034" s="7" t="n">
        <f aca="false">Raw_Nigeria!M1034</f>
        <v>11.2</v>
      </c>
      <c r="O1034" s="7" t="n">
        <f aca="false">IF(Raw_Nigeria!N1034="","",Raw_Nigeria!N1034)</f>
        <v>2549</v>
      </c>
      <c r="P1034" s="7" t="str">
        <f aca="false">IF(K1034="CBAW","Women of child-bearing age","Children")</f>
        <v>Children</v>
      </c>
      <c r="Q1034" s="7" t="n">
        <f aca="false">IF(J1034="NOT USED",1,0)</f>
        <v>0</v>
      </c>
      <c r="R1034" s="7" t="n">
        <f aca="false">IF(AND(P1034="Children",Q1034=0),1,0)</f>
        <v>1</v>
      </c>
      <c r="S1034" s="7" t="n">
        <f aca="false">IF(AND(R1034=1,J1034="Record or Recall",K1034="12-23 m"),1,0)</f>
        <v>0</v>
      </c>
      <c r="T1034" s="7" t="n">
        <f aca="false">IF(OR(I1034="BCG",I1034="DTP1",I1034="DTP3",I1034="POL3",I1034="MCV1",I1034="FULL"),1,0)</f>
        <v>1</v>
      </c>
      <c r="U1034" s="7" t="n">
        <f aca="false">IF(OR(C1034="DHS",C1034="MICS"),1,0)</f>
        <v>1</v>
      </c>
      <c r="V1034" s="7" t="n">
        <f aca="false">IF(O1034="",1,0)</f>
        <v>0</v>
      </c>
      <c r="W1034" s="7" t="n">
        <f aca="false">IF(M1034="",1,0)</f>
        <v>0</v>
      </c>
      <c r="X1034" s="7" t="n">
        <f aca="false">COUNTIFS($B$2:$B$1141,B1034,$H$2:$H$1141,H1034,$I$2:$I$1141,I1034,$J$2:$J$1141,J1034,$K$2:$K$1141,K1034,$L$2:$L$1141,L1034)</f>
        <v>1</v>
      </c>
    </row>
    <row r="1035" customFormat="false" ht="15" hidden="false" customHeight="false" outlineLevel="0" collapsed="false">
      <c r="A1035" s="7" t="n">
        <f aca="false">ROW()-1</f>
        <v>1034</v>
      </c>
      <c r="B1035" s="7" t="str">
        <f aca="false">IF(Raw_Nigeria!B1035="",TRIM(Raw_Nigeria!C1035),TRIM(Raw_Nigeria!B1035))</f>
        <v>Nigeria Demographic and Health Survey 2024</v>
      </c>
      <c r="C1035" s="7" t="str">
        <f aca="false">IF(ISNUMBER(SEARCH("Demographic and Health",B1035)),"DHS",IF(OR(ISNUMBER(SEARCH("Multiple Indicator Cluster",B1035)),ISNUMBER(SEARCH("MICS",B1035))),"MICS",IF(ISNUMBER(SEARCH("Immunization Coverage Survey",B1035)),"Coverage survey",IF(ISNUMBER(SEARCH("Nutrition",B1035)),"Nutrition survey","Other"))))</f>
        <v>DHS</v>
      </c>
      <c r="D1035" s="7" t="n">
        <f aca="false">VALUE(LEFT(Raw_Nigeria!D1035,4))</f>
        <v>2023</v>
      </c>
      <c r="E1035" s="7" t="n">
        <f aca="false">IF(VALUE(RIGHT(Raw_Nigeria!D1035,2))&gt;12,"",VALUE(RIGHT(Raw_Nigeria!D1035,2)))</f>
        <v>12</v>
      </c>
      <c r="F1035" s="7" t="n">
        <f aca="false">VALUE(LEFT(Raw_Nigeria!E1035,4))</f>
        <v>2024</v>
      </c>
      <c r="G1035" s="7" t="n">
        <f aca="false">IF(VALUE(RIGHT(Raw_Nigeria!E1035,2))&gt;12,"",VALUE(RIGHT(Raw_Nigeria!E1035,2)))</f>
        <v>5</v>
      </c>
      <c r="H1035" s="7" t="n">
        <f aca="false">Raw_Nigeria!F1035</f>
        <v>2022</v>
      </c>
      <c r="I1035" s="7" t="str">
        <f aca="false">UPPER(TRIM(Raw_Nigeria!G1035))</f>
        <v>DTP3</v>
      </c>
      <c r="J1035" s="7" t="str">
        <f aca="false">Raw_Nigeria!H1035</f>
        <v>Record</v>
      </c>
      <c r="K1035" s="7" t="str">
        <f aca="false">Raw_Nigeria!L1035</f>
        <v>12-23 m</v>
      </c>
      <c r="L1035" s="7" t="str">
        <f aca="false">IF(Raw_Nigeria!K1035="","n/a",Raw_Nigeria!K1035)</f>
        <v>0-23 m</v>
      </c>
      <c r="M1035" s="7" t="n">
        <f aca="false">IF(Raw_Nigeria!I1035="","",Raw_Nigeria!I1035)</f>
        <v>50.2</v>
      </c>
      <c r="N1035" s="7" t="n">
        <f aca="false">Raw_Nigeria!M1035</f>
        <v>42.3</v>
      </c>
      <c r="O1035" s="7" t="n">
        <f aca="false">IF(Raw_Nigeria!N1035="","",Raw_Nigeria!N1035)</f>
        <v>2572</v>
      </c>
      <c r="P1035" s="7" t="str">
        <f aca="false">IF(K1035="CBAW","Women of child-bearing age","Children")</f>
        <v>Children</v>
      </c>
      <c r="Q1035" s="7" t="n">
        <f aca="false">IF(J1035="NOT USED",1,0)</f>
        <v>0</v>
      </c>
      <c r="R1035" s="7" t="n">
        <f aca="false">IF(AND(P1035="Children",Q1035=0),1,0)</f>
        <v>1</v>
      </c>
      <c r="S1035" s="7" t="n">
        <f aca="false">IF(AND(R1035=1,J1035="Record or Recall",K1035="12-23 m"),1,0)</f>
        <v>0</v>
      </c>
      <c r="T1035" s="7" t="n">
        <f aca="false">IF(OR(I1035="BCG",I1035="DTP1",I1035="DTP3",I1035="POL3",I1035="MCV1",I1035="FULL"),1,0)</f>
        <v>1</v>
      </c>
      <c r="U1035" s="7" t="n">
        <f aca="false">IF(OR(C1035="DHS",C1035="MICS"),1,0)</f>
        <v>1</v>
      </c>
      <c r="V1035" s="7" t="n">
        <f aca="false">IF(O1035="",1,0)</f>
        <v>0</v>
      </c>
      <c r="W1035" s="7" t="n">
        <f aca="false">IF(M1035="",1,0)</f>
        <v>0</v>
      </c>
      <c r="X1035" s="7" t="n">
        <f aca="false">COUNTIFS($B$2:$B$1141,B1035,$H$2:$H$1141,H1035,$I$2:$I$1141,I1035,$J$2:$J$1141,J1035,$K$2:$K$1141,K1035,$L$2:$L$1141,L1035)</f>
        <v>1</v>
      </c>
    </row>
    <row r="1036" customFormat="false" ht="15" hidden="false" customHeight="false" outlineLevel="0" collapsed="false">
      <c r="A1036" s="7" t="n">
        <f aca="false">ROW()-1</f>
        <v>1035</v>
      </c>
      <c r="B1036" s="7" t="str">
        <f aca="false">IF(Raw_Nigeria!B1036="",TRIM(Raw_Nigeria!C1036),TRIM(Raw_Nigeria!B1036))</f>
        <v>Nigeria Demographic and Health Survey 2024</v>
      </c>
      <c r="C1036" s="7" t="str">
        <f aca="false">IF(ISNUMBER(SEARCH("Demographic and Health",B1036)),"DHS",IF(OR(ISNUMBER(SEARCH("Multiple Indicator Cluster",B1036)),ISNUMBER(SEARCH("MICS",B1036))),"MICS",IF(ISNUMBER(SEARCH("Immunization Coverage Survey",B1036)),"Coverage survey",IF(ISNUMBER(SEARCH("Nutrition",B1036)),"Nutrition survey","Other"))))</f>
        <v>DHS</v>
      </c>
      <c r="D1036" s="7" t="n">
        <f aca="false">VALUE(LEFT(Raw_Nigeria!D1036,4))</f>
        <v>2023</v>
      </c>
      <c r="E1036" s="7" t="n">
        <f aca="false">IF(VALUE(RIGHT(Raw_Nigeria!D1036,2))&gt;12,"",VALUE(RIGHT(Raw_Nigeria!D1036,2)))</f>
        <v>12</v>
      </c>
      <c r="F1036" s="7" t="n">
        <f aca="false">VALUE(LEFT(Raw_Nigeria!E1036,4))</f>
        <v>2024</v>
      </c>
      <c r="G1036" s="7" t="n">
        <f aca="false">IF(VALUE(RIGHT(Raw_Nigeria!E1036,2))&gt;12,"",VALUE(RIGHT(Raw_Nigeria!E1036,2)))</f>
        <v>5</v>
      </c>
      <c r="H1036" s="7" t="n">
        <f aca="false">Raw_Nigeria!F1036</f>
        <v>2022</v>
      </c>
      <c r="I1036" s="7" t="str">
        <f aca="false">UPPER(TRIM(Raw_Nigeria!G1036))</f>
        <v>DTP3</v>
      </c>
      <c r="J1036" s="7" t="str">
        <f aca="false">Raw_Nigeria!H1036</f>
        <v>Record or Recall</v>
      </c>
      <c r="K1036" s="7" t="str">
        <f aca="false">Raw_Nigeria!L1036</f>
        <v>12-23 m</v>
      </c>
      <c r="L1036" s="7" t="str">
        <f aca="false">IF(Raw_Nigeria!K1036="","n/a",Raw_Nigeria!K1036)</f>
        <v>0-23 m</v>
      </c>
      <c r="M1036" s="7" t="n">
        <f aca="false">IF(Raw_Nigeria!I1036="","",Raw_Nigeria!I1036)</f>
        <v>50.2</v>
      </c>
      <c r="N1036" s="7" t="n">
        <f aca="false">Raw_Nigeria!M1036</f>
        <v>53.4</v>
      </c>
      <c r="O1036" s="7" t="n">
        <f aca="false">IF(Raw_Nigeria!N1036="","",Raw_Nigeria!N1036)</f>
        <v>5121</v>
      </c>
      <c r="P1036" s="7" t="str">
        <f aca="false">IF(K1036="CBAW","Women of child-bearing age","Children")</f>
        <v>Children</v>
      </c>
      <c r="Q1036" s="7" t="n">
        <f aca="false">IF(J1036="NOT USED",1,0)</f>
        <v>0</v>
      </c>
      <c r="R1036" s="7" t="n">
        <f aca="false">IF(AND(P1036="Children",Q1036=0),1,0)</f>
        <v>1</v>
      </c>
      <c r="S1036" s="7" t="n">
        <f aca="false">IF(AND(R1036=1,J1036="Record or Recall",K1036="12-23 m"),1,0)</f>
        <v>1</v>
      </c>
      <c r="T1036" s="7" t="n">
        <f aca="false">IF(OR(I1036="BCG",I1036="DTP1",I1036="DTP3",I1036="POL3",I1036="MCV1",I1036="FULL"),1,0)</f>
        <v>1</v>
      </c>
      <c r="U1036" s="7" t="n">
        <f aca="false">IF(OR(C1036="DHS",C1036="MICS"),1,0)</f>
        <v>1</v>
      </c>
      <c r="V1036" s="7" t="n">
        <f aca="false">IF(O1036="",1,0)</f>
        <v>0</v>
      </c>
      <c r="W1036" s="7" t="n">
        <f aca="false">IF(M1036="",1,0)</f>
        <v>0</v>
      </c>
      <c r="X1036" s="7" t="n">
        <f aca="false">COUNTIFS($B$2:$B$1141,B1036,$H$2:$H$1141,H1036,$I$2:$I$1141,I1036,$J$2:$J$1141,J1036,$K$2:$K$1141,K1036,$L$2:$L$1141,L1036)</f>
        <v>1</v>
      </c>
    </row>
    <row r="1037" customFormat="false" ht="15" hidden="false" customHeight="false" outlineLevel="0" collapsed="false">
      <c r="A1037" s="7" t="n">
        <f aca="false">ROW()-1</f>
        <v>1036</v>
      </c>
      <c r="B1037" s="7" t="str">
        <f aca="false">IF(Raw_Nigeria!B1037="",TRIM(Raw_Nigeria!C1037),TRIM(Raw_Nigeria!B1037))</f>
        <v>Nigeria Demographic and Health Survey 2024</v>
      </c>
      <c r="C1037" s="7" t="str">
        <f aca="false">IF(ISNUMBER(SEARCH("Demographic and Health",B1037)),"DHS",IF(OR(ISNUMBER(SEARCH("Multiple Indicator Cluster",B1037)),ISNUMBER(SEARCH("MICS",B1037))),"MICS",IF(ISNUMBER(SEARCH("Immunization Coverage Survey",B1037)),"Coverage survey",IF(ISNUMBER(SEARCH("Nutrition",B1037)),"Nutrition survey","Other"))))</f>
        <v>DHS</v>
      </c>
      <c r="D1037" s="7" t="n">
        <f aca="false">VALUE(LEFT(Raw_Nigeria!D1037,4))</f>
        <v>2023</v>
      </c>
      <c r="E1037" s="7" t="n">
        <f aca="false">IF(VALUE(RIGHT(Raw_Nigeria!D1037,2))&gt;12,"",VALUE(RIGHT(Raw_Nigeria!D1037,2)))</f>
        <v>12</v>
      </c>
      <c r="F1037" s="7" t="n">
        <f aca="false">VALUE(LEFT(Raw_Nigeria!E1037,4))</f>
        <v>2024</v>
      </c>
      <c r="G1037" s="7" t="n">
        <f aca="false">IF(VALUE(RIGHT(Raw_Nigeria!E1037,2))&gt;12,"",VALUE(RIGHT(Raw_Nigeria!E1037,2)))</f>
        <v>5</v>
      </c>
      <c r="H1037" s="7" t="n">
        <f aca="false">Raw_Nigeria!F1037</f>
        <v>2022</v>
      </c>
      <c r="I1037" s="7" t="str">
        <f aca="false">UPPER(TRIM(Raw_Nigeria!G1037))</f>
        <v>DTP3</v>
      </c>
      <c r="J1037" s="7" t="str">
        <f aca="false">Raw_Nigeria!H1037</f>
        <v>Record or Recall&lt;12m</v>
      </c>
      <c r="K1037" s="7" t="str">
        <f aca="false">Raw_Nigeria!L1037</f>
        <v>12-23 m</v>
      </c>
      <c r="L1037" s="7" t="str">
        <f aca="false">IF(Raw_Nigeria!K1037="","n/a",Raw_Nigeria!K1037)</f>
        <v>0-12 m</v>
      </c>
      <c r="M1037" s="7" t="n">
        <f aca="false">IF(Raw_Nigeria!I1037="","",Raw_Nigeria!I1037)</f>
        <v>50.2</v>
      </c>
      <c r="N1037" s="7" t="n">
        <f aca="false">Raw_Nigeria!M1037</f>
        <v>51.9</v>
      </c>
      <c r="O1037" s="7" t="n">
        <f aca="false">IF(Raw_Nigeria!N1037="","",Raw_Nigeria!N1037)</f>
        <v>5121</v>
      </c>
      <c r="P1037" s="7" t="str">
        <f aca="false">IF(K1037="CBAW","Women of child-bearing age","Children")</f>
        <v>Children</v>
      </c>
      <c r="Q1037" s="7" t="n">
        <f aca="false">IF(J1037="NOT USED",1,0)</f>
        <v>0</v>
      </c>
      <c r="R1037" s="7" t="n">
        <f aca="false">IF(AND(P1037="Children",Q1037=0),1,0)</f>
        <v>1</v>
      </c>
      <c r="S1037" s="7" t="n">
        <f aca="false">IF(AND(R1037=1,J1037="Record or Recall",K1037="12-23 m"),1,0)</f>
        <v>0</v>
      </c>
      <c r="T1037" s="7" t="n">
        <f aca="false">IF(OR(I1037="BCG",I1037="DTP1",I1037="DTP3",I1037="POL3",I1037="MCV1",I1037="FULL"),1,0)</f>
        <v>1</v>
      </c>
      <c r="U1037" s="7" t="n">
        <f aca="false">IF(OR(C1037="DHS",C1037="MICS"),1,0)</f>
        <v>1</v>
      </c>
      <c r="V1037" s="7" t="n">
        <f aca="false">IF(O1037="",1,0)</f>
        <v>0</v>
      </c>
      <c r="W1037" s="7" t="n">
        <f aca="false">IF(M1037="",1,0)</f>
        <v>0</v>
      </c>
      <c r="X1037" s="7" t="n">
        <f aca="false">COUNTIFS($B$2:$B$1141,B1037,$H$2:$H$1141,H1037,$I$2:$I$1141,I1037,$J$2:$J$1141,J1037,$K$2:$K$1141,K1037,$L$2:$L$1141,L1037)</f>
        <v>1</v>
      </c>
    </row>
    <row r="1038" customFormat="false" ht="15" hidden="false" customHeight="false" outlineLevel="0" collapsed="false">
      <c r="A1038" s="7" t="n">
        <f aca="false">ROW()-1</f>
        <v>1037</v>
      </c>
      <c r="B1038" s="7" t="str">
        <f aca="false">IF(Raw_Nigeria!B1038="",TRIM(Raw_Nigeria!C1038),TRIM(Raw_Nigeria!B1038))</f>
        <v>Nigeria Demographic and Health Survey 2024</v>
      </c>
      <c r="C1038" s="7" t="str">
        <f aca="false">IF(ISNUMBER(SEARCH("Demographic and Health",B1038)),"DHS",IF(OR(ISNUMBER(SEARCH("Multiple Indicator Cluster",B1038)),ISNUMBER(SEARCH("MICS",B1038))),"MICS",IF(ISNUMBER(SEARCH("Immunization Coverage Survey",B1038)),"Coverage survey",IF(ISNUMBER(SEARCH("Nutrition",B1038)),"Nutrition survey","Other"))))</f>
        <v>DHS</v>
      </c>
      <c r="D1038" s="7" t="n">
        <f aca="false">VALUE(LEFT(Raw_Nigeria!D1038,4))</f>
        <v>2023</v>
      </c>
      <c r="E1038" s="7" t="n">
        <f aca="false">IF(VALUE(RIGHT(Raw_Nigeria!D1038,2))&gt;12,"",VALUE(RIGHT(Raw_Nigeria!D1038,2)))</f>
        <v>12</v>
      </c>
      <c r="F1038" s="7" t="n">
        <f aca="false">VALUE(LEFT(Raw_Nigeria!E1038,4))</f>
        <v>2024</v>
      </c>
      <c r="G1038" s="7" t="n">
        <f aca="false">IF(VALUE(RIGHT(Raw_Nigeria!E1038,2))&gt;12,"",VALUE(RIGHT(Raw_Nigeria!E1038,2)))</f>
        <v>5</v>
      </c>
      <c r="H1038" s="7" t="n">
        <f aca="false">Raw_Nigeria!F1038</f>
        <v>2022</v>
      </c>
      <c r="I1038" s="7" t="str">
        <f aca="false">UPPER(TRIM(Raw_Nigeria!G1038))</f>
        <v>FULL</v>
      </c>
      <c r="J1038" s="7" t="str">
        <f aca="false">Raw_Nigeria!H1038</f>
        <v>Recall</v>
      </c>
      <c r="K1038" s="7" t="str">
        <f aca="false">Raw_Nigeria!L1038</f>
        <v>12-23 m</v>
      </c>
      <c r="L1038" s="7" t="str">
        <f aca="false">IF(Raw_Nigeria!K1038="","n/a",Raw_Nigeria!K1038)</f>
        <v>0-23 m</v>
      </c>
      <c r="M1038" s="7" t="n">
        <f aca="false">IF(Raw_Nigeria!I1038="","",Raw_Nigeria!I1038)</f>
        <v>50.2</v>
      </c>
      <c r="N1038" s="7" t="n">
        <f aca="false">Raw_Nigeria!M1038</f>
        <v>3.3</v>
      </c>
      <c r="O1038" s="7" t="n">
        <f aca="false">IF(Raw_Nigeria!N1038="","",Raw_Nigeria!N1038)</f>
        <v>2549</v>
      </c>
      <c r="P1038" s="7" t="str">
        <f aca="false">IF(K1038="CBAW","Women of child-bearing age","Children")</f>
        <v>Children</v>
      </c>
      <c r="Q1038" s="7" t="n">
        <f aca="false">IF(J1038="NOT USED",1,0)</f>
        <v>0</v>
      </c>
      <c r="R1038" s="7" t="n">
        <f aca="false">IF(AND(P1038="Children",Q1038=0),1,0)</f>
        <v>1</v>
      </c>
      <c r="S1038" s="7" t="n">
        <f aca="false">IF(AND(R1038=1,J1038="Record or Recall",K1038="12-23 m"),1,0)</f>
        <v>0</v>
      </c>
      <c r="T1038" s="7" t="n">
        <f aca="false">IF(OR(I1038="BCG",I1038="DTP1",I1038="DTP3",I1038="POL3",I1038="MCV1",I1038="FULL"),1,0)</f>
        <v>1</v>
      </c>
      <c r="U1038" s="7" t="n">
        <f aca="false">IF(OR(C1038="DHS",C1038="MICS"),1,0)</f>
        <v>1</v>
      </c>
      <c r="V1038" s="7" t="n">
        <f aca="false">IF(O1038="",1,0)</f>
        <v>0</v>
      </c>
      <c r="W1038" s="7" t="n">
        <f aca="false">IF(M1038="",1,0)</f>
        <v>0</v>
      </c>
      <c r="X1038" s="7" t="n">
        <f aca="false">COUNTIFS($B$2:$B$1141,B1038,$H$2:$H$1141,H1038,$I$2:$I$1141,I1038,$J$2:$J$1141,J1038,$K$2:$K$1141,K1038,$L$2:$L$1141,L1038)</f>
        <v>1</v>
      </c>
    </row>
    <row r="1039" customFormat="false" ht="15" hidden="false" customHeight="false" outlineLevel="0" collapsed="false">
      <c r="A1039" s="7" t="n">
        <f aca="false">ROW()-1</f>
        <v>1038</v>
      </c>
      <c r="B1039" s="7" t="str">
        <f aca="false">IF(Raw_Nigeria!B1039="",TRIM(Raw_Nigeria!C1039),TRIM(Raw_Nigeria!B1039))</f>
        <v>Nigeria Demographic and Health Survey 2024</v>
      </c>
      <c r="C1039" s="7" t="str">
        <f aca="false">IF(ISNUMBER(SEARCH("Demographic and Health",B1039)),"DHS",IF(OR(ISNUMBER(SEARCH("Multiple Indicator Cluster",B1039)),ISNUMBER(SEARCH("MICS",B1039))),"MICS",IF(ISNUMBER(SEARCH("Immunization Coverage Survey",B1039)),"Coverage survey",IF(ISNUMBER(SEARCH("Nutrition",B1039)),"Nutrition survey","Other"))))</f>
        <v>DHS</v>
      </c>
      <c r="D1039" s="7" t="n">
        <f aca="false">VALUE(LEFT(Raw_Nigeria!D1039,4))</f>
        <v>2023</v>
      </c>
      <c r="E1039" s="7" t="n">
        <f aca="false">IF(VALUE(RIGHT(Raw_Nigeria!D1039,2))&gt;12,"",VALUE(RIGHT(Raw_Nigeria!D1039,2)))</f>
        <v>12</v>
      </c>
      <c r="F1039" s="7" t="n">
        <f aca="false">VALUE(LEFT(Raw_Nigeria!E1039,4))</f>
        <v>2024</v>
      </c>
      <c r="G1039" s="7" t="n">
        <f aca="false">IF(VALUE(RIGHT(Raw_Nigeria!E1039,2))&gt;12,"",VALUE(RIGHT(Raw_Nigeria!E1039,2)))</f>
        <v>5</v>
      </c>
      <c r="H1039" s="7" t="n">
        <f aca="false">Raw_Nigeria!F1039</f>
        <v>2022</v>
      </c>
      <c r="I1039" s="7" t="str">
        <f aca="false">UPPER(TRIM(Raw_Nigeria!G1039))</f>
        <v>FULL</v>
      </c>
      <c r="J1039" s="7" t="str">
        <f aca="false">Raw_Nigeria!H1039</f>
        <v>Record</v>
      </c>
      <c r="K1039" s="7" t="str">
        <f aca="false">Raw_Nigeria!L1039</f>
        <v>12-23 m</v>
      </c>
      <c r="L1039" s="7" t="str">
        <f aca="false">IF(Raw_Nigeria!K1039="","n/a",Raw_Nigeria!K1039)</f>
        <v>0-23 m</v>
      </c>
      <c r="M1039" s="7" t="n">
        <f aca="false">IF(Raw_Nigeria!I1039="","",Raw_Nigeria!I1039)</f>
        <v>50.2</v>
      </c>
      <c r="N1039" s="7" t="n">
        <f aca="false">Raw_Nigeria!M1039</f>
        <v>36</v>
      </c>
      <c r="O1039" s="7" t="n">
        <f aca="false">IF(Raw_Nigeria!N1039="","",Raw_Nigeria!N1039)</f>
        <v>2572</v>
      </c>
      <c r="P1039" s="7" t="str">
        <f aca="false">IF(K1039="CBAW","Women of child-bearing age","Children")</f>
        <v>Children</v>
      </c>
      <c r="Q1039" s="7" t="n">
        <f aca="false">IF(J1039="NOT USED",1,0)</f>
        <v>0</v>
      </c>
      <c r="R1039" s="7" t="n">
        <f aca="false">IF(AND(P1039="Children",Q1039=0),1,0)</f>
        <v>1</v>
      </c>
      <c r="S1039" s="7" t="n">
        <f aca="false">IF(AND(R1039=1,J1039="Record or Recall",K1039="12-23 m"),1,0)</f>
        <v>0</v>
      </c>
      <c r="T1039" s="7" t="n">
        <f aca="false">IF(OR(I1039="BCG",I1039="DTP1",I1039="DTP3",I1039="POL3",I1039="MCV1",I1039="FULL"),1,0)</f>
        <v>1</v>
      </c>
      <c r="U1039" s="7" t="n">
        <f aca="false">IF(OR(C1039="DHS",C1039="MICS"),1,0)</f>
        <v>1</v>
      </c>
      <c r="V1039" s="7" t="n">
        <f aca="false">IF(O1039="",1,0)</f>
        <v>0</v>
      </c>
      <c r="W1039" s="7" t="n">
        <f aca="false">IF(M1039="",1,0)</f>
        <v>0</v>
      </c>
      <c r="X1039" s="7" t="n">
        <f aca="false">COUNTIFS($B$2:$B$1141,B1039,$H$2:$H$1141,H1039,$I$2:$I$1141,I1039,$J$2:$J$1141,J1039,$K$2:$K$1141,K1039,$L$2:$L$1141,L1039)</f>
        <v>1</v>
      </c>
    </row>
    <row r="1040" customFormat="false" ht="15" hidden="false" customHeight="false" outlineLevel="0" collapsed="false">
      <c r="A1040" s="7" t="n">
        <f aca="false">ROW()-1</f>
        <v>1039</v>
      </c>
      <c r="B1040" s="7" t="str">
        <f aca="false">IF(Raw_Nigeria!B1040="",TRIM(Raw_Nigeria!C1040),TRIM(Raw_Nigeria!B1040))</f>
        <v>Nigeria Demographic and Health Survey 2024</v>
      </c>
      <c r="C1040" s="7" t="str">
        <f aca="false">IF(ISNUMBER(SEARCH("Demographic and Health",B1040)),"DHS",IF(OR(ISNUMBER(SEARCH("Multiple Indicator Cluster",B1040)),ISNUMBER(SEARCH("MICS",B1040))),"MICS",IF(ISNUMBER(SEARCH("Immunization Coverage Survey",B1040)),"Coverage survey",IF(ISNUMBER(SEARCH("Nutrition",B1040)),"Nutrition survey","Other"))))</f>
        <v>DHS</v>
      </c>
      <c r="D1040" s="7" t="n">
        <f aca="false">VALUE(LEFT(Raw_Nigeria!D1040,4))</f>
        <v>2023</v>
      </c>
      <c r="E1040" s="7" t="n">
        <f aca="false">IF(VALUE(RIGHT(Raw_Nigeria!D1040,2))&gt;12,"",VALUE(RIGHT(Raw_Nigeria!D1040,2)))</f>
        <v>12</v>
      </c>
      <c r="F1040" s="7" t="n">
        <f aca="false">VALUE(LEFT(Raw_Nigeria!E1040,4))</f>
        <v>2024</v>
      </c>
      <c r="G1040" s="7" t="n">
        <f aca="false">IF(VALUE(RIGHT(Raw_Nigeria!E1040,2))&gt;12,"",VALUE(RIGHT(Raw_Nigeria!E1040,2)))</f>
        <v>5</v>
      </c>
      <c r="H1040" s="7" t="n">
        <f aca="false">Raw_Nigeria!F1040</f>
        <v>2022</v>
      </c>
      <c r="I1040" s="7" t="str">
        <f aca="false">UPPER(TRIM(Raw_Nigeria!G1040))</f>
        <v>FULL</v>
      </c>
      <c r="J1040" s="7" t="str">
        <f aca="false">Raw_Nigeria!H1040</f>
        <v>Record or Recall</v>
      </c>
      <c r="K1040" s="7" t="str">
        <f aca="false">Raw_Nigeria!L1040</f>
        <v>12-23 m</v>
      </c>
      <c r="L1040" s="7" t="str">
        <f aca="false">IF(Raw_Nigeria!K1040="","n/a",Raw_Nigeria!K1040)</f>
        <v>0-23 m</v>
      </c>
      <c r="M1040" s="7" t="n">
        <f aca="false">IF(Raw_Nigeria!I1040="","",Raw_Nigeria!I1040)</f>
        <v>50.2</v>
      </c>
      <c r="N1040" s="7" t="n">
        <f aca="false">Raw_Nigeria!M1040</f>
        <v>39.4</v>
      </c>
      <c r="O1040" s="7" t="n">
        <f aca="false">IF(Raw_Nigeria!N1040="","",Raw_Nigeria!N1040)</f>
        <v>5121</v>
      </c>
      <c r="P1040" s="7" t="str">
        <f aca="false">IF(K1040="CBAW","Women of child-bearing age","Children")</f>
        <v>Children</v>
      </c>
      <c r="Q1040" s="7" t="n">
        <f aca="false">IF(J1040="NOT USED",1,0)</f>
        <v>0</v>
      </c>
      <c r="R1040" s="7" t="n">
        <f aca="false">IF(AND(P1040="Children",Q1040=0),1,0)</f>
        <v>1</v>
      </c>
      <c r="S1040" s="7" t="n">
        <f aca="false">IF(AND(R1040=1,J1040="Record or Recall",K1040="12-23 m"),1,0)</f>
        <v>1</v>
      </c>
      <c r="T1040" s="7" t="n">
        <f aca="false">IF(OR(I1040="BCG",I1040="DTP1",I1040="DTP3",I1040="POL3",I1040="MCV1",I1040="FULL"),1,0)</f>
        <v>1</v>
      </c>
      <c r="U1040" s="7" t="n">
        <f aca="false">IF(OR(C1040="DHS",C1040="MICS"),1,0)</f>
        <v>1</v>
      </c>
      <c r="V1040" s="7" t="n">
        <f aca="false">IF(O1040="",1,0)</f>
        <v>0</v>
      </c>
      <c r="W1040" s="7" t="n">
        <f aca="false">IF(M1040="",1,0)</f>
        <v>0</v>
      </c>
      <c r="X1040" s="7" t="n">
        <f aca="false">COUNTIFS($B$2:$B$1141,B1040,$H$2:$H$1141,H1040,$I$2:$I$1141,I1040,$J$2:$J$1141,J1040,$K$2:$K$1141,K1040,$L$2:$L$1141,L1040)</f>
        <v>1</v>
      </c>
    </row>
    <row r="1041" customFormat="false" ht="15" hidden="false" customHeight="false" outlineLevel="0" collapsed="false">
      <c r="A1041" s="7" t="n">
        <f aca="false">ROW()-1</f>
        <v>1040</v>
      </c>
      <c r="B1041" s="7" t="str">
        <f aca="false">IF(Raw_Nigeria!B1041="",TRIM(Raw_Nigeria!C1041),TRIM(Raw_Nigeria!B1041))</f>
        <v>Nigeria Demographic and Health Survey 2024</v>
      </c>
      <c r="C1041" s="7" t="str">
        <f aca="false">IF(ISNUMBER(SEARCH("Demographic and Health",B1041)),"DHS",IF(OR(ISNUMBER(SEARCH("Multiple Indicator Cluster",B1041)),ISNUMBER(SEARCH("MICS",B1041))),"MICS",IF(ISNUMBER(SEARCH("Immunization Coverage Survey",B1041)),"Coverage survey",IF(ISNUMBER(SEARCH("Nutrition",B1041)),"Nutrition survey","Other"))))</f>
        <v>DHS</v>
      </c>
      <c r="D1041" s="7" t="n">
        <f aca="false">VALUE(LEFT(Raw_Nigeria!D1041,4))</f>
        <v>2023</v>
      </c>
      <c r="E1041" s="7" t="n">
        <f aca="false">IF(VALUE(RIGHT(Raw_Nigeria!D1041,2))&gt;12,"",VALUE(RIGHT(Raw_Nigeria!D1041,2)))</f>
        <v>12</v>
      </c>
      <c r="F1041" s="7" t="n">
        <f aca="false">VALUE(LEFT(Raw_Nigeria!E1041,4))</f>
        <v>2024</v>
      </c>
      <c r="G1041" s="7" t="n">
        <f aca="false">IF(VALUE(RIGHT(Raw_Nigeria!E1041,2))&gt;12,"",VALUE(RIGHT(Raw_Nigeria!E1041,2)))</f>
        <v>5</v>
      </c>
      <c r="H1041" s="7" t="n">
        <f aca="false">Raw_Nigeria!F1041</f>
        <v>2022</v>
      </c>
      <c r="I1041" s="7" t="str">
        <f aca="false">UPPER(TRIM(Raw_Nigeria!G1041))</f>
        <v>FULL</v>
      </c>
      <c r="J1041" s="7" t="str">
        <f aca="false">Raw_Nigeria!H1041</f>
        <v>Record or Recall&lt;12m</v>
      </c>
      <c r="K1041" s="7" t="str">
        <f aca="false">Raw_Nigeria!L1041</f>
        <v>12-23 m</v>
      </c>
      <c r="L1041" s="7" t="str">
        <f aca="false">IF(Raw_Nigeria!K1041="","n/a",Raw_Nigeria!K1041)</f>
        <v>0-12 m</v>
      </c>
      <c r="M1041" s="7" t="n">
        <f aca="false">IF(Raw_Nigeria!I1041="","",Raw_Nigeria!I1041)</f>
        <v>50.2</v>
      </c>
      <c r="N1041" s="7" t="n">
        <f aca="false">Raw_Nigeria!M1041</f>
        <v>35.8</v>
      </c>
      <c r="O1041" s="7" t="n">
        <f aca="false">IF(Raw_Nigeria!N1041="","",Raw_Nigeria!N1041)</f>
        <v>5121</v>
      </c>
      <c r="P1041" s="7" t="str">
        <f aca="false">IF(K1041="CBAW","Women of child-bearing age","Children")</f>
        <v>Children</v>
      </c>
      <c r="Q1041" s="7" t="n">
        <f aca="false">IF(J1041="NOT USED",1,0)</f>
        <v>0</v>
      </c>
      <c r="R1041" s="7" t="n">
        <f aca="false">IF(AND(P1041="Children",Q1041=0),1,0)</f>
        <v>1</v>
      </c>
      <c r="S1041" s="7" t="n">
        <f aca="false">IF(AND(R1041=1,J1041="Record or Recall",K1041="12-23 m"),1,0)</f>
        <v>0</v>
      </c>
      <c r="T1041" s="7" t="n">
        <f aca="false">IF(OR(I1041="BCG",I1041="DTP1",I1041="DTP3",I1041="POL3",I1041="MCV1",I1041="FULL"),1,0)</f>
        <v>1</v>
      </c>
      <c r="U1041" s="7" t="n">
        <f aca="false">IF(OR(C1041="DHS",C1041="MICS"),1,0)</f>
        <v>1</v>
      </c>
      <c r="V1041" s="7" t="n">
        <f aca="false">IF(O1041="",1,0)</f>
        <v>0</v>
      </c>
      <c r="W1041" s="7" t="n">
        <f aca="false">IF(M1041="",1,0)</f>
        <v>0</v>
      </c>
      <c r="X1041" s="7" t="n">
        <f aca="false">COUNTIFS($B$2:$B$1141,B1041,$H$2:$H$1141,H1041,$I$2:$I$1141,I1041,$J$2:$J$1141,J1041,$K$2:$K$1141,K1041,$L$2:$L$1141,L1041)</f>
        <v>1</v>
      </c>
    </row>
    <row r="1042" customFormat="false" ht="15" hidden="false" customHeight="false" outlineLevel="0" collapsed="false">
      <c r="A1042" s="7" t="n">
        <f aca="false">ROW()-1</f>
        <v>1041</v>
      </c>
      <c r="B1042" s="7" t="str">
        <f aca="false">IF(Raw_Nigeria!B1042="",TRIM(Raw_Nigeria!C1042),TRIM(Raw_Nigeria!B1042))</f>
        <v>Nigeria Demographic and Health Survey 2024</v>
      </c>
      <c r="C1042" s="7" t="str">
        <f aca="false">IF(ISNUMBER(SEARCH("Demographic and Health",B1042)),"DHS",IF(OR(ISNUMBER(SEARCH("Multiple Indicator Cluster",B1042)),ISNUMBER(SEARCH("MICS",B1042))),"MICS",IF(ISNUMBER(SEARCH("Immunization Coverage Survey",B1042)),"Coverage survey",IF(ISNUMBER(SEARCH("Nutrition",B1042)),"Nutrition survey","Other"))))</f>
        <v>DHS</v>
      </c>
      <c r="D1042" s="7" t="n">
        <f aca="false">VALUE(LEFT(Raw_Nigeria!D1042,4))</f>
        <v>2023</v>
      </c>
      <c r="E1042" s="7" t="n">
        <f aca="false">IF(VALUE(RIGHT(Raw_Nigeria!D1042,2))&gt;12,"",VALUE(RIGHT(Raw_Nigeria!D1042,2)))</f>
        <v>12</v>
      </c>
      <c r="F1042" s="7" t="n">
        <f aca="false">VALUE(LEFT(Raw_Nigeria!E1042,4))</f>
        <v>2024</v>
      </c>
      <c r="G1042" s="7" t="n">
        <f aca="false">IF(VALUE(RIGHT(Raw_Nigeria!E1042,2))&gt;12,"",VALUE(RIGHT(Raw_Nigeria!E1042,2)))</f>
        <v>5</v>
      </c>
      <c r="H1042" s="7" t="n">
        <f aca="false">Raw_Nigeria!F1042</f>
        <v>2022</v>
      </c>
      <c r="I1042" s="7" t="str">
        <f aca="false">UPPER(TRIM(Raw_Nigeria!G1042))</f>
        <v>FULL &lt;1 YEAR</v>
      </c>
      <c r="J1042" s="7" t="str">
        <f aca="false">Raw_Nigeria!H1042</f>
        <v>Recall</v>
      </c>
      <c r="K1042" s="7" t="str">
        <f aca="false">Raw_Nigeria!L1042</f>
        <v>12-23 m</v>
      </c>
      <c r="L1042" s="7" t="str">
        <f aca="false">IF(Raw_Nigeria!K1042="","n/a",Raw_Nigeria!K1042)</f>
        <v>0-12 m</v>
      </c>
      <c r="M1042" s="7" t="n">
        <f aca="false">IF(Raw_Nigeria!I1042="","",Raw_Nigeria!I1042)</f>
        <v>50.2</v>
      </c>
      <c r="N1042" s="7" t="n">
        <f aca="false">Raw_Nigeria!M1042</f>
        <v>1.6</v>
      </c>
      <c r="O1042" s="7" t="n">
        <f aca="false">IF(Raw_Nigeria!N1042="","",Raw_Nigeria!N1042)</f>
        <v>2549</v>
      </c>
      <c r="P1042" s="7" t="str">
        <f aca="false">IF(K1042="CBAW","Women of child-bearing age","Children")</f>
        <v>Children</v>
      </c>
      <c r="Q1042" s="7" t="n">
        <f aca="false">IF(J1042="NOT USED",1,0)</f>
        <v>0</v>
      </c>
      <c r="R1042" s="7" t="n">
        <f aca="false">IF(AND(P1042="Children",Q1042=0),1,0)</f>
        <v>1</v>
      </c>
      <c r="S1042" s="7" t="n">
        <f aca="false">IF(AND(R1042=1,J1042="Record or Recall",K1042="12-23 m"),1,0)</f>
        <v>0</v>
      </c>
      <c r="T1042" s="7" t="n">
        <f aca="false">IF(OR(I1042="BCG",I1042="DTP1",I1042="DTP3",I1042="POL3",I1042="MCV1",I1042="FULL"),1,0)</f>
        <v>0</v>
      </c>
      <c r="U1042" s="7" t="n">
        <f aca="false">IF(OR(C1042="DHS",C1042="MICS"),1,0)</f>
        <v>1</v>
      </c>
      <c r="V1042" s="7" t="n">
        <f aca="false">IF(O1042="",1,0)</f>
        <v>0</v>
      </c>
      <c r="W1042" s="7" t="n">
        <f aca="false">IF(M1042="",1,0)</f>
        <v>0</v>
      </c>
      <c r="X1042" s="7" t="n">
        <f aca="false">COUNTIFS($B$2:$B$1141,B1042,$H$2:$H$1141,H1042,$I$2:$I$1141,I1042,$J$2:$J$1141,J1042,$K$2:$K$1141,K1042,$L$2:$L$1141,L1042)</f>
        <v>1</v>
      </c>
    </row>
    <row r="1043" customFormat="false" ht="15" hidden="false" customHeight="false" outlineLevel="0" collapsed="false">
      <c r="A1043" s="7" t="n">
        <f aca="false">ROW()-1</f>
        <v>1042</v>
      </c>
      <c r="B1043" s="7" t="str">
        <f aca="false">IF(Raw_Nigeria!B1043="",TRIM(Raw_Nigeria!C1043),TRIM(Raw_Nigeria!B1043))</f>
        <v>Nigeria Demographic and Health Survey 2024</v>
      </c>
      <c r="C1043" s="7" t="str">
        <f aca="false">IF(ISNUMBER(SEARCH("Demographic and Health",B1043)),"DHS",IF(OR(ISNUMBER(SEARCH("Multiple Indicator Cluster",B1043)),ISNUMBER(SEARCH("MICS",B1043))),"MICS",IF(ISNUMBER(SEARCH("Immunization Coverage Survey",B1043)),"Coverage survey",IF(ISNUMBER(SEARCH("Nutrition",B1043)),"Nutrition survey","Other"))))</f>
        <v>DHS</v>
      </c>
      <c r="D1043" s="7" t="n">
        <f aca="false">VALUE(LEFT(Raw_Nigeria!D1043,4))</f>
        <v>2023</v>
      </c>
      <c r="E1043" s="7" t="n">
        <f aca="false">IF(VALUE(RIGHT(Raw_Nigeria!D1043,2))&gt;12,"",VALUE(RIGHT(Raw_Nigeria!D1043,2)))</f>
        <v>12</v>
      </c>
      <c r="F1043" s="7" t="n">
        <f aca="false">VALUE(LEFT(Raw_Nigeria!E1043,4))</f>
        <v>2024</v>
      </c>
      <c r="G1043" s="7" t="n">
        <f aca="false">IF(VALUE(RIGHT(Raw_Nigeria!E1043,2))&gt;12,"",VALUE(RIGHT(Raw_Nigeria!E1043,2)))</f>
        <v>5</v>
      </c>
      <c r="H1043" s="7" t="n">
        <f aca="false">Raw_Nigeria!F1043</f>
        <v>2022</v>
      </c>
      <c r="I1043" s="7" t="str">
        <f aca="false">UPPER(TRIM(Raw_Nigeria!G1043))</f>
        <v>FULL &lt;1 YEAR</v>
      </c>
      <c r="J1043" s="7" t="str">
        <f aca="false">Raw_Nigeria!H1043</f>
        <v>Record</v>
      </c>
      <c r="K1043" s="7" t="str">
        <f aca="false">Raw_Nigeria!L1043</f>
        <v>12-23 m</v>
      </c>
      <c r="L1043" s="7" t="str">
        <f aca="false">IF(Raw_Nigeria!K1043="","n/a",Raw_Nigeria!K1043)</f>
        <v>0-12 m</v>
      </c>
      <c r="M1043" s="7" t="n">
        <f aca="false">IF(Raw_Nigeria!I1043="","",Raw_Nigeria!I1043)</f>
        <v>50.2</v>
      </c>
      <c r="N1043" s="7" t="n">
        <f aca="false">Raw_Nigeria!M1043</f>
        <v>18.2</v>
      </c>
      <c r="O1043" s="7" t="n">
        <f aca="false">IF(Raw_Nigeria!N1043="","",Raw_Nigeria!N1043)</f>
        <v>2572</v>
      </c>
      <c r="P1043" s="7" t="str">
        <f aca="false">IF(K1043="CBAW","Women of child-bearing age","Children")</f>
        <v>Children</v>
      </c>
      <c r="Q1043" s="7" t="n">
        <f aca="false">IF(J1043="NOT USED",1,0)</f>
        <v>0</v>
      </c>
      <c r="R1043" s="7" t="n">
        <f aca="false">IF(AND(P1043="Children",Q1043=0),1,0)</f>
        <v>1</v>
      </c>
      <c r="S1043" s="7" t="n">
        <f aca="false">IF(AND(R1043=1,J1043="Record or Recall",K1043="12-23 m"),1,0)</f>
        <v>0</v>
      </c>
      <c r="T1043" s="7" t="n">
        <f aca="false">IF(OR(I1043="BCG",I1043="DTP1",I1043="DTP3",I1043="POL3",I1043="MCV1",I1043="FULL"),1,0)</f>
        <v>0</v>
      </c>
      <c r="U1043" s="7" t="n">
        <f aca="false">IF(OR(C1043="DHS",C1043="MICS"),1,0)</f>
        <v>1</v>
      </c>
      <c r="V1043" s="7" t="n">
        <f aca="false">IF(O1043="",1,0)</f>
        <v>0</v>
      </c>
      <c r="W1043" s="7" t="n">
        <f aca="false">IF(M1043="",1,0)</f>
        <v>0</v>
      </c>
      <c r="X1043" s="7" t="n">
        <f aca="false">COUNTIFS($B$2:$B$1141,B1043,$H$2:$H$1141,H1043,$I$2:$I$1141,I1043,$J$2:$J$1141,J1043,$K$2:$K$1141,K1043,$L$2:$L$1141,L1043)</f>
        <v>1</v>
      </c>
    </row>
    <row r="1044" customFormat="false" ht="15" hidden="false" customHeight="false" outlineLevel="0" collapsed="false">
      <c r="A1044" s="7" t="n">
        <f aca="false">ROW()-1</f>
        <v>1043</v>
      </c>
      <c r="B1044" s="7" t="str">
        <f aca="false">IF(Raw_Nigeria!B1044="",TRIM(Raw_Nigeria!C1044),TRIM(Raw_Nigeria!B1044))</f>
        <v>Nigeria Demographic and Health Survey 2024</v>
      </c>
      <c r="C1044" s="7" t="str">
        <f aca="false">IF(ISNUMBER(SEARCH("Demographic and Health",B1044)),"DHS",IF(OR(ISNUMBER(SEARCH("Multiple Indicator Cluster",B1044)),ISNUMBER(SEARCH("MICS",B1044))),"MICS",IF(ISNUMBER(SEARCH("Immunization Coverage Survey",B1044)),"Coverage survey",IF(ISNUMBER(SEARCH("Nutrition",B1044)),"Nutrition survey","Other"))))</f>
        <v>DHS</v>
      </c>
      <c r="D1044" s="7" t="n">
        <f aca="false">VALUE(LEFT(Raw_Nigeria!D1044,4))</f>
        <v>2023</v>
      </c>
      <c r="E1044" s="7" t="n">
        <f aca="false">IF(VALUE(RIGHT(Raw_Nigeria!D1044,2))&gt;12,"",VALUE(RIGHT(Raw_Nigeria!D1044,2)))</f>
        <v>12</v>
      </c>
      <c r="F1044" s="7" t="n">
        <f aca="false">VALUE(LEFT(Raw_Nigeria!E1044,4))</f>
        <v>2024</v>
      </c>
      <c r="G1044" s="7" t="n">
        <f aca="false">IF(VALUE(RIGHT(Raw_Nigeria!E1044,2))&gt;12,"",VALUE(RIGHT(Raw_Nigeria!E1044,2)))</f>
        <v>5</v>
      </c>
      <c r="H1044" s="7" t="n">
        <f aca="false">Raw_Nigeria!F1044</f>
        <v>2022</v>
      </c>
      <c r="I1044" s="7" t="str">
        <f aca="false">UPPER(TRIM(Raw_Nigeria!G1044))</f>
        <v>FULL &lt;1 YEAR</v>
      </c>
      <c r="J1044" s="7" t="str">
        <f aca="false">Raw_Nigeria!H1044</f>
        <v>Record or Recall</v>
      </c>
      <c r="K1044" s="7" t="str">
        <f aca="false">Raw_Nigeria!L1044</f>
        <v>12-23 m</v>
      </c>
      <c r="L1044" s="7" t="str">
        <f aca="false">IF(Raw_Nigeria!K1044="","n/a",Raw_Nigeria!K1044)</f>
        <v>0-12 m</v>
      </c>
      <c r="M1044" s="7" t="n">
        <f aca="false">IF(Raw_Nigeria!I1044="","",Raw_Nigeria!I1044)</f>
        <v>50.2</v>
      </c>
      <c r="N1044" s="7" t="n">
        <f aca="false">Raw_Nigeria!M1044</f>
        <v>19.8</v>
      </c>
      <c r="O1044" s="7" t="n">
        <f aca="false">IF(Raw_Nigeria!N1044="","",Raw_Nigeria!N1044)</f>
        <v>5121</v>
      </c>
      <c r="P1044" s="7" t="str">
        <f aca="false">IF(K1044="CBAW","Women of child-bearing age","Children")</f>
        <v>Children</v>
      </c>
      <c r="Q1044" s="7" t="n">
        <f aca="false">IF(J1044="NOT USED",1,0)</f>
        <v>0</v>
      </c>
      <c r="R1044" s="7" t="n">
        <f aca="false">IF(AND(P1044="Children",Q1044=0),1,0)</f>
        <v>1</v>
      </c>
      <c r="S1044" s="7" t="n">
        <f aca="false">IF(AND(R1044=1,J1044="Record or Recall",K1044="12-23 m"),1,0)</f>
        <v>1</v>
      </c>
      <c r="T1044" s="7" t="n">
        <f aca="false">IF(OR(I1044="BCG",I1044="DTP1",I1044="DTP3",I1044="POL3",I1044="MCV1",I1044="FULL"),1,0)</f>
        <v>0</v>
      </c>
      <c r="U1044" s="7" t="n">
        <f aca="false">IF(OR(C1044="DHS",C1044="MICS"),1,0)</f>
        <v>1</v>
      </c>
      <c r="V1044" s="7" t="n">
        <f aca="false">IF(O1044="",1,0)</f>
        <v>0</v>
      </c>
      <c r="W1044" s="7" t="n">
        <f aca="false">IF(M1044="",1,0)</f>
        <v>0</v>
      </c>
      <c r="X1044" s="7" t="n">
        <f aca="false">COUNTIFS($B$2:$B$1141,B1044,$H$2:$H$1141,H1044,$I$2:$I$1141,I1044,$J$2:$J$1141,J1044,$K$2:$K$1141,K1044,$L$2:$L$1141,L1044)</f>
        <v>1</v>
      </c>
    </row>
    <row r="1045" customFormat="false" ht="15" hidden="false" customHeight="false" outlineLevel="0" collapsed="false">
      <c r="A1045" s="7" t="n">
        <f aca="false">ROW()-1</f>
        <v>1044</v>
      </c>
      <c r="B1045" s="7" t="str">
        <f aca="false">IF(Raw_Nigeria!B1045="",TRIM(Raw_Nigeria!C1045),TRIM(Raw_Nigeria!B1045))</f>
        <v>Nigeria Demographic and Health Survey 2024</v>
      </c>
      <c r="C1045" s="7" t="str">
        <f aca="false">IF(ISNUMBER(SEARCH("Demographic and Health",B1045)),"DHS",IF(OR(ISNUMBER(SEARCH("Multiple Indicator Cluster",B1045)),ISNUMBER(SEARCH("MICS",B1045))),"MICS",IF(ISNUMBER(SEARCH("Immunization Coverage Survey",B1045)),"Coverage survey",IF(ISNUMBER(SEARCH("Nutrition",B1045)),"Nutrition survey","Other"))))</f>
        <v>DHS</v>
      </c>
      <c r="D1045" s="7" t="n">
        <f aca="false">VALUE(LEFT(Raw_Nigeria!D1045,4))</f>
        <v>2023</v>
      </c>
      <c r="E1045" s="7" t="n">
        <f aca="false">IF(VALUE(RIGHT(Raw_Nigeria!D1045,2))&gt;12,"",VALUE(RIGHT(Raw_Nigeria!D1045,2)))</f>
        <v>12</v>
      </c>
      <c r="F1045" s="7" t="n">
        <f aca="false">VALUE(LEFT(Raw_Nigeria!E1045,4))</f>
        <v>2024</v>
      </c>
      <c r="G1045" s="7" t="n">
        <f aca="false">IF(VALUE(RIGHT(Raw_Nigeria!E1045,2))&gt;12,"",VALUE(RIGHT(Raw_Nigeria!E1045,2)))</f>
        <v>5</v>
      </c>
      <c r="H1045" s="7" t="n">
        <f aca="false">Raw_Nigeria!F1045</f>
        <v>2022</v>
      </c>
      <c r="I1045" s="7" t="str">
        <f aca="false">UPPER(TRIM(Raw_Nigeria!G1045))</f>
        <v>FULL &lt;1 YEAR</v>
      </c>
      <c r="J1045" s="7" t="str">
        <f aca="false">Raw_Nigeria!H1045</f>
        <v>Record or Recall&lt;12m</v>
      </c>
      <c r="K1045" s="7" t="str">
        <f aca="false">Raw_Nigeria!L1045</f>
        <v>12-23 m</v>
      </c>
      <c r="L1045" s="7" t="str">
        <f aca="false">IF(Raw_Nigeria!K1045="","n/a",Raw_Nigeria!K1045)</f>
        <v>0-12 m</v>
      </c>
      <c r="M1045" s="7" t="n">
        <f aca="false">IF(Raw_Nigeria!I1045="","",Raw_Nigeria!I1045)</f>
        <v>50.2</v>
      </c>
      <c r="N1045" s="7" t="n">
        <f aca="false">Raw_Nigeria!M1045</f>
        <v>17.2</v>
      </c>
      <c r="O1045" s="7" t="n">
        <f aca="false">IF(Raw_Nigeria!N1045="","",Raw_Nigeria!N1045)</f>
        <v>5121</v>
      </c>
      <c r="P1045" s="7" t="str">
        <f aca="false">IF(K1045="CBAW","Women of child-bearing age","Children")</f>
        <v>Children</v>
      </c>
      <c r="Q1045" s="7" t="n">
        <f aca="false">IF(J1045="NOT USED",1,0)</f>
        <v>0</v>
      </c>
      <c r="R1045" s="7" t="n">
        <f aca="false">IF(AND(P1045="Children",Q1045=0),1,0)</f>
        <v>1</v>
      </c>
      <c r="S1045" s="7" t="n">
        <f aca="false">IF(AND(R1045=1,J1045="Record or Recall",K1045="12-23 m"),1,0)</f>
        <v>0</v>
      </c>
      <c r="T1045" s="7" t="n">
        <f aca="false">IF(OR(I1045="BCG",I1045="DTP1",I1045="DTP3",I1045="POL3",I1045="MCV1",I1045="FULL"),1,0)</f>
        <v>0</v>
      </c>
      <c r="U1045" s="7" t="n">
        <f aca="false">IF(OR(C1045="DHS",C1045="MICS"),1,0)</f>
        <v>1</v>
      </c>
      <c r="V1045" s="7" t="n">
        <f aca="false">IF(O1045="",1,0)</f>
        <v>0</v>
      </c>
      <c r="W1045" s="7" t="n">
        <f aca="false">IF(M1045="",1,0)</f>
        <v>0</v>
      </c>
      <c r="X1045" s="7" t="n">
        <f aca="false">COUNTIFS($B$2:$B$1141,B1045,$H$2:$H$1141,H1045,$I$2:$I$1141,I1045,$J$2:$J$1141,J1045,$K$2:$K$1141,K1045,$L$2:$L$1141,L1045)</f>
        <v>1</v>
      </c>
    </row>
    <row r="1046" customFormat="false" ht="15" hidden="false" customHeight="false" outlineLevel="0" collapsed="false">
      <c r="A1046" s="7" t="n">
        <f aca="false">ROW()-1</f>
        <v>1045</v>
      </c>
      <c r="B1046" s="7" t="str">
        <f aca="false">IF(Raw_Nigeria!B1046="",TRIM(Raw_Nigeria!C1046),TRIM(Raw_Nigeria!B1046))</f>
        <v>Nigeria Demographic and Health Survey 2024</v>
      </c>
      <c r="C1046" s="7" t="str">
        <f aca="false">IF(ISNUMBER(SEARCH("Demographic and Health",B1046)),"DHS",IF(OR(ISNUMBER(SEARCH("Multiple Indicator Cluster",B1046)),ISNUMBER(SEARCH("MICS",B1046))),"MICS",IF(ISNUMBER(SEARCH("Immunization Coverage Survey",B1046)),"Coverage survey",IF(ISNUMBER(SEARCH("Nutrition",B1046)),"Nutrition survey","Other"))))</f>
        <v>DHS</v>
      </c>
      <c r="D1046" s="7" t="n">
        <f aca="false">VALUE(LEFT(Raw_Nigeria!D1046,4))</f>
        <v>2023</v>
      </c>
      <c r="E1046" s="7" t="n">
        <f aca="false">IF(VALUE(RIGHT(Raw_Nigeria!D1046,2))&gt;12,"",VALUE(RIGHT(Raw_Nigeria!D1046,2)))</f>
        <v>12</v>
      </c>
      <c r="F1046" s="7" t="n">
        <f aca="false">VALUE(LEFT(Raw_Nigeria!E1046,4))</f>
        <v>2024</v>
      </c>
      <c r="G1046" s="7" t="n">
        <f aca="false">IF(VALUE(RIGHT(Raw_Nigeria!E1046,2))&gt;12,"",VALUE(RIGHT(Raw_Nigeria!E1046,2)))</f>
        <v>5</v>
      </c>
      <c r="H1046" s="7" t="n">
        <f aca="false">Raw_Nigeria!F1046</f>
        <v>2022</v>
      </c>
      <c r="I1046" s="7" t="str">
        <f aca="false">UPPER(TRIM(Raw_Nigeria!G1046))</f>
        <v>HEPB0</v>
      </c>
      <c r="J1046" s="7" t="str">
        <f aca="false">Raw_Nigeria!H1046</f>
        <v>Recall</v>
      </c>
      <c r="K1046" s="7" t="str">
        <f aca="false">Raw_Nigeria!L1046</f>
        <v>12-23 m</v>
      </c>
      <c r="L1046" s="7" t="str">
        <f aca="false">IF(Raw_Nigeria!K1046="","n/a",Raw_Nigeria!K1046)</f>
        <v>0-23 m</v>
      </c>
      <c r="M1046" s="7" t="n">
        <f aca="false">IF(Raw_Nigeria!I1046="","",Raw_Nigeria!I1046)</f>
        <v>50.2</v>
      </c>
      <c r="N1046" s="7" t="n">
        <f aca="false">Raw_Nigeria!M1046</f>
        <v>6</v>
      </c>
      <c r="O1046" s="7" t="n">
        <f aca="false">IF(Raw_Nigeria!N1046="","",Raw_Nigeria!N1046)</f>
        <v>2549</v>
      </c>
      <c r="P1046" s="7" t="str">
        <f aca="false">IF(K1046="CBAW","Women of child-bearing age","Children")</f>
        <v>Children</v>
      </c>
      <c r="Q1046" s="7" t="n">
        <f aca="false">IF(J1046="NOT USED",1,0)</f>
        <v>0</v>
      </c>
      <c r="R1046" s="7" t="n">
        <f aca="false">IF(AND(P1046="Children",Q1046=0),1,0)</f>
        <v>1</v>
      </c>
      <c r="S1046" s="7" t="n">
        <f aca="false">IF(AND(R1046=1,J1046="Record or Recall",K1046="12-23 m"),1,0)</f>
        <v>0</v>
      </c>
      <c r="T1046" s="7" t="n">
        <f aca="false">IF(OR(I1046="BCG",I1046="DTP1",I1046="DTP3",I1046="POL3",I1046="MCV1",I1046="FULL"),1,0)</f>
        <v>0</v>
      </c>
      <c r="U1046" s="7" t="n">
        <f aca="false">IF(OR(C1046="DHS",C1046="MICS"),1,0)</f>
        <v>1</v>
      </c>
      <c r="V1046" s="7" t="n">
        <f aca="false">IF(O1046="",1,0)</f>
        <v>0</v>
      </c>
      <c r="W1046" s="7" t="n">
        <f aca="false">IF(M1046="",1,0)</f>
        <v>0</v>
      </c>
      <c r="X1046" s="7" t="n">
        <f aca="false">COUNTIFS($B$2:$B$1141,B1046,$H$2:$H$1141,H1046,$I$2:$I$1141,I1046,$J$2:$J$1141,J1046,$K$2:$K$1141,K1046,$L$2:$L$1141,L1046)</f>
        <v>1</v>
      </c>
    </row>
    <row r="1047" customFormat="false" ht="15" hidden="false" customHeight="false" outlineLevel="0" collapsed="false">
      <c r="A1047" s="7" t="n">
        <f aca="false">ROW()-1</f>
        <v>1046</v>
      </c>
      <c r="B1047" s="7" t="str">
        <f aca="false">IF(Raw_Nigeria!B1047="",TRIM(Raw_Nigeria!C1047),TRIM(Raw_Nigeria!B1047))</f>
        <v>Nigeria Demographic and Health Survey 2024</v>
      </c>
      <c r="C1047" s="7" t="str">
        <f aca="false">IF(ISNUMBER(SEARCH("Demographic and Health",B1047)),"DHS",IF(OR(ISNUMBER(SEARCH("Multiple Indicator Cluster",B1047)),ISNUMBER(SEARCH("MICS",B1047))),"MICS",IF(ISNUMBER(SEARCH("Immunization Coverage Survey",B1047)),"Coverage survey",IF(ISNUMBER(SEARCH("Nutrition",B1047)),"Nutrition survey","Other"))))</f>
        <v>DHS</v>
      </c>
      <c r="D1047" s="7" t="n">
        <f aca="false">VALUE(LEFT(Raw_Nigeria!D1047,4))</f>
        <v>2023</v>
      </c>
      <c r="E1047" s="7" t="n">
        <f aca="false">IF(VALUE(RIGHT(Raw_Nigeria!D1047,2))&gt;12,"",VALUE(RIGHT(Raw_Nigeria!D1047,2)))</f>
        <v>12</v>
      </c>
      <c r="F1047" s="7" t="n">
        <f aca="false">VALUE(LEFT(Raw_Nigeria!E1047,4))</f>
        <v>2024</v>
      </c>
      <c r="G1047" s="7" t="n">
        <f aca="false">IF(VALUE(RIGHT(Raw_Nigeria!E1047,2))&gt;12,"",VALUE(RIGHT(Raw_Nigeria!E1047,2)))</f>
        <v>5</v>
      </c>
      <c r="H1047" s="7" t="n">
        <f aca="false">Raw_Nigeria!F1047</f>
        <v>2022</v>
      </c>
      <c r="I1047" s="7" t="str">
        <f aca="false">UPPER(TRIM(Raw_Nigeria!G1047))</f>
        <v>HEPB0</v>
      </c>
      <c r="J1047" s="7" t="str">
        <f aca="false">Raw_Nigeria!H1047</f>
        <v>Record</v>
      </c>
      <c r="K1047" s="7" t="str">
        <f aca="false">Raw_Nigeria!L1047</f>
        <v>12-23 m</v>
      </c>
      <c r="L1047" s="7" t="str">
        <f aca="false">IF(Raw_Nigeria!K1047="","n/a",Raw_Nigeria!K1047)</f>
        <v>0-23 m</v>
      </c>
      <c r="M1047" s="7" t="n">
        <f aca="false">IF(Raw_Nigeria!I1047="","",Raw_Nigeria!I1047)</f>
        <v>50.2</v>
      </c>
      <c r="N1047" s="7" t="n">
        <f aca="false">Raw_Nigeria!M1047</f>
        <v>34.7</v>
      </c>
      <c r="O1047" s="7" t="n">
        <f aca="false">IF(Raw_Nigeria!N1047="","",Raw_Nigeria!N1047)</f>
        <v>2572</v>
      </c>
      <c r="P1047" s="7" t="str">
        <f aca="false">IF(K1047="CBAW","Women of child-bearing age","Children")</f>
        <v>Children</v>
      </c>
      <c r="Q1047" s="7" t="n">
        <f aca="false">IF(J1047="NOT USED",1,0)</f>
        <v>0</v>
      </c>
      <c r="R1047" s="7" t="n">
        <f aca="false">IF(AND(P1047="Children",Q1047=0),1,0)</f>
        <v>1</v>
      </c>
      <c r="S1047" s="7" t="n">
        <f aca="false">IF(AND(R1047=1,J1047="Record or Recall",K1047="12-23 m"),1,0)</f>
        <v>0</v>
      </c>
      <c r="T1047" s="7" t="n">
        <f aca="false">IF(OR(I1047="BCG",I1047="DTP1",I1047="DTP3",I1047="POL3",I1047="MCV1",I1047="FULL"),1,0)</f>
        <v>0</v>
      </c>
      <c r="U1047" s="7" t="n">
        <f aca="false">IF(OR(C1047="DHS",C1047="MICS"),1,0)</f>
        <v>1</v>
      </c>
      <c r="V1047" s="7" t="n">
        <f aca="false">IF(O1047="",1,0)</f>
        <v>0</v>
      </c>
      <c r="W1047" s="7" t="n">
        <f aca="false">IF(M1047="",1,0)</f>
        <v>0</v>
      </c>
      <c r="X1047" s="7" t="n">
        <f aca="false">COUNTIFS($B$2:$B$1141,B1047,$H$2:$H$1141,H1047,$I$2:$I$1141,I1047,$J$2:$J$1141,J1047,$K$2:$K$1141,K1047,$L$2:$L$1141,L1047)</f>
        <v>1</v>
      </c>
    </row>
    <row r="1048" customFormat="false" ht="15" hidden="false" customHeight="false" outlineLevel="0" collapsed="false">
      <c r="A1048" s="7" t="n">
        <f aca="false">ROW()-1</f>
        <v>1047</v>
      </c>
      <c r="B1048" s="7" t="str">
        <f aca="false">IF(Raw_Nigeria!B1048="",TRIM(Raw_Nigeria!C1048),TRIM(Raw_Nigeria!B1048))</f>
        <v>Nigeria Demographic and Health Survey 2024</v>
      </c>
      <c r="C1048" s="7" t="str">
        <f aca="false">IF(ISNUMBER(SEARCH("Demographic and Health",B1048)),"DHS",IF(OR(ISNUMBER(SEARCH("Multiple Indicator Cluster",B1048)),ISNUMBER(SEARCH("MICS",B1048))),"MICS",IF(ISNUMBER(SEARCH("Immunization Coverage Survey",B1048)),"Coverage survey",IF(ISNUMBER(SEARCH("Nutrition",B1048)),"Nutrition survey","Other"))))</f>
        <v>DHS</v>
      </c>
      <c r="D1048" s="7" t="n">
        <f aca="false">VALUE(LEFT(Raw_Nigeria!D1048,4))</f>
        <v>2023</v>
      </c>
      <c r="E1048" s="7" t="n">
        <f aca="false">IF(VALUE(RIGHT(Raw_Nigeria!D1048,2))&gt;12,"",VALUE(RIGHT(Raw_Nigeria!D1048,2)))</f>
        <v>12</v>
      </c>
      <c r="F1048" s="7" t="n">
        <f aca="false">VALUE(LEFT(Raw_Nigeria!E1048,4))</f>
        <v>2024</v>
      </c>
      <c r="G1048" s="7" t="n">
        <f aca="false">IF(VALUE(RIGHT(Raw_Nigeria!E1048,2))&gt;12,"",VALUE(RIGHT(Raw_Nigeria!E1048,2)))</f>
        <v>5</v>
      </c>
      <c r="H1048" s="7" t="n">
        <f aca="false">Raw_Nigeria!F1048</f>
        <v>2022</v>
      </c>
      <c r="I1048" s="7" t="str">
        <f aca="false">UPPER(TRIM(Raw_Nigeria!G1048))</f>
        <v>HEPB0</v>
      </c>
      <c r="J1048" s="7" t="str">
        <f aca="false">Raw_Nigeria!H1048</f>
        <v>Record or Recall</v>
      </c>
      <c r="K1048" s="7" t="str">
        <f aca="false">Raw_Nigeria!L1048</f>
        <v>12-23 m</v>
      </c>
      <c r="L1048" s="7" t="str">
        <f aca="false">IF(Raw_Nigeria!K1048="","n/a",Raw_Nigeria!K1048)</f>
        <v>0-23 m</v>
      </c>
      <c r="M1048" s="7" t="n">
        <f aca="false">IF(Raw_Nigeria!I1048="","",Raw_Nigeria!I1048)</f>
        <v>50.2</v>
      </c>
      <c r="N1048" s="7" t="n">
        <f aca="false">Raw_Nigeria!M1048</f>
        <v>40.7</v>
      </c>
      <c r="O1048" s="7" t="n">
        <f aca="false">IF(Raw_Nigeria!N1048="","",Raw_Nigeria!N1048)</f>
        <v>5121</v>
      </c>
      <c r="P1048" s="7" t="str">
        <f aca="false">IF(K1048="CBAW","Women of child-bearing age","Children")</f>
        <v>Children</v>
      </c>
      <c r="Q1048" s="7" t="n">
        <f aca="false">IF(J1048="NOT USED",1,0)</f>
        <v>0</v>
      </c>
      <c r="R1048" s="7" t="n">
        <f aca="false">IF(AND(P1048="Children",Q1048=0),1,0)</f>
        <v>1</v>
      </c>
      <c r="S1048" s="7" t="n">
        <f aca="false">IF(AND(R1048=1,J1048="Record or Recall",K1048="12-23 m"),1,0)</f>
        <v>1</v>
      </c>
      <c r="T1048" s="7" t="n">
        <f aca="false">IF(OR(I1048="BCG",I1048="DTP1",I1048="DTP3",I1048="POL3",I1048="MCV1",I1048="FULL"),1,0)</f>
        <v>0</v>
      </c>
      <c r="U1048" s="7" t="n">
        <f aca="false">IF(OR(C1048="DHS",C1048="MICS"),1,0)</f>
        <v>1</v>
      </c>
      <c r="V1048" s="7" t="n">
        <f aca="false">IF(O1048="",1,0)</f>
        <v>0</v>
      </c>
      <c r="W1048" s="7" t="n">
        <f aca="false">IF(M1048="",1,0)</f>
        <v>0</v>
      </c>
      <c r="X1048" s="7" t="n">
        <f aca="false">COUNTIFS($B$2:$B$1141,B1048,$H$2:$H$1141,H1048,$I$2:$I$1141,I1048,$J$2:$J$1141,J1048,$K$2:$K$1141,K1048,$L$2:$L$1141,L1048)</f>
        <v>1</v>
      </c>
    </row>
    <row r="1049" customFormat="false" ht="15" hidden="false" customHeight="false" outlineLevel="0" collapsed="false">
      <c r="A1049" s="7" t="n">
        <f aca="false">ROW()-1</f>
        <v>1048</v>
      </c>
      <c r="B1049" s="7" t="str">
        <f aca="false">IF(Raw_Nigeria!B1049="",TRIM(Raw_Nigeria!C1049),TRIM(Raw_Nigeria!B1049))</f>
        <v>Nigeria Demographic and Health Survey 2024</v>
      </c>
      <c r="C1049" s="7" t="str">
        <f aca="false">IF(ISNUMBER(SEARCH("Demographic and Health",B1049)),"DHS",IF(OR(ISNUMBER(SEARCH("Multiple Indicator Cluster",B1049)),ISNUMBER(SEARCH("MICS",B1049))),"MICS",IF(ISNUMBER(SEARCH("Immunization Coverage Survey",B1049)),"Coverage survey",IF(ISNUMBER(SEARCH("Nutrition",B1049)),"Nutrition survey","Other"))))</f>
        <v>DHS</v>
      </c>
      <c r="D1049" s="7" t="n">
        <f aca="false">VALUE(LEFT(Raw_Nigeria!D1049,4))</f>
        <v>2023</v>
      </c>
      <c r="E1049" s="7" t="n">
        <f aca="false">IF(VALUE(RIGHT(Raw_Nigeria!D1049,2))&gt;12,"",VALUE(RIGHT(Raw_Nigeria!D1049,2)))</f>
        <v>12</v>
      </c>
      <c r="F1049" s="7" t="n">
        <f aca="false">VALUE(LEFT(Raw_Nigeria!E1049,4))</f>
        <v>2024</v>
      </c>
      <c r="G1049" s="7" t="n">
        <f aca="false">IF(VALUE(RIGHT(Raw_Nigeria!E1049,2))&gt;12,"",VALUE(RIGHT(Raw_Nigeria!E1049,2)))</f>
        <v>5</v>
      </c>
      <c r="H1049" s="7" t="n">
        <f aca="false">Raw_Nigeria!F1049</f>
        <v>2022</v>
      </c>
      <c r="I1049" s="7" t="str">
        <f aca="false">UPPER(TRIM(Raw_Nigeria!G1049))</f>
        <v>HEPB1</v>
      </c>
      <c r="J1049" s="7" t="str">
        <f aca="false">Raw_Nigeria!H1049</f>
        <v>Recall</v>
      </c>
      <c r="K1049" s="7" t="str">
        <f aca="false">Raw_Nigeria!L1049</f>
        <v>12-23 m</v>
      </c>
      <c r="L1049" s="7" t="str">
        <f aca="false">IF(Raw_Nigeria!K1049="","n/a",Raw_Nigeria!K1049)</f>
        <v>0-23 m</v>
      </c>
      <c r="M1049" s="7" t="n">
        <f aca="false">IF(Raw_Nigeria!I1049="","",Raw_Nigeria!I1049)</f>
        <v>50.2</v>
      </c>
      <c r="N1049" s="7" t="n">
        <f aca="false">Raw_Nigeria!M1049</f>
        <v>15.4</v>
      </c>
      <c r="O1049" s="7" t="n">
        <f aca="false">IF(Raw_Nigeria!N1049="","",Raw_Nigeria!N1049)</f>
        <v>2549</v>
      </c>
      <c r="P1049" s="7" t="str">
        <f aca="false">IF(K1049="CBAW","Women of child-bearing age","Children")</f>
        <v>Children</v>
      </c>
      <c r="Q1049" s="7" t="n">
        <f aca="false">IF(J1049="NOT USED",1,0)</f>
        <v>0</v>
      </c>
      <c r="R1049" s="7" t="n">
        <f aca="false">IF(AND(P1049="Children",Q1049=0),1,0)</f>
        <v>1</v>
      </c>
      <c r="S1049" s="7" t="n">
        <f aca="false">IF(AND(R1049=1,J1049="Record or Recall",K1049="12-23 m"),1,0)</f>
        <v>0</v>
      </c>
      <c r="T1049" s="7" t="n">
        <f aca="false">IF(OR(I1049="BCG",I1049="DTP1",I1049="DTP3",I1049="POL3",I1049="MCV1",I1049="FULL"),1,0)</f>
        <v>0</v>
      </c>
      <c r="U1049" s="7" t="n">
        <f aca="false">IF(OR(C1049="DHS",C1049="MICS"),1,0)</f>
        <v>1</v>
      </c>
      <c r="V1049" s="7" t="n">
        <f aca="false">IF(O1049="",1,0)</f>
        <v>0</v>
      </c>
      <c r="W1049" s="7" t="n">
        <f aca="false">IF(M1049="",1,0)</f>
        <v>0</v>
      </c>
      <c r="X1049" s="7" t="n">
        <f aca="false">COUNTIFS($B$2:$B$1141,B1049,$H$2:$H$1141,H1049,$I$2:$I$1141,I1049,$J$2:$J$1141,J1049,$K$2:$K$1141,K1049,$L$2:$L$1141,L1049)</f>
        <v>1</v>
      </c>
    </row>
    <row r="1050" customFormat="false" ht="15" hidden="false" customHeight="false" outlineLevel="0" collapsed="false">
      <c r="A1050" s="7" t="n">
        <f aca="false">ROW()-1</f>
        <v>1049</v>
      </c>
      <c r="B1050" s="7" t="str">
        <f aca="false">IF(Raw_Nigeria!B1050="",TRIM(Raw_Nigeria!C1050),TRIM(Raw_Nigeria!B1050))</f>
        <v>Nigeria Demographic and Health Survey 2024</v>
      </c>
      <c r="C1050" s="7" t="str">
        <f aca="false">IF(ISNUMBER(SEARCH("Demographic and Health",B1050)),"DHS",IF(OR(ISNUMBER(SEARCH("Multiple Indicator Cluster",B1050)),ISNUMBER(SEARCH("MICS",B1050))),"MICS",IF(ISNUMBER(SEARCH("Immunization Coverage Survey",B1050)),"Coverage survey",IF(ISNUMBER(SEARCH("Nutrition",B1050)),"Nutrition survey","Other"))))</f>
        <v>DHS</v>
      </c>
      <c r="D1050" s="7" t="n">
        <f aca="false">VALUE(LEFT(Raw_Nigeria!D1050,4))</f>
        <v>2023</v>
      </c>
      <c r="E1050" s="7" t="n">
        <f aca="false">IF(VALUE(RIGHT(Raw_Nigeria!D1050,2))&gt;12,"",VALUE(RIGHT(Raw_Nigeria!D1050,2)))</f>
        <v>12</v>
      </c>
      <c r="F1050" s="7" t="n">
        <f aca="false">VALUE(LEFT(Raw_Nigeria!E1050,4))</f>
        <v>2024</v>
      </c>
      <c r="G1050" s="7" t="n">
        <f aca="false">IF(VALUE(RIGHT(Raw_Nigeria!E1050,2))&gt;12,"",VALUE(RIGHT(Raw_Nigeria!E1050,2)))</f>
        <v>5</v>
      </c>
      <c r="H1050" s="7" t="n">
        <f aca="false">Raw_Nigeria!F1050</f>
        <v>2022</v>
      </c>
      <c r="I1050" s="7" t="str">
        <f aca="false">UPPER(TRIM(Raw_Nigeria!G1050))</f>
        <v>HEPB1</v>
      </c>
      <c r="J1050" s="7" t="str">
        <f aca="false">Raw_Nigeria!H1050</f>
        <v>Record</v>
      </c>
      <c r="K1050" s="7" t="str">
        <f aca="false">Raw_Nigeria!L1050</f>
        <v>12-23 m</v>
      </c>
      <c r="L1050" s="7" t="str">
        <f aca="false">IF(Raw_Nigeria!K1050="","n/a",Raw_Nigeria!K1050)</f>
        <v>0-23 m</v>
      </c>
      <c r="M1050" s="7" t="n">
        <f aca="false">IF(Raw_Nigeria!I1050="","",Raw_Nigeria!I1050)</f>
        <v>50.2</v>
      </c>
      <c r="N1050" s="7" t="n">
        <f aca="false">Raw_Nigeria!M1050</f>
        <v>47.5</v>
      </c>
      <c r="O1050" s="7" t="n">
        <f aca="false">IF(Raw_Nigeria!N1050="","",Raw_Nigeria!N1050)</f>
        <v>2572</v>
      </c>
      <c r="P1050" s="7" t="str">
        <f aca="false">IF(K1050="CBAW","Women of child-bearing age","Children")</f>
        <v>Children</v>
      </c>
      <c r="Q1050" s="7" t="n">
        <f aca="false">IF(J1050="NOT USED",1,0)</f>
        <v>0</v>
      </c>
      <c r="R1050" s="7" t="n">
        <f aca="false">IF(AND(P1050="Children",Q1050=0),1,0)</f>
        <v>1</v>
      </c>
      <c r="S1050" s="7" t="n">
        <f aca="false">IF(AND(R1050=1,J1050="Record or Recall",K1050="12-23 m"),1,0)</f>
        <v>0</v>
      </c>
      <c r="T1050" s="7" t="n">
        <f aca="false">IF(OR(I1050="BCG",I1050="DTP1",I1050="DTP3",I1050="POL3",I1050="MCV1",I1050="FULL"),1,0)</f>
        <v>0</v>
      </c>
      <c r="U1050" s="7" t="n">
        <f aca="false">IF(OR(C1050="DHS",C1050="MICS"),1,0)</f>
        <v>1</v>
      </c>
      <c r="V1050" s="7" t="n">
        <f aca="false">IF(O1050="",1,0)</f>
        <v>0</v>
      </c>
      <c r="W1050" s="7" t="n">
        <f aca="false">IF(M1050="",1,0)</f>
        <v>0</v>
      </c>
      <c r="X1050" s="7" t="n">
        <f aca="false">COUNTIFS($B$2:$B$1141,B1050,$H$2:$H$1141,H1050,$I$2:$I$1141,I1050,$J$2:$J$1141,J1050,$K$2:$K$1141,K1050,$L$2:$L$1141,L1050)</f>
        <v>1</v>
      </c>
    </row>
    <row r="1051" customFormat="false" ht="15" hidden="false" customHeight="false" outlineLevel="0" collapsed="false">
      <c r="A1051" s="7" t="n">
        <f aca="false">ROW()-1</f>
        <v>1050</v>
      </c>
      <c r="B1051" s="7" t="str">
        <f aca="false">IF(Raw_Nigeria!B1051="",TRIM(Raw_Nigeria!C1051),TRIM(Raw_Nigeria!B1051))</f>
        <v>Nigeria Demographic and Health Survey 2024</v>
      </c>
      <c r="C1051" s="7" t="str">
        <f aca="false">IF(ISNUMBER(SEARCH("Demographic and Health",B1051)),"DHS",IF(OR(ISNUMBER(SEARCH("Multiple Indicator Cluster",B1051)),ISNUMBER(SEARCH("MICS",B1051))),"MICS",IF(ISNUMBER(SEARCH("Immunization Coverage Survey",B1051)),"Coverage survey",IF(ISNUMBER(SEARCH("Nutrition",B1051)),"Nutrition survey","Other"))))</f>
        <v>DHS</v>
      </c>
      <c r="D1051" s="7" t="n">
        <f aca="false">VALUE(LEFT(Raw_Nigeria!D1051,4))</f>
        <v>2023</v>
      </c>
      <c r="E1051" s="7" t="n">
        <f aca="false">IF(VALUE(RIGHT(Raw_Nigeria!D1051,2))&gt;12,"",VALUE(RIGHT(Raw_Nigeria!D1051,2)))</f>
        <v>12</v>
      </c>
      <c r="F1051" s="7" t="n">
        <f aca="false">VALUE(LEFT(Raw_Nigeria!E1051,4))</f>
        <v>2024</v>
      </c>
      <c r="G1051" s="7" t="n">
        <f aca="false">IF(VALUE(RIGHT(Raw_Nigeria!E1051,2))&gt;12,"",VALUE(RIGHT(Raw_Nigeria!E1051,2)))</f>
        <v>5</v>
      </c>
      <c r="H1051" s="7" t="n">
        <f aca="false">Raw_Nigeria!F1051</f>
        <v>2022</v>
      </c>
      <c r="I1051" s="7" t="str">
        <f aca="false">UPPER(TRIM(Raw_Nigeria!G1051))</f>
        <v>HEPB1</v>
      </c>
      <c r="J1051" s="7" t="str">
        <f aca="false">Raw_Nigeria!H1051</f>
        <v>Record or Recall</v>
      </c>
      <c r="K1051" s="7" t="str">
        <f aca="false">Raw_Nigeria!L1051</f>
        <v>12-23 m</v>
      </c>
      <c r="L1051" s="7" t="str">
        <f aca="false">IF(Raw_Nigeria!K1051="","n/a",Raw_Nigeria!K1051)</f>
        <v>0-23 m</v>
      </c>
      <c r="M1051" s="7" t="n">
        <f aca="false">IF(Raw_Nigeria!I1051="","",Raw_Nigeria!I1051)</f>
        <v>50.2</v>
      </c>
      <c r="N1051" s="7" t="n">
        <f aca="false">Raw_Nigeria!M1051</f>
        <v>62.9</v>
      </c>
      <c r="O1051" s="7" t="n">
        <f aca="false">IF(Raw_Nigeria!N1051="","",Raw_Nigeria!N1051)</f>
        <v>5121</v>
      </c>
      <c r="P1051" s="7" t="str">
        <f aca="false">IF(K1051="CBAW","Women of child-bearing age","Children")</f>
        <v>Children</v>
      </c>
      <c r="Q1051" s="7" t="n">
        <f aca="false">IF(J1051="NOT USED",1,0)</f>
        <v>0</v>
      </c>
      <c r="R1051" s="7" t="n">
        <f aca="false">IF(AND(P1051="Children",Q1051=0),1,0)</f>
        <v>1</v>
      </c>
      <c r="S1051" s="7" t="n">
        <f aca="false">IF(AND(R1051=1,J1051="Record or Recall",K1051="12-23 m"),1,0)</f>
        <v>1</v>
      </c>
      <c r="T1051" s="7" t="n">
        <f aca="false">IF(OR(I1051="BCG",I1051="DTP1",I1051="DTP3",I1051="POL3",I1051="MCV1",I1051="FULL"),1,0)</f>
        <v>0</v>
      </c>
      <c r="U1051" s="7" t="n">
        <f aca="false">IF(OR(C1051="DHS",C1051="MICS"),1,0)</f>
        <v>1</v>
      </c>
      <c r="V1051" s="7" t="n">
        <f aca="false">IF(O1051="",1,0)</f>
        <v>0</v>
      </c>
      <c r="W1051" s="7" t="n">
        <f aca="false">IF(M1051="",1,0)</f>
        <v>0</v>
      </c>
      <c r="X1051" s="7" t="n">
        <f aca="false">COUNTIFS($B$2:$B$1141,B1051,$H$2:$H$1141,H1051,$I$2:$I$1141,I1051,$J$2:$J$1141,J1051,$K$2:$K$1141,K1051,$L$2:$L$1141,L1051)</f>
        <v>1</v>
      </c>
    </row>
    <row r="1052" customFormat="false" ht="15" hidden="false" customHeight="false" outlineLevel="0" collapsed="false">
      <c r="A1052" s="7" t="n">
        <f aca="false">ROW()-1</f>
        <v>1051</v>
      </c>
      <c r="B1052" s="7" t="str">
        <f aca="false">IF(Raw_Nigeria!B1052="",TRIM(Raw_Nigeria!C1052),TRIM(Raw_Nigeria!B1052))</f>
        <v>Nigeria Demographic and Health Survey 2024</v>
      </c>
      <c r="C1052" s="7" t="str">
        <f aca="false">IF(ISNUMBER(SEARCH("Demographic and Health",B1052)),"DHS",IF(OR(ISNUMBER(SEARCH("Multiple Indicator Cluster",B1052)),ISNUMBER(SEARCH("MICS",B1052))),"MICS",IF(ISNUMBER(SEARCH("Immunization Coverage Survey",B1052)),"Coverage survey",IF(ISNUMBER(SEARCH("Nutrition",B1052)),"Nutrition survey","Other"))))</f>
        <v>DHS</v>
      </c>
      <c r="D1052" s="7" t="n">
        <f aca="false">VALUE(LEFT(Raw_Nigeria!D1052,4))</f>
        <v>2023</v>
      </c>
      <c r="E1052" s="7" t="n">
        <f aca="false">IF(VALUE(RIGHT(Raw_Nigeria!D1052,2))&gt;12,"",VALUE(RIGHT(Raw_Nigeria!D1052,2)))</f>
        <v>12</v>
      </c>
      <c r="F1052" s="7" t="n">
        <f aca="false">VALUE(LEFT(Raw_Nigeria!E1052,4))</f>
        <v>2024</v>
      </c>
      <c r="G1052" s="7" t="n">
        <f aca="false">IF(VALUE(RIGHT(Raw_Nigeria!E1052,2))&gt;12,"",VALUE(RIGHT(Raw_Nigeria!E1052,2)))</f>
        <v>5</v>
      </c>
      <c r="H1052" s="7" t="n">
        <f aca="false">Raw_Nigeria!F1052</f>
        <v>2022</v>
      </c>
      <c r="I1052" s="7" t="str">
        <f aca="false">UPPER(TRIM(Raw_Nigeria!G1052))</f>
        <v>HEPB1</v>
      </c>
      <c r="J1052" s="7" t="str">
        <f aca="false">Raw_Nigeria!H1052</f>
        <v>Record or Recall&lt;12m</v>
      </c>
      <c r="K1052" s="7" t="str">
        <f aca="false">Raw_Nigeria!L1052</f>
        <v>12-23 m</v>
      </c>
      <c r="L1052" s="7" t="str">
        <f aca="false">IF(Raw_Nigeria!K1052="","n/a",Raw_Nigeria!K1052)</f>
        <v>0-12 m</v>
      </c>
      <c r="M1052" s="7" t="n">
        <f aca="false">IF(Raw_Nigeria!I1052="","",Raw_Nigeria!I1052)</f>
        <v>50.2</v>
      </c>
      <c r="N1052" s="7" t="n">
        <f aca="false">Raw_Nigeria!M1052</f>
        <v>62</v>
      </c>
      <c r="O1052" s="7" t="n">
        <f aca="false">IF(Raw_Nigeria!N1052="","",Raw_Nigeria!N1052)</f>
        <v>5121</v>
      </c>
      <c r="P1052" s="7" t="str">
        <f aca="false">IF(K1052="CBAW","Women of child-bearing age","Children")</f>
        <v>Children</v>
      </c>
      <c r="Q1052" s="7" t="n">
        <f aca="false">IF(J1052="NOT USED",1,0)</f>
        <v>0</v>
      </c>
      <c r="R1052" s="7" t="n">
        <f aca="false">IF(AND(P1052="Children",Q1052=0),1,0)</f>
        <v>1</v>
      </c>
      <c r="S1052" s="7" t="n">
        <f aca="false">IF(AND(R1052=1,J1052="Record or Recall",K1052="12-23 m"),1,0)</f>
        <v>0</v>
      </c>
      <c r="T1052" s="7" t="n">
        <f aca="false">IF(OR(I1052="BCG",I1052="DTP1",I1052="DTP3",I1052="POL3",I1052="MCV1",I1052="FULL"),1,0)</f>
        <v>0</v>
      </c>
      <c r="U1052" s="7" t="n">
        <f aca="false">IF(OR(C1052="DHS",C1052="MICS"),1,0)</f>
        <v>1</v>
      </c>
      <c r="V1052" s="7" t="n">
        <f aca="false">IF(O1052="",1,0)</f>
        <v>0</v>
      </c>
      <c r="W1052" s="7" t="n">
        <f aca="false">IF(M1052="",1,0)</f>
        <v>0</v>
      </c>
      <c r="X1052" s="7" t="n">
        <f aca="false">COUNTIFS($B$2:$B$1141,B1052,$H$2:$H$1141,H1052,$I$2:$I$1141,I1052,$J$2:$J$1141,J1052,$K$2:$K$1141,K1052,$L$2:$L$1141,L1052)</f>
        <v>1</v>
      </c>
    </row>
    <row r="1053" customFormat="false" ht="15" hidden="false" customHeight="false" outlineLevel="0" collapsed="false">
      <c r="A1053" s="7" t="n">
        <f aca="false">ROW()-1</f>
        <v>1052</v>
      </c>
      <c r="B1053" s="7" t="str">
        <f aca="false">IF(Raw_Nigeria!B1053="",TRIM(Raw_Nigeria!C1053),TRIM(Raw_Nigeria!B1053))</f>
        <v>Nigeria Demographic and Health Survey 2024</v>
      </c>
      <c r="C1053" s="7" t="str">
        <f aca="false">IF(ISNUMBER(SEARCH("Demographic and Health",B1053)),"DHS",IF(OR(ISNUMBER(SEARCH("Multiple Indicator Cluster",B1053)),ISNUMBER(SEARCH("MICS",B1053))),"MICS",IF(ISNUMBER(SEARCH("Immunization Coverage Survey",B1053)),"Coverage survey",IF(ISNUMBER(SEARCH("Nutrition",B1053)),"Nutrition survey","Other"))))</f>
        <v>DHS</v>
      </c>
      <c r="D1053" s="7" t="n">
        <f aca="false">VALUE(LEFT(Raw_Nigeria!D1053,4))</f>
        <v>2023</v>
      </c>
      <c r="E1053" s="7" t="n">
        <f aca="false">IF(VALUE(RIGHT(Raw_Nigeria!D1053,2))&gt;12,"",VALUE(RIGHT(Raw_Nigeria!D1053,2)))</f>
        <v>12</v>
      </c>
      <c r="F1053" s="7" t="n">
        <f aca="false">VALUE(LEFT(Raw_Nigeria!E1053,4))</f>
        <v>2024</v>
      </c>
      <c r="G1053" s="7" t="n">
        <f aca="false">IF(VALUE(RIGHT(Raw_Nigeria!E1053,2))&gt;12,"",VALUE(RIGHT(Raw_Nigeria!E1053,2)))</f>
        <v>5</v>
      </c>
      <c r="H1053" s="7" t="n">
        <f aca="false">Raw_Nigeria!F1053</f>
        <v>2022</v>
      </c>
      <c r="I1053" s="7" t="str">
        <f aca="false">UPPER(TRIM(Raw_Nigeria!G1053))</f>
        <v>HEPB2</v>
      </c>
      <c r="J1053" s="7" t="str">
        <f aca="false">Raw_Nigeria!H1053</f>
        <v>Recall</v>
      </c>
      <c r="K1053" s="7" t="str">
        <f aca="false">Raw_Nigeria!L1053</f>
        <v>12-23 m</v>
      </c>
      <c r="L1053" s="7" t="str">
        <f aca="false">IF(Raw_Nigeria!K1053="","n/a",Raw_Nigeria!K1053)</f>
        <v>0-23 m</v>
      </c>
      <c r="M1053" s="7" t="n">
        <f aca="false">IF(Raw_Nigeria!I1053="","",Raw_Nigeria!I1053)</f>
        <v>50.2</v>
      </c>
      <c r="N1053" s="7" t="n">
        <f aca="false">Raw_Nigeria!M1053</f>
        <v>14.8</v>
      </c>
      <c r="O1053" s="7" t="n">
        <f aca="false">IF(Raw_Nigeria!N1053="","",Raw_Nigeria!N1053)</f>
        <v>2549</v>
      </c>
      <c r="P1053" s="7" t="str">
        <f aca="false">IF(K1053="CBAW","Women of child-bearing age","Children")</f>
        <v>Children</v>
      </c>
      <c r="Q1053" s="7" t="n">
        <f aca="false">IF(J1053="NOT USED",1,0)</f>
        <v>0</v>
      </c>
      <c r="R1053" s="7" t="n">
        <f aca="false">IF(AND(P1053="Children",Q1053=0),1,0)</f>
        <v>1</v>
      </c>
      <c r="S1053" s="7" t="n">
        <f aca="false">IF(AND(R1053=1,J1053="Record or Recall",K1053="12-23 m"),1,0)</f>
        <v>0</v>
      </c>
      <c r="T1053" s="7" t="n">
        <f aca="false">IF(OR(I1053="BCG",I1053="DTP1",I1053="DTP3",I1053="POL3",I1053="MCV1",I1053="FULL"),1,0)</f>
        <v>0</v>
      </c>
      <c r="U1053" s="7" t="n">
        <f aca="false">IF(OR(C1053="DHS",C1053="MICS"),1,0)</f>
        <v>1</v>
      </c>
      <c r="V1053" s="7" t="n">
        <f aca="false">IF(O1053="",1,0)</f>
        <v>0</v>
      </c>
      <c r="W1053" s="7" t="n">
        <f aca="false">IF(M1053="",1,0)</f>
        <v>0</v>
      </c>
      <c r="X1053" s="7" t="n">
        <f aca="false">COUNTIFS($B$2:$B$1141,B1053,$H$2:$H$1141,H1053,$I$2:$I$1141,I1053,$J$2:$J$1141,J1053,$K$2:$K$1141,K1053,$L$2:$L$1141,L1053)</f>
        <v>1</v>
      </c>
    </row>
    <row r="1054" customFormat="false" ht="15" hidden="false" customHeight="false" outlineLevel="0" collapsed="false">
      <c r="A1054" s="7" t="n">
        <f aca="false">ROW()-1</f>
        <v>1053</v>
      </c>
      <c r="B1054" s="7" t="str">
        <f aca="false">IF(Raw_Nigeria!B1054="",TRIM(Raw_Nigeria!C1054),TRIM(Raw_Nigeria!B1054))</f>
        <v>Nigeria Demographic and Health Survey 2024</v>
      </c>
      <c r="C1054" s="7" t="str">
        <f aca="false">IF(ISNUMBER(SEARCH("Demographic and Health",B1054)),"DHS",IF(OR(ISNUMBER(SEARCH("Multiple Indicator Cluster",B1054)),ISNUMBER(SEARCH("MICS",B1054))),"MICS",IF(ISNUMBER(SEARCH("Immunization Coverage Survey",B1054)),"Coverage survey",IF(ISNUMBER(SEARCH("Nutrition",B1054)),"Nutrition survey","Other"))))</f>
        <v>DHS</v>
      </c>
      <c r="D1054" s="7" t="n">
        <f aca="false">VALUE(LEFT(Raw_Nigeria!D1054,4))</f>
        <v>2023</v>
      </c>
      <c r="E1054" s="7" t="n">
        <f aca="false">IF(VALUE(RIGHT(Raw_Nigeria!D1054,2))&gt;12,"",VALUE(RIGHT(Raw_Nigeria!D1054,2)))</f>
        <v>12</v>
      </c>
      <c r="F1054" s="7" t="n">
        <f aca="false">VALUE(LEFT(Raw_Nigeria!E1054,4))</f>
        <v>2024</v>
      </c>
      <c r="G1054" s="7" t="n">
        <f aca="false">IF(VALUE(RIGHT(Raw_Nigeria!E1054,2))&gt;12,"",VALUE(RIGHT(Raw_Nigeria!E1054,2)))</f>
        <v>5</v>
      </c>
      <c r="H1054" s="7" t="n">
        <f aca="false">Raw_Nigeria!F1054</f>
        <v>2022</v>
      </c>
      <c r="I1054" s="7" t="str">
        <f aca="false">UPPER(TRIM(Raw_Nigeria!G1054))</f>
        <v>HEPB2</v>
      </c>
      <c r="J1054" s="7" t="str">
        <f aca="false">Raw_Nigeria!H1054</f>
        <v>Record</v>
      </c>
      <c r="K1054" s="7" t="str">
        <f aca="false">Raw_Nigeria!L1054</f>
        <v>12-23 m</v>
      </c>
      <c r="L1054" s="7" t="str">
        <f aca="false">IF(Raw_Nigeria!K1054="","n/a",Raw_Nigeria!K1054)</f>
        <v>0-23 m</v>
      </c>
      <c r="M1054" s="7" t="n">
        <f aca="false">IF(Raw_Nigeria!I1054="","",Raw_Nigeria!I1054)</f>
        <v>50.2</v>
      </c>
      <c r="N1054" s="7" t="n">
        <f aca="false">Raw_Nigeria!M1054</f>
        <v>45</v>
      </c>
      <c r="O1054" s="7" t="n">
        <f aca="false">IF(Raw_Nigeria!N1054="","",Raw_Nigeria!N1054)</f>
        <v>2572</v>
      </c>
      <c r="P1054" s="7" t="str">
        <f aca="false">IF(K1054="CBAW","Women of child-bearing age","Children")</f>
        <v>Children</v>
      </c>
      <c r="Q1054" s="7" t="n">
        <f aca="false">IF(J1054="NOT USED",1,0)</f>
        <v>0</v>
      </c>
      <c r="R1054" s="7" t="n">
        <f aca="false">IF(AND(P1054="Children",Q1054=0),1,0)</f>
        <v>1</v>
      </c>
      <c r="S1054" s="7" t="n">
        <f aca="false">IF(AND(R1054=1,J1054="Record or Recall",K1054="12-23 m"),1,0)</f>
        <v>0</v>
      </c>
      <c r="T1054" s="7" t="n">
        <f aca="false">IF(OR(I1054="BCG",I1054="DTP1",I1054="DTP3",I1054="POL3",I1054="MCV1",I1054="FULL"),1,0)</f>
        <v>0</v>
      </c>
      <c r="U1054" s="7" t="n">
        <f aca="false">IF(OR(C1054="DHS",C1054="MICS"),1,0)</f>
        <v>1</v>
      </c>
      <c r="V1054" s="7" t="n">
        <f aca="false">IF(O1054="",1,0)</f>
        <v>0</v>
      </c>
      <c r="W1054" s="7" t="n">
        <f aca="false">IF(M1054="",1,0)</f>
        <v>0</v>
      </c>
      <c r="X1054" s="7" t="n">
        <f aca="false">COUNTIFS($B$2:$B$1141,B1054,$H$2:$H$1141,H1054,$I$2:$I$1141,I1054,$J$2:$J$1141,J1054,$K$2:$K$1141,K1054,$L$2:$L$1141,L1054)</f>
        <v>1</v>
      </c>
    </row>
    <row r="1055" customFormat="false" ht="15" hidden="false" customHeight="false" outlineLevel="0" collapsed="false">
      <c r="A1055" s="7" t="n">
        <f aca="false">ROW()-1</f>
        <v>1054</v>
      </c>
      <c r="B1055" s="7" t="str">
        <f aca="false">IF(Raw_Nigeria!B1055="",TRIM(Raw_Nigeria!C1055),TRIM(Raw_Nigeria!B1055))</f>
        <v>Nigeria Demographic and Health Survey 2024</v>
      </c>
      <c r="C1055" s="7" t="str">
        <f aca="false">IF(ISNUMBER(SEARCH("Demographic and Health",B1055)),"DHS",IF(OR(ISNUMBER(SEARCH("Multiple Indicator Cluster",B1055)),ISNUMBER(SEARCH("MICS",B1055))),"MICS",IF(ISNUMBER(SEARCH("Immunization Coverage Survey",B1055)),"Coverage survey",IF(ISNUMBER(SEARCH("Nutrition",B1055)),"Nutrition survey","Other"))))</f>
        <v>DHS</v>
      </c>
      <c r="D1055" s="7" t="n">
        <f aca="false">VALUE(LEFT(Raw_Nigeria!D1055,4))</f>
        <v>2023</v>
      </c>
      <c r="E1055" s="7" t="n">
        <f aca="false">IF(VALUE(RIGHT(Raw_Nigeria!D1055,2))&gt;12,"",VALUE(RIGHT(Raw_Nigeria!D1055,2)))</f>
        <v>12</v>
      </c>
      <c r="F1055" s="7" t="n">
        <f aca="false">VALUE(LEFT(Raw_Nigeria!E1055,4))</f>
        <v>2024</v>
      </c>
      <c r="G1055" s="7" t="n">
        <f aca="false">IF(VALUE(RIGHT(Raw_Nigeria!E1055,2))&gt;12,"",VALUE(RIGHT(Raw_Nigeria!E1055,2)))</f>
        <v>5</v>
      </c>
      <c r="H1055" s="7" t="n">
        <f aca="false">Raw_Nigeria!F1055</f>
        <v>2022</v>
      </c>
      <c r="I1055" s="7" t="str">
        <f aca="false">UPPER(TRIM(Raw_Nigeria!G1055))</f>
        <v>HEPB2</v>
      </c>
      <c r="J1055" s="7" t="str">
        <f aca="false">Raw_Nigeria!H1055</f>
        <v>Record or Recall</v>
      </c>
      <c r="K1055" s="7" t="str">
        <f aca="false">Raw_Nigeria!L1055</f>
        <v>12-23 m</v>
      </c>
      <c r="L1055" s="7" t="str">
        <f aca="false">IF(Raw_Nigeria!K1055="","n/a",Raw_Nigeria!K1055)</f>
        <v>0-23 m</v>
      </c>
      <c r="M1055" s="7" t="n">
        <f aca="false">IF(Raw_Nigeria!I1055="","",Raw_Nigeria!I1055)</f>
        <v>50.2</v>
      </c>
      <c r="N1055" s="7" t="n">
        <f aca="false">Raw_Nigeria!M1055</f>
        <v>59.8</v>
      </c>
      <c r="O1055" s="7" t="n">
        <f aca="false">IF(Raw_Nigeria!N1055="","",Raw_Nigeria!N1055)</f>
        <v>5121</v>
      </c>
      <c r="P1055" s="7" t="str">
        <f aca="false">IF(K1055="CBAW","Women of child-bearing age","Children")</f>
        <v>Children</v>
      </c>
      <c r="Q1055" s="7" t="n">
        <f aca="false">IF(J1055="NOT USED",1,0)</f>
        <v>0</v>
      </c>
      <c r="R1055" s="7" t="n">
        <f aca="false">IF(AND(P1055="Children",Q1055=0),1,0)</f>
        <v>1</v>
      </c>
      <c r="S1055" s="7" t="n">
        <f aca="false">IF(AND(R1055=1,J1055="Record or Recall",K1055="12-23 m"),1,0)</f>
        <v>1</v>
      </c>
      <c r="T1055" s="7" t="n">
        <f aca="false">IF(OR(I1055="BCG",I1055="DTP1",I1055="DTP3",I1055="POL3",I1055="MCV1",I1055="FULL"),1,0)</f>
        <v>0</v>
      </c>
      <c r="U1055" s="7" t="n">
        <f aca="false">IF(OR(C1055="DHS",C1055="MICS"),1,0)</f>
        <v>1</v>
      </c>
      <c r="V1055" s="7" t="n">
        <f aca="false">IF(O1055="",1,0)</f>
        <v>0</v>
      </c>
      <c r="W1055" s="7" t="n">
        <f aca="false">IF(M1055="",1,0)</f>
        <v>0</v>
      </c>
      <c r="X1055" s="7" t="n">
        <f aca="false">COUNTIFS($B$2:$B$1141,B1055,$H$2:$H$1141,H1055,$I$2:$I$1141,I1055,$J$2:$J$1141,J1055,$K$2:$K$1141,K1055,$L$2:$L$1141,L1055)</f>
        <v>1</v>
      </c>
    </row>
    <row r="1056" customFormat="false" ht="15" hidden="false" customHeight="false" outlineLevel="0" collapsed="false">
      <c r="A1056" s="7" t="n">
        <f aca="false">ROW()-1</f>
        <v>1055</v>
      </c>
      <c r="B1056" s="7" t="str">
        <f aca="false">IF(Raw_Nigeria!B1056="",TRIM(Raw_Nigeria!C1056),TRIM(Raw_Nigeria!B1056))</f>
        <v>Nigeria Demographic and Health Survey 2024</v>
      </c>
      <c r="C1056" s="7" t="str">
        <f aca="false">IF(ISNUMBER(SEARCH("Demographic and Health",B1056)),"DHS",IF(OR(ISNUMBER(SEARCH("Multiple Indicator Cluster",B1056)),ISNUMBER(SEARCH("MICS",B1056))),"MICS",IF(ISNUMBER(SEARCH("Immunization Coverage Survey",B1056)),"Coverage survey",IF(ISNUMBER(SEARCH("Nutrition",B1056)),"Nutrition survey","Other"))))</f>
        <v>DHS</v>
      </c>
      <c r="D1056" s="7" t="n">
        <f aca="false">VALUE(LEFT(Raw_Nigeria!D1056,4))</f>
        <v>2023</v>
      </c>
      <c r="E1056" s="7" t="n">
        <f aca="false">IF(VALUE(RIGHT(Raw_Nigeria!D1056,2))&gt;12,"",VALUE(RIGHT(Raw_Nigeria!D1056,2)))</f>
        <v>12</v>
      </c>
      <c r="F1056" s="7" t="n">
        <f aca="false">VALUE(LEFT(Raw_Nigeria!E1056,4))</f>
        <v>2024</v>
      </c>
      <c r="G1056" s="7" t="n">
        <f aca="false">IF(VALUE(RIGHT(Raw_Nigeria!E1056,2))&gt;12,"",VALUE(RIGHT(Raw_Nigeria!E1056,2)))</f>
        <v>5</v>
      </c>
      <c r="H1056" s="7" t="n">
        <f aca="false">Raw_Nigeria!F1056</f>
        <v>2022</v>
      </c>
      <c r="I1056" s="7" t="str">
        <f aca="false">UPPER(TRIM(Raw_Nigeria!G1056))</f>
        <v>HEPB2</v>
      </c>
      <c r="J1056" s="7" t="str">
        <f aca="false">Raw_Nigeria!H1056</f>
        <v>Record or Recall&lt;12m</v>
      </c>
      <c r="K1056" s="7" t="str">
        <f aca="false">Raw_Nigeria!L1056</f>
        <v>12-23 m</v>
      </c>
      <c r="L1056" s="7" t="str">
        <f aca="false">IF(Raw_Nigeria!K1056="","n/a",Raw_Nigeria!K1056)</f>
        <v>0-12 m</v>
      </c>
      <c r="M1056" s="7" t="n">
        <f aca="false">IF(Raw_Nigeria!I1056="","",Raw_Nigeria!I1056)</f>
        <v>50.2</v>
      </c>
      <c r="N1056" s="7" t="n">
        <f aca="false">Raw_Nigeria!M1056</f>
        <v>58.7</v>
      </c>
      <c r="O1056" s="7" t="n">
        <f aca="false">IF(Raw_Nigeria!N1056="","",Raw_Nigeria!N1056)</f>
        <v>5121</v>
      </c>
      <c r="P1056" s="7" t="str">
        <f aca="false">IF(K1056="CBAW","Women of child-bearing age","Children")</f>
        <v>Children</v>
      </c>
      <c r="Q1056" s="7" t="n">
        <f aca="false">IF(J1056="NOT USED",1,0)</f>
        <v>0</v>
      </c>
      <c r="R1056" s="7" t="n">
        <f aca="false">IF(AND(P1056="Children",Q1056=0),1,0)</f>
        <v>1</v>
      </c>
      <c r="S1056" s="7" t="n">
        <f aca="false">IF(AND(R1056=1,J1056="Record or Recall",K1056="12-23 m"),1,0)</f>
        <v>0</v>
      </c>
      <c r="T1056" s="7" t="n">
        <f aca="false">IF(OR(I1056="BCG",I1056="DTP1",I1056="DTP3",I1056="POL3",I1056="MCV1",I1056="FULL"),1,0)</f>
        <v>0</v>
      </c>
      <c r="U1056" s="7" t="n">
        <f aca="false">IF(OR(C1056="DHS",C1056="MICS"),1,0)</f>
        <v>1</v>
      </c>
      <c r="V1056" s="7" t="n">
        <f aca="false">IF(O1056="",1,0)</f>
        <v>0</v>
      </c>
      <c r="W1056" s="7" t="n">
        <f aca="false">IF(M1056="",1,0)</f>
        <v>0</v>
      </c>
      <c r="X1056" s="7" t="n">
        <f aca="false">COUNTIFS($B$2:$B$1141,B1056,$H$2:$H$1141,H1056,$I$2:$I$1141,I1056,$J$2:$J$1141,J1056,$K$2:$K$1141,K1056,$L$2:$L$1141,L1056)</f>
        <v>1</v>
      </c>
    </row>
    <row r="1057" customFormat="false" ht="15" hidden="false" customHeight="false" outlineLevel="0" collapsed="false">
      <c r="A1057" s="7" t="n">
        <f aca="false">ROW()-1</f>
        <v>1056</v>
      </c>
      <c r="B1057" s="7" t="str">
        <f aca="false">IF(Raw_Nigeria!B1057="",TRIM(Raw_Nigeria!C1057),TRIM(Raw_Nigeria!B1057))</f>
        <v>Nigeria Demographic and Health Survey 2024</v>
      </c>
      <c r="C1057" s="7" t="str">
        <f aca="false">IF(ISNUMBER(SEARCH("Demographic and Health",B1057)),"DHS",IF(OR(ISNUMBER(SEARCH("Multiple Indicator Cluster",B1057)),ISNUMBER(SEARCH("MICS",B1057))),"MICS",IF(ISNUMBER(SEARCH("Immunization Coverage Survey",B1057)),"Coverage survey",IF(ISNUMBER(SEARCH("Nutrition",B1057)),"Nutrition survey","Other"))))</f>
        <v>DHS</v>
      </c>
      <c r="D1057" s="7" t="n">
        <f aca="false">VALUE(LEFT(Raw_Nigeria!D1057,4))</f>
        <v>2023</v>
      </c>
      <c r="E1057" s="7" t="n">
        <f aca="false">IF(VALUE(RIGHT(Raw_Nigeria!D1057,2))&gt;12,"",VALUE(RIGHT(Raw_Nigeria!D1057,2)))</f>
        <v>12</v>
      </c>
      <c r="F1057" s="7" t="n">
        <f aca="false">VALUE(LEFT(Raw_Nigeria!E1057,4))</f>
        <v>2024</v>
      </c>
      <c r="G1057" s="7" t="n">
        <f aca="false">IF(VALUE(RIGHT(Raw_Nigeria!E1057,2))&gt;12,"",VALUE(RIGHT(Raw_Nigeria!E1057,2)))</f>
        <v>5</v>
      </c>
      <c r="H1057" s="7" t="n">
        <f aca="false">Raw_Nigeria!F1057</f>
        <v>2022</v>
      </c>
      <c r="I1057" s="7" t="str">
        <f aca="false">UPPER(TRIM(Raw_Nigeria!G1057))</f>
        <v>HEPB3</v>
      </c>
      <c r="J1057" s="7" t="str">
        <f aca="false">Raw_Nigeria!H1057</f>
        <v>Recall</v>
      </c>
      <c r="K1057" s="7" t="str">
        <f aca="false">Raw_Nigeria!L1057</f>
        <v>12-23 m</v>
      </c>
      <c r="L1057" s="7" t="str">
        <f aca="false">IF(Raw_Nigeria!K1057="","n/a",Raw_Nigeria!K1057)</f>
        <v>0-23 m</v>
      </c>
      <c r="M1057" s="7" t="n">
        <f aca="false">IF(Raw_Nigeria!I1057="","",Raw_Nigeria!I1057)</f>
        <v>50.2</v>
      </c>
      <c r="N1057" s="7" t="n">
        <f aca="false">Raw_Nigeria!M1057</f>
        <v>11.2</v>
      </c>
      <c r="O1057" s="7" t="n">
        <f aca="false">IF(Raw_Nigeria!N1057="","",Raw_Nigeria!N1057)</f>
        <v>2549</v>
      </c>
      <c r="P1057" s="7" t="str">
        <f aca="false">IF(K1057="CBAW","Women of child-bearing age","Children")</f>
        <v>Children</v>
      </c>
      <c r="Q1057" s="7" t="n">
        <f aca="false">IF(J1057="NOT USED",1,0)</f>
        <v>0</v>
      </c>
      <c r="R1057" s="7" t="n">
        <f aca="false">IF(AND(P1057="Children",Q1057=0),1,0)</f>
        <v>1</v>
      </c>
      <c r="S1057" s="7" t="n">
        <f aca="false">IF(AND(R1057=1,J1057="Record or Recall",K1057="12-23 m"),1,0)</f>
        <v>0</v>
      </c>
      <c r="T1057" s="7" t="n">
        <f aca="false">IF(OR(I1057="BCG",I1057="DTP1",I1057="DTP3",I1057="POL3",I1057="MCV1",I1057="FULL"),1,0)</f>
        <v>0</v>
      </c>
      <c r="U1057" s="7" t="n">
        <f aca="false">IF(OR(C1057="DHS",C1057="MICS"),1,0)</f>
        <v>1</v>
      </c>
      <c r="V1057" s="7" t="n">
        <f aca="false">IF(O1057="",1,0)</f>
        <v>0</v>
      </c>
      <c r="W1057" s="7" t="n">
        <f aca="false">IF(M1057="",1,0)</f>
        <v>0</v>
      </c>
      <c r="X1057" s="7" t="n">
        <f aca="false">COUNTIFS($B$2:$B$1141,B1057,$H$2:$H$1141,H1057,$I$2:$I$1141,I1057,$J$2:$J$1141,J1057,$K$2:$K$1141,K1057,$L$2:$L$1141,L1057)</f>
        <v>1</v>
      </c>
    </row>
    <row r="1058" customFormat="false" ht="15" hidden="false" customHeight="false" outlineLevel="0" collapsed="false">
      <c r="A1058" s="7" t="n">
        <f aca="false">ROW()-1</f>
        <v>1057</v>
      </c>
      <c r="B1058" s="7" t="str">
        <f aca="false">IF(Raw_Nigeria!B1058="",TRIM(Raw_Nigeria!C1058),TRIM(Raw_Nigeria!B1058))</f>
        <v>Nigeria Demographic and Health Survey 2024</v>
      </c>
      <c r="C1058" s="7" t="str">
        <f aca="false">IF(ISNUMBER(SEARCH("Demographic and Health",B1058)),"DHS",IF(OR(ISNUMBER(SEARCH("Multiple Indicator Cluster",B1058)),ISNUMBER(SEARCH("MICS",B1058))),"MICS",IF(ISNUMBER(SEARCH("Immunization Coverage Survey",B1058)),"Coverage survey",IF(ISNUMBER(SEARCH("Nutrition",B1058)),"Nutrition survey","Other"))))</f>
        <v>DHS</v>
      </c>
      <c r="D1058" s="7" t="n">
        <f aca="false">VALUE(LEFT(Raw_Nigeria!D1058,4))</f>
        <v>2023</v>
      </c>
      <c r="E1058" s="7" t="n">
        <f aca="false">IF(VALUE(RIGHT(Raw_Nigeria!D1058,2))&gt;12,"",VALUE(RIGHT(Raw_Nigeria!D1058,2)))</f>
        <v>12</v>
      </c>
      <c r="F1058" s="7" t="n">
        <f aca="false">VALUE(LEFT(Raw_Nigeria!E1058,4))</f>
        <v>2024</v>
      </c>
      <c r="G1058" s="7" t="n">
        <f aca="false">IF(VALUE(RIGHT(Raw_Nigeria!E1058,2))&gt;12,"",VALUE(RIGHT(Raw_Nigeria!E1058,2)))</f>
        <v>5</v>
      </c>
      <c r="H1058" s="7" t="n">
        <f aca="false">Raw_Nigeria!F1058</f>
        <v>2022</v>
      </c>
      <c r="I1058" s="7" t="str">
        <f aca="false">UPPER(TRIM(Raw_Nigeria!G1058))</f>
        <v>HEPB3</v>
      </c>
      <c r="J1058" s="7" t="str">
        <f aca="false">Raw_Nigeria!H1058</f>
        <v>Record</v>
      </c>
      <c r="K1058" s="7" t="str">
        <f aca="false">Raw_Nigeria!L1058</f>
        <v>12-23 m</v>
      </c>
      <c r="L1058" s="7" t="str">
        <f aca="false">IF(Raw_Nigeria!K1058="","n/a",Raw_Nigeria!K1058)</f>
        <v>0-23 m</v>
      </c>
      <c r="M1058" s="7" t="n">
        <f aca="false">IF(Raw_Nigeria!I1058="","",Raw_Nigeria!I1058)</f>
        <v>50.2</v>
      </c>
      <c r="N1058" s="7" t="n">
        <f aca="false">Raw_Nigeria!M1058</f>
        <v>42.3</v>
      </c>
      <c r="O1058" s="7" t="n">
        <f aca="false">IF(Raw_Nigeria!N1058="","",Raw_Nigeria!N1058)</f>
        <v>2572</v>
      </c>
      <c r="P1058" s="7" t="str">
        <f aca="false">IF(K1058="CBAW","Women of child-bearing age","Children")</f>
        <v>Children</v>
      </c>
      <c r="Q1058" s="7" t="n">
        <f aca="false">IF(J1058="NOT USED",1,0)</f>
        <v>0</v>
      </c>
      <c r="R1058" s="7" t="n">
        <f aca="false">IF(AND(P1058="Children",Q1058=0),1,0)</f>
        <v>1</v>
      </c>
      <c r="S1058" s="7" t="n">
        <f aca="false">IF(AND(R1058=1,J1058="Record or Recall",K1058="12-23 m"),1,0)</f>
        <v>0</v>
      </c>
      <c r="T1058" s="7" t="n">
        <f aca="false">IF(OR(I1058="BCG",I1058="DTP1",I1058="DTP3",I1058="POL3",I1058="MCV1",I1058="FULL"),1,0)</f>
        <v>0</v>
      </c>
      <c r="U1058" s="7" t="n">
        <f aca="false">IF(OR(C1058="DHS",C1058="MICS"),1,0)</f>
        <v>1</v>
      </c>
      <c r="V1058" s="7" t="n">
        <f aca="false">IF(O1058="",1,0)</f>
        <v>0</v>
      </c>
      <c r="W1058" s="7" t="n">
        <f aca="false">IF(M1058="",1,0)</f>
        <v>0</v>
      </c>
      <c r="X1058" s="7" t="n">
        <f aca="false">COUNTIFS($B$2:$B$1141,B1058,$H$2:$H$1141,H1058,$I$2:$I$1141,I1058,$J$2:$J$1141,J1058,$K$2:$K$1141,K1058,$L$2:$L$1141,L1058)</f>
        <v>1</v>
      </c>
    </row>
    <row r="1059" customFormat="false" ht="15" hidden="false" customHeight="false" outlineLevel="0" collapsed="false">
      <c r="A1059" s="7" t="n">
        <f aca="false">ROW()-1</f>
        <v>1058</v>
      </c>
      <c r="B1059" s="7" t="str">
        <f aca="false">IF(Raw_Nigeria!B1059="",TRIM(Raw_Nigeria!C1059),TRIM(Raw_Nigeria!B1059))</f>
        <v>Nigeria Demographic and Health Survey 2024</v>
      </c>
      <c r="C1059" s="7" t="str">
        <f aca="false">IF(ISNUMBER(SEARCH("Demographic and Health",B1059)),"DHS",IF(OR(ISNUMBER(SEARCH("Multiple Indicator Cluster",B1059)),ISNUMBER(SEARCH("MICS",B1059))),"MICS",IF(ISNUMBER(SEARCH("Immunization Coverage Survey",B1059)),"Coverage survey",IF(ISNUMBER(SEARCH("Nutrition",B1059)),"Nutrition survey","Other"))))</f>
        <v>DHS</v>
      </c>
      <c r="D1059" s="7" t="n">
        <f aca="false">VALUE(LEFT(Raw_Nigeria!D1059,4))</f>
        <v>2023</v>
      </c>
      <c r="E1059" s="7" t="n">
        <f aca="false">IF(VALUE(RIGHT(Raw_Nigeria!D1059,2))&gt;12,"",VALUE(RIGHT(Raw_Nigeria!D1059,2)))</f>
        <v>12</v>
      </c>
      <c r="F1059" s="7" t="n">
        <f aca="false">VALUE(LEFT(Raw_Nigeria!E1059,4))</f>
        <v>2024</v>
      </c>
      <c r="G1059" s="7" t="n">
        <f aca="false">IF(VALUE(RIGHT(Raw_Nigeria!E1059,2))&gt;12,"",VALUE(RIGHT(Raw_Nigeria!E1059,2)))</f>
        <v>5</v>
      </c>
      <c r="H1059" s="7" t="n">
        <f aca="false">Raw_Nigeria!F1059</f>
        <v>2022</v>
      </c>
      <c r="I1059" s="7" t="str">
        <f aca="false">UPPER(TRIM(Raw_Nigeria!G1059))</f>
        <v>HEPB3</v>
      </c>
      <c r="J1059" s="7" t="str">
        <f aca="false">Raw_Nigeria!H1059</f>
        <v>Record or Recall</v>
      </c>
      <c r="K1059" s="7" t="str">
        <f aca="false">Raw_Nigeria!L1059</f>
        <v>12-23 m</v>
      </c>
      <c r="L1059" s="7" t="str">
        <f aca="false">IF(Raw_Nigeria!K1059="","n/a",Raw_Nigeria!K1059)</f>
        <v>0-23 m</v>
      </c>
      <c r="M1059" s="7" t="n">
        <f aca="false">IF(Raw_Nigeria!I1059="","",Raw_Nigeria!I1059)</f>
        <v>50.2</v>
      </c>
      <c r="N1059" s="7" t="n">
        <f aca="false">Raw_Nigeria!M1059</f>
        <v>53.4</v>
      </c>
      <c r="O1059" s="7" t="n">
        <f aca="false">IF(Raw_Nigeria!N1059="","",Raw_Nigeria!N1059)</f>
        <v>5121</v>
      </c>
      <c r="P1059" s="7" t="str">
        <f aca="false">IF(K1059="CBAW","Women of child-bearing age","Children")</f>
        <v>Children</v>
      </c>
      <c r="Q1059" s="7" t="n">
        <f aca="false">IF(J1059="NOT USED",1,0)</f>
        <v>0</v>
      </c>
      <c r="R1059" s="7" t="n">
        <f aca="false">IF(AND(P1059="Children",Q1059=0),1,0)</f>
        <v>1</v>
      </c>
      <c r="S1059" s="7" t="n">
        <f aca="false">IF(AND(R1059=1,J1059="Record or Recall",K1059="12-23 m"),1,0)</f>
        <v>1</v>
      </c>
      <c r="T1059" s="7" t="n">
        <f aca="false">IF(OR(I1059="BCG",I1059="DTP1",I1059="DTP3",I1059="POL3",I1059="MCV1",I1059="FULL"),1,0)</f>
        <v>0</v>
      </c>
      <c r="U1059" s="7" t="n">
        <f aca="false">IF(OR(C1059="DHS",C1059="MICS"),1,0)</f>
        <v>1</v>
      </c>
      <c r="V1059" s="7" t="n">
        <f aca="false">IF(O1059="",1,0)</f>
        <v>0</v>
      </c>
      <c r="W1059" s="7" t="n">
        <f aca="false">IF(M1059="",1,0)</f>
        <v>0</v>
      </c>
      <c r="X1059" s="7" t="n">
        <f aca="false">COUNTIFS($B$2:$B$1141,B1059,$H$2:$H$1141,H1059,$I$2:$I$1141,I1059,$J$2:$J$1141,J1059,$K$2:$K$1141,K1059,$L$2:$L$1141,L1059)</f>
        <v>1</v>
      </c>
    </row>
    <row r="1060" customFormat="false" ht="15" hidden="false" customHeight="false" outlineLevel="0" collapsed="false">
      <c r="A1060" s="7" t="n">
        <f aca="false">ROW()-1</f>
        <v>1059</v>
      </c>
      <c r="B1060" s="7" t="str">
        <f aca="false">IF(Raw_Nigeria!B1060="",TRIM(Raw_Nigeria!C1060),TRIM(Raw_Nigeria!B1060))</f>
        <v>Nigeria Demographic and Health Survey 2024</v>
      </c>
      <c r="C1060" s="7" t="str">
        <f aca="false">IF(ISNUMBER(SEARCH("Demographic and Health",B1060)),"DHS",IF(OR(ISNUMBER(SEARCH("Multiple Indicator Cluster",B1060)),ISNUMBER(SEARCH("MICS",B1060))),"MICS",IF(ISNUMBER(SEARCH("Immunization Coverage Survey",B1060)),"Coverage survey",IF(ISNUMBER(SEARCH("Nutrition",B1060)),"Nutrition survey","Other"))))</f>
        <v>DHS</v>
      </c>
      <c r="D1060" s="7" t="n">
        <f aca="false">VALUE(LEFT(Raw_Nigeria!D1060,4))</f>
        <v>2023</v>
      </c>
      <c r="E1060" s="7" t="n">
        <f aca="false">IF(VALUE(RIGHT(Raw_Nigeria!D1060,2))&gt;12,"",VALUE(RIGHT(Raw_Nigeria!D1060,2)))</f>
        <v>12</v>
      </c>
      <c r="F1060" s="7" t="n">
        <f aca="false">VALUE(LEFT(Raw_Nigeria!E1060,4))</f>
        <v>2024</v>
      </c>
      <c r="G1060" s="7" t="n">
        <f aca="false">IF(VALUE(RIGHT(Raw_Nigeria!E1060,2))&gt;12,"",VALUE(RIGHT(Raw_Nigeria!E1060,2)))</f>
        <v>5</v>
      </c>
      <c r="H1060" s="7" t="n">
        <f aca="false">Raw_Nigeria!F1060</f>
        <v>2022</v>
      </c>
      <c r="I1060" s="7" t="str">
        <f aca="false">UPPER(TRIM(Raw_Nigeria!G1060))</f>
        <v>HEPB3</v>
      </c>
      <c r="J1060" s="7" t="str">
        <f aca="false">Raw_Nigeria!H1060</f>
        <v>Record or Recall&lt;12m</v>
      </c>
      <c r="K1060" s="7" t="str">
        <f aca="false">Raw_Nigeria!L1060</f>
        <v>12-23 m</v>
      </c>
      <c r="L1060" s="7" t="str">
        <f aca="false">IF(Raw_Nigeria!K1060="","n/a",Raw_Nigeria!K1060)</f>
        <v>0-12 m</v>
      </c>
      <c r="M1060" s="7" t="n">
        <f aca="false">IF(Raw_Nigeria!I1060="","",Raw_Nigeria!I1060)</f>
        <v>50.2</v>
      </c>
      <c r="N1060" s="7" t="n">
        <f aca="false">Raw_Nigeria!M1060</f>
        <v>51.9</v>
      </c>
      <c r="O1060" s="7" t="n">
        <f aca="false">IF(Raw_Nigeria!N1060="","",Raw_Nigeria!N1060)</f>
        <v>5121</v>
      </c>
      <c r="P1060" s="7" t="str">
        <f aca="false">IF(K1060="CBAW","Women of child-bearing age","Children")</f>
        <v>Children</v>
      </c>
      <c r="Q1060" s="7" t="n">
        <f aca="false">IF(J1060="NOT USED",1,0)</f>
        <v>0</v>
      </c>
      <c r="R1060" s="7" t="n">
        <f aca="false">IF(AND(P1060="Children",Q1060=0),1,0)</f>
        <v>1</v>
      </c>
      <c r="S1060" s="7" t="n">
        <f aca="false">IF(AND(R1060=1,J1060="Record or Recall",K1060="12-23 m"),1,0)</f>
        <v>0</v>
      </c>
      <c r="T1060" s="7" t="n">
        <f aca="false">IF(OR(I1060="BCG",I1060="DTP1",I1060="DTP3",I1060="POL3",I1060="MCV1",I1060="FULL"),1,0)</f>
        <v>0</v>
      </c>
      <c r="U1060" s="7" t="n">
        <f aca="false">IF(OR(C1060="DHS",C1060="MICS"),1,0)</f>
        <v>1</v>
      </c>
      <c r="V1060" s="7" t="n">
        <f aca="false">IF(O1060="",1,0)</f>
        <v>0</v>
      </c>
      <c r="W1060" s="7" t="n">
        <f aca="false">IF(M1060="",1,0)</f>
        <v>0</v>
      </c>
      <c r="X1060" s="7" t="n">
        <f aca="false">COUNTIFS($B$2:$B$1141,B1060,$H$2:$H$1141,H1060,$I$2:$I$1141,I1060,$J$2:$J$1141,J1060,$K$2:$K$1141,K1060,$L$2:$L$1141,L1060)</f>
        <v>1</v>
      </c>
    </row>
    <row r="1061" customFormat="false" ht="15" hidden="false" customHeight="false" outlineLevel="0" collapsed="false">
      <c r="A1061" s="7" t="n">
        <f aca="false">ROW()-1</f>
        <v>1060</v>
      </c>
      <c r="B1061" s="7" t="str">
        <f aca="false">IF(Raw_Nigeria!B1061="",TRIM(Raw_Nigeria!C1061),TRIM(Raw_Nigeria!B1061))</f>
        <v>Nigeria Demographic and Health Survey 2024</v>
      </c>
      <c r="C1061" s="7" t="str">
        <f aca="false">IF(ISNUMBER(SEARCH("Demographic and Health",B1061)),"DHS",IF(OR(ISNUMBER(SEARCH("Multiple Indicator Cluster",B1061)),ISNUMBER(SEARCH("MICS",B1061))),"MICS",IF(ISNUMBER(SEARCH("Immunization Coverage Survey",B1061)),"Coverage survey",IF(ISNUMBER(SEARCH("Nutrition",B1061)),"Nutrition survey","Other"))))</f>
        <v>DHS</v>
      </c>
      <c r="D1061" s="7" t="n">
        <f aca="false">VALUE(LEFT(Raw_Nigeria!D1061,4))</f>
        <v>2023</v>
      </c>
      <c r="E1061" s="7" t="n">
        <f aca="false">IF(VALUE(RIGHT(Raw_Nigeria!D1061,2))&gt;12,"",VALUE(RIGHT(Raw_Nigeria!D1061,2)))</f>
        <v>12</v>
      </c>
      <c r="F1061" s="7" t="n">
        <f aca="false">VALUE(LEFT(Raw_Nigeria!E1061,4))</f>
        <v>2024</v>
      </c>
      <c r="G1061" s="7" t="n">
        <f aca="false">IF(VALUE(RIGHT(Raw_Nigeria!E1061,2))&gt;12,"",VALUE(RIGHT(Raw_Nigeria!E1061,2)))</f>
        <v>5</v>
      </c>
      <c r="H1061" s="7" t="n">
        <f aca="false">Raw_Nigeria!F1061</f>
        <v>2022</v>
      </c>
      <c r="I1061" s="7" t="str">
        <f aca="false">UPPER(TRIM(Raw_Nigeria!G1061))</f>
        <v>HEPBB</v>
      </c>
      <c r="J1061" s="7" t="str">
        <f aca="false">Raw_Nigeria!H1061</f>
        <v>Recall</v>
      </c>
      <c r="K1061" s="7" t="str">
        <f aca="false">Raw_Nigeria!L1061</f>
        <v>12-23 m</v>
      </c>
      <c r="L1061" s="7" t="str">
        <f aca="false">IF(Raw_Nigeria!K1061="","n/a",Raw_Nigeria!K1061)</f>
        <v>0-23 m</v>
      </c>
      <c r="M1061" s="7" t="n">
        <f aca="false">IF(Raw_Nigeria!I1061="","",Raw_Nigeria!I1061)</f>
        <v>50.2</v>
      </c>
      <c r="N1061" s="7" t="n">
        <f aca="false">Raw_Nigeria!M1061</f>
        <v>10.7</v>
      </c>
      <c r="O1061" s="7" t="n">
        <f aca="false">IF(Raw_Nigeria!N1061="","",Raw_Nigeria!N1061)</f>
        <v>2549</v>
      </c>
      <c r="P1061" s="7" t="str">
        <f aca="false">IF(K1061="CBAW","Women of child-bearing age","Children")</f>
        <v>Children</v>
      </c>
      <c r="Q1061" s="7" t="n">
        <f aca="false">IF(J1061="NOT USED",1,0)</f>
        <v>0</v>
      </c>
      <c r="R1061" s="7" t="n">
        <f aca="false">IF(AND(P1061="Children",Q1061=0),1,0)</f>
        <v>1</v>
      </c>
      <c r="S1061" s="7" t="n">
        <f aca="false">IF(AND(R1061=1,J1061="Record or Recall",K1061="12-23 m"),1,0)</f>
        <v>0</v>
      </c>
      <c r="T1061" s="7" t="n">
        <f aca="false">IF(OR(I1061="BCG",I1061="DTP1",I1061="DTP3",I1061="POL3",I1061="MCV1",I1061="FULL"),1,0)</f>
        <v>0</v>
      </c>
      <c r="U1061" s="7" t="n">
        <f aca="false">IF(OR(C1061="DHS",C1061="MICS"),1,0)</f>
        <v>1</v>
      </c>
      <c r="V1061" s="7" t="n">
        <f aca="false">IF(O1061="",1,0)</f>
        <v>0</v>
      </c>
      <c r="W1061" s="7" t="n">
        <f aca="false">IF(M1061="",1,0)</f>
        <v>0</v>
      </c>
      <c r="X1061" s="7" t="n">
        <f aca="false">COUNTIFS($B$2:$B$1141,B1061,$H$2:$H$1141,H1061,$I$2:$I$1141,I1061,$J$2:$J$1141,J1061,$K$2:$K$1141,K1061,$L$2:$L$1141,L1061)</f>
        <v>1</v>
      </c>
    </row>
    <row r="1062" customFormat="false" ht="15" hidden="false" customHeight="false" outlineLevel="0" collapsed="false">
      <c r="A1062" s="7" t="n">
        <f aca="false">ROW()-1</f>
        <v>1061</v>
      </c>
      <c r="B1062" s="7" t="str">
        <f aca="false">IF(Raw_Nigeria!B1062="",TRIM(Raw_Nigeria!C1062),TRIM(Raw_Nigeria!B1062))</f>
        <v>Nigeria Demographic and Health Survey 2024</v>
      </c>
      <c r="C1062" s="7" t="str">
        <f aca="false">IF(ISNUMBER(SEARCH("Demographic and Health",B1062)),"DHS",IF(OR(ISNUMBER(SEARCH("Multiple Indicator Cluster",B1062)),ISNUMBER(SEARCH("MICS",B1062))),"MICS",IF(ISNUMBER(SEARCH("Immunization Coverage Survey",B1062)),"Coverage survey",IF(ISNUMBER(SEARCH("Nutrition",B1062)),"Nutrition survey","Other"))))</f>
        <v>DHS</v>
      </c>
      <c r="D1062" s="7" t="n">
        <f aca="false">VALUE(LEFT(Raw_Nigeria!D1062,4))</f>
        <v>2023</v>
      </c>
      <c r="E1062" s="7" t="n">
        <f aca="false">IF(VALUE(RIGHT(Raw_Nigeria!D1062,2))&gt;12,"",VALUE(RIGHT(Raw_Nigeria!D1062,2)))</f>
        <v>12</v>
      </c>
      <c r="F1062" s="7" t="n">
        <f aca="false">VALUE(LEFT(Raw_Nigeria!E1062,4))</f>
        <v>2024</v>
      </c>
      <c r="G1062" s="7" t="n">
        <f aca="false">IF(VALUE(RIGHT(Raw_Nigeria!E1062,2))&gt;12,"",VALUE(RIGHT(Raw_Nigeria!E1062,2)))</f>
        <v>5</v>
      </c>
      <c r="H1062" s="7" t="n">
        <f aca="false">Raw_Nigeria!F1062</f>
        <v>2022</v>
      </c>
      <c r="I1062" s="7" t="str">
        <f aca="false">UPPER(TRIM(Raw_Nigeria!G1062))</f>
        <v>HEPBB</v>
      </c>
      <c r="J1062" s="7" t="str">
        <f aca="false">Raw_Nigeria!H1062</f>
        <v>Record</v>
      </c>
      <c r="K1062" s="7" t="str">
        <f aca="false">Raw_Nigeria!L1062</f>
        <v>12-23 m</v>
      </c>
      <c r="L1062" s="7" t="str">
        <f aca="false">IF(Raw_Nigeria!K1062="","n/a",Raw_Nigeria!K1062)</f>
        <v>0-23 m</v>
      </c>
      <c r="M1062" s="7" t="n">
        <f aca="false">IF(Raw_Nigeria!I1062="","",Raw_Nigeria!I1062)</f>
        <v>50.2</v>
      </c>
      <c r="N1062" s="7" t="n">
        <f aca="false">Raw_Nigeria!M1062</f>
        <v>6.7</v>
      </c>
      <c r="O1062" s="7" t="n">
        <f aca="false">IF(Raw_Nigeria!N1062="","",Raw_Nigeria!N1062)</f>
        <v>2572</v>
      </c>
      <c r="P1062" s="7" t="str">
        <f aca="false">IF(K1062="CBAW","Women of child-bearing age","Children")</f>
        <v>Children</v>
      </c>
      <c r="Q1062" s="7" t="n">
        <f aca="false">IF(J1062="NOT USED",1,0)</f>
        <v>0</v>
      </c>
      <c r="R1062" s="7" t="n">
        <f aca="false">IF(AND(P1062="Children",Q1062=0),1,0)</f>
        <v>1</v>
      </c>
      <c r="S1062" s="7" t="n">
        <f aca="false">IF(AND(R1062=1,J1062="Record or Recall",K1062="12-23 m"),1,0)</f>
        <v>0</v>
      </c>
      <c r="T1062" s="7" t="n">
        <f aca="false">IF(OR(I1062="BCG",I1062="DTP1",I1062="DTP3",I1062="POL3",I1062="MCV1",I1062="FULL"),1,0)</f>
        <v>0</v>
      </c>
      <c r="U1062" s="7" t="n">
        <f aca="false">IF(OR(C1062="DHS",C1062="MICS"),1,0)</f>
        <v>1</v>
      </c>
      <c r="V1062" s="7" t="n">
        <f aca="false">IF(O1062="",1,0)</f>
        <v>0</v>
      </c>
      <c r="W1062" s="7" t="n">
        <f aca="false">IF(M1062="",1,0)</f>
        <v>0</v>
      </c>
      <c r="X1062" s="7" t="n">
        <f aca="false">COUNTIFS($B$2:$B$1141,B1062,$H$2:$H$1141,H1062,$I$2:$I$1141,I1062,$J$2:$J$1141,J1062,$K$2:$K$1141,K1062,$L$2:$L$1141,L1062)</f>
        <v>1</v>
      </c>
    </row>
    <row r="1063" customFormat="false" ht="15" hidden="false" customHeight="false" outlineLevel="0" collapsed="false">
      <c r="A1063" s="7" t="n">
        <f aca="false">ROW()-1</f>
        <v>1062</v>
      </c>
      <c r="B1063" s="7" t="str">
        <f aca="false">IF(Raw_Nigeria!B1063="",TRIM(Raw_Nigeria!C1063),TRIM(Raw_Nigeria!B1063))</f>
        <v>Nigeria Demographic and Health Survey 2024</v>
      </c>
      <c r="C1063" s="7" t="str">
        <f aca="false">IF(ISNUMBER(SEARCH("Demographic and Health",B1063)),"DHS",IF(OR(ISNUMBER(SEARCH("Multiple Indicator Cluster",B1063)),ISNUMBER(SEARCH("MICS",B1063))),"MICS",IF(ISNUMBER(SEARCH("Immunization Coverage Survey",B1063)),"Coverage survey",IF(ISNUMBER(SEARCH("Nutrition",B1063)),"Nutrition survey","Other"))))</f>
        <v>DHS</v>
      </c>
      <c r="D1063" s="7" t="n">
        <f aca="false">VALUE(LEFT(Raw_Nigeria!D1063,4))</f>
        <v>2023</v>
      </c>
      <c r="E1063" s="7" t="n">
        <f aca="false">IF(VALUE(RIGHT(Raw_Nigeria!D1063,2))&gt;12,"",VALUE(RIGHT(Raw_Nigeria!D1063,2)))</f>
        <v>12</v>
      </c>
      <c r="F1063" s="7" t="n">
        <f aca="false">VALUE(LEFT(Raw_Nigeria!E1063,4))</f>
        <v>2024</v>
      </c>
      <c r="G1063" s="7" t="n">
        <f aca="false">IF(VALUE(RIGHT(Raw_Nigeria!E1063,2))&gt;12,"",VALUE(RIGHT(Raw_Nigeria!E1063,2)))</f>
        <v>5</v>
      </c>
      <c r="H1063" s="7" t="n">
        <f aca="false">Raw_Nigeria!F1063</f>
        <v>2022</v>
      </c>
      <c r="I1063" s="7" t="str">
        <f aca="false">UPPER(TRIM(Raw_Nigeria!G1063))</f>
        <v>HEPBB</v>
      </c>
      <c r="J1063" s="7" t="str">
        <f aca="false">Raw_Nigeria!H1063</f>
        <v>Record or Recall</v>
      </c>
      <c r="K1063" s="7" t="str">
        <f aca="false">Raw_Nigeria!L1063</f>
        <v>12-23 m</v>
      </c>
      <c r="L1063" s="7" t="str">
        <f aca="false">IF(Raw_Nigeria!K1063="","n/a",Raw_Nigeria!K1063)</f>
        <v>0-23 m</v>
      </c>
      <c r="M1063" s="7" t="n">
        <f aca="false">IF(Raw_Nigeria!I1063="","",Raw_Nigeria!I1063)</f>
        <v>50.2</v>
      </c>
      <c r="N1063" s="7" t="n">
        <f aca="false">Raw_Nigeria!M1063</f>
        <v>17.4</v>
      </c>
      <c r="O1063" s="7" t="n">
        <f aca="false">IF(Raw_Nigeria!N1063="","",Raw_Nigeria!N1063)</f>
        <v>5121</v>
      </c>
      <c r="P1063" s="7" t="str">
        <f aca="false">IF(K1063="CBAW","Women of child-bearing age","Children")</f>
        <v>Children</v>
      </c>
      <c r="Q1063" s="7" t="n">
        <f aca="false">IF(J1063="NOT USED",1,0)</f>
        <v>0</v>
      </c>
      <c r="R1063" s="7" t="n">
        <f aca="false">IF(AND(P1063="Children",Q1063=0),1,0)</f>
        <v>1</v>
      </c>
      <c r="S1063" s="7" t="n">
        <f aca="false">IF(AND(R1063=1,J1063="Record or Recall",K1063="12-23 m"),1,0)</f>
        <v>1</v>
      </c>
      <c r="T1063" s="7" t="n">
        <f aca="false">IF(OR(I1063="BCG",I1063="DTP1",I1063="DTP3",I1063="POL3",I1063="MCV1",I1063="FULL"),1,0)</f>
        <v>0</v>
      </c>
      <c r="U1063" s="7" t="n">
        <f aca="false">IF(OR(C1063="DHS",C1063="MICS"),1,0)</f>
        <v>1</v>
      </c>
      <c r="V1063" s="7" t="n">
        <f aca="false">IF(O1063="",1,0)</f>
        <v>0</v>
      </c>
      <c r="W1063" s="7" t="n">
        <f aca="false">IF(M1063="",1,0)</f>
        <v>0</v>
      </c>
      <c r="X1063" s="7" t="n">
        <f aca="false">COUNTIFS($B$2:$B$1141,B1063,$H$2:$H$1141,H1063,$I$2:$I$1141,I1063,$J$2:$J$1141,J1063,$K$2:$K$1141,K1063,$L$2:$L$1141,L1063)</f>
        <v>1</v>
      </c>
    </row>
    <row r="1064" customFormat="false" ht="15" hidden="false" customHeight="false" outlineLevel="0" collapsed="false">
      <c r="A1064" s="7" t="n">
        <f aca="false">ROW()-1</f>
        <v>1063</v>
      </c>
      <c r="B1064" s="7" t="str">
        <f aca="false">IF(Raw_Nigeria!B1064="",TRIM(Raw_Nigeria!C1064),TRIM(Raw_Nigeria!B1064))</f>
        <v>Nigeria Demographic and Health Survey 2024</v>
      </c>
      <c r="C1064" s="7" t="str">
        <f aca="false">IF(ISNUMBER(SEARCH("Demographic and Health",B1064)),"DHS",IF(OR(ISNUMBER(SEARCH("Multiple Indicator Cluster",B1064)),ISNUMBER(SEARCH("MICS",B1064))),"MICS",IF(ISNUMBER(SEARCH("Immunization Coverage Survey",B1064)),"Coverage survey",IF(ISNUMBER(SEARCH("Nutrition",B1064)),"Nutrition survey","Other"))))</f>
        <v>DHS</v>
      </c>
      <c r="D1064" s="7" t="n">
        <f aca="false">VALUE(LEFT(Raw_Nigeria!D1064,4))</f>
        <v>2023</v>
      </c>
      <c r="E1064" s="7" t="n">
        <f aca="false">IF(VALUE(RIGHT(Raw_Nigeria!D1064,2))&gt;12,"",VALUE(RIGHT(Raw_Nigeria!D1064,2)))</f>
        <v>12</v>
      </c>
      <c r="F1064" s="7" t="n">
        <f aca="false">VALUE(LEFT(Raw_Nigeria!E1064,4))</f>
        <v>2024</v>
      </c>
      <c r="G1064" s="7" t="n">
        <f aca="false">IF(VALUE(RIGHT(Raw_Nigeria!E1064,2))&gt;12,"",VALUE(RIGHT(Raw_Nigeria!E1064,2)))</f>
        <v>5</v>
      </c>
      <c r="H1064" s="7" t="n">
        <f aca="false">Raw_Nigeria!F1064</f>
        <v>2022</v>
      </c>
      <c r="I1064" s="7" t="str">
        <f aca="false">UPPER(TRIM(Raw_Nigeria!G1064))</f>
        <v>HIB1</v>
      </c>
      <c r="J1064" s="7" t="str">
        <f aca="false">Raw_Nigeria!H1064</f>
        <v>Recall</v>
      </c>
      <c r="K1064" s="7" t="str">
        <f aca="false">Raw_Nigeria!L1064</f>
        <v>12-23 m</v>
      </c>
      <c r="L1064" s="7" t="str">
        <f aca="false">IF(Raw_Nigeria!K1064="","n/a",Raw_Nigeria!K1064)</f>
        <v>0-23 m</v>
      </c>
      <c r="M1064" s="7" t="n">
        <f aca="false">IF(Raw_Nigeria!I1064="","",Raw_Nigeria!I1064)</f>
        <v>50.2</v>
      </c>
      <c r="N1064" s="7" t="n">
        <f aca="false">Raw_Nigeria!M1064</f>
        <v>15.4</v>
      </c>
      <c r="O1064" s="7" t="n">
        <f aca="false">IF(Raw_Nigeria!N1064="","",Raw_Nigeria!N1064)</f>
        <v>2549</v>
      </c>
      <c r="P1064" s="7" t="str">
        <f aca="false">IF(K1064="CBAW","Women of child-bearing age","Children")</f>
        <v>Children</v>
      </c>
      <c r="Q1064" s="7" t="n">
        <f aca="false">IF(J1064="NOT USED",1,0)</f>
        <v>0</v>
      </c>
      <c r="R1064" s="7" t="n">
        <f aca="false">IF(AND(P1064="Children",Q1064=0),1,0)</f>
        <v>1</v>
      </c>
      <c r="S1064" s="7" t="n">
        <f aca="false">IF(AND(R1064=1,J1064="Record or Recall",K1064="12-23 m"),1,0)</f>
        <v>0</v>
      </c>
      <c r="T1064" s="7" t="n">
        <f aca="false">IF(OR(I1064="BCG",I1064="DTP1",I1064="DTP3",I1064="POL3",I1064="MCV1",I1064="FULL"),1,0)</f>
        <v>0</v>
      </c>
      <c r="U1064" s="7" t="n">
        <f aca="false">IF(OR(C1064="DHS",C1064="MICS"),1,0)</f>
        <v>1</v>
      </c>
      <c r="V1064" s="7" t="n">
        <f aca="false">IF(O1064="",1,0)</f>
        <v>0</v>
      </c>
      <c r="W1064" s="7" t="n">
        <f aca="false">IF(M1064="",1,0)</f>
        <v>0</v>
      </c>
      <c r="X1064" s="7" t="n">
        <f aca="false">COUNTIFS($B$2:$B$1141,B1064,$H$2:$H$1141,H1064,$I$2:$I$1141,I1064,$J$2:$J$1141,J1064,$K$2:$K$1141,K1064,$L$2:$L$1141,L1064)</f>
        <v>1</v>
      </c>
    </row>
    <row r="1065" customFormat="false" ht="15" hidden="false" customHeight="false" outlineLevel="0" collapsed="false">
      <c r="A1065" s="7" t="n">
        <f aca="false">ROW()-1</f>
        <v>1064</v>
      </c>
      <c r="B1065" s="7" t="str">
        <f aca="false">IF(Raw_Nigeria!B1065="",TRIM(Raw_Nigeria!C1065),TRIM(Raw_Nigeria!B1065))</f>
        <v>Nigeria Demographic and Health Survey 2024</v>
      </c>
      <c r="C1065" s="7" t="str">
        <f aca="false">IF(ISNUMBER(SEARCH("Demographic and Health",B1065)),"DHS",IF(OR(ISNUMBER(SEARCH("Multiple Indicator Cluster",B1065)),ISNUMBER(SEARCH("MICS",B1065))),"MICS",IF(ISNUMBER(SEARCH("Immunization Coverage Survey",B1065)),"Coverage survey",IF(ISNUMBER(SEARCH("Nutrition",B1065)),"Nutrition survey","Other"))))</f>
        <v>DHS</v>
      </c>
      <c r="D1065" s="7" t="n">
        <f aca="false">VALUE(LEFT(Raw_Nigeria!D1065,4))</f>
        <v>2023</v>
      </c>
      <c r="E1065" s="7" t="n">
        <f aca="false">IF(VALUE(RIGHT(Raw_Nigeria!D1065,2))&gt;12,"",VALUE(RIGHT(Raw_Nigeria!D1065,2)))</f>
        <v>12</v>
      </c>
      <c r="F1065" s="7" t="n">
        <f aca="false">VALUE(LEFT(Raw_Nigeria!E1065,4))</f>
        <v>2024</v>
      </c>
      <c r="G1065" s="7" t="n">
        <f aca="false">IF(VALUE(RIGHT(Raw_Nigeria!E1065,2))&gt;12,"",VALUE(RIGHT(Raw_Nigeria!E1065,2)))</f>
        <v>5</v>
      </c>
      <c r="H1065" s="7" t="n">
        <f aca="false">Raw_Nigeria!F1065</f>
        <v>2022</v>
      </c>
      <c r="I1065" s="7" t="str">
        <f aca="false">UPPER(TRIM(Raw_Nigeria!G1065))</f>
        <v>HIB1</v>
      </c>
      <c r="J1065" s="7" t="str">
        <f aca="false">Raw_Nigeria!H1065</f>
        <v>Record</v>
      </c>
      <c r="K1065" s="7" t="str">
        <f aca="false">Raw_Nigeria!L1065</f>
        <v>12-23 m</v>
      </c>
      <c r="L1065" s="7" t="str">
        <f aca="false">IF(Raw_Nigeria!K1065="","n/a",Raw_Nigeria!K1065)</f>
        <v>0-23 m</v>
      </c>
      <c r="M1065" s="7" t="n">
        <f aca="false">IF(Raw_Nigeria!I1065="","",Raw_Nigeria!I1065)</f>
        <v>50.2</v>
      </c>
      <c r="N1065" s="7" t="n">
        <f aca="false">Raw_Nigeria!M1065</f>
        <v>47.5</v>
      </c>
      <c r="O1065" s="7" t="n">
        <f aca="false">IF(Raw_Nigeria!N1065="","",Raw_Nigeria!N1065)</f>
        <v>2572</v>
      </c>
      <c r="P1065" s="7" t="str">
        <f aca="false">IF(K1065="CBAW","Women of child-bearing age","Children")</f>
        <v>Children</v>
      </c>
      <c r="Q1065" s="7" t="n">
        <f aca="false">IF(J1065="NOT USED",1,0)</f>
        <v>0</v>
      </c>
      <c r="R1065" s="7" t="n">
        <f aca="false">IF(AND(P1065="Children",Q1065=0),1,0)</f>
        <v>1</v>
      </c>
      <c r="S1065" s="7" t="n">
        <f aca="false">IF(AND(R1065=1,J1065="Record or Recall",K1065="12-23 m"),1,0)</f>
        <v>0</v>
      </c>
      <c r="T1065" s="7" t="n">
        <f aca="false">IF(OR(I1065="BCG",I1065="DTP1",I1065="DTP3",I1065="POL3",I1065="MCV1",I1065="FULL"),1,0)</f>
        <v>0</v>
      </c>
      <c r="U1065" s="7" t="n">
        <f aca="false">IF(OR(C1065="DHS",C1065="MICS"),1,0)</f>
        <v>1</v>
      </c>
      <c r="V1065" s="7" t="n">
        <f aca="false">IF(O1065="",1,0)</f>
        <v>0</v>
      </c>
      <c r="W1065" s="7" t="n">
        <f aca="false">IF(M1065="",1,0)</f>
        <v>0</v>
      </c>
      <c r="X1065" s="7" t="n">
        <f aca="false">COUNTIFS($B$2:$B$1141,B1065,$H$2:$H$1141,H1065,$I$2:$I$1141,I1065,$J$2:$J$1141,J1065,$K$2:$K$1141,K1065,$L$2:$L$1141,L1065)</f>
        <v>1</v>
      </c>
    </row>
    <row r="1066" customFormat="false" ht="15" hidden="false" customHeight="false" outlineLevel="0" collapsed="false">
      <c r="A1066" s="7" t="n">
        <f aca="false">ROW()-1</f>
        <v>1065</v>
      </c>
      <c r="B1066" s="7" t="str">
        <f aca="false">IF(Raw_Nigeria!B1066="",TRIM(Raw_Nigeria!C1066),TRIM(Raw_Nigeria!B1066))</f>
        <v>Nigeria Demographic and Health Survey 2024</v>
      </c>
      <c r="C1066" s="7" t="str">
        <f aca="false">IF(ISNUMBER(SEARCH("Demographic and Health",B1066)),"DHS",IF(OR(ISNUMBER(SEARCH("Multiple Indicator Cluster",B1066)),ISNUMBER(SEARCH("MICS",B1066))),"MICS",IF(ISNUMBER(SEARCH("Immunization Coverage Survey",B1066)),"Coverage survey",IF(ISNUMBER(SEARCH("Nutrition",B1066)),"Nutrition survey","Other"))))</f>
        <v>DHS</v>
      </c>
      <c r="D1066" s="7" t="n">
        <f aca="false">VALUE(LEFT(Raw_Nigeria!D1066,4))</f>
        <v>2023</v>
      </c>
      <c r="E1066" s="7" t="n">
        <f aca="false">IF(VALUE(RIGHT(Raw_Nigeria!D1066,2))&gt;12,"",VALUE(RIGHT(Raw_Nigeria!D1066,2)))</f>
        <v>12</v>
      </c>
      <c r="F1066" s="7" t="n">
        <f aca="false">VALUE(LEFT(Raw_Nigeria!E1066,4))</f>
        <v>2024</v>
      </c>
      <c r="G1066" s="7" t="n">
        <f aca="false">IF(VALUE(RIGHT(Raw_Nigeria!E1066,2))&gt;12,"",VALUE(RIGHT(Raw_Nigeria!E1066,2)))</f>
        <v>5</v>
      </c>
      <c r="H1066" s="7" t="n">
        <f aca="false">Raw_Nigeria!F1066</f>
        <v>2022</v>
      </c>
      <c r="I1066" s="7" t="str">
        <f aca="false">UPPER(TRIM(Raw_Nigeria!G1066))</f>
        <v>HIB1</v>
      </c>
      <c r="J1066" s="7" t="str">
        <f aca="false">Raw_Nigeria!H1066</f>
        <v>Record or Recall</v>
      </c>
      <c r="K1066" s="7" t="str">
        <f aca="false">Raw_Nigeria!L1066</f>
        <v>12-23 m</v>
      </c>
      <c r="L1066" s="7" t="str">
        <f aca="false">IF(Raw_Nigeria!K1066="","n/a",Raw_Nigeria!K1066)</f>
        <v>0-23 m</v>
      </c>
      <c r="M1066" s="7" t="n">
        <f aca="false">IF(Raw_Nigeria!I1066="","",Raw_Nigeria!I1066)</f>
        <v>50.2</v>
      </c>
      <c r="N1066" s="7" t="n">
        <f aca="false">Raw_Nigeria!M1066</f>
        <v>62.9</v>
      </c>
      <c r="O1066" s="7" t="n">
        <f aca="false">IF(Raw_Nigeria!N1066="","",Raw_Nigeria!N1066)</f>
        <v>5121</v>
      </c>
      <c r="P1066" s="7" t="str">
        <f aca="false">IF(K1066="CBAW","Women of child-bearing age","Children")</f>
        <v>Children</v>
      </c>
      <c r="Q1066" s="7" t="n">
        <f aca="false">IF(J1066="NOT USED",1,0)</f>
        <v>0</v>
      </c>
      <c r="R1066" s="7" t="n">
        <f aca="false">IF(AND(P1066="Children",Q1066=0),1,0)</f>
        <v>1</v>
      </c>
      <c r="S1066" s="7" t="n">
        <f aca="false">IF(AND(R1066=1,J1066="Record or Recall",K1066="12-23 m"),1,0)</f>
        <v>1</v>
      </c>
      <c r="T1066" s="7" t="n">
        <f aca="false">IF(OR(I1066="BCG",I1066="DTP1",I1066="DTP3",I1066="POL3",I1066="MCV1",I1066="FULL"),1,0)</f>
        <v>0</v>
      </c>
      <c r="U1066" s="7" t="n">
        <f aca="false">IF(OR(C1066="DHS",C1066="MICS"),1,0)</f>
        <v>1</v>
      </c>
      <c r="V1066" s="7" t="n">
        <f aca="false">IF(O1066="",1,0)</f>
        <v>0</v>
      </c>
      <c r="W1066" s="7" t="n">
        <f aca="false">IF(M1066="",1,0)</f>
        <v>0</v>
      </c>
      <c r="X1066" s="7" t="n">
        <f aca="false">COUNTIFS($B$2:$B$1141,B1066,$H$2:$H$1141,H1066,$I$2:$I$1141,I1066,$J$2:$J$1141,J1066,$K$2:$K$1141,K1066,$L$2:$L$1141,L1066)</f>
        <v>1</v>
      </c>
    </row>
    <row r="1067" customFormat="false" ht="15" hidden="false" customHeight="false" outlineLevel="0" collapsed="false">
      <c r="A1067" s="7" t="n">
        <f aca="false">ROW()-1</f>
        <v>1066</v>
      </c>
      <c r="B1067" s="7" t="str">
        <f aca="false">IF(Raw_Nigeria!B1067="",TRIM(Raw_Nigeria!C1067),TRIM(Raw_Nigeria!B1067))</f>
        <v>Nigeria Demographic and Health Survey 2024</v>
      </c>
      <c r="C1067" s="7" t="str">
        <f aca="false">IF(ISNUMBER(SEARCH("Demographic and Health",B1067)),"DHS",IF(OR(ISNUMBER(SEARCH("Multiple Indicator Cluster",B1067)),ISNUMBER(SEARCH("MICS",B1067))),"MICS",IF(ISNUMBER(SEARCH("Immunization Coverage Survey",B1067)),"Coverage survey",IF(ISNUMBER(SEARCH("Nutrition",B1067)),"Nutrition survey","Other"))))</f>
        <v>DHS</v>
      </c>
      <c r="D1067" s="7" t="n">
        <f aca="false">VALUE(LEFT(Raw_Nigeria!D1067,4))</f>
        <v>2023</v>
      </c>
      <c r="E1067" s="7" t="n">
        <f aca="false">IF(VALUE(RIGHT(Raw_Nigeria!D1067,2))&gt;12,"",VALUE(RIGHT(Raw_Nigeria!D1067,2)))</f>
        <v>12</v>
      </c>
      <c r="F1067" s="7" t="n">
        <f aca="false">VALUE(LEFT(Raw_Nigeria!E1067,4))</f>
        <v>2024</v>
      </c>
      <c r="G1067" s="7" t="n">
        <f aca="false">IF(VALUE(RIGHT(Raw_Nigeria!E1067,2))&gt;12,"",VALUE(RIGHT(Raw_Nigeria!E1067,2)))</f>
        <v>5</v>
      </c>
      <c r="H1067" s="7" t="n">
        <f aca="false">Raw_Nigeria!F1067</f>
        <v>2022</v>
      </c>
      <c r="I1067" s="7" t="str">
        <f aca="false">UPPER(TRIM(Raw_Nigeria!G1067))</f>
        <v>HIB1</v>
      </c>
      <c r="J1067" s="7" t="str">
        <f aca="false">Raw_Nigeria!H1067</f>
        <v>Record or Recall&lt;12m</v>
      </c>
      <c r="K1067" s="7" t="str">
        <f aca="false">Raw_Nigeria!L1067</f>
        <v>12-23 m</v>
      </c>
      <c r="L1067" s="7" t="str">
        <f aca="false">IF(Raw_Nigeria!K1067="","n/a",Raw_Nigeria!K1067)</f>
        <v>0-12 m</v>
      </c>
      <c r="M1067" s="7" t="n">
        <f aca="false">IF(Raw_Nigeria!I1067="","",Raw_Nigeria!I1067)</f>
        <v>50.2</v>
      </c>
      <c r="N1067" s="7" t="n">
        <f aca="false">Raw_Nigeria!M1067</f>
        <v>62</v>
      </c>
      <c r="O1067" s="7" t="n">
        <f aca="false">IF(Raw_Nigeria!N1067="","",Raw_Nigeria!N1067)</f>
        <v>5121</v>
      </c>
      <c r="P1067" s="7" t="str">
        <f aca="false">IF(K1067="CBAW","Women of child-bearing age","Children")</f>
        <v>Children</v>
      </c>
      <c r="Q1067" s="7" t="n">
        <f aca="false">IF(J1067="NOT USED",1,0)</f>
        <v>0</v>
      </c>
      <c r="R1067" s="7" t="n">
        <f aca="false">IF(AND(P1067="Children",Q1067=0),1,0)</f>
        <v>1</v>
      </c>
      <c r="S1067" s="7" t="n">
        <f aca="false">IF(AND(R1067=1,J1067="Record or Recall",K1067="12-23 m"),1,0)</f>
        <v>0</v>
      </c>
      <c r="T1067" s="7" t="n">
        <f aca="false">IF(OR(I1067="BCG",I1067="DTP1",I1067="DTP3",I1067="POL3",I1067="MCV1",I1067="FULL"),1,0)</f>
        <v>0</v>
      </c>
      <c r="U1067" s="7" t="n">
        <f aca="false">IF(OR(C1067="DHS",C1067="MICS"),1,0)</f>
        <v>1</v>
      </c>
      <c r="V1067" s="7" t="n">
        <f aca="false">IF(O1067="",1,0)</f>
        <v>0</v>
      </c>
      <c r="W1067" s="7" t="n">
        <f aca="false">IF(M1067="",1,0)</f>
        <v>0</v>
      </c>
      <c r="X1067" s="7" t="n">
        <f aca="false">COUNTIFS($B$2:$B$1141,B1067,$H$2:$H$1141,H1067,$I$2:$I$1141,I1067,$J$2:$J$1141,J1067,$K$2:$K$1141,K1067,$L$2:$L$1141,L1067)</f>
        <v>1</v>
      </c>
    </row>
    <row r="1068" customFormat="false" ht="15" hidden="false" customHeight="false" outlineLevel="0" collapsed="false">
      <c r="A1068" s="7" t="n">
        <f aca="false">ROW()-1</f>
        <v>1067</v>
      </c>
      <c r="B1068" s="7" t="str">
        <f aca="false">IF(Raw_Nigeria!B1068="",TRIM(Raw_Nigeria!C1068),TRIM(Raw_Nigeria!B1068))</f>
        <v>Nigeria Demographic and Health Survey 2024</v>
      </c>
      <c r="C1068" s="7" t="str">
        <f aca="false">IF(ISNUMBER(SEARCH("Demographic and Health",B1068)),"DHS",IF(OR(ISNUMBER(SEARCH("Multiple Indicator Cluster",B1068)),ISNUMBER(SEARCH("MICS",B1068))),"MICS",IF(ISNUMBER(SEARCH("Immunization Coverage Survey",B1068)),"Coverage survey",IF(ISNUMBER(SEARCH("Nutrition",B1068)),"Nutrition survey","Other"))))</f>
        <v>DHS</v>
      </c>
      <c r="D1068" s="7" t="n">
        <f aca="false">VALUE(LEFT(Raw_Nigeria!D1068,4))</f>
        <v>2023</v>
      </c>
      <c r="E1068" s="7" t="n">
        <f aca="false">IF(VALUE(RIGHT(Raw_Nigeria!D1068,2))&gt;12,"",VALUE(RIGHT(Raw_Nigeria!D1068,2)))</f>
        <v>12</v>
      </c>
      <c r="F1068" s="7" t="n">
        <f aca="false">VALUE(LEFT(Raw_Nigeria!E1068,4))</f>
        <v>2024</v>
      </c>
      <c r="G1068" s="7" t="n">
        <f aca="false">IF(VALUE(RIGHT(Raw_Nigeria!E1068,2))&gt;12,"",VALUE(RIGHT(Raw_Nigeria!E1068,2)))</f>
        <v>5</v>
      </c>
      <c r="H1068" s="7" t="n">
        <f aca="false">Raw_Nigeria!F1068</f>
        <v>2022</v>
      </c>
      <c r="I1068" s="7" t="str">
        <f aca="false">UPPER(TRIM(Raw_Nigeria!G1068))</f>
        <v>HIB2</v>
      </c>
      <c r="J1068" s="7" t="str">
        <f aca="false">Raw_Nigeria!H1068</f>
        <v>Recall</v>
      </c>
      <c r="K1068" s="7" t="str">
        <f aca="false">Raw_Nigeria!L1068</f>
        <v>12-23 m</v>
      </c>
      <c r="L1068" s="7" t="str">
        <f aca="false">IF(Raw_Nigeria!K1068="","n/a",Raw_Nigeria!K1068)</f>
        <v>0-23 m</v>
      </c>
      <c r="M1068" s="7" t="n">
        <f aca="false">IF(Raw_Nigeria!I1068="","",Raw_Nigeria!I1068)</f>
        <v>50.2</v>
      </c>
      <c r="N1068" s="7" t="n">
        <f aca="false">Raw_Nigeria!M1068</f>
        <v>14.8</v>
      </c>
      <c r="O1068" s="7" t="n">
        <f aca="false">IF(Raw_Nigeria!N1068="","",Raw_Nigeria!N1068)</f>
        <v>2549</v>
      </c>
      <c r="P1068" s="7" t="str">
        <f aca="false">IF(K1068="CBAW","Women of child-bearing age","Children")</f>
        <v>Children</v>
      </c>
      <c r="Q1068" s="7" t="n">
        <f aca="false">IF(J1068="NOT USED",1,0)</f>
        <v>0</v>
      </c>
      <c r="R1068" s="7" t="n">
        <f aca="false">IF(AND(P1068="Children",Q1068=0),1,0)</f>
        <v>1</v>
      </c>
      <c r="S1068" s="7" t="n">
        <f aca="false">IF(AND(R1068=1,J1068="Record or Recall",K1068="12-23 m"),1,0)</f>
        <v>0</v>
      </c>
      <c r="T1068" s="7" t="n">
        <f aca="false">IF(OR(I1068="BCG",I1068="DTP1",I1068="DTP3",I1068="POL3",I1068="MCV1",I1068="FULL"),1,0)</f>
        <v>0</v>
      </c>
      <c r="U1068" s="7" t="n">
        <f aca="false">IF(OR(C1068="DHS",C1068="MICS"),1,0)</f>
        <v>1</v>
      </c>
      <c r="V1068" s="7" t="n">
        <f aca="false">IF(O1068="",1,0)</f>
        <v>0</v>
      </c>
      <c r="W1068" s="7" t="n">
        <f aca="false">IF(M1068="",1,0)</f>
        <v>0</v>
      </c>
      <c r="X1068" s="7" t="n">
        <f aca="false">COUNTIFS($B$2:$B$1141,B1068,$H$2:$H$1141,H1068,$I$2:$I$1141,I1068,$J$2:$J$1141,J1068,$K$2:$K$1141,K1068,$L$2:$L$1141,L1068)</f>
        <v>1</v>
      </c>
    </row>
    <row r="1069" customFormat="false" ht="15" hidden="false" customHeight="false" outlineLevel="0" collapsed="false">
      <c r="A1069" s="7" t="n">
        <f aca="false">ROW()-1</f>
        <v>1068</v>
      </c>
      <c r="B1069" s="7" t="str">
        <f aca="false">IF(Raw_Nigeria!B1069="",TRIM(Raw_Nigeria!C1069),TRIM(Raw_Nigeria!B1069))</f>
        <v>Nigeria Demographic and Health Survey 2024</v>
      </c>
      <c r="C1069" s="7" t="str">
        <f aca="false">IF(ISNUMBER(SEARCH("Demographic and Health",B1069)),"DHS",IF(OR(ISNUMBER(SEARCH("Multiple Indicator Cluster",B1069)),ISNUMBER(SEARCH("MICS",B1069))),"MICS",IF(ISNUMBER(SEARCH("Immunization Coverage Survey",B1069)),"Coverage survey",IF(ISNUMBER(SEARCH("Nutrition",B1069)),"Nutrition survey","Other"))))</f>
        <v>DHS</v>
      </c>
      <c r="D1069" s="7" t="n">
        <f aca="false">VALUE(LEFT(Raw_Nigeria!D1069,4))</f>
        <v>2023</v>
      </c>
      <c r="E1069" s="7" t="n">
        <f aca="false">IF(VALUE(RIGHT(Raw_Nigeria!D1069,2))&gt;12,"",VALUE(RIGHT(Raw_Nigeria!D1069,2)))</f>
        <v>12</v>
      </c>
      <c r="F1069" s="7" t="n">
        <f aca="false">VALUE(LEFT(Raw_Nigeria!E1069,4))</f>
        <v>2024</v>
      </c>
      <c r="G1069" s="7" t="n">
        <f aca="false">IF(VALUE(RIGHT(Raw_Nigeria!E1069,2))&gt;12,"",VALUE(RIGHT(Raw_Nigeria!E1069,2)))</f>
        <v>5</v>
      </c>
      <c r="H1069" s="7" t="n">
        <f aca="false">Raw_Nigeria!F1069</f>
        <v>2022</v>
      </c>
      <c r="I1069" s="7" t="str">
        <f aca="false">UPPER(TRIM(Raw_Nigeria!G1069))</f>
        <v>HIB2</v>
      </c>
      <c r="J1069" s="7" t="str">
        <f aca="false">Raw_Nigeria!H1069</f>
        <v>Record</v>
      </c>
      <c r="K1069" s="7" t="str">
        <f aca="false">Raw_Nigeria!L1069</f>
        <v>12-23 m</v>
      </c>
      <c r="L1069" s="7" t="str">
        <f aca="false">IF(Raw_Nigeria!K1069="","n/a",Raw_Nigeria!K1069)</f>
        <v>0-23 m</v>
      </c>
      <c r="M1069" s="7" t="n">
        <f aca="false">IF(Raw_Nigeria!I1069="","",Raw_Nigeria!I1069)</f>
        <v>50.2</v>
      </c>
      <c r="N1069" s="7" t="n">
        <f aca="false">Raw_Nigeria!M1069</f>
        <v>45</v>
      </c>
      <c r="O1069" s="7" t="n">
        <f aca="false">IF(Raw_Nigeria!N1069="","",Raw_Nigeria!N1069)</f>
        <v>2572</v>
      </c>
      <c r="P1069" s="7" t="str">
        <f aca="false">IF(K1069="CBAW","Women of child-bearing age","Children")</f>
        <v>Children</v>
      </c>
      <c r="Q1069" s="7" t="n">
        <f aca="false">IF(J1069="NOT USED",1,0)</f>
        <v>0</v>
      </c>
      <c r="R1069" s="7" t="n">
        <f aca="false">IF(AND(P1069="Children",Q1069=0),1,0)</f>
        <v>1</v>
      </c>
      <c r="S1069" s="7" t="n">
        <f aca="false">IF(AND(R1069=1,J1069="Record or Recall",K1069="12-23 m"),1,0)</f>
        <v>0</v>
      </c>
      <c r="T1069" s="7" t="n">
        <f aca="false">IF(OR(I1069="BCG",I1069="DTP1",I1069="DTP3",I1069="POL3",I1069="MCV1",I1069="FULL"),1,0)</f>
        <v>0</v>
      </c>
      <c r="U1069" s="7" t="n">
        <f aca="false">IF(OR(C1069="DHS",C1069="MICS"),1,0)</f>
        <v>1</v>
      </c>
      <c r="V1069" s="7" t="n">
        <f aca="false">IF(O1069="",1,0)</f>
        <v>0</v>
      </c>
      <c r="W1069" s="7" t="n">
        <f aca="false">IF(M1069="",1,0)</f>
        <v>0</v>
      </c>
      <c r="X1069" s="7" t="n">
        <f aca="false">COUNTIFS($B$2:$B$1141,B1069,$H$2:$H$1141,H1069,$I$2:$I$1141,I1069,$J$2:$J$1141,J1069,$K$2:$K$1141,K1069,$L$2:$L$1141,L1069)</f>
        <v>1</v>
      </c>
    </row>
    <row r="1070" customFormat="false" ht="15" hidden="false" customHeight="false" outlineLevel="0" collapsed="false">
      <c r="A1070" s="7" t="n">
        <f aca="false">ROW()-1</f>
        <v>1069</v>
      </c>
      <c r="B1070" s="7" t="str">
        <f aca="false">IF(Raw_Nigeria!B1070="",TRIM(Raw_Nigeria!C1070),TRIM(Raw_Nigeria!B1070))</f>
        <v>Nigeria Demographic and Health Survey 2024</v>
      </c>
      <c r="C1070" s="7" t="str">
        <f aca="false">IF(ISNUMBER(SEARCH("Demographic and Health",B1070)),"DHS",IF(OR(ISNUMBER(SEARCH("Multiple Indicator Cluster",B1070)),ISNUMBER(SEARCH("MICS",B1070))),"MICS",IF(ISNUMBER(SEARCH("Immunization Coverage Survey",B1070)),"Coverage survey",IF(ISNUMBER(SEARCH("Nutrition",B1070)),"Nutrition survey","Other"))))</f>
        <v>DHS</v>
      </c>
      <c r="D1070" s="7" t="n">
        <f aca="false">VALUE(LEFT(Raw_Nigeria!D1070,4))</f>
        <v>2023</v>
      </c>
      <c r="E1070" s="7" t="n">
        <f aca="false">IF(VALUE(RIGHT(Raw_Nigeria!D1070,2))&gt;12,"",VALUE(RIGHT(Raw_Nigeria!D1070,2)))</f>
        <v>12</v>
      </c>
      <c r="F1070" s="7" t="n">
        <f aca="false">VALUE(LEFT(Raw_Nigeria!E1070,4))</f>
        <v>2024</v>
      </c>
      <c r="G1070" s="7" t="n">
        <f aca="false">IF(VALUE(RIGHT(Raw_Nigeria!E1070,2))&gt;12,"",VALUE(RIGHT(Raw_Nigeria!E1070,2)))</f>
        <v>5</v>
      </c>
      <c r="H1070" s="7" t="n">
        <f aca="false">Raw_Nigeria!F1070</f>
        <v>2022</v>
      </c>
      <c r="I1070" s="7" t="str">
        <f aca="false">UPPER(TRIM(Raw_Nigeria!G1070))</f>
        <v>HIB2</v>
      </c>
      <c r="J1070" s="7" t="str">
        <f aca="false">Raw_Nigeria!H1070</f>
        <v>Record or Recall</v>
      </c>
      <c r="K1070" s="7" t="str">
        <f aca="false">Raw_Nigeria!L1070</f>
        <v>12-23 m</v>
      </c>
      <c r="L1070" s="7" t="str">
        <f aca="false">IF(Raw_Nigeria!K1070="","n/a",Raw_Nigeria!K1070)</f>
        <v>0-23 m</v>
      </c>
      <c r="M1070" s="7" t="n">
        <f aca="false">IF(Raw_Nigeria!I1070="","",Raw_Nigeria!I1070)</f>
        <v>50.2</v>
      </c>
      <c r="N1070" s="7" t="n">
        <f aca="false">Raw_Nigeria!M1070</f>
        <v>59.8</v>
      </c>
      <c r="O1070" s="7" t="n">
        <f aca="false">IF(Raw_Nigeria!N1070="","",Raw_Nigeria!N1070)</f>
        <v>5121</v>
      </c>
      <c r="P1070" s="7" t="str">
        <f aca="false">IF(K1070="CBAW","Women of child-bearing age","Children")</f>
        <v>Children</v>
      </c>
      <c r="Q1070" s="7" t="n">
        <f aca="false">IF(J1070="NOT USED",1,0)</f>
        <v>0</v>
      </c>
      <c r="R1070" s="7" t="n">
        <f aca="false">IF(AND(P1070="Children",Q1070=0),1,0)</f>
        <v>1</v>
      </c>
      <c r="S1070" s="7" t="n">
        <f aca="false">IF(AND(R1070=1,J1070="Record or Recall",K1070="12-23 m"),1,0)</f>
        <v>1</v>
      </c>
      <c r="T1070" s="7" t="n">
        <f aca="false">IF(OR(I1070="BCG",I1070="DTP1",I1070="DTP3",I1070="POL3",I1070="MCV1",I1070="FULL"),1,0)</f>
        <v>0</v>
      </c>
      <c r="U1070" s="7" t="n">
        <f aca="false">IF(OR(C1070="DHS",C1070="MICS"),1,0)</f>
        <v>1</v>
      </c>
      <c r="V1070" s="7" t="n">
        <f aca="false">IF(O1070="",1,0)</f>
        <v>0</v>
      </c>
      <c r="W1070" s="7" t="n">
        <f aca="false">IF(M1070="",1,0)</f>
        <v>0</v>
      </c>
      <c r="X1070" s="7" t="n">
        <f aca="false">COUNTIFS($B$2:$B$1141,B1070,$H$2:$H$1141,H1070,$I$2:$I$1141,I1070,$J$2:$J$1141,J1070,$K$2:$K$1141,K1070,$L$2:$L$1141,L1070)</f>
        <v>1</v>
      </c>
    </row>
    <row r="1071" customFormat="false" ht="15" hidden="false" customHeight="false" outlineLevel="0" collapsed="false">
      <c r="A1071" s="7" t="n">
        <f aca="false">ROW()-1</f>
        <v>1070</v>
      </c>
      <c r="B1071" s="7" t="str">
        <f aca="false">IF(Raw_Nigeria!B1071="",TRIM(Raw_Nigeria!C1071),TRIM(Raw_Nigeria!B1071))</f>
        <v>Nigeria Demographic and Health Survey 2024</v>
      </c>
      <c r="C1071" s="7" t="str">
        <f aca="false">IF(ISNUMBER(SEARCH("Demographic and Health",B1071)),"DHS",IF(OR(ISNUMBER(SEARCH("Multiple Indicator Cluster",B1071)),ISNUMBER(SEARCH("MICS",B1071))),"MICS",IF(ISNUMBER(SEARCH("Immunization Coverage Survey",B1071)),"Coverage survey",IF(ISNUMBER(SEARCH("Nutrition",B1071)),"Nutrition survey","Other"))))</f>
        <v>DHS</v>
      </c>
      <c r="D1071" s="7" t="n">
        <f aca="false">VALUE(LEFT(Raw_Nigeria!D1071,4))</f>
        <v>2023</v>
      </c>
      <c r="E1071" s="7" t="n">
        <f aca="false">IF(VALUE(RIGHT(Raw_Nigeria!D1071,2))&gt;12,"",VALUE(RIGHT(Raw_Nigeria!D1071,2)))</f>
        <v>12</v>
      </c>
      <c r="F1071" s="7" t="n">
        <f aca="false">VALUE(LEFT(Raw_Nigeria!E1071,4))</f>
        <v>2024</v>
      </c>
      <c r="G1071" s="7" t="n">
        <f aca="false">IF(VALUE(RIGHT(Raw_Nigeria!E1071,2))&gt;12,"",VALUE(RIGHT(Raw_Nigeria!E1071,2)))</f>
        <v>5</v>
      </c>
      <c r="H1071" s="7" t="n">
        <f aca="false">Raw_Nigeria!F1071</f>
        <v>2022</v>
      </c>
      <c r="I1071" s="7" t="str">
        <f aca="false">UPPER(TRIM(Raw_Nigeria!G1071))</f>
        <v>HIB2</v>
      </c>
      <c r="J1071" s="7" t="str">
        <f aca="false">Raw_Nigeria!H1071</f>
        <v>Record or Recall&lt;12m</v>
      </c>
      <c r="K1071" s="7" t="str">
        <f aca="false">Raw_Nigeria!L1071</f>
        <v>12-23 m</v>
      </c>
      <c r="L1071" s="7" t="str">
        <f aca="false">IF(Raw_Nigeria!K1071="","n/a",Raw_Nigeria!K1071)</f>
        <v>0-12 m</v>
      </c>
      <c r="M1071" s="7" t="n">
        <f aca="false">IF(Raw_Nigeria!I1071="","",Raw_Nigeria!I1071)</f>
        <v>50.2</v>
      </c>
      <c r="N1071" s="7" t="n">
        <f aca="false">Raw_Nigeria!M1071</f>
        <v>58.7</v>
      </c>
      <c r="O1071" s="7" t="n">
        <f aca="false">IF(Raw_Nigeria!N1071="","",Raw_Nigeria!N1071)</f>
        <v>5121</v>
      </c>
      <c r="P1071" s="7" t="str">
        <f aca="false">IF(K1071="CBAW","Women of child-bearing age","Children")</f>
        <v>Children</v>
      </c>
      <c r="Q1071" s="7" t="n">
        <f aca="false">IF(J1071="NOT USED",1,0)</f>
        <v>0</v>
      </c>
      <c r="R1071" s="7" t="n">
        <f aca="false">IF(AND(P1071="Children",Q1071=0),1,0)</f>
        <v>1</v>
      </c>
      <c r="S1071" s="7" t="n">
        <f aca="false">IF(AND(R1071=1,J1071="Record or Recall",K1071="12-23 m"),1,0)</f>
        <v>0</v>
      </c>
      <c r="T1071" s="7" t="n">
        <f aca="false">IF(OR(I1071="BCG",I1071="DTP1",I1071="DTP3",I1071="POL3",I1071="MCV1",I1071="FULL"),1,0)</f>
        <v>0</v>
      </c>
      <c r="U1071" s="7" t="n">
        <f aca="false">IF(OR(C1071="DHS",C1071="MICS"),1,0)</f>
        <v>1</v>
      </c>
      <c r="V1071" s="7" t="n">
        <f aca="false">IF(O1071="",1,0)</f>
        <v>0</v>
      </c>
      <c r="W1071" s="7" t="n">
        <f aca="false">IF(M1071="",1,0)</f>
        <v>0</v>
      </c>
      <c r="X1071" s="7" t="n">
        <f aca="false">COUNTIFS($B$2:$B$1141,B1071,$H$2:$H$1141,H1071,$I$2:$I$1141,I1071,$J$2:$J$1141,J1071,$K$2:$K$1141,K1071,$L$2:$L$1141,L1071)</f>
        <v>1</v>
      </c>
    </row>
    <row r="1072" customFormat="false" ht="15" hidden="false" customHeight="false" outlineLevel="0" collapsed="false">
      <c r="A1072" s="7" t="n">
        <f aca="false">ROW()-1</f>
        <v>1071</v>
      </c>
      <c r="B1072" s="7" t="str">
        <f aca="false">IF(Raw_Nigeria!B1072="",TRIM(Raw_Nigeria!C1072),TRIM(Raw_Nigeria!B1072))</f>
        <v>Nigeria Demographic and Health Survey 2024</v>
      </c>
      <c r="C1072" s="7" t="str">
        <f aca="false">IF(ISNUMBER(SEARCH("Demographic and Health",B1072)),"DHS",IF(OR(ISNUMBER(SEARCH("Multiple Indicator Cluster",B1072)),ISNUMBER(SEARCH("MICS",B1072))),"MICS",IF(ISNUMBER(SEARCH("Immunization Coverage Survey",B1072)),"Coverage survey",IF(ISNUMBER(SEARCH("Nutrition",B1072)),"Nutrition survey","Other"))))</f>
        <v>DHS</v>
      </c>
      <c r="D1072" s="7" t="n">
        <f aca="false">VALUE(LEFT(Raw_Nigeria!D1072,4))</f>
        <v>2023</v>
      </c>
      <c r="E1072" s="7" t="n">
        <f aca="false">IF(VALUE(RIGHT(Raw_Nigeria!D1072,2))&gt;12,"",VALUE(RIGHT(Raw_Nigeria!D1072,2)))</f>
        <v>12</v>
      </c>
      <c r="F1072" s="7" t="n">
        <f aca="false">VALUE(LEFT(Raw_Nigeria!E1072,4))</f>
        <v>2024</v>
      </c>
      <c r="G1072" s="7" t="n">
        <f aca="false">IF(VALUE(RIGHT(Raw_Nigeria!E1072,2))&gt;12,"",VALUE(RIGHT(Raw_Nigeria!E1072,2)))</f>
        <v>5</v>
      </c>
      <c r="H1072" s="7" t="n">
        <f aca="false">Raw_Nigeria!F1072</f>
        <v>2022</v>
      </c>
      <c r="I1072" s="7" t="str">
        <f aca="false">UPPER(TRIM(Raw_Nigeria!G1072))</f>
        <v>HIB3</v>
      </c>
      <c r="J1072" s="7" t="str">
        <f aca="false">Raw_Nigeria!H1072</f>
        <v>Recall</v>
      </c>
      <c r="K1072" s="7" t="str">
        <f aca="false">Raw_Nigeria!L1072</f>
        <v>12-23 m</v>
      </c>
      <c r="L1072" s="7" t="str">
        <f aca="false">IF(Raw_Nigeria!K1072="","n/a",Raw_Nigeria!K1072)</f>
        <v>0-23 m</v>
      </c>
      <c r="M1072" s="7" t="n">
        <f aca="false">IF(Raw_Nigeria!I1072="","",Raw_Nigeria!I1072)</f>
        <v>50.2</v>
      </c>
      <c r="N1072" s="7" t="n">
        <f aca="false">Raw_Nigeria!M1072</f>
        <v>11.2</v>
      </c>
      <c r="O1072" s="7" t="n">
        <f aca="false">IF(Raw_Nigeria!N1072="","",Raw_Nigeria!N1072)</f>
        <v>2549</v>
      </c>
      <c r="P1072" s="7" t="str">
        <f aca="false">IF(K1072="CBAW","Women of child-bearing age","Children")</f>
        <v>Children</v>
      </c>
      <c r="Q1072" s="7" t="n">
        <f aca="false">IF(J1072="NOT USED",1,0)</f>
        <v>0</v>
      </c>
      <c r="R1072" s="7" t="n">
        <f aca="false">IF(AND(P1072="Children",Q1072=0),1,0)</f>
        <v>1</v>
      </c>
      <c r="S1072" s="7" t="n">
        <f aca="false">IF(AND(R1072=1,J1072="Record or Recall",K1072="12-23 m"),1,0)</f>
        <v>0</v>
      </c>
      <c r="T1072" s="7" t="n">
        <f aca="false">IF(OR(I1072="BCG",I1072="DTP1",I1072="DTP3",I1072="POL3",I1072="MCV1",I1072="FULL"),1,0)</f>
        <v>0</v>
      </c>
      <c r="U1072" s="7" t="n">
        <f aca="false">IF(OR(C1072="DHS",C1072="MICS"),1,0)</f>
        <v>1</v>
      </c>
      <c r="V1072" s="7" t="n">
        <f aca="false">IF(O1072="",1,0)</f>
        <v>0</v>
      </c>
      <c r="W1072" s="7" t="n">
        <f aca="false">IF(M1072="",1,0)</f>
        <v>0</v>
      </c>
      <c r="X1072" s="7" t="n">
        <f aca="false">COUNTIFS($B$2:$B$1141,B1072,$H$2:$H$1141,H1072,$I$2:$I$1141,I1072,$J$2:$J$1141,J1072,$K$2:$K$1141,K1072,$L$2:$L$1141,L1072)</f>
        <v>1</v>
      </c>
    </row>
    <row r="1073" customFormat="false" ht="15" hidden="false" customHeight="false" outlineLevel="0" collapsed="false">
      <c r="A1073" s="7" t="n">
        <f aca="false">ROW()-1</f>
        <v>1072</v>
      </c>
      <c r="B1073" s="7" t="str">
        <f aca="false">IF(Raw_Nigeria!B1073="",TRIM(Raw_Nigeria!C1073),TRIM(Raw_Nigeria!B1073))</f>
        <v>Nigeria Demographic and Health Survey 2024</v>
      </c>
      <c r="C1073" s="7" t="str">
        <f aca="false">IF(ISNUMBER(SEARCH("Demographic and Health",B1073)),"DHS",IF(OR(ISNUMBER(SEARCH("Multiple Indicator Cluster",B1073)),ISNUMBER(SEARCH("MICS",B1073))),"MICS",IF(ISNUMBER(SEARCH("Immunization Coverage Survey",B1073)),"Coverage survey",IF(ISNUMBER(SEARCH("Nutrition",B1073)),"Nutrition survey","Other"))))</f>
        <v>DHS</v>
      </c>
      <c r="D1073" s="7" t="n">
        <f aca="false">VALUE(LEFT(Raw_Nigeria!D1073,4))</f>
        <v>2023</v>
      </c>
      <c r="E1073" s="7" t="n">
        <f aca="false">IF(VALUE(RIGHT(Raw_Nigeria!D1073,2))&gt;12,"",VALUE(RIGHT(Raw_Nigeria!D1073,2)))</f>
        <v>12</v>
      </c>
      <c r="F1073" s="7" t="n">
        <f aca="false">VALUE(LEFT(Raw_Nigeria!E1073,4))</f>
        <v>2024</v>
      </c>
      <c r="G1073" s="7" t="n">
        <f aca="false">IF(VALUE(RIGHT(Raw_Nigeria!E1073,2))&gt;12,"",VALUE(RIGHT(Raw_Nigeria!E1073,2)))</f>
        <v>5</v>
      </c>
      <c r="H1073" s="7" t="n">
        <f aca="false">Raw_Nigeria!F1073</f>
        <v>2022</v>
      </c>
      <c r="I1073" s="7" t="str">
        <f aca="false">UPPER(TRIM(Raw_Nigeria!G1073))</f>
        <v>HIB3</v>
      </c>
      <c r="J1073" s="7" t="str">
        <f aca="false">Raw_Nigeria!H1073</f>
        <v>Record</v>
      </c>
      <c r="K1073" s="7" t="str">
        <f aca="false">Raw_Nigeria!L1073</f>
        <v>12-23 m</v>
      </c>
      <c r="L1073" s="7" t="str">
        <f aca="false">IF(Raw_Nigeria!K1073="","n/a",Raw_Nigeria!K1073)</f>
        <v>0-23 m</v>
      </c>
      <c r="M1073" s="7" t="n">
        <f aca="false">IF(Raw_Nigeria!I1073="","",Raw_Nigeria!I1073)</f>
        <v>50.2</v>
      </c>
      <c r="N1073" s="7" t="n">
        <f aca="false">Raw_Nigeria!M1073</f>
        <v>42.3</v>
      </c>
      <c r="O1073" s="7" t="n">
        <f aca="false">IF(Raw_Nigeria!N1073="","",Raw_Nigeria!N1073)</f>
        <v>2572</v>
      </c>
      <c r="P1073" s="7" t="str">
        <f aca="false">IF(K1073="CBAW","Women of child-bearing age","Children")</f>
        <v>Children</v>
      </c>
      <c r="Q1073" s="7" t="n">
        <f aca="false">IF(J1073="NOT USED",1,0)</f>
        <v>0</v>
      </c>
      <c r="R1073" s="7" t="n">
        <f aca="false">IF(AND(P1073="Children",Q1073=0),1,0)</f>
        <v>1</v>
      </c>
      <c r="S1073" s="7" t="n">
        <f aca="false">IF(AND(R1073=1,J1073="Record or Recall",K1073="12-23 m"),1,0)</f>
        <v>0</v>
      </c>
      <c r="T1073" s="7" t="n">
        <f aca="false">IF(OR(I1073="BCG",I1073="DTP1",I1073="DTP3",I1073="POL3",I1073="MCV1",I1073="FULL"),1,0)</f>
        <v>0</v>
      </c>
      <c r="U1073" s="7" t="n">
        <f aca="false">IF(OR(C1073="DHS",C1073="MICS"),1,0)</f>
        <v>1</v>
      </c>
      <c r="V1073" s="7" t="n">
        <f aca="false">IF(O1073="",1,0)</f>
        <v>0</v>
      </c>
      <c r="W1073" s="7" t="n">
        <f aca="false">IF(M1073="",1,0)</f>
        <v>0</v>
      </c>
      <c r="X1073" s="7" t="n">
        <f aca="false">COUNTIFS($B$2:$B$1141,B1073,$H$2:$H$1141,H1073,$I$2:$I$1141,I1073,$J$2:$J$1141,J1073,$K$2:$K$1141,K1073,$L$2:$L$1141,L1073)</f>
        <v>1</v>
      </c>
    </row>
    <row r="1074" customFormat="false" ht="15" hidden="false" customHeight="false" outlineLevel="0" collapsed="false">
      <c r="A1074" s="7" t="n">
        <f aca="false">ROW()-1</f>
        <v>1073</v>
      </c>
      <c r="B1074" s="7" t="str">
        <f aca="false">IF(Raw_Nigeria!B1074="",TRIM(Raw_Nigeria!C1074),TRIM(Raw_Nigeria!B1074))</f>
        <v>Nigeria Demographic and Health Survey 2024</v>
      </c>
      <c r="C1074" s="7" t="str">
        <f aca="false">IF(ISNUMBER(SEARCH("Demographic and Health",B1074)),"DHS",IF(OR(ISNUMBER(SEARCH("Multiple Indicator Cluster",B1074)),ISNUMBER(SEARCH("MICS",B1074))),"MICS",IF(ISNUMBER(SEARCH("Immunization Coverage Survey",B1074)),"Coverage survey",IF(ISNUMBER(SEARCH("Nutrition",B1074)),"Nutrition survey","Other"))))</f>
        <v>DHS</v>
      </c>
      <c r="D1074" s="7" t="n">
        <f aca="false">VALUE(LEFT(Raw_Nigeria!D1074,4))</f>
        <v>2023</v>
      </c>
      <c r="E1074" s="7" t="n">
        <f aca="false">IF(VALUE(RIGHT(Raw_Nigeria!D1074,2))&gt;12,"",VALUE(RIGHT(Raw_Nigeria!D1074,2)))</f>
        <v>12</v>
      </c>
      <c r="F1074" s="7" t="n">
        <f aca="false">VALUE(LEFT(Raw_Nigeria!E1074,4))</f>
        <v>2024</v>
      </c>
      <c r="G1074" s="7" t="n">
        <f aca="false">IF(VALUE(RIGHT(Raw_Nigeria!E1074,2))&gt;12,"",VALUE(RIGHT(Raw_Nigeria!E1074,2)))</f>
        <v>5</v>
      </c>
      <c r="H1074" s="7" t="n">
        <f aca="false">Raw_Nigeria!F1074</f>
        <v>2022</v>
      </c>
      <c r="I1074" s="7" t="str">
        <f aca="false">UPPER(TRIM(Raw_Nigeria!G1074))</f>
        <v>HIB3</v>
      </c>
      <c r="J1074" s="7" t="str">
        <f aca="false">Raw_Nigeria!H1074</f>
        <v>Record or Recall</v>
      </c>
      <c r="K1074" s="7" t="str">
        <f aca="false">Raw_Nigeria!L1074</f>
        <v>12-23 m</v>
      </c>
      <c r="L1074" s="7" t="str">
        <f aca="false">IF(Raw_Nigeria!K1074="","n/a",Raw_Nigeria!K1074)</f>
        <v>0-23 m</v>
      </c>
      <c r="M1074" s="7" t="n">
        <f aca="false">IF(Raw_Nigeria!I1074="","",Raw_Nigeria!I1074)</f>
        <v>50.2</v>
      </c>
      <c r="N1074" s="7" t="n">
        <f aca="false">Raw_Nigeria!M1074</f>
        <v>53.4</v>
      </c>
      <c r="O1074" s="7" t="n">
        <f aca="false">IF(Raw_Nigeria!N1074="","",Raw_Nigeria!N1074)</f>
        <v>5121</v>
      </c>
      <c r="P1074" s="7" t="str">
        <f aca="false">IF(K1074="CBAW","Women of child-bearing age","Children")</f>
        <v>Children</v>
      </c>
      <c r="Q1074" s="7" t="n">
        <f aca="false">IF(J1074="NOT USED",1,0)</f>
        <v>0</v>
      </c>
      <c r="R1074" s="7" t="n">
        <f aca="false">IF(AND(P1074="Children",Q1074=0),1,0)</f>
        <v>1</v>
      </c>
      <c r="S1074" s="7" t="n">
        <f aca="false">IF(AND(R1074=1,J1074="Record or Recall",K1074="12-23 m"),1,0)</f>
        <v>1</v>
      </c>
      <c r="T1074" s="7" t="n">
        <f aca="false">IF(OR(I1074="BCG",I1074="DTP1",I1074="DTP3",I1074="POL3",I1074="MCV1",I1074="FULL"),1,0)</f>
        <v>0</v>
      </c>
      <c r="U1074" s="7" t="n">
        <f aca="false">IF(OR(C1074="DHS",C1074="MICS"),1,0)</f>
        <v>1</v>
      </c>
      <c r="V1074" s="7" t="n">
        <f aca="false">IF(O1074="",1,0)</f>
        <v>0</v>
      </c>
      <c r="W1074" s="7" t="n">
        <f aca="false">IF(M1074="",1,0)</f>
        <v>0</v>
      </c>
      <c r="X1074" s="7" t="n">
        <f aca="false">COUNTIFS($B$2:$B$1141,B1074,$H$2:$H$1141,H1074,$I$2:$I$1141,I1074,$J$2:$J$1141,J1074,$K$2:$K$1141,K1074,$L$2:$L$1141,L1074)</f>
        <v>1</v>
      </c>
    </row>
    <row r="1075" customFormat="false" ht="15" hidden="false" customHeight="false" outlineLevel="0" collapsed="false">
      <c r="A1075" s="7" t="n">
        <f aca="false">ROW()-1</f>
        <v>1074</v>
      </c>
      <c r="B1075" s="7" t="str">
        <f aca="false">IF(Raw_Nigeria!B1075="",TRIM(Raw_Nigeria!C1075),TRIM(Raw_Nigeria!B1075))</f>
        <v>Nigeria Demographic and Health Survey 2024</v>
      </c>
      <c r="C1075" s="7" t="str">
        <f aca="false">IF(ISNUMBER(SEARCH("Demographic and Health",B1075)),"DHS",IF(OR(ISNUMBER(SEARCH("Multiple Indicator Cluster",B1075)),ISNUMBER(SEARCH("MICS",B1075))),"MICS",IF(ISNUMBER(SEARCH("Immunization Coverage Survey",B1075)),"Coverage survey",IF(ISNUMBER(SEARCH("Nutrition",B1075)),"Nutrition survey","Other"))))</f>
        <v>DHS</v>
      </c>
      <c r="D1075" s="7" t="n">
        <f aca="false">VALUE(LEFT(Raw_Nigeria!D1075,4))</f>
        <v>2023</v>
      </c>
      <c r="E1075" s="7" t="n">
        <f aca="false">IF(VALUE(RIGHT(Raw_Nigeria!D1075,2))&gt;12,"",VALUE(RIGHT(Raw_Nigeria!D1075,2)))</f>
        <v>12</v>
      </c>
      <c r="F1075" s="7" t="n">
        <f aca="false">VALUE(LEFT(Raw_Nigeria!E1075,4))</f>
        <v>2024</v>
      </c>
      <c r="G1075" s="7" t="n">
        <f aca="false">IF(VALUE(RIGHT(Raw_Nigeria!E1075,2))&gt;12,"",VALUE(RIGHT(Raw_Nigeria!E1075,2)))</f>
        <v>5</v>
      </c>
      <c r="H1075" s="7" t="n">
        <f aca="false">Raw_Nigeria!F1075</f>
        <v>2022</v>
      </c>
      <c r="I1075" s="7" t="str">
        <f aca="false">UPPER(TRIM(Raw_Nigeria!G1075))</f>
        <v>HIB3</v>
      </c>
      <c r="J1075" s="7" t="str">
        <f aca="false">Raw_Nigeria!H1075</f>
        <v>Record or Recall&lt;12m</v>
      </c>
      <c r="K1075" s="7" t="str">
        <f aca="false">Raw_Nigeria!L1075</f>
        <v>12-23 m</v>
      </c>
      <c r="L1075" s="7" t="str">
        <f aca="false">IF(Raw_Nigeria!K1075="","n/a",Raw_Nigeria!K1075)</f>
        <v>0-12 m</v>
      </c>
      <c r="M1075" s="7" t="n">
        <f aca="false">IF(Raw_Nigeria!I1075="","",Raw_Nigeria!I1075)</f>
        <v>50.2</v>
      </c>
      <c r="N1075" s="7" t="n">
        <f aca="false">Raw_Nigeria!M1075</f>
        <v>51.9</v>
      </c>
      <c r="O1075" s="7" t="n">
        <f aca="false">IF(Raw_Nigeria!N1075="","",Raw_Nigeria!N1075)</f>
        <v>5121</v>
      </c>
      <c r="P1075" s="7" t="str">
        <f aca="false">IF(K1075="CBAW","Women of child-bearing age","Children")</f>
        <v>Children</v>
      </c>
      <c r="Q1075" s="7" t="n">
        <f aca="false">IF(J1075="NOT USED",1,0)</f>
        <v>0</v>
      </c>
      <c r="R1075" s="7" t="n">
        <f aca="false">IF(AND(P1075="Children",Q1075=0),1,0)</f>
        <v>1</v>
      </c>
      <c r="S1075" s="7" t="n">
        <f aca="false">IF(AND(R1075=1,J1075="Record or Recall",K1075="12-23 m"),1,0)</f>
        <v>0</v>
      </c>
      <c r="T1075" s="7" t="n">
        <f aca="false">IF(OR(I1075="BCG",I1075="DTP1",I1075="DTP3",I1075="POL3",I1075="MCV1",I1075="FULL"),1,0)</f>
        <v>0</v>
      </c>
      <c r="U1075" s="7" t="n">
        <f aca="false">IF(OR(C1075="DHS",C1075="MICS"),1,0)</f>
        <v>1</v>
      </c>
      <c r="V1075" s="7" t="n">
        <f aca="false">IF(O1075="",1,0)</f>
        <v>0</v>
      </c>
      <c r="W1075" s="7" t="n">
        <f aca="false">IF(M1075="",1,0)</f>
        <v>0</v>
      </c>
      <c r="X1075" s="7" t="n">
        <f aca="false">COUNTIFS($B$2:$B$1141,B1075,$H$2:$H$1141,H1075,$I$2:$I$1141,I1075,$J$2:$J$1141,J1075,$K$2:$K$1141,K1075,$L$2:$L$1141,L1075)</f>
        <v>1</v>
      </c>
    </row>
    <row r="1076" customFormat="false" ht="15" hidden="false" customHeight="false" outlineLevel="0" collapsed="false">
      <c r="A1076" s="7" t="n">
        <f aca="false">ROW()-1</f>
        <v>1075</v>
      </c>
      <c r="B1076" s="7" t="str">
        <f aca="false">IF(Raw_Nigeria!B1076="",TRIM(Raw_Nigeria!C1076),TRIM(Raw_Nigeria!B1076))</f>
        <v>Nigeria Demographic and Health Survey 2024</v>
      </c>
      <c r="C1076" s="7" t="str">
        <f aca="false">IF(ISNUMBER(SEARCH("Demographic and Health",B1076)),"DHS",IF(OR(ISNUMBER(SEARCH("Multiple Indicator Cluster",B1076)),ISNUMBER(SEARCH("MICS",B1076))),"MICS",IF(ISNUMBER(SEARCH("Immunization Coverage Survey",B1076)),"Coverage survey",IF(ISNUMBER(SEARCH("Nutrition",B1076)),"Nutrition survey","Other"))))</f>
        <v>DHS</v>
      </c>
      <c r="D1076" s="7" t="n">
        <f aca="false">VALUE(LEFT(Raw_Nigeria!D1076,4))</f>
        <v>2023</v>
      </c>
      <c r="E1076" s="7" t="n">
        <f aca="false">IF(VALUE(RIGHT(Raw_Nigeria!D1076,2))&gt;12,"",VALUE(RIGHT(Raw_Nigeria!D1076,2)))</f>
        <v>12</v>
      </c>
      <c r="F1076" s="7" t="n">
        <f aca="false">VALUE(LEFT(Raw_Nigeria!E1076,4))</f>
        <v>2024</v>
      </c>
      <c r="G1076" s="7" t="n">
        <f aca="false">IF(VALUE(RIGHT(Raw_Nigeria!E1076,2))&gt;12,"",VALUE(RIGHT(Raw_Nigeria!E1076,2)))</f>
        <v>5</v>
      </c>
      <c r="H1076" s="7" t="n">
        <f aca="false">Raw_Nigeria!F1076</f>
        <v>2022</v>
      </c>
      <c r="I1076" s="7" t="str">
        <f aca="false">UPPER(TRIM(Raw_Nigeria!G1076))</f>
        <v>IPV1</v>
      </c>
      <c r="J1076" s="7" t="str">
        <f aca="false">Raw_Nigeria!H1076</f>
        <v>Recall</v>
      </c>
      <c r="K1076" s="7" t="str">
        <f aca="false">Raw_Nigeria!L1076</f>
        <v>12-23 m</v>
      </c>
      <c r="L1076" s="7" t="str">
        <f aca="false">IF(Raw_Nigeria!K1076="","n/a",Raw_Nigeria!K1076)</f>
        <v>0-23 m</v>
      </c>
      <c r="M1076" s="7" t="n">
        <f aca="false">IF(Raw_Nigeria!I1076="","",Raw_Nigeria!I1076)</f>
        <v>50.2</v>
      </c>
      <c r="N1076" s="7" t="n">
        <f aca="false">Raw_Nigeria!M1076</f>
        <v>15</v>
      </c>
      <c r="O1076" s="7" t="n">
        <f aca="false">IF(Raw_Nigeria!N1076="","",Raw_Nigeria!N1076)</f>
        <v>2549</v>
      </c>
      <c r="P1076" s="7" t="str">
        <f aca="false">IF(K1076="CBAW","Women of child-bearing age","Children")</f>
        <v>Children</v>
      </c>
      <c r="Q1076" s="7" t="n">
        <f aca="false">IF(J1076="NOT USED",1,0)</f>
        <v>0</v>
      </c>
      <c r="R1076" s="7" t="n">
        <f aca="false">IF(AND(P1076="Children",Q1076=0),1,0)</f>
        <v>1</v>
      </c>
      <c r="S1076" s="7" t="n">
        <f aca="false">IF(AND(R1076=1,J1076="Record or Recall",K1076="12-23 m"),1,0)</f>
        <v>0</v>
      </c>
      <c r="T1076" s="7" t="n">
        <f aca="false">IF(OR(I1076="BCG",I1076="DTP1",I1076="DTP3",I1076="POL3",I1076="MCV1",I1076="FULL"),1,0)</f>
        <v>0</v>
      </c>
      <c r="U1076" s="7" t="n">
        <f aca="false">IF(OR(C1076="DHS",C1076="MICS"),1,0)</f>
        <v>1</v>
      </c>
      <c r="V1076" s="7" t="n">
        <f aca="false">IF(O1076="",1,0)</f>
        <v>0</v>
      </c>
      <c r="W1076" s="7" t="n">
        <f aca="false">IF(M1076="",1,0)</f>
        <v>0</v>
      </c>
      <c r="X1076" s="7" t="n">
        <f aca="false">COUNTIFS($B$2:$B$1141,B1076,$H$2:$H$1141,H1076,$I$2:$I$1141,I1076,$J$2:$J$1141,J1076,$K$2:$K$1141,K1076,$L$2:$L$1141,L1076)</f>
        <v>1</v>
      </c>
    </row>
    <row r="1077" customFormat="false" ht="15" hidden="false" customHeight="false" outlineLevel="0" collapsed="false">
      <c r="A1077" s="7" t="n">
        <f aca="false">ROW()-1</f>
        <v>1076</v>
      </c>
      <c r="B1077" s="7" t="str">
        <f aca="false">IF(Raw_Nigeria!B1077="",TRIM(Raw_Nigeria!C1077),TRIM(Raw_Nigeria!B1077))</f>
        <v>Nigeria Demographic and Health Survey 2024</v>
      </c>
      <c r="C1077" s="7" t="str">
        <f aca="false">IF(ISNUMBER(SEARCH("Demographic and Health",B1077)),"DHS",IF(OR(ISNUMBER(SEARCH("Multiple Indicator Cluster",B1077)),ISNUMBER(SEARCH("MICS",B1077))),"MICS",IF(ISNUMBER(SEARCH("Immunization Coverage Survey",B1077)),"Coverage survey",IF(ISNUMBER(SEARCH("Nutrition",B1077)),"Nutrition survey","Other"))))</f>
        <v>DHS</v>
      </c>
      <c r="D1077" s="7" t="n">
        <f aca="false">VALUE(LEFT(Raw_Nigeria!D1077,4))</f>
        <v>2023</v>
      </c>
      <c r="E1077" s="7" t="n">
        <f aca="false">IF(VALUE(RIGHT(Raw_Nigeria!D1077,2))&gt;12,"",VALUE(RIGHT(Raw_Nigeria!D1077,2)))</f>
        <v>12</v>
      </c>
      <c r="F1077" s="7" t="n">
        <f aca="false">VALUE(LEFT(Raw_Nigeria!E1077,4))</f>
        <v>2024</v>
      </c>
      <c r="G1077" s="7" t="n">
        <f aca="false">IF(VALUE(RIGHT(Raw_Nigeria!E1077,2))&gt;12,"",VALUE(RIGHT(Raw_Nigeria!E1077,2)))</f>
        <v>5</v>
      </c>
      <c r="H1077" s="7" t="n">
        <f aca="false">Raw_Nigeria!F1077</f>
        <v>2022</v>
      </c>
      <c r="I1077" s="7" t="str">
        <f aca="false">UPPER(TRIM(Raw_Nigeria!G1077))</f>
        <v>IPV1</v>
      </c>
      <c r="J1077" s="7" t="str">
        <f aca="false">Raw_Nigeria!H1077</f>
        <v>Record</v>
      </c>
      <c r="K1077" s="7" t="str">
        <f aca="false">Raw_Nigeria!L1077</f>
        <v>12-23 m</v>
      </c>
      <c r="L1077" s="7" t="str">
        <f aca="false">IF(Raw_Nigeria!K1077="","n/a",Raw_Nigeria!K1077)</f>
        <v>0-23 m</v>
      </c>
      <c r="M1077" s="7" t="n">
        <f aca="false">IF(Raw_Nigeria!I1077="","",Raw_Nigeria!I1077)</f>
        <v>50.2</v>
      </c>
      <c r="N1077" s="7" t="n">
        <f aca="false">Raw_Nigeria!M1077</f>
        <v>40.5</v>
      </c>
      <c r="O1077" s="7" t="n">
        <f aca="false">IF(Raw_Nigeria!N1077="","",Raw_Nigeria!N1077)</f>
        <v>2572</v>
      </c>
      <c r="P1077" s="7" t="str">
        <f aca="false">IF(K1077="CBAW","Women of child-bearing age","Children")</f>
        <v>Children</v>
      </c>
      <c r="Q1077" s="7" t="n">
        <f aca="false">IF(J1077="NOT USED",1,0)</f>
        <v>0</v>
      </c>
      <c r="R1077" s="7" t="n">
        <f aca="false">IF(AND(P1077="Children",Q1077=0),1,0)</f>
        <v>1</v>
      </c>
      <c r="S1077" s="7" t="n">
        <f aca="false">IF(AND(R1077=1,J1077="Record or Recall",K1077="12-23 m"),1,0)</f>
        <v>0</v>
      </c>
      <c r="T1077" s="7" t="n">
        <f aca="false">IF(OR(I1077="BCG",I1077="DTP1",I1077="DTP3",I1077="POL3",I1077="MCV1",I1077="FULL"),1,0)</f>
        <v>0</v>
      </c>
      <c r="U1077" s="7" t="n">
        <f aca="false">IF(OR(C1077="DHS",C1077="MICS"),1,0)</f>
        <v>1</v>
      </c>
      <c r="V1077" s="7" t="n">
        <f aca="false">IF(O1077="",1,0)</f>
        <v>0</v>
      </c>
      <c r="W1077" s="7" t="n">
        <f aca="false">IF(M1077="",1,0)</f>
        <v>0</v>
      </c>
      <c r="X1077" s="7" t="n">
        <f aca="false">COUNTIFS($B$2:$B$1141,B1077,$H$2:$H$1141,H1077,$I$2:$I$1141,I1077,$J$2:$J$1141,J1077,$K$2:$K$1141,K1077,$L$2:$L$1141,L1077)</f>
        <v>1</v>
      </c>
    </row>
    <row r="1078" customFormat="false" ht="15" hidden="false" customHeight="false" outlineLevel="0" collapsed="false">
      <c r="A1078" s="7" t="n">
        <f aca="false">ROW()-1</f>
        <v>1077</v>
      </c>
      <c r="B1078" s="7" t="str">
        <f aca="false">IF(Raw_Nigeria!B1078="",TRIM(Raw_Nigeria!C1078),TRIM(Raw_Nigeria!B1078))</f>
        <v>Nigeria Demographic and Health Survey 2024</v>
      </c>
      <c r="C1078" s="7" t="str">
        <f aca="false">IF(ISNUMBER(SEARCH("Demographic and Health",B1078)),"DHS",IF(OR(ISNUMBER(SEARCH("Multiple Indicator Cluster",B1078)),ISNUMBER(SEARCH("MICS",B1078))),"MICS",IF(ISNUMBER(SEARCH("Immunization Coverage Survey",B1078)),"Coverage survey",IF(ISNUMBER(SEARCH("Nutrition",B1078)),"Nutrition survey","Other"))))</f>
        <v>DHS</v>
      </c>
      <c r="D1078" s="7" t="n">
        <f aca="false">VALUE(LEFT(Raw_Nigeria!D1078,4))</f>
        <v>2023</v>
      </c>
      <c r="E1078" s="7" t="n">
        <f aca="false">IF(VALUE(RIGHT(Raw_Nigeria!D1078,2))&gt;12,"",VALUE(RIGHT(Raw_Nigeria!D1078,2)))</f>
        <v>12</v>
      </c>
      <c r="F1078" s="7" t="n">
        <f aca="false">VALUE(LEFT(Raw_Nigeria!E1078,4))</f>
        <v>2024</v>
      </c>
      <c r="G1078" s="7" t="n">
        <f aca="false">IF(VALUE(RIGHT(Raw_Nigeria!E1078,2))&gt;12,"",VALUE(RIGHT(Raw_Nigeria!E1078,2)))</f>
        <v>5</v>
      </c>
      <c r="H1078" s="7" t="n">
        <f aca="false">Raw_Nigeria!F1078</f>
        <v>2022</v>
      </c>
      <c r="I1078" s="7" t="str">
        <f aca="false">UPPER(TRIM(Raw_Nigeria!G1078))</f>
        <v>IPV1</v>
      </c>
      <c r="J1078" s="7" t="str">
        <f aca="false">Raw_Nigeria!H1078</f>
        <v>Record or Recall</v>
      </c>
      <c r="K1078" s="7" t="str">
        <f aca="false">Raw_Nigeria!L1078</f>
        <v>12-23 m</v>
      </c>
      <c r="L1078" s="7" t="str">
        <f aca="false">IF(Raw_Nigeria!K1078="","n/a",Raw_Nigeria!K1078)</f>
        <v>0-23 m</v>
      </c>
      <c r="M1078" s="7" t="n">
        <f aca="false">IF(Raw_Nigeria!I1078="","",Raw_Nigeria!I1078)</f>
        <v>50.2</v>
      </c>
      <c r="N1078" s="7" t="n">
        <f aca="false">Raw_Nigeria!M1078</f>
        <v>55.4</v>
      </c>
      <c r="O1078" s="7" t="n">
        <f aca="false">IF(Raw_Nigeria!N1078="","",Raw_Nigeria!N1078)</f>
        <v>5121</v>
      </c>
      <c r="P1078" s="7" t="str">
        <f aca="false">IF(K1078="CBAW","Women of child-bearing age","Children")</f>
        <v>Children</v>
      </c>
      <c r="Q1078" s="7" t="n">
        <f aca="false">IF(J1078="NOT USED",1,0)</f>
        <v>0</v>
      </c>
      <c r="R1078" s="7" t="n">
        <f aca="false">IF(AND(P1078="Children",Q1078=0),1,0)</f>
        <v>1</v>
      </c>
      <c r="S1078" s="7" t="n">
        <f aca="false">IF(AND(R1078=1,J1078="Record or Recall",K1078="12-23 m"),1,0)</f>
        <v>1</v>
      </c>
      <c r="T1078" s="7" t="n">
        <f aca="false">IF(OR(I1078="BCG",I1078="DTP1",I1078="DTP3",I1078="POL3",I1078="MCV1",I1078="FULL"),1,0)</f>
        <v>0</v>
      </c>
      <c r="U1078" s="7" t="n">
        <f aca="false">IF(OR(C1078="DHS",C1078="MICS"),1,0)</f>
        <v>1</v>
      </c>
      <c r="V1078" s="7" t="n">
        <f aca="false">IF(O1078="",1,0)</f>
        <v>0</v>
      </c>
      <c r="W1078" s="7" t="n">
        <f aca="false">IF(M1078="",1,0)</f>
        <v>0</v>
      </c>
      <c r="X1078" s="7" t="n">
        <f aca="false">COUNTIFS($B$2:$B$1141,B1078,$H$2:$H$1141,H1078,$I$2:$I$1141,I1078,$J$2:$J$1141,J1078,$K$2:$K$1141,K1078,$L$2:$L$1141,L1078)</f>
        <v>1</v>
      </c>
    </row>
    <row r="1079" customFormat="false" ht="15" hidden="false" customHeight="false" outlineLevel="0" collapsed="false">
      <c r="A1079" s="7" t="n">
        <f aca="false">ROW()-1</f>
        <v>1078</v>
      </c>
      <c r="B1079" s="7" t="str">
        <f aca="false">IF(Raw_Nigeria!B1079="",TRIM(Raw_Nigeria!C1079),TRIM(Raw_Nigeria!B1079))</f>
        <v>Nigeria Demographic and Health Survey 2024</v>
      </c>
      <c r="C1079" s="7" t="str">
        <f aca="false">IF(ISNUMBER(SEARCH("Demographic and Health",B1079)),"DHS",IF(OR(ISNUMBER(SEARCH("Multiple Indicator Cluster",B1079)),ISNUMBER(SEARCH("MICS",B1079))),"MICS",IF(ISNUMBER(SEARCH("Immunization Coverage Survey",B1079)),"Coverage survey",IF(ISNUMBER(SEARCH("Nutrition",B1079)),"Nutrition survey","Other"))))</f>
        <v>DHS</v>
      </c>
      <c r="D1079" s="7" t="n">
        <f aca="false">VALUE(LEFT(Raw_Nigeria!D1079,4))</f>
        <v>2023</v>
      </c>
      <c r="E1079" s="7" t="n">
        <f aca="false">IF(VALUE(RIGHT(Raw_Nigeria!D1079,2))&gt;12,"",VALUE(RIGHT(Raw_Nigeria!D1079,2)))</f>
        <v>12</v>
      </c>
      <c r="F1079" s="7" t="n">
        <f aca="false">VALUE(LEFT(Raw_Nigeria!E1079,4))</f>
        <v>2024</v>
      </c>
      <c r="G1079" s="7" t="n">
        <f aca="false">IF(VALUE(RIGHT(Raw_Nigeria!E1079,2))&gt;12,"",VALUE(RIGHT(Raw_Nigeria!E1079,2)))</f>
        <v>5</v>
      </c>
      <c r="H1079" s="7" t="n">
        <f aca="false">Raw_Nigeria!F1079</f>
        <v>2022</v>
      </c>
      <c r="I1079" s="7" t="str">
        <f aca="false">UPPER(TRIM(Raw_Nigeria!G1079))</f>
        <v>IPV1</v>
      </c>
      <c r="J1079" s="7" t="str">
        <f aca="false">Raw_Nigeria!H1079</f>
        <v>Record or Recall&lt;12m</v>
      </c>
      <c r="K1079" s="7" t="str">
        <f aca="false">Raw_Nigeria!L1079</f>
        <v>12-23 m</v>
      </c>
      <c r="L1079" s="7" t="str">
        <f aca="false">IF(Raw_Nigeria!K1079="","n/a",Raw_Nigeria!K1079)</f>
        <v>0-12 m</v>
      </c>
      <c r="M1079" s="7" t="n">
        <f aca="false">IF(Raw_Nigeria!I1079="","",Raw_Nigeria!I1079)</f>
        <v>50.2</v>
      </c>
      <c r="N1079" s="7" t="n">
        <f aca="false">Raw_Nigeria!M1079</f>
        <v>54.6</v>
      </c>
      <c r="O1079" s="7" t="n">
        <f aca="false">IF(Raw_Nigeria!N1079="","",Raw_Nigeria!N1079)</f>
        <v>5121</v>
      </c>
      <c r="P1079" s="7" t="str">
        <f aca="false">IF(K1079="CBAW","Women of child-bearing age","Children")</f>
        <v>Children</v>
      </c>
      <c r="Q1079" s="7" t="n">
        <f aca="false">IF(J1079="NOT USED",1,0)</f>
        <v>0</v>
      </c>
      <c r="R1079" s="7" t="n">
        <f aca="false">IF(AND(P1079="Children",Q1079=0),1,0)</f>
        <v>1</v>
      </c>
      <c r="S1079" s="7" t="n">
        <f aca="false">IF(AND(R1079=1,J1079="Record or Recall",K1079="12-23 m"),1,0)</f>
        <v>0</v>
      </c>
      <c r="T1079" s="7" t="n">
        <f aca="false">IF(OR(I1079="BCG",I1079="DTP1",I1079="DTP3",I1079="POL3",I1079="MCV1",I1079="FULL"),1,0)</f>
        <v>0</v>
      </c>
      <c r="U1079" s="7" t="n">
        <f aca="false">IF(OR(C1079="DHS",C1079="MICS"),1,0)</f>
        <v>1</v>
      </c>
      <c r="V1079" s="7" t="n">
        <f aca="false">IF(O1079="",1,0)</f>
        <v>0</v>
      </c>
      <c r="W1079" s="7" t="n">
        <f aca="false">IF(M1079="",1,0)</f>
        <v>0</v>
      </c>
      <c r="X1079" s="7" t="n">
        <f aca="false">COUNTIFS($B$2:$B$1141,B1079,$H$2:$H$1141,H1079,$I$2:$I$1141,I1079,$J$2:$J$1141,J1079,$K$2:$K$1141,K1079,$L$2:$L$1141,L1079)</f>
        <v>1</v>
      </c>
    </row>
    <row r="1080" customFormat="false" ht="15" hidden="false" customHeight="false" outlineLevel="0" collapsed="false">
      <c r="A1080" s="7" t="n">
        <f aca="false">ROW()-1</f>
        <v>1079</v>
      </c>
      <c r="B1080" s="7" t="str">
        <f aca="false">IF(Raw_Nigeria!B1080="",TRIM(Raw_Nigeria!C1080),TRIM(Raw_Nigeria!B1080))</f>
        <v>Nigeria Demographic and Health Survey 2024</v>
      </c>
      <c r="C1080" s="7" t="str">
        <f aca="false">IF(ISNUMBER(SEARCH("Demographic and Health",B1080)),"DHS",IF(OR(ISNUMBER(SEARCH("Multiple Indicator Cluster",B1080)),ISNUMBER(SEARCH("MICS",B1080))),"MICS",IF(ISNUMBER(SEARCH("Immunization Coverage Survey",B1080)),"Coverage survey",IF(ISNUMBER(SEARCH("Nutrition",B1080)),"Nutrition survey","Other"))))</f>
        <v>DHS</v>
      </c>
      <c r="D1080" s="7" t="n">
        <f aca="false">VALUE(LEFT(Raw_Nigeria!D1080,4))</f>
        <v>2023</v>
      </c>
      <c r="E1080" s="7" t="n">
        <f aca="false">IF(VALUE(RIGHT(Raw_Nigeria!D1080,2))&gt;12,"",VALUE(RIGHT(Raw_Nigeria!D1080,2)))</f>
        <v>12</v>
      </c>
      <c r="F1080" s="7" t="n">
        <f aca="false">VALUE(LEFT(Raw_Nigeria!E1080,4))</f>
        <v>2024</v>
      </c>
      <c r="G1080" s="7" t="n">
        <f aca="false">IF(VALUE(RIGHT(Raw_Nigeria!E1080,2))&gt;12,"",VALUE(RIGHT(Raw_Nigeria!E1080,2)))</f>
        <v>5</v>
      </c>
      <c r="H1080" s="7" t="n">
        <f aca="false">Raw_Nigeria!F1080</f>
        <v>2022</v>
      </c>
      <c r="I1080" s="7" t="str">
        <f aca="false">UPPER(TRIM(Raw_Nigeria!G1080))</f>
        <v>IPVC</v>
      </c>
      <c r="J1080" s="7" t="str">
        <f aca="false">Raw_Nigeria!H1080</f>
        <v>Recall</v>
      </c>
      <c r="K1080" s="7" t="str">
        <f aca="false">Raw_Nigeria!L1080</f>
        <v>12-23 m</v>
      </c>
      <c r="L1080" s="7" t="str">
        <f aca="false">IF(Raw_Nigeria!K1080="","n/a",Raw_Nigeria!K1080)</f>
        <v>0-23 m</v>
      </c>
      <c r="M1080" s="7" t="n">
        <f aca="false">IF(Raw_Nigeria!I1080="","",Raw_Nigeria!I1080)</f>
        <v>50.2</v>
      </c>
      <c r="N1080" s="7" t="n">
        <f aca="false">Raw_Nigeria!M1080</f>
        <v>10.8</v>
      </c>
      <c r="O1080" s="7" t="n">
        <f aca="false">IF(Raw_Nigeria!N1080="","",Raw_Nigeria!N1080)</f>
        <v>2549</v>
      </c>
      <c r="P1080" s="7" t="str">
        <f aca="false">IF(K1080="CBAW","Women of child-bearing age","Children")</f>
        <v>Children</v>
      </c>
      <c r="Q1080" s="7" t="n">
        <f aca="false">IF(J1080="NOT USED",1,0)</f>
        <v>0</v>
      </c>
      <c r="R1080" s="7" t="n">
        <f aca="false">IF(AND(P1080="Children",Q1080=0),1,0)</f>
        <v>1</v>
      </c>
      <c r="S1080" s="7" t="n">
        <f aca="false">IF(AND(R1080=1,J1080="Record or Recall",K1080="12-23 m"),1,0)</f>
        <v>0</v>
      </c>
      <c r="T1080" s="7" t="n">
        <f aca="false">IF(OR(I1080="BCG",I1080="DTP1",I1080="DTP3",I1080="POL3",I1080="MCV1",I1080="FULL"),1,0)</f>
        <v>0</v>
      </c>
      <c r="U1080" s="7" t="n">
        <f aca="false">IF(OR(C1080="DHS",C1080="MICS"),1,0)</f>
        <v>1</v>
      </c>
      <c r="V1080" s="7" t="n">
        <f aca="false">IF(O1080="",1,0)</f>
        <v>0</v>
      </c>
      <c r="W1080" s="7" t="n">
        <f aca="false">IF(M1080="",1,0)</f>
        <v>0</v>
      </c>
      <c r="X1080" s="7" t="n">
        <f aca="false">COUNTIFS($B$2:$B$1141,B1080,$H$2:$H$1141,H1080,$I$2:$I$1141,I1080,$J$2:$J$1141,J1080,$K$2:$K$1141,K1080,$L$2:$L$1141,L1080)</f>
        <v>1</v>
      </c>
    </row>
    <row r="1081" customFormat="false" ht="15" hidden="false" customHeight="false" outlineLevel="0" collapsed="false">
      <c r="A1081" s="7" t="n">
        <f aca="false">ROW()-1</f>
        <v>1080</v>
      </c>
      <c r="B1081" s="7" t="str">
        <f aca="false">IF(Raw_Nigeria!B1081="",TRIM(Raw_Nigeria!C1081),TRIM(Raw_Nigeria!B1081))</f>
        <v>Nigeria Demographic and Health Survey 2024</v>
      </c>
      <c r="C1081" s="7" t="str">
        <f aca="false">IF(ISNUMBER(SEARCH("Demographic and Health",B1081)),"DHS",IF(OR(ISNUMBER(SEARCH("Multiple Indicator Cluster",B1081)),ISNUMBER(SEARCH("MICS",B1081))),"MICS",IF(ISNUMBER(SEARCH("Immunization Coverage Survey",B1081)),"Coverage survey",IF(ISNUMBER(SEARCH("Nutrition",B1081)),"Nutrition survey","Other"))))</f>
        <v>DHS</v>
      </c>
      <c r="D1081" s="7" t="n">
        <f aca="false">VALUE(LEFT(Raw_Nigeria!D1081,4))</f>
        <v>2023</v>
      </c>
      <c r="E1081" s="7" t="n">
        <f aca="false">IF(VALUE(RIGHT(Raw_Nigeria!D1081,2))&gt;12,"",VALUE(RIGHT(Raw_Nigeria!D1081,2)))</f>
        <v>12</v>
      </c>
      <c r="F1081" s="7" t="n">
        <f aca="false">VALUE(LEFT(Raw_Nigeria!E1081,4))</f>
        <v>2024</v>
      </c>
      <c r="G1081" s="7" t="n">
        <f aca="false">IF(VALUE(RIGHT(Raw_Nigeria!E1081,2))&gt;12,"",VALUE(RIGHT(Raw_Nigeria!E1081,2)))</f>
        <v>5</v>
      </c>
      <c r="H1081" s="7" t="n">
        <f aca="false">Raw_Nigeria!F1081</f>
        <v>2022</v>
      </c>
      <c r="I1081" s="7" t="str">
        <f aca="false">UPPER(TRIM(Raw_Nigeria!G1081))</f>
        <v>IPVC</v>
      </c>
      <c r="J1081" s="7" t="str">
        <f aca="false">Raw_Nigeria!H1081</f>
        <v>Record</v>
      </c>
      <c r="K1081" s="7" t="str">
        <f aca="false">Raw_Nigeria!L1081</f>
        <v>12-23 m</v>
      </c>
      <c r="L1081" s="7" t="str">
        <f aca="false">IF(Raw_Nigeria!K1081="","n/a",Raw_Nigeria!K1081)</f>
        <v>0-23 m</v>
      </c>
      <c r="M1081" s="7" t="n">
        <f aca="false">IF(Raw_Nigeria!I1081="","",Raw_Nigeria!I1081)</f>
        <v>50.2</v>
      </c>
      <c r="N1081" s="7" t="n">
        <f aca="false">Raw_Nigeria!M1081</f>
        <v>32.3</v>
      </c>
      <c r="O1081" s="7" t="n">
        <f aca="false">IF(Raw_Nigeria!N1081="","",Raw_Nigeria!N1081)</f>
        <v>2572</v>
      </c>
      <c r="P1081" s="7" t="str">
        <f aca="false">IF(K1081="CBAW","Women of child-bearing age","Children")</f>
        <v>Children</v>
      </c>
      <c r="Q1081" s="7" t="n">
        <f aca="false">IF(J1081="NOT USED",1,0)</f>
        <v>0</v>
      </c>
      <c r="R1081" s="7" t="n">
        <f aca="false">IF(AND(P1081="Children",Q1081=0),1,0)</f>
        <v>1</v>
      </c>
      <c r="S1081" s="7" t="n">
        <f aca="false">IF(AND(R1081=1,J1081="Record or Recall",K1081="12-23 m"),1,0)</f>
        <v>0</v>
      </c>
      <c r="T1081" s="7" t="n">
        <f aca="false">IF(OR(I1081="BCG",I1081="DTP1",I1081="DTP3",I1081="POL3",I1081="MCV1",I1081="FULL"),1,0)</f>
        <v>0</v>
      </c>
      <c r="U1081" s="7" t="n">
        <f aca="false">IF(OR(C1081="DHS",C1081="MICS"),1,0)</f>
        <v>1</v>
      </c>
      <c r="V1081" s="7" t="n">
        <f aca="false">IF(O1081="",1,0)</f>
        <v>0</v>
      </c>
      <c r="W1081" s="7" t="n">
        <f aca="false">IF(M1081="",1,0)</f>
        <v>0</v>
      </c>
      <c r="X1081" s="7" t="n">
        <f aca="false">COUNTIFS($B$2:$B$1141,B1081,$H$2:$H$1141,H1081,$I$2:$I$1141,I1081,$J$2:$J$1141,J1081,$K$2:$K$1141,K1081,$L$2:$L$1141,L1081)</f>
        <v>1</v>
      </c>
    </row>
    <row r="1082" customFormat="false" ht="15" hidden="false" customHeight="false" outlineLevel="0" collapsed="false">
      <c r="A1082" s="7" t="n">
        <f aca="false">ROW()-1</f>
        <v>1081</v>
      </c>
      <c r="B1082" s="7" t="str">
        <f aca="false">IF(Raw_Nigeria!B1082="",TRIM(Raw_Nigeria!C1082),TRIM(Raw_Nigeria!B1082))</f>
        <v>Nigeria Demographic and Health Survey 2024</v>
      </c>
      <c r="C1082" s="7" t="str">
        <f aca="false">IF(ISNUMBER(SEARCH("Demographic and Health",B1082)),"DHS",IF(OR(ISNUMBER(SEARCH("Multiple Indicator Cluster",B1082)),ISNUMBER(SEARCH("MICS",B1082))),"MICS",IF(ISNUMBER(SEARCH("Immunization Coverage Survey",B1082)),"Coverage survey",IF(ISNUMBER(SEARCH("Nutrition",B1082)),"Nutrition survey","Other"))))</f>
        <v>DHS</v>
      </c>
      <c r="D1082" s="7" t="n">
        <f aca="false">VALUE(LEFT(Raw_Nigeria!D1082,4))</f>
        <v>2023</v>
      </c>
      <c r="E1082" s="7" t="n">
        <f aca="false">IF(VALUE(RIGHT(Raw_Nigeria!D1082,2))&gt;12,"",VALUE(RIGHT(Raw_Nigeria!D1082,2)))</f>
        <v>12</v>
      </c>
      <c r="F1082" s="7" t="n">
        <f aca="false">VALUE(LEFT(Raw_Nigeria!E1082,4))</f>
        <v>2024</v>
      </c>
      <c r="G1082" s="7" t="n">
        <f aca="false">IF(VALUE(RIGHT(Raw_Nigeria!E1082,2))&gt;12,"",VALUE(RIGHT(Raw_Nigeria!E1082,2)))</f>
        <v>5</v>
      </c>
      <c r="H1082" s="7" t="n">
        <f aca="false">Raw_Nigeria!F1082</f>
        <v>2022</v>
      </c>
      <c r="I1082" s="7" t="str">
        <f aca="false">UPPER(TRIM(Raw_Nigeria!G1082))</f>
        <v>IPVC</v>
      </c>
      <c r="J1082" s="7" t="str">
        <f aca="false">Raw_Nigeria!H1082</f>
        <v>Record or Recall</v>
      </c>
      <c r="K1082" s="7" t="str">
        <f aca="false">Raw_Nigeria!L1082</f>
        <v>12-23 m</v>
      </c>
      <c r="L1082" s="7" t="str">
        <f aca="false">IF(Raw_Nigeria!K1082="","n/a",Raw_Nigeria!K1082)</f>
        <v>0-23 m</v>
      </c>
      <c r="M1082" s="7" t="n">
        <f aca="false">IF(Raw_Nigeria!I1082="","",Raw_Nigeria!I1082)</f>
        <v>50.2</v>
      </c>
      <c r="N1082" s="7" t="n">
        <f aca="false">Raw_Nigeria!M1082</f>
        <v>43</v>
      </c>
      <c r="O1082" s="7" t="n">
        <f aca="false">IF(Raw_Nigeria!N1082="","",Raw_Nigeria!N1082)</f>
        <v>5121</v>
      </c>
      <c r="P1082" s="7" t="str">
        <f aca="false">IF(K1082="CBAW","Women of child-bearing age","Children")</f>
        <v>Children</v>
      </c>
      <c r="Q1082" s="7" t="n">
        <f aca="false">IF(J1082="NOT USED",1,0)</f>
        <v>0</v>
      </c>
      <c r="R1082" s="7" t="n">
        <f aca="false">IF(AND(P1082="Children",Q1082=0),1,0)</f>
        <v>1</v>
      </c>
      <c r="S1082" s="7" t="n">
        <f aca="false">IF(AND(R1082=1,J1082="Record or Recall",K1082="12-23 m"),1,0)</f>
        <v>1</v>
      </c>
      <c r="T1082" s="7" t="n">
        <f aca="false">IF(OR(I1082="BCG",I1082="DTP1",I1082="DTP3",I1082="POL3",I1082="MCV1",I1082="FULL"),1,0)</f>
        <v>0</v>
      </c>
      <c r="U1082" s="7" t="n">
        <f aca="false">IF(OR(C1082="DHS",C1082="MICS"),1,0)</f>
        <v>1</v>
      </c>
      <c r="V1082" s="7" t="n">
        <f aca="false">IF(O1082="",1,0)</f>
        <v>0</v>
      </c>
      <c r="W1082" s="7" t="n">
        <f aca="false">IF(M1082="",1,0)</f>
        <v>0</v>
      </c>
      <c r="X1082" s="7" t="n">
        <f aca="false">COUNTIFS($B$2:$B$1141,B1082,$H$2:$H$1141,H1082,$I$2:$I$1141,I1082,$J$2:$J$1141,J1082,$K$2:$K$1141,K1082,$L$2:$L$1141,L1082)</f>
        <v>1</v>
      </c>
    </row>
    <row r="1083" customFormat="false" ht="15" hidden="false" customHeight="false" outlineLevel="0" collapsed="false">
      <c r="A1083" s="7" t="n">
        <f aca="false">ROW()-1</f>
        <v>1082</v>
      </c>
      <c r="B1083" s="7" t="str">
        <f aca="false">IF(Raw_Nigeria!B1083="",TRIM(Raw_Nigeria!C1083),TRIM(Raw_Nigeria!B1083))</f>
        <v>Nigeria Demographic and Health Survey 2024</v>
      </c>
      <c r="C1083" s="7" t="str">
        <f aca="false">IF(ISNUMBER(SEARCH("Demographic and Health",B1083)),"DHS",IF(OR(ISNUMBER(SEARCH("Multiple Indicator Cluster",B1083)),ISNUMBER(SEARCH("MICS",B1083))),"MICS",IF(ISNUMBER(SEARCH("Immunization Coverage Survey",B1083)),"Coverage survey",IF(ISNUMBER(SEARCH("Nutrition",B1083)),"Nutrition survey","Other"))))</f>
        <v>DHS</v>
      </c>
      <c r="D1083" s="7" t="n">
        <f aca="false">VALUE(LEFT(Raw_Nigeria!D1083,4))</f>
        <v>2023</v>
      </c>
      <c r="E1083" s="7" t="n">
        <f aca="false">IF(VALUE(RIGHT(Raw_Nigeria!D1083,2))&gt;12,"",VALUE(RIGHT(Raw_Nigeria!D1083,2)))</f>
        <v>12</v>
      </c>
      <c r="F1083" s="7" t="n">
        <f aca="false">VALUE(LEFT(Raw_Nigeria!E1083,4))</f>
        <v>2024</v>
      </c>
      <c r="G1083" s="7" t="n">
        <f aca="false">IF(VALUE(RIGHT(Raw_Nigeria!E1083,2))&gt;12,"",VALUE(RIGHT(Raw_Nigeria!E1083,2)))</f>
        <v>5</v>
      </c>
      <c r="H1083" s="7" t="n">
        <f aca="false">Raw_Nigeria!F1083</f>
        <v>2022</v>
      </c>
      <c r="I1083" s="7" t="str">
        <f aca="false">UPPER(TRIM(Raw_Nigeria!G1083))</f>
        <v>IPVC</v>
      </c>
      <c r="J1083" s="7" t="str">
        <f aca="false">Raw_Nigeria!H1083</f>
        <v>Record or Recall&lt;12m</v>
      </c>
      <c r="K1083" s="7" t="str">
        <f aca="false">Raw_Nigeria!L1083</f>
        <v>12-23 m</v>
      </c>
      <c r="L1083" s="7" t="str">
        <f aca="false">IF(Raw_Nigeria!K1083="","n/a",Raw_Nigeria!K1083)</f>
        <v>0-12 m</v>
      </c>
      <c r="M1083" s="7" t="n">
        <f aca="false">IF(Raw_Nigeria!I1083="","",Raw_Nigeria!I1083)</f>
        <v>50.2</v>
      </c>
      <c r="N1083" s="7" t="n">
        <f aca="false">Raw_Nigeria!M1083</f>
        <v>41.5</v>
      </c>
      <c r="O1083" s="7" t="n">
        <f aca="false">IF(Raw_Nigeria!N1083="","",Raw_Nigeria!N1083)</f>
        <v>5121</v>
      </c>
      <c r="P1083" s="7" t="str">
        <f aca="false">IF(K1083="CBAW","Women of child-bearing age","Children")</f>
        <v>Children</v>
      </c>
      <c r="Q1083" s="7" t="n">
        <f aca="false">IF(J1083="NOT USED",1,0)</f>
        <v>0</v>
      </c>
      <c r="R1083" s="7" t="n">
        <f aca="false">IF(AND(P1083="Children",Q1083=0),1,0)</f>
        <v>1</v>
      </c>
      <c r="S1083" s="7" t="n">
        <f aca="false">IF(AND(R1083=1,J1083="Record or Recall",K1083="12-23 m"),1,0)</f>
        <v>0</v>
      </c>
      <c r="T1083" s="7" t="n">
        <f aca="false">IF(OR(I1083="BCG",I1083="DTP1",I1083="DTP3",I1083="POL3",I1083="MCV1",I1083="FULL"),1,0)</f>
        <v>0</v>
      </c>
      <c r="U1083" s="7" t="n">
        <f aca="false">IF(OR(C1083="DHS",C1083="MICS"),1,0)</f>
        <v>1</v>
      </c>
      <c r="V1083" s="7" t="n">
        <f aca="false">IF(O1083="",1,0)</f>
        <v>0</v>
      </c>
      <c r="W1083" s="7" t="n">
        <f aca="false">IF(M1083="",1,0)</f>
        <v>0</v>
      </c>
      <c r="X1083" s="7" t="n">
        <f aca="false">COUNTIFS($B$2:$B$1141,B1083,$H$2:$H$1141,H1083,$I$2:$I$1141,I1083,$J$2:$J$1141,J1083,$K$2:$K$1141,K1083,$L$2:$L$1141,L1083)</f>
        <v>1</v>
      </c>
    </row>
    <row r="1084" customFormat="false" ht="15" hidden="false" customHeight="false" outlineLevel="0" collapsed="false">
      <c r="A1084" s="7" t="n">
        <f aca="false">ROW()-1</f>
        <v>1083</v>
      </c>
      <c r="B1084" s="7" t="str">
        <f aca="false">IF(Raw_Nigeria!B1084="",TRIM(Raw_Nigeria!C1084),TRIM(Raw_Nigeria!B1084))</f>
        <v>Nigeria Demographic and Health Survey 2024</v>
      </c>
      <c r="C1084" s="7" t="str">
        <f aca="false">IF(ISNUMBER(SEARCH("Demographic and Health",B1084)),"DHS",IF(OR(ISNUMBER(SEARCH("Multiple Indicator Cluster",B1084)),ISNUMBER(SEARCH("MICS",B1084))),"MICS",IF(ISNUMBER(SEARCH("Immunization Coverage Survey",B1084)),"Coverage survey",IF(ISNUMBER(SEARCH("Nutrition",B1084)),"Nutrition survey","Other"))))</f>
        <v>DHS</v>
      </c>
      <c r="D1084" s="7" t="n">
        <f aca="false">VALUE(LEFT(Raw_Nigeria!D1084,4))</f>
        <v>2023</v>
      </c>
      <c r="E1084" s="7" t="n">
        <f aca="false">IF(VALUE(RIGHT(Raw_Nigeria!D1084,2))&gt;12,"",VALUE(RIGHT(Raw_Nigeria!D1084,2)))</f>
        <v>12</v>
      </c>
      <c r="F1084" s="7" t="n">
        <f aca="false">VALUE(LEFT(Raw_Nigeria!E1084,4))</f>
        <v>2024</v>
      </c>
      <c r="G1084" s="7" t="n">
        <f aca="false">IF(VALUE(RIGHT(Raw_Nigeria!E1084,2))&gt;12,"",VALUE(RIGHT(Raw_Nigeria!E1084,2)))</f>
        <v>5</v>
      </c>
      <c r="H1084" s="7" t="n">
        <f aca="false">Raw_Nigeria!F1084</f>
        <v>2022</v>
      </c>
      <c r="I1084" s="7" t="str">
        <f aca="false">UPPER(TRIM(Raw_Nigeria!G1084))</f>
        <v>MCV1</v>
      </c>
      <c r="J1084" s="7" t="str">
        <f aca="false">Raw_Nigeria!H1084</f>
        <v>Recall</v>
      </c>
      <c r="K1084" s="7" t="str">
        <f aca="false">Raw_Nigeria!L1084</f>
        <v>12-23 m</v>
      </c>
      <c r="L1084" s="7" t="str">
        <f aca="false">IF(Raw_Nigeria!K1084="","n/a",Raw_Nigeria!K1084)</f>
        <v>0-23 m</v>
      </c>
      <c r="M1084" s="7" t="n">
        <f aca="false">IF(Raw_Nigeria!I1084="","",Raw_Nigeria!I1084)</f>
        <v>50.2</v>
      </c>
      <c r="N1084" s="7" t="n">
        <f aca="false">Raw_Nigeria!M1084</f>
        <v>12.7</v>
      </c>
      <c r="O1084" s="7" t="n">
        <f aca="false">IF(Raw_Nigeria!N1084="","",Raw_Nigeria!N1084)</f>
        <v>2549</v>
      </c>
      <c r="P1084" s="7" t="str">
        <f aca="false">IF(K1084="CBAW","Women of child-bearing age","Children")</f>
        <v>Children</v>
      </c>
      <c r="Q1084" s="7" t="n">
        <f aca="false">IF(J1084="NOT USED",1,0)</f>
        <v>0</v>
      </c>
      <c r="R1084" s="7" t="n">
        <f aca="false">IF(AND(P1084="Children",Q1084=0),1,0)</f>
        <v>1</v>
      </c>
      <c r="S1084" s="7" t="n">
        <f aca="false">IF(AND(R1084=1,J1084="Record or Recall",K1084="12-23 m"),1,0)</f>
        <v>0</v>
      </c>
      <c r="T1084" s="7" t="n">
        <f aca="false">IF(OR(I1084="BCG",I1084="DTP1",I1084="DTP3",I1084="POL3",I1084="MCV1",I1084="FULL"),1,0)</f>
        <v>1</v>
      </c>
      <c r="U1084" s="7" t="n">
        <f aca="false">IF(OR(C1084="DHS",C1084="MICS"),1,0)</f>
        <v>1</v>
      </c>
      <c r="V1084" s="7" t="n">
        <f aca="false">IF(O1084="",1,0)</f>
        <v>0</v>
      </c>
      <c r="W1084" s="7" t="n">
        <f aca="false">IF(M1084="",1,0)</f>
        <v>0</v>
      </c>
      <c r="X1084" s="7" t="n">
        <f aca="false">COUNTIFS($B$2:$B$1141,B1084,$H$2:$H$1141,H1084,$I$2:$I$1141,I1084,$J$2:$J$1141,J1084,$K$2:$K$1141,K1084,$L$2:$L$1141,L1084)</f>
        <v>1</v>
      </c>
    </row>
    <row r="1085" customFormat="false" ht="15" hidden="false" customHeight="false" outlineLevel="0" collapsed="false">
      <c r="A1085" s="7" t="n">
        <f aca="false">ROW()-1</f>
        <v>1084</v>
      </c>
      <c r="B1085" s="7" t="str">
        <f aca="false">IF(Raw_Nigeria!B1085="",TRIM(Raw_Nigeria!C1085),TRIM(Raw_Nigeria!B1085))</f>
        <v>Nigeria Demographic and Health Survey 2024</v>
      </c>
      <c r="C1085" s="7" t="str">
        <f aca="false">IF(ISNUMBER(SEARCH("Demographic and Health",B1085)),"DHS",IF(OR(ISNUMBER(SEARCH("Multiple Indicator Cluster",B1085)),ISNUMBER(SEARCH("MICS",B1085))),"MICS",IF(ISNUMBER(SEARCH("Immunization Coverage Survey",B1085)),"Coverage survey",IF(ISNUMBER(SEARCH("Nutrition",B1085)),"Nutrition survey","Other"))))</f>
        <v>DHS</v>
      </c>
      <c r="D1085" s="7" t="n">
        <f aca="false">VALUE(LEFT(Raw_Nigeria!D1085,4))</f>
        <v>2023</v>
      </c>
      <c r="E1085" s="7" t="n">
        <f aca="false">IF(VALUE(RIGHT(Raw_Nigeria!D1085,2))&gt;12,"",VALUE(RIGHT(Raw_Nigeria!D1085,2)))</f>
        <v>12</v>
      </c>
      <c r="F1085" s="7" t="n">
        <f aca="false">VALUE(LEFT(Raw_Nigeria!E1085,4))</f>
        <v>2024</v>
      </c>
      <c r="G1085" s="7" t="n">
        <f aca="false">IF(VALUE(RIGHT(Raw_Nigeria!E1085,2))&gt;12,"",VALUE(RIGHT(Raw_Nigeria!E1085,2)))</f>
        <v>5</v>
      </c>
      <c r="H1085" s="7" t="n">
        <f aca="false">Raw_Nigeria!F1085</f>
        <v>2022</v>
      </c>
      <c r="I1085" s="7" t="str">
        <f aca="false">UPPER(TRIM(Raw_Nigeria!G1085))</f>
        <v>MCV1</v>
      </c>
      <c r="J1085" s="7" t="str">
        <f aca="false">Raw_Nigeria!H1085</f>
        <v>Record</v>
      </c>
      <c r="K1085" s="7" t="str">
        <f aca="false">Raw_Nigeria!L1085</f>
        <v>12-23 m</v>
      </c>
      <c r="L1085" s="7" t="str">
        <f aca="false">IF(Raw_Nigeria!K1085="","n/a",Raw_Nigeria!K1085)</f>
        <v>0-23 m</v>
      </c>
      <c r="M1085" s="7" t="n">
        <f aca="false">IF(Raw_Nigeria!I1085="","",Raw_Nigeria!I1085)</f>
        <v>50.2</v>
      </c>
      <c r="N1085" s="7" t="n">
        <f aca="false">Raw_Nigeria!M1085</f>
        <v>38.7</v>
      </c>
      <c r="O1085" s="7" t="n">
        <f aca="false">IF(Raw_Nigeria!N1085="","",Raw_Nigeria!N1085)</f>
        <v>2572</v>
      </c>
      <c r="P1085" s="7" t="str">
        <f aca="false">IF(K1085="CBAW","Women of child-bearing age","Children")</f>
        <v>Children</v>
      </c>
      <c r="Q1085" s="7" t="n">
        <f aca="false">IF(J1085="NOT USED",1,0)</f>
        <v>0</v>
      </c>
      <c r="R1085" s="7" t="n">
        <f aca="false">IF(AND(P1085="Children",Q1085=0),1,0)</f>
        <v>1</v>
      </c>
      <c r="S1085" s="7" t="n">
        <f aca="false">IF(AND(R1085=1,J1085="Record or Recall",K1085="12-23 m"),1,0)</f>
        <v>0</v>
      </c>
      <c r="T1085" s="7" t="n">
        <f aca="false">IF(OR(I1085="BCG",I1085="DTP1",I1085="DTP3",I1085="POL3",I1085="MCV1",I1085="FULL"),1,0)</f>
        <v>1</v>
      </c>
      <c r="U1085" s="7" t="n">
        <f aca="false">IF(OR(C1085="DHS",C1085="MICS"),1,0)</f>
        <v>1</v>
      </c>
      <c r="V1085" s="7" t="n">
        <f aca="false">IF(O1085="",1,0)</f>
        <v>0</v>
      </c>
      <c r="W1085" s="7" t="n">
        <f aca="false">IF(M1085="",1,0)</f>
        <v>0</v>
      </c>
      <c r="X1085" s="7" t="n">
        <f aca="false">COUNTIFS($B$2:$B$1141,B1085,$H$2:$H$1141,H1085,$I$2:$I$1141,I1085,$J$2:$J$1141,J1085,$K$2:$K$1141,K1085,$L$2:$L$1141,L1085)</f>
        <v>1</v>
      </c>
    </row>
    <row r="1086" customFormat="false" ht="15" hidden="false" customHeight="false" outlineLevel="0" collapsed="false">
      <c r="A1086" s="7" t="n">
        <f aca="false">ROW()-1</f>
        <v>1085</v>
      </c>
      <c r="B1086" s="7" t="str">
        <f aca="false">IF(Raw_Nigeria!B1086="",TRIM(Raw_Nigeria!C1086),TRIM(Raw_Nigeria!B1086))</f>
        <v>Nigeria Demographic and Health Survey 2024</v>
      </c>
      <c r="C1086" s="7" t="str">
        <f aca="false">IF(ISNUMBER(SEARCH("Demographic and Health",B1086)),"DHS",IF(OR(ISNUMBER(SEARCH("Multiple Indicator Cluster",B1086)),ISNUMBER(SEARCH("MICS",B1086))),"MICS",IF(ISNUMBER(SEARCH("Immunization Coverage Survey",B1086)),"Coverage survey",IF(ISNUMBER(SEARCH("Nutrition",B1086)),"Nutrition survey","Other"))))</f>
        <v>DHS</v>
      </c>
      <c r="D1086" s="7" t="n">
        <f aca="false">VALUE(LEFT(Raw_Nigeria!D1086,4))</f>
        <v>2023</v>
      </c>
      <c r="E1086" s="7" t="n">
        <f aca="false">IF(VALUE(RIGHT(Raw_Nigeria!D1086,2))&gt;12,"",VALUE(RIGHT(Raw_Nigeria!D1086,2)))</f>
        <v>12</v>
      </c>
      <c r="F1086" s="7" t="n">
        <f aca="false">VALUE(LEFT(Raw_Nigeria!E1086,4))</f>
        <v>2024</v>
      </c>
      <c r="G1086" s="7" t="n">
        <f aca="false">IF(VALUE(RIGHT(Raw_Nigeria!E1086,2))&gt;12,"",VALUE(RIGHT(Raw_Nigeria!E1086,2)))</f>
        <v>5</v>
      </c>
      <c r="H1086" s="7" t="n">
        <f aca="false">Raw_Nigeria!F1086</f>
        <v>2022</v>
      </c>
      <c r="I1086" s="7" t="str">
        <f aca="false">UPPER(TRIM(Raw_Nigeria!G1086))</f>
        <v>MCV1</v>
      </c>
      <c r="J1086" s="7" t="str">
        <f aca="false">Raw_Nigeria!H1086</f>
        <v>Record or Recall</v>
      </c>
      <c r="K1086" s="7" t="str">
        <f aca="false">Raw_Nigeria!L1086</f>
        <v>12-23 m</v>
      </c>
      <c r="L1086" s="7" t="str">
        <f aca="false">IF(Raw_Nigeria!K1086="","n/a",Raw_Nigeria!K1086)</f>
        <v>0-23 m</v>
      </c>
      <c r="M1086" s="7" t="n">
        <f aca="false">IF(Raw_Nigeria!I1086="","",Raw_Nigeria!I1086)</f>
        <v>50.2</v>
      </c>
      <c r="N1086" s="7" t="n">
        <f aca="false">Raw_Nigeria!M1086</f>
        <v>51.4</v>
      </c>
      <c r="O1086" s="7" t="n">
        <f aca="false">IF(Raw_Nigeria!N1086="","",Raw_Nigeria!N1086)</f>
        <v>5121</v>
      </c>
      <c r="P1086" s="7" t="str">
        <f aca="false">IF(K1086="CBAW","Women of child-bearing age","Children")</f>
        <v>Children</v>
      </c>
      <c r="Q1086" s="7" t="n">
        <f aca="false">IF(J1086="NOT USED",1,0)</f>
        <v>0</v>
      </c>
      <c r="R1086" s="7" t="n">
        <f aca="false">IF(AND(P1086="Children",Q1086=0),1,0)</f>
        <v>1</v>
      </c>
      <c r="S1086" s="7" t="n">
        <f aca="false">IF(AND(R1086=1,J1086="Record or Recall",K1086="12-23 m"),1,0)</f>
        <v>1</v>
      </c>
      <c r="T1086" s="7" t="n">
        <f aca="false">IF(OR(I1086="BCG",I1086="DTP1",I1086="DTP3",I1086="POL3",I1086="MCV1",I1086="FULL"),1,0)</f>
        <v>1</v>
      </c>
      <c r="U1086" s="7" t="n">
        <f aca="false">IF(OR(C1086="DHS",C1086="MICS"),1,0)</f>
        <v>1</v>
      </c>
      <c r="V1086" s="7" t="n">
        <f aca="false">IF(O1086="",1,0)</f>
        <v>0</v>
      </c>
      <c r="W1086" s="7" t="n">
        <f aca="false">IF(M1086="",1,0)</f>
        <v>0</v>
      </c>
      <c r="X1086" s="7" t="n">
        <f aca="false">COUNTIFS($B$2:$B$1141,B1086,$H$2:$H$1141,H1086,$I$2:$I$1141,I1086,$J$2:$J$1141,J1086,$K$2:$K$1141,K1086,$L$2:$L$1141,L1086)</f>
        <v>1</v>
      </c>
    </row>
    <row r="1087" customFormat="false" ht="15" hidden="false" customHeight="false" outlineLevel="0" collapsed="false">
      <c r="A1087" s="7" t="n">
        <f aca="false">ROW()-1</f>
        <v>1086</v>
      </c>
      <c r="B1087" s="7" t="str">
        <f aca="false">IF(Raw_Nigeria!B1087="",TRIM(Raw_Nigeria!C1087),TRIM(Raw_Nigeria!B1087))</f>
        <v>Nigeria Demographic and Health Survey 2024</v>
      </c>
      <c r="C1087" s="7" t="str">
        <f aca="false">IF(ISNUMBER(SEARCH("Demographic and Health",B1087)),"DHS",IF(OR(ISNUMBER(SEARCH("Multiple Indicator Cluster",B1087)),ISNUMBER(SEARCH("MICS",B1087))),"MICS",IF(ISNUMBER(SEARCH("Immunization Coverage Survey",B1087)),"Coverage survey",IF(ISNUMBER(SEARCH("Nutrition",B1087)),"Nutrition survey","Other"))))</f>
        <v>DHS</v>
      </c>
      <c r="D1087" s="7" t="n">
        <f aca="false">VALUE(LEFT(Raw_Nigeria!D1087,4))</f>
        <v>2023</v>
      </c>
      <c r="E1087" s="7" t="n">
        <f aca="false">IF(VALUE(RIGHT(Raw_Nigeria!D1087,2))&gt;12,"",VALUE(RIGHT(Raw_Nigeria!D1087,2)))</f>
        <v>12</v>
      </c>
      <c r="F1087" s="7" t="n">
        <f aca="false">VALUE(LEFT(Raw_Nigeria!E1087,4))</f>
        <v>2024</v>
      </c>
      <c r="G1087" s="7" t="n">
        <f aca="false">IF(VALUE(RIGHT(Raw_Nigeria!E1087,2))&gt;12,"",VALUE(RIGHT(Raw_Nigeria!E1087,2)))</f>
        <v>5</v>
      </c>
      <c r="H1087" s="7" t="n">
        <f aca="false">Raw_Nigeria!F1087</f>
        <v>2022</v>
      </c>
      <c r="I1087" s="7" t="str">
        <f aca="false">UPPER(TRIM(Raw_Nigeria!G1087))</f>
        <v>MCV1</v>
      </c>
      <c r="J1087" s="7" t="str">
        <f aca="false">Raw_Nigeria!H1087</f>
        <v>Record or Recall&lt;12m</v>
      </c>
      <c r="K1087" s="7" t="str">
        <f aca="false">Raw_Nigeria!L1087</f>
        <v>12-23 m</v>
      </c>
      <c r="L1087" s="7" t="str">
        <f aca="false">IF(Raw_Nigeria!K1087="","n/a",Raw_Nigeria!K1087)</f>
        <v>0-12 m</v>
      </c>
      <c r="M1087" s="7" t="n">
        <f aca="false">IF(Raw_Nigeria!I1087="","",Raw_Nigeria!I1087)</f>
        <v>50.2</v>
      </c>
      <c r="N1087" s="7" t="n">
        <f aca="false">Raw_Nigeria!M1087</f>
        <v>47.3</v>
      </c>
      <c r="O1087" s="7" t="n">
        <f aca="false">IF(Raw_Nigeria!N1087="","",Raw_Nigeria!N1087)</f>
        <v>5121</v>
      </c>
      <c r="P1087" s="7" t="str">
        <f aca="false">IF(K1087="CBAW","Women of child-bearing age","Children")</f>
        <v>Children</v>
      </c>
      <c r="Q1087" s="7" t="n">
        <f aca="false">IF(J1087="NOT USED",1,0)</f>
        <v>0</v>
      </c>
      <c r="R1087" s="7" t="n">
        <f aca="false">IF(AND(P1087="Children",Q1087=0),1,0)</f>
        <v>1</v>
      </c>
      <c r="S1087" s="7" t="n">
        <f aca="false">IF(AND(R1087=1,J1087="Record or Recall",K1087="12-23 m"),1,0)</f>
        <v>0</v>
      </c>
      <c r="T1087" s="7" t="n">
        <f aca="false">IF(OR(I1087="BCG",I1087="DTP1",I1087="DTP3",I1087="POL3",I1087="MCV1",I1087="FULL"),1,0)</f>
        <v>1</v>
      </c>
      <c r="U1087" s="7" t="n">
        <f aca="false">IF(OR(C1087="DHS",C1087="MICS"),1,0)</f>
        <v>1</v>
      </c>
      <c r="V1087" s="7" t="n">
        <f aca="false">IF(O1087="",1,0)</f>
        <v>0</v>
      </c>
      <c r="W1087" s="7" t="n">
        <f aca="false">IF(M1087="",1,0)</f>
        <v>0</v>
      </c>
      <c r="X1087" s="7" t="n">
        <f aca="false">COUNTIFS($B$2:$B$1141,B1087,$H$2:$H$1141,H1087,$I$2:$I$1141,I1087,$J$2:$J$1141,J1087,$K$2:$K$1141,K1087,$L$2:$L$1141,L1087)</f>
        <v>1</v>
      </c>
    </row>
    <row r="1088" customFormat="false" ht="15" hidden="false" customHeight="false" outlineLevel="0" collapsed="false">
      <c r="A1088" s="7" t="n">
        <f aca="false">ROW()-1</f>
        <v>1087</v>
      </c>
      <c r="B1088" s="7" t="str">
        <f aca="false">IF(Raw_Nigeria!B1088="",TRIM(Raw_Nigeria!C1088),TRIM(Raw_Nigeria!B1088))</f>
        <v>Nigeria Demographic and Health Survey 2024</v>
      </c>
      <c r="C1088" s="7" t="str">
        <f aca="false">IF(ISNUMBER(SEARCH("Demographic and Health",B1088)),"DHS",IF(OR(ISNUMBER(SEARCH("Multiple Indicator Cluster",B1088)),ISNUMBER(SEARCH("MICS",B1088))),"MICS",IF(ISNUMBER(SEARCH("Immunization Coverage Survey",B1088)),"Coverage survey",IF(ISNUMBER(SEARCH("Nutrition",B1088)),"Nutrition survey","Other"))))</f>
        <v>DHS</v>
      </c>
      <c r="D1088" s="7" t="n">
        <f aca="false">VALUE(LEFT(Raw_Nigeria!D1088,4))</f>
        <v>2023</v>
      </c>
      <c r="E1088" s="7" t="n">
        <f aca="false">IF(VALUE(RIGHT(Raw_Nigeria!D1088,2))&gt;12,"",VALUE(RIGHT(Raw_Nigeria!D1088,2)))</f>
        <v>12</v>
      </c>
      <c r="F1088" s="7" t="n">
        <f aca="false">VALUE(LEFT(Raw_Nigeria!E1088,4))</f>
        <v>2024</v>
      </c>
      <c r="G1088" s="7" t="n">
        <f aca="false">IF(VALUE(RIGHT(Raw_Nigeria!E1088,2))&gt;12,"",VALUE(RIGHT(Raw_Nigeria!E1088,2)))</f>
        <v>5</v>
      </c>
      <c r="H1088" s="7" t="n">
        <f aca="false">Raw_Nigeria!F1088</f>
        <v>2022</v>
      </c>
      <c r="I1088" s="7" t="str">
        <f aca="false">UPPER(TRIM(Raw_Nigeria!G1088))</f>
        <v>MCV2</v>
      </c>
      <c r="J1088" s="7" t="str">
        <f aca="false">Raw_Nigeria!H1088</f>
        <v>Recall</v>
      </c>
      <c r="K1088" s="7" t="str">
        <f aca="false">Raw_Nigeria!L1088</f>
        <v>24-35 m</v>
      </c>
      <c r="L1088" s="7" t="str">
        <f aca="false">IF(Raw_Nigeria!K1088="","n/a",Raw_Nigeria!K1088)</f>
        <v>0-35 m</v>
      </c>
      <c r="M1088" s="7" t="n">
        <f aca="false">IF(Raw_Nigeria!I1088="","",Raw_Nigeria!I1088)</f>
        <v>34.4</v>
      </c>
      <c r="N1088" s="7" t="n">
        <f aca="false">Raw_Nigeria!M1088</f>
        <v>14</v>
      </c>
      <c r="O1088" s="7" t="n">
        <f aca="false">IF(Raw_Nigeria!N1088="","",Raw_Nigeria!N1088)</f>
        <v>3072</v>
      </c>
      <c r="P1088" s="7" t="str">
        <f aca="false">IF(K1088="CBAW","Women of child-bearing age","Children")</f>
        <v>Children</v>
      </c>
      <c r="Q1088" s="7" t="n">
        <f aca="false">IF(J1088="NOT USED",1,0)</f>
        <v>0</v>
      </c>
      <c r="R1088" s="7" t="n">
        <f aca="false">IF(AND(P1088="Children",Q1088=0),1,0)</f>
        <v>1</v>
      </c>
      <c r="S1088" s="7" t="n">
        <f aca="false">IF(AND(R1088=1,J1088="Record or Recall",K1088="12-23 m"),1,0)</f>
        <v>0</v>
      </c>
      <c r="T1088" s="7" t="n">
        <f aca="false">IF(OR(I1088="BCG",I1088="DTP1",I1088="DTP3",I1088="POL3",I1088="MCV1",I1088="FULL"),1,0)</f>
        <v>0</v>
      </c>
      <c r="U1088" s="7" t="n">
        <f aca="false">IF(OR(C1088="DHS",C1088="MICS"),1,0)</f>
        <v>1</v>
      </c>
      <c r="V1088" s="7" t="n">
        <f aca="false">IF(O1088="",1,0)</f>
        <v>0</v>
      </c>
      <c r="W1088" s="7" t="n">
        <f aca="false">IF(M1088="",1,0)</f>
        <v>0</v>
      </c>
      <c r="X1088" s="7" t="n">
        <f aca="false">COUNTIFS($B$2:$B$1141,B1088,$H$2:$H$1141,H1088,$I$2:$I$1141,I1088,$J$2:$J$1141,J1088,$K$2:$K$1141,K1088,$L$2:$L$1141,L1088)</f>
        <v>1</v>
      </c>
    </row>
    <row r="1089" customFormat="false" ht="15" hidden="false" customHeight="false" outlineLevel="0" collapsed="false">
      <c r="A1089" s="7" t="n">
        <f aca="false">ROW()-1</f>
        <v>1088</v>
      </c>
      <c r="B1089" s="7" t="str">
        <f aca="false">IF(Raw_Nigeria!B1089="",TRIM(Raw_Nigeria!C1089),TRIM(Raw_Nigeria!B1089))</f>
        <v>Nigeria Demographic and Health Survey 2024</v>
      </c>
      <c r="C1089" s="7" t="str">
        <f aca="false">IF(ISNUMBER(SEARCH("Demographic and Health",B1089)),"DHS",IF(OR(ISNUMBER(SEARCH("Multiple Indicator Cluster",B1089)),ISNUMBER(SEARCH("MICS",B1089))),"MICS",IF(ISNUMBER(SEARCH("Immunization Coverage Survey",B1089)),"Coverage survey",IF(ISNUMBER(SEARCH("Nutrition",B1089)),"Nutrition survey","Other"))))</f>
        <v>DHS</v>
      </c>
      <c r="D1089" s="7" t="n">
        <f aca="false">VALUE(LEFT(Raw_Nigeria!D1089,4))</f>
        <v>2023</v>
      </c>
      <c r="E1089" s="7" t="n">
        <f aca="false">IF(VALUE(RIGHT(Raw_Nigeria!D1089,2))&gt;12,"",VALUE(RIGHT(Raw_Nigeria!D1089,2)))</f>
        <v>12</v>
      </c>
      <c r="F1089" s="7" t="n">
        <f aca="false">VALUE(LEFT(Raw_Nigeria!E1089,4))</f>
        <v>2024</v>
      </c>
      <c r="G1089" s="7" t="n">
        <f aca="false">IF(VALUE(RIGHT(Raw_Nigeria!E1089,2))&gt;12,"",VALUE(RIGHT(Raw_Nigeria!E1089,2)))</f>
        <v>5</v>
      </c>
      <c r="H1089" s="7" t="n">
        <f aca="false">Raw_Nigeria!F1089</f>
        <v>2022</v>
      </c>
      <c r="I1089" s="7" t="str">
        <f aca="false">UPPER(TRIM(Raw_Nigeria!G1089))</f>
        <v>MCV2</v>
      </c>
      <c r="J1089" s="7" t="str">
        <f aca="false">Raw_Nigeria!H1089</f>
        <v>Record</v>
      </c>
      <c r="K1089" s="7" t="str">
        <f aca="false">Raw_Nigeria!L1089</f>
        <v>24-35 m</v>
      </c>
      <c r="L1089" s="7" t="str">
        <f aca="false">IF(Raw_Nigeria!K1089="","n/a",Raw_Nigeria!K1089)</f>
        <v>0-35 m</v>
      </c>
      <c r="M1089" s="7" t="n">
        <f aca="false">IF(Raw_Nigeria!I1089="","",Raw_Nigeria!I1089)</f>
        <v>34.4</v>
      </c>
      <c r="N1089" s="7" t="n">
        <f aca="false">Raw_Nigeria!M1089</f>
        <v>16.3</v>
      </c>
      <c r="O1089" s="7" t="n">
        <f aca="false">IF(Raw_Nigeria!N1089="","",Raw_Nigeria!N1089)</f>
        <v>1608</v>
      </c>
      <c r="P1089" s="7" t="str">
        <f aca="false">IF(K1089="CBAW","Women of child-bearing age","Children")</f>
        <v>Children</v>
      </c>
      <c r="Q1089" s="7" t="n">
        <f aca="false">IF(J1089="NOT USED",1,0)</f>
        <v>0</v>
      </c>
      <c r="R1089" s="7" t="n">
        <f aca="false">IF(AND(P1089="Children",Q1089=0),1,0)</f>
        <v>1</v>
      </c>
      <c r="S1089" s="7" t="n">
        <f aca="false">IF(AND(R1089=1,J1089="Record or Recall",K1089="12-23 m"),1,0)</f>
        <v>0</v>
      </c>
      <c r="T1089" s="7" t="n">
        <f aca="false">IF(OR(I1089="BCG",I1089="DTP1",I1089="DTP3",I1089="POL3",I1089="MCV1",I1089="FULL"),1,0)</f>
        <v>0</v>
      </c>
      <c r="U1089" s="7" t="n">
        <f aca="false">IF(OR(C1089="DHS",C1089="MICS"),1,0)</f>
        <v>1</v>
      </c>
      <c r="V1089" s="7" t="n">
        <f aca="false">IF(O1089="",1,0)</f>
        <v>0</v>
      </c>
      <c r="W1089" s="7" t="n">
        <f aca="false">IF(M1089="",1,0)</f>
        <v>0</v>
      </c>
      <c r="X1089" s="7" t="n">
        <f aca="false">COUNTIFS($B$2:$B$1141,B1089,$H$2:$H$1141,H1089,$I$2:$I$1141,I1089,$J$2:$J$1141,J1089,$K$2:$K$1141,K1089,$L$2:$L$1141,L1089)</f>
        <v>1</v>
      </c>
    </row>
    <row r="1090" customFormat="false" ht="15" hidden="false" customHeight="false" outlineLevel="0" collapsed="false">
      <c r="A1090" s="7" t="n">
        <f aca="false">ROW()-1</f>
        <v>1089</v>
      </c>
      <c r="B1090" s="7" t="str">
        <f aca="false">IF(Raw_Nigeria!B1090="",TRIM(Raw_Nigeria!C1090),TRIM(Raw_Nigeria!B1090))</f>
        <v>Nigeria Demographic and Health Survey 2024</v>
      </c>
      <c r="C1090" s="7" t="str">
        <f aca="false">IF(ISNUMBER(SEARCH("Demographic and Health",B1090)),"DHS",IF(OR(ISNUMBER(SEARCH("Multiple Indicator Cluster",B1090)),ISNUMBER(SEARCH("MICS",B1090))),"MICS",IF(ISNUMBER(SEARCH("Immunization Coverage Survey",B1090)),"Coverage survey",IF(ISNUMBER(SEARCH("Nutrition",B1090)),"Nutrition survey","Other"))))</f>
        <v>DHS</v>
      </c>
      <c r="D1090" s="7" t="n">
        <f aca="false">VALUE(LEFT(Raw_Nigeria!D1090,4))</f>
        <v>2023</v>
      </c>
      <c r="E1090" s="7" t="n">
        <f aca="false">IF(VALUE(RIGHT(Raw_Nigeria!D1090,2))&gt;12,"",VALUE(RIGHT(Raw_Nigeria!D1090,2)))</f>
        <v>12</v>
      </c>
      <c r="F1090" s="7" t="n">
        <f aca="false">VALUE(LEFT(Raw_Nigeria!E1090,4))</f>
        <v>2024</v>
      </c>
      <c r="G1090" s="7" t="n">
        <f aca="false">IF(VALUE(RIGHT(Raw_Nigeria!E1090,2))&gt;12,"",VALUE(RIGHT(Raw_Nigeria!E1090,2)))</f>
        <v>5</v>
      </c>
      <c r="H1090" s="7" t="n">
        <f aca="false">Raw_Nigeria!F1090</f>
        <v>2022</v>
      </c>
      <c r="I1090" s="7" t="str">
        <f aca="false">UPPER(TRIM(Raw_Nigeria!G1090))</f>
        <v>MCV2</v>
      </c>
      <c r="J1090" s="7" t="str">
        <f aca="false">Raw_Nigeria!H1090</f>
        <v>Record or Recall</v>
      </c>
      <c r="K1090" s="7" t="str">
        <f aca="false">Raw_Nigeria!L1090</f>
        <v>24-35 m</v>
      </c>
      <c r="L1090" s="7" t="str">
        <f aca="false">IF(Raw_Nigeria!K1090="","n/a",Raw_Nigeria!K1090)</f>
        <v>0-35 m</v>
      </c>
      <c r="M1090" s="7" t="n">
        <f aca="false">IF(Raw_Nigeria!I1090="","",Raw_Nigeria!I1090)</f>
        <v>34.4</v>
      </c>
      <c r="N1090" s="7" t="n">
        <f aca="false">Raw_Nigeria!M1090</f>
        <v>30.3</v>
      </c>
      <c r="O1090" s="7" t="n">
        <f aca="false">IF(Raw_Nigeria!N1090="","",Raw_Nigeria!N1090)</f>
        <v>4680</v>
      </c>
      <c r="P1090" s="7" t="str">
        <f aca="false">IF(K1090="CBAW","Women of child-bearing age","Children")</f>
        <v>Children</v>
      </c>
      <c r="Q1090" s="7" t="n">
        <f aca="false">IF(J1090="NOT USED",1,0)</f>
        <v>0</v>
      </c>
      <c r="R1090" s="7" t="n">
        <f aca="false">IF(AND(P1090="Children",Q1090=0),1,0)</f>
        <v>1</v>
      </c>
      <c r="S1090" s="7" t="n">
        <f aca="false">IF(AND(R1090=1,J1090="Record or Recall",K1090="12-23 m"),1,0)</f>
        <v>0</v>
      </c>
      <c r="T1090" s="7" t="n">
        <f aca="false">IF(OR(I1090="BCG",I1090="DTP1",I1090="DTP3",I1090="POL3",I1090="MCV1",I1090="FULL"),1,0)</f>
        <v>0</v>
      </c>
      <c r="U1090" s="7" t="n">
        <f aca="false">IF(OR(C1090="DHS",C1090="MICS"),1,0)</f>
        <v>1</v>
      </c>
      <c r="V1090" s="7" t="n">
        <f aca="false">IF(O1090="",1,0)</f>
        <v>0</v>
      </c>
      <c r="W1090" s="7" t="n">
        <f aca="false">IF(M1090="",1,0)</f>
        <v>0</v>
      </c>
      <c r="X1090" s="7" t="n">
        <f aca="false">COUNTIFS($B$2:$B$1141,B1090,$H$2:$H$1141,H1090,$I$2:$I$1141,I1090,$J$2:$J$1141,J1090,$K$2:$K$1141,K1090,$L$2:$L$1141,L1090)</f>
        <v>1</v>
      </c>
    </row>
    <row r="1091" customFormat="false" ht="15" hidden="false" customHeight="false" outlineLevel="0" collapsed="false">
      <c r="A1091" s="7" t="n">
        <f aca="false">ROW()-1</f>
        <v>1090</v>
      </c>
      <c r="B1091" s="7" t="str">
        <f aca="false">IF(Raw_Nigeria!B1091="",TRIM(Raw_Nigeria!C1091),TRIM(Raw_Nigeria!B1091))</f>
        <v>Nigeria Demographic and Health Survey 2024</v>
      </c>
      <c r="C1091" s="7" t="str">
        <f aca="false">IF(ISNUMBER(SEARCH("Demographic and Health",B1091)),"DHS",IF(OR(ISNUMBER(SEARCH("Multiple Indicator Cluster",B1091)),ISNUMBER(SEARCH("MICS",B1091))),"MICS",IF(ISNUMBER(SEARCH("Immunization Coverage Survey",B1091)),"Coverage survey",IF(ISNUMBER(SEARCH("Nutrition",B1091)),"Nutrition survey","Other"))))</f>
        <v>DHS</v>
      </c>
      <c r="D1091" s="7" t="n">
        <f aca="false">VALUE(LEFT(Raw_Nigeria!D1091,4))</f>
        <v>2023</v>
      </c>
      <c r="E1091" s="7" t="n">
        <f aca="false">IF(VALUE(RIGHT(Raw_Nigeria!D1091,2))&gt;12,"",VALUE(RIGHT(Raw_Nigeria!D1091,2)))</f>
        <v>12</v>
      </c>
      <c r="F1091" s="7" t="n">
        <f aca="false">VALUE(LEFT(Raw_Nigeria!E1091,4))</f>
        <v>2024</v>
      </c>
      <c r="G1091" s="7" t="n">
        <f aca="false">IF(VALUE(RIGHT(Raw_Nigeria!E1091,2))&gt;12,"",VALUE(RIGHT(Raw_Nigeria!E1091,2)))</f>
        <v>5</v>
      </c>
      <c r="H1091" s="7" t="n">
        <f aca="false">Raw_Nigeria!F1091</f>
        <v>2022</v>
      </c>
      <c r="I1091" s="7" t="str">
        <f aca="false">UPPER(TRIM(Raw_Nigeria!G1091))</f>
        <v>MCV2</v>
      </c>
      <c r="J1091" s="7" t="str">
        <f aca="false">Raw_Nigeria!H1091</f>
        <v>Record or Recall&lt;12m</v>
      </c>
      <c r="K1091" s="7" t="str">
        <f aca="false">Raw_Nigeria!L1091</f>
        <v>24-35 m</v>
      </c>
      <c r="L1091" s="7" t="str">
        <f aca="false">IF(Raw_Nigeria!K1091="","n/a",Raw_Nigeria!K1091)</f>
        <v>0-12 m</v>
      </c>
      <c r="M1091" s="7" t="n">
        <f aca="false">IF(Raw_Nigeria!I1091="","",Raw_Nigeria!I1091)</f>
        <v>34.4</v>
      </c>
      <c r="N1091" s="7" t="n">
        <f aca="false">Raw_Nigeria!M1091</f>
        <v>28.7</v>
      </c>
      <c r="O1091" s="7" t="n">
        <f aca="false">IF(Raw_Nigeria!N1091="","",Raw_Nigeria!N1091)</f>
        <v>4680</v>
      </c>
      <c r="P1091" s="7" t="str">
        <f aca="false">IF(K1091="CBAW","Women of child-bearing age","Children")</f>
        <v>Children</v>
      </c>
      <c r="Q1091" s="7" t="n">
        <f aca="false">IF(J1091="NOT USED",1,0)</f>
        <v>0</v>
      </c>
      <c r="R1091" s="7" t="n">
        <f aca="false">IF(AND(P1091="Children",Q1091=0),1,0)</f>
        <v>1</v>
      </c>
      <c r="S1091" s="7" t="n">
        <f aca="false">IF(AND(R1091=1,J1091="Record or Recall",K1091="12-23 m"),1,0)</f>
        <v>0</v>
      </c>
      <c r="T1091" s="7" t="n">
        <f aca="false">IF(OR(I1091="BCG",I1091="DTP1",I1091="DTP3",I1091="POL3",I1091="MCV1",I1091="FULL"),1,0)</f>
        <v>0</v>
      </c>
      <c r="U1091" s="7" t="n">
        <f aca="false">IF(OR(C1091="DHS",C1091="MICS"),1,0)</f>
        <v>1</v>
      </c>
      <c r="V1091" s="7" t="n">
        <f aca="false">IF(O1091="",1,0)</f>
        <v>0</v>
      </c>
      <c r="W1091" s="7" t="n">
        <f aca="false">IF(M1091="",1,0)</f>
        <v>0</v>
      </c>
      <c r="X1091" s="7" t="n">
        <f aca="false">COUNTIFS($B$2:$B$1141,B1091,$H$2:$H$1141,H1091,$I$2:$I$1141,I1091,$J$2:$J$1141,J1091,$K$2:$K$1141,K1091,$L$2:$L$1141,L1091)</f>
        <v>1</v>
      </c>
    </row>
    <row r="1092" customFormat="false" ht="15" hidden="false" customHeight="false" outlineLevel="0" collapsed="false">
      <c r="A1092" s="7" t="n">
        <f aca="false">ROW()-1</f>
        <v>1091</v>
      </c>
      <c r="B1092" s="7" t="str">
        <f aca="false">IF(Raw_Nigeria!B1092="",TRIM(Raw_Nigeria!C1092),TRIM(Raw_Nigeria!B1092))</f>
        <v>Nigeria Demographic and Health Survey 2024</v>
      </c>
      <c r="C1092" s="7" t="str">
        <f aca="false">IF(ISNUMBER(SEARCH("Demographic and Health",B1092)),"DHS",IF(OR(ISNUMBER(SEARCH("Multiple Indicator Cluster",B1092)),ISNUMBER(SEARCH("MICS",B1092))),"MICS",IF(ISNUMBER(SEARCH("Immunization Coverage Survey",B1092)),"Coverage survey",IF(ISNUMBER(SEARCH("Nutrition",B1092)),"Nutrition survey","Other"))))</f>
        <v>DHS</v>
      </c>
      <c r="D1092" s="7" t="n">
        <f aca="false">VALUE(LEFT(Raw_Nigeria!D1092,4))</f>
        <v>2023</v>
      </c>
      <c r="E1092" s="7" t="n">
        <f aca="false">IF(VALUE(RIGHT(Raw_Nigeria!D1092,2))&gt;12,"",VALUE(RIGHT(Raw_Nigeria!D1092,2)))</f>
        <v>12</v>
      </c>
      <c r="F1092" s="7" t="n">
        <f aca="false">VALUE(LEFT(Raw_Nigeria!E1092,4))</f>
        <v>2024</v>
      </c>
      <c r="G1092" s="7" t="n">
        <f aca="false">IF(VALUE(RIGHT(Raw_Nigeria!E1092,2))&gt;12,"",VALUE(RIGHT(Raw_Nigeria!E1092,2)))</f>
        <v>5</v>
      </c>
      <c r="H1092" s="7" t="n">
        <f aca="false">Raw_Nigeria!F1092</f>
        <v>2022</v>
      </c>
      <c r="I1092" s="7" t="str">
        <f aca="false">UPPER(TRIM(Raw_Nigeria!G1092))</f>
        <v>MENGA</v>
      </c>
      <c r="J1092" s="7" t="str">
        <f aca="false">Raw_Nigeria!H1092</f>
        <v>Recall</v>
      </c>
      <c r="K1092" s="7" t="str">
        <f aca="false">Raw_Nigeria!L1092</f>
        <v>12-23 m</v>
      </c>
      <c r="L1092" s="7" t="str">
        <f aca="false">IF(Raw_Nigeria!K1092="","n/a",Raw_Nigeria!K1092)</f>
        <v>0-23 m</v>
      </c>
      <c r="M1092" s="7" t="n">
        <f aca="false">IF(Raw_Nigeria!I1092="","",Raw_Nigeria!I1092)</f>
        <v>50.2</v>
      </c>
      <c r="N1092" s="7" t="n">
        <f aca="false">Raw_Nigeria!M1092</f>
        <v>11.1</v>
      </c>
      <c r="O1092" s="7" t="n">
        <f aca="false">IF(Raw_Nigeria!N1092="","",Raw_Nigeria!N1092)</f>
        <v>2549</v>
      </c>
      <c r="P1092" s="7" t="str">
        <f aca="false">IF(K1092="CBAW","Women of child-bearing age","Children")</f>
        <v>Children</v>
      </c>
      <c r="Q1092" s="7" t="n">
        <f aca="false">IF(J1092="NOT USED",1,0)</f>
        <v>0</v>
      </c>
      <c r="R1092" s="7" t="n">
        <f aca="false">IF(AND(P1092="Children",Q1092=0),1,0)</f>
        <v>1</v>
      </c>
      <c r="S1092" s="7" t="n">
        <f aca="false">IF(AND(R1092=1,J1092="Record or Recall",K1092="12-23 m"),1,0)</f>
        <v>0</v>
      </c>
      <c r="T1092" s="7" t="n">
        <f aca="false">IF(OR(I1092="BCG",I1092="DTP1",I1092="DTP3",I1092="POL3",I1092="MCV1",I1092="FULL"),1,0)</f>
        <v>0</v>
      </c>
      <c r="U1092" s="7" t="n">
        <f aca="false">IF(OR(C1092="DHS",C1092="MICS"),1,0)</f>
        <v>1</v>
      </c>
      <c r="V1092" s="7" t="n">
        <f aca="false">IF(O1092="",1,0)</f>
        <v>0</v>
      </c>
      <c r="W1092" s="7" t="n">
        <f aca="false">IF(M1092="",1,0)</f>
        <v>0</v>
      </c>
      <c r="X1092" s="7" t="n">
        <f aca="false">COUNTIFS($B$2:$B$1141,B1092,$H$2:$H$1141,H1092,$I$2:$I$1141,I1092,$J$2:$J$1141,J1092,$K$2:$K$1141,K1092,$L$2:$L$1141,L1092)</f>
        <v>1</v>
      </c>
    </row>
    <row r="1093" customFormat="false" ht="15" hidden="false" customHeight="false" outlineLevel="0" collapsed="false">
      <c r="A1093" s="7" t="n">
        <f aca="false">ROW()-1</f>
        <v>1092</v>
      </c>
      <c r="B1093" s="7" t="str">
        <f aca="false">IF(Raw_Nigeria!B1093="",TRIM(Raw_Nigeria!C1093),TRIM(Raw_Nigeria!B1093))</f>
        <v>Nigeria Demographic and Health Survey 2024</v>
      </c>
      <c r="C1093" s="7" t="str">
        <f aca="false">IF(ISNUMBER(SEARCH("Demographic and Health",B1093)),"DHS",IF(OR(ISNUMBER(SEARCH("Multiple Indicator Cluster",B1093)),ISNUMBER(SEARCH("MICS",B1093))),"MICS",IF(ISNUMBER(SEARCH("Immunization Coverage Survey",B1093)),"Coverage survey",IF(ISNUMBER(SEARCH("Nutrition",B1093)),"Nutrition survey","Other"))))</f>
        <v>DHS</v>
      </c>
      <c r="D1093" s="7" t="n">
        <f aca="false">VALUE(LEFT(Raw_Nigeria!D1093,4))</f>
        <v>2023</v>
      </c>
      <c r="E1093" s="7" t="n">
        <f aca="false">IF(VALUE(RIGHT(Raw_Nigeria!D1093,2))&gt;12,"",VALUE(RIGHT(Raw_Nigeria!D1093,2)))</f>
        <v>12</v>
      </c>
      <c r="F1093" s="7" t="n">
        <f aca="false">VALUE(LEFT(Raw_Nigeria!E1093,4))</f>
        <v>2024</v>
      </c>
      <c r="G1093" s="7" t="n">
        <f aca="false">IF(VALUE(RIGHT(Raw_Nigeria!E1093,2))&gt;12,"",VALUE(RIGHT(Raw_Nigeria!E1093,2)))</f>
        <v>5</v>
      </c>
      <c r="H1093" s="7" t="n">
        <f aca="false">Raw_Nigeria!F1093</f>
        <v>2022</v>
      </c>
      <c r="I1093" s="7" t="str">
        <f aca="false">UPPER(TRIM(Raw_Nigeria!G1093))</f>
        <v>MENGA</v>
      </c>
      <c r="J1093" s="7" t="str">
        <f aca="false">Raw_Nigeria!H1093</f>
        <v>Record</v>
      </c>
      <c r="K1093" s="7" t="str">
        <f aca="false">Raw_Nigeria!L1093</f>
        <v>12-23 m</v>
      </c>
      <c r="L1093" s="7" t="str">
        <f aca="false">IF(Raw_Nigeria!K1093="","n/a",Raw_Nigeria!K1093)</f>
        <v>0-23 m</v>
      </c>
      <c r="M1093" s="7" t="n">
        <f aca="false">IF(Raw_Nigeria!I1093="","",Raw_Nigeria!I1093)</f>
        <v>50.2</v>
      </c>
      <c r="N1093" s="7" t="n">
        <f aca="false">Raw_Nigeria!M1093</f>
        <v>36.4</v>
      </c>
      <c r="O1093" s="7" t="n">
        <f aca="false">IF(Raw_Nigeria!N1093="","",Raw_Nigeria!N1093)</f>
        <v>2572</v>
      </c>
      <c r="P1093" s="7" t="str">
        <f aca="false">IF(K1093="CBAW","Women of child-bearing age","Children")</f>
        <v>Children</v>
      </c>
      <c r="Q1093" s="7" t="n">
        <f aca="false">IF(J1093="NOT USED",1,0)</f>
        <v>0</v>
      </c>
      <c r="R1093" s="7" t="n">
        <f aca="false">IF(AND(P1093="Children",Q1093=0),1,0)</f>
        <v>1</v>
      </c>
      <c r="S1093" s="7" t="n">
        <f aca="false">IF(AND(R1093=1,J1093="Record or Recall",K1093="12-23 m"),1,0)</f>
        <v>0</v>
      </c>
      <c r="T1093" s="7" t="n">
        <f aca="false">IF(OR(I1093="BCG",I1093="DTP1",I1093="DTP3",I1093="POL3",I1093="MCV1",I1093="FULL"),1,0)</f>
        <v>0</v>
      </c>
      <c r="U1093" s="7" t="n">
        <f aca="false">IF(OR(C1093="DHS",C1093="MICS"),1,0)</f>
        <v>1</v>
      </c>
      <c r="V1093" s="7" t="n">
        <f aca="false">IF(O1093="",1,0)</f>
        <v>0</v>
      </c>
      <c r="W1093" s="7" t="n">
        <f aca="false">IF(M1093="",1,0)</f>
        <v>0</v>
      </c>
      <c r="X1093" s="7" t="n">
        <f aca="false">COUNTIFS($B$2:$B$1141,B1093,$H$2:$H$1141,H1093,$I$2:$I$1141,I1093,$J$2:$J$1141,J1093,$K$2:$K$1141,K1093,$L$2:$L$1141,L1093)</f>
        <v>1</v>
      </c>
    </row>
    <row r="1094" customFormat="false" ht="15" hidden="false" customHeight="false" outlineLevel="0" collapsed="false">
      <c r="A1094" s="7" t="n">
        <f aca="false">ROW()-1</f>
        <v>1093</v>
      </c>
      <c r="B1094" s="7" t="str">
        <f aca="false">IF(Raw_Nigeria!B1094="",TRIM(Raw_Nigeria!C1094),TRIM(Raw_Nigeria!B1094))</f>
        <v>Nigeria Demographic and Health Survey 2024</v>
      </c>
      <c r="C1094" s="7" t="str">
        <f aca="false">IF(ISNUMBER(SEARCH("Demographic and Health",B1094)),"DHS",IF(OR(ISNUMBER(SEARCH("Multiple Indicator Cluster",B1094)),ISNUMBER(SEARCH("MICS",B1094))),"MICS",IF(ISNUMBER(SEARCH("Immunization Coverage Survey",B1094)),"Coverage survey",IF(ISNUMBER(SEARCH("Nutrition",B1094)),"Nutrition survey","Other"))))</f>
        <v>DHS</v>
      </c>
      <c r="D1094" s="7" t="n">
        <f aca="false">VALUE(LEFT(Raw_Nigeria!D1094,4))</f>
        <v>2023</v>
      </c>
      <c r="E1094" s="7" t="n">
        <f aca="false">IF(VALUE(RIGHT(Raw_Nigeria!D1094,2))&gt;12,"",VALUE(RIGHT(Raw_Nigeria!D1094,2)))</f>
        <v>12</v>
      </c>
      <c r="F1094" s="7" t="n">
        <f aca="false">VALUE(LEFT(Raw_Nigeria!E1094,4))</f>
        <v>2024</v>
      </c>
      <c r="G1094" s="7" t="n">
        <f aca="false">IF(VALUE(RIGHT(Raw_Nigeria!E1094,2))&gt;12,"",VALUE(RIGHT(Raw_Nigeria!E1094,2)))</f>
        <v>5</v>
      </c>
      <c r="H1094" s="7" t="n">
        <f aca="false">Raw_Nigeria!F1094</f>
        <v>2022</v>
      </c>
      <c r="I1094" s="7" t="str">
        <f aca="false">UPPER(TRIM(Raw_Nigeria!G1094))</f>
        <v>MENGA</v>
      </c>
      <c r="J1094" s="7" t="str">
        <f aca="false">Raw_Nigeria!H1094</f>
        <v>Record or Recall</v>
      </c>
      <c r="K1094" s="7" t="str">
        <f aca="false">Raw_Nigeria!L1094</f>
        <v>12-23 m</v>
      </c>
      <c r="L1094" s="7" t="str">
        <f aca="false">IF(Raw_Nigeria!K1094="","n/a",Raw_Nigeria!K1094)</f>
        <v>0-23 m</v>
      </c>
      <c r="M1094" s="7" t="n">
        <f aca="false">IF(Raw_Nigeria!I1094="","",Raw_Nigeria!I1094)</f>
        <v>50.2</v>
      </c>
      <c r="N1094" s="7" t="n">
        <f aca="false">Raw_Nigeria!M1094</f>
        <v>47.5</v>
      </c>
      <c r="O1094" s="7" t="n">
        <f aca="false">IF(Raw_Nigeria!N1094="","",Raw_Nigeria!N1094)</f>
        <v>5121</v>
      </c>
      <c r="P1094" s="7" t="str">
        <f aca="false">IF(K1094="CBAW","Women of child-bearing age","Children")</f>
        <v>Children</v>
      </c>
      <c r="Q1094" s="7" t="n">
        <f aca="false">IF(J1094="NOT USED",1,0)</f>
        <v>0</v>
      </c>
      <c r="R1094" s="7" t="n">
        <f aca="false">IF(AND(P1094="Children",Q1094=0),1,0)</f>
        <v>1</v>
      </c>
      <c r="S1094" s="7" t="n">
        <f aca="false">IF(AND(R1094=1,J1094="Record or Recall",K1094="12-23 m"),1,0)</f>
        <v>1</v>
      </c>
      <c r="T1094" s="7" t="n">
        <f aca="false">IF(OR(I1094="BCG",I1094="DTP1",I1094="DTP3",I1094="POL3",I1094="MCV1",I1094="FULL"),1,0)</f>
        <v>0</v>
      </c>
      <c r="U1094" s="7" t="n">
        <f aca="false">IF(OR(C1094="DHS",C1094="MICS"),1,0)</f>
        <v>1</v>
      </c>
      <c r="V1094" s="7" t="n">
        <f aca="false">IF(O1094="",1,0)</f>
        <v>0</v>
      </c>
      <c r="W1094" s="7" t="n">
        <f aca="false">IF(M1094="",1,0)</f>
        <v>0</v>
      </c>
      <c r="X1094" s="7" t="n">
        <f aca="false">COUNTIFS($B$2:$B$1141,B1094,$H$2:$H$1141,H1094,$I$2:$I$1141,I1094,$J$2:$J$1141,J1094,$K$2:$K$1141,K1094,$L$2:$L$1141,L1094)</f>
        <v>1</v>
      </c>
    </row>
    <row r="1095" customFormat="false" ht="15" hidden="false" customHeight="false" outlineLevel="0" collapsed="false">
      <c r="A1095" s="7" t="n">
        <f aca="false">ROW()-1</f>
        <v>1094</v>
      </c>
      <c r="B1095" s="7" t="str">
        <f aca="false">IF(Raw_Nigeria!B1095="",TRIM(Raw_Nigeria!C1095),TRIM(Raw_Nigeria!B1095))</f>
        <v>Nigeria Demographic and Health Survey 2024</v>
      </c>
      <c r="C1095" s="7" t="str">
        <f aca="false">IF(ISNUMBER(SEARCH("Demographic and Health",B1095)),"DHS",IF(OR(ISNUMBER(SEARCH("Multiple Indicator Cluster",B1095)),ISNUMBER(SEARCH("MICS",B1095))),"MICS",IF(ISNUMBER(SEARCH("Immunization Coverage Survey",B1095)),"Coverage survey",IF(ISNUMBER(SEARCH("Nutrition",B1095)),"Nutrition survey","Other"))))</f>
        <v>DHS</v>
      </c>
      <c r="D1095" s="7" t="n">
        <f aca="false">VALUE(LEFT(Raw_Nigeria!D1095,4))</f>
        <v>2023</v>
      </c>
      <c r="E1095" s="7" t="n">
        <f aca="false">IF(VALUE(RIGHT(Raw_Nigeria!D1095,2))&gt;12,"",VALUE(RIGHT(Raw_Nigeria!D1095,2)))</f>
        <v>12</v>
      </c>
      <c r="F1095" s="7" t="n">
        <f aca="false">VALUE(LEFT(Raw_Nigeria!E1095,4))</f>
        <v>2024</v>
      </c>
      <c r="G1095" s="7" t="n">
        <f aca="false">IF(VALUE(RIGHT(Raw_Nigeria!E1095,2))&gt;12,"",VALUE(RIGHT(Raw_Nigeria!E1095,2)))</f>
        <v>5</v>
      </c>
      <c r="H1095" s="7" t="n">
        <f aca="false">Raw_Nigeria!F1095</f>
        <v>2022</v>
      </c>
      <c r="I1095" s="7" t="str">
        <f aca="false">UPPER(TRIM(Raw_Nigeria!G1095))</f>
        <v>MENGA</v>
      </c>
      <c r="J1095" s="7" t="str">
        <f aca="false">Raw_Nigeria!H1095</f>
        <v>Record or Recall&lt;12m</v>
      </c>
      <c r="K1095" s="7" t="str">
        <f aca="false">Raw_Nigeria!L1095</f>
        <v>12-23 m</v>
      </c>
      <c r="L1095" s="7" t="str">
        <f aca="false">IF(Raw_Nigeria!K1095="","n/a",Raw_Nigeria!K1095)</f>
        <v>0-12 m</v>
      </c>
      <c r="M1095" s="7" t="n">
        <f aca="false">IF(Raw_Nigeria!I1095="","",Raw_Nigeria!I1095)</f>
        <v>50.2</v>
      </c>
      <c r="N1095" s="7" t="n">
        <f aca="false">Raw_Nigeria!M1095</f>
        <v>42.7</v>
      </c>
      <c r="O1095" s="7" t="n">
        <f aca="false">IF(Raw_Nigeria!N1095="","",Raw_Nigeria!N1095)</f>
        <v>5121</v>
      </c>
      <c r="P1095" s="7" t="str">
        <f aca="false">IF(K1095="CBAW","Women of child-bearing age","Children")</f>
        <v>Children</v>
      </c>
      <c r="Q1095" s="7" t="n">
        <f aca="false">IF(J1095="NOT USED",1,0)</f>
        <v>0</v>
      </c>
      <c r="R1095" s="7" t="n">
        <f aca="false">IF(AND(P1095="Children",Q1095=0),1,0)</f>
        <v>1</v>
      </c>
      <c r="S1095" s="7" t="n">
        <f aca="false">IF(AND(R1095=1,J1095="Record or Recall",K1095="12-23 m"),1,0)</f>
        <v>0</v>
      </c>
      <c r="T1095" s="7" t="n">
        <f aca="false">IF(OR(I1095="BCG",I1095="DTP1",I1095="DTP3",I1095="POL3",I1095="MCV1",I1095="FULL"),1,0)</f>
        <v>0</v>
      </c>
      <c r="U1095" s="7" t="n">
        <f aca="false">IF(OR(C1095="DHS",C1095="MICS"),1,0)</f>
        <v>1</v>
      </c>
      <c r="V1095" s="7" t="n">
        <f aca="false">IF(O1095="",1,0)</f>
        <v>0</v>
      </c>
      <c r="W1095" s="7" t="n">
        <f aca="false">IF(M1095="",1,0)</f>
        <v>0</v>
      </c>
      <c r="X1095" s="7" t="n">
        <f aca="false">COUNTIFS($B$2:$B$1141,B1095,$H$2:$H$1141,H1095,$I$2:$I$1141,I1095,$J$2:$J$1141,J1095,$K$2:$K$1141,K1095,$L$2:$L$1141,L1095)</f>
        <v>1</v>
      </c>
    </row>
    <row r="1096" customFormat="false" ht="15" hidden="false" customHeight="false" outlineLevel="0" collapsed="false">
      <c r="A1096" s="7" t="n">
        <f aca="false">ROW()-1</f>
        <v>1095</v>
      </c>
      <c r="B1096" s="7" t="str">
        <f aca="false">IF(Raw_Nigeria!B1096="",TRIM(Raw_Nigeria!C1096),TRIM(Raw_Nigeria!B1096))</f>
        <v>Nigeria Demographic and Health Survey 2024</v>
      </c>
      <c r="C1096" s="7" t="str">
        <f aca="false">IF(ISNUMBER(SEARCH("Demographic and Health",B1096)),"DHS",IF(OR(ISNUMBER(SEARCH("Multiple Indicator Cluster",B1096)),ISNUMBER(SEARCH("MICS",B1096))),"MICS",IF(ISNUMBER(SEARCH("Immunization Coverage Survey",B1096)),"Coverage survey",IF(ISNUMBER(SEARCH("Nutrition",B1096)),"Nutrition survey","Other"))))</f>
        <v>DHS</v>
      </c>
      <c r="D1096" s="7" t="n">
        <f aca="false">VALUE(LEFT(Raw_Nigeria!D1096,4))</f>
        <v>2023</v>
      </c>
      <c r="E1096" s="7" t="n">
        <f aca="false">IF(VALUE(RIGHT(Raw_Nigeria!D1096,2))&gt;12,"",VALUE(RIGHT(Raw_Nigeria!D1096,2)))</f>
        <v>12</v>
      </c>
      <c r="F1096" s="7" t="n">
        <f aca="false">VALUE(LEFT(Raw_Nigeria!E1096,4))</f>
        <v>2024</v>
      </c>
      <c r="G1096" s="7" t="n">
        <f aca="false">IF(VALUE(RIGHT(Raw_Nigeria!E1096,2))&gt;12,"",VALUE(RIGHT(Raw_Nigeria!E1096,2)))</f>
        <v>5</v>
      </c>
      <c r="H1096" s="7" t="n">
        <f aca="false">Raw_Nigeria!F1096</f>
        <v>2022</v>
      </c>
      <c r="I1096" s="7" t="str">
        <f aca="false">UPPER(TRIM(Raw_Nigeria!G1096))</f>
        <v>PAB</v>
      </c>
      <c r="J1096" s="7" t="str">
        <f aca="false">Raw_Nigeria!H1096</f>
        <v>Record or Recall</v>
      </c>
      <c r="K1096" s="7" t="str">
        <f aca="false">Raw_Nigeria!L1096</f>
        <v>CBAW</v>
      </c>
      <c r="L1096" s="7" t="str">
        <f aca="false">IF(Raw_Nigeria!K1096="","n/a",Raw_Nigeria!K1096)</f>
        <v>n/a</v>
      </c>
      <c r="M1096" s="7" t="str">
        <f aca="false">IF(Raw_Nigeria!I1096="","",Raw_Nigeria!I1096)</f>
        <v/>
      </c>
      <c r="N1096" s="7" t="n">
        <f aca="false">Raw_Nigeria!M1096</f>
        <v>58.3</v>
      </c>
      <c r="O1096" s="7" t="n">
        <f aca="false">IF(Raw_Nigeria!N1096="","",Raw_Nigeria!N1096)</f>
        <v>10948</v>
      </c>
      <c r="P1096" s="7" t="str">
        <f aca="false">IF(K1096="CBAW","Women of child-bearing age","Children")</f>
        <v>Women of child-bearing age</v>
      </c>
      <c r="Q1096" s="7" t="n">
        <f aca="false">IF(J1096="NOT USED",1,0)</f>
        <v>0</v>
      </c>
      <c r="R1096" s="7" t="n">
        <f aca="false">IF(AND(P1096="Children",Q1096=0),1,0)</f>
        <v>0</v>
      </c>
      <c r="S1096" s="7" t="n">
        <f aca="false">IF(AND(R1096=1,J1096="Record or Recall",K1096="12-23 m"),1,0)</f>
        <v>0</v>
      </c>
      <c r="T1096" s="7" t="n">
        <f aca="false">IF(OR(I1096="BCG",I1096="DTP1",I1096="DTP3",I1096="POL3",I1096="MCV1",I1096="FULL"),1,0)</f>
        <v>0</v>
      </c>
      <c r="U1096" s="7" t="n">
        <f aca="false">IF(OR(C1096="DHS",C1096="MICS"),1,0)</f>
        <v>1</v>
      </c>
      <c r="V1096" s="7" t="n">
        <f aca="false">IF(O1096="",1,0)</f>
        <v>0</v>
      </c>
      <c r="W1096" s="7" t="n">
        <f aca="false">IF(M1096="",1,0)</f>
        <v>1</v>
      </c>
      <c r="X1096" s="7" t="n">
        <f aca="false">COUNTIFS($B$2:$B$1141,B1096,$H$2:$H$1141,H1096,$I$2:$I$1141,I1096,$J$2:$J$1141,J1096,$K$2:$K$1141,K1096,$L$2:$L$1141,L1096)</f>
        <v>1</v>
      </c>
    </row>
    <row r="1097" customFormat="false" ht="15" hidden="false" customHeight="false" outlineLevel="0" collapsed="false">
      <c r="A1097" s="7" t="n">
        <f aca="false">ROW()-1</f>
        <v>1096</v>
      </c>
      <c r="B1097" s="7" t="str">
        <f aca="false">IF(Raw_Nigeria!B1097="",TRIM(Raw_Nigeria!C1097),TRIM(Raw_Nigeria!B1097))</f>
        <v>Nigeria Demographic and Health Survey 2024</v>
      </c>
      <c r="C1097" s="7" t="str">
        <f aca="false">IF(ISNUMBER(SEARCH("Demographic and Health",B1097)),"DHS",IF(OR(ISNUMBER(SEARCH("Multiple Indicator Cluster",B1097)),ISNUMBER(SEARCH("MICS",B1097))),"MICS",IF(ISNUMBER(SEARCH("Immunization Coverage Survey",B1097)),"Coverage survey",IF(ISNUMBER(SEARCH("Nutrition",B1097)),"Nutrition survey","Other"))))</f>
        <v>DHS</v>
      </c>
      <c r="D1097" s="7" t="n">
        <f aca="false">VALUE(LEFT(Raw_Nigeria!D1097,4))</f>
        <v>2023</v>
      </c>
      <c r="E1097" s="7" t="n">
        <f aca="false">IF(VALUE(RIGHT(Raw_Nigeria!D1097,2))&gt;12,"",VALUE(RIGHT(Raw_Nigeria!D1097,2)))</f>
        <v>12</v>
      </c>
      <c r="F1097" s="7" t="n">
        <f aca="false">VALUE(LEFT(Raw_Nigeria!E1097,4))</f>
        <v>2024</v>
      </c>
      <c r="G1097" s="7" t="n">
        <f aca="false">IF(VALUE(RIGHT(Raw_Nigeria!E1097,2))&gt;12,"",VALUE(RIGHT(Raw_Nigeria!E1097,2)))</f>
        <v>5</v>
      </c>
      <c r="H1097" s="7" t="n">
        <f aca="false">Raw_Nigeria!F1097</f>
        <v>2022</v>
      </c>
      <c r="I1097" s="7" t="str">
        <f aca="false">UPPER(TRIM(Raw_Nigeria!G1097))</f>
        <v>PCV1</v>
      </c>
      <c r="J1097" s="7" t="str">
        <f aca="false">Raw_Nigeria!H1097</f>
        <v>Recall</v>
      </c>
      <c r="K1097" s="7" t="str">
        <f aca="false">Raw_Nigeria!L1097</f>
        <v>12-23 m</v>
      </c>
      <c r="L1097" s="7" t="str">
        <f aca="false">IF(Raw_Nigeria!K1097="","n/a",Raw_Nigeria!K1097)</f>
        <v>0-23 m</v>
      </c>
      <c r="M1097" s="7" t="n">
        <f aca="false">IF(Raw_Nigeria!I1097="","",Raw_Nigeria!I1097)</f>
        <v>50.2</v>
      </c>
      <c r="N1097" s="7" t="n">
        <f aca="false">Raw_Nigeria!M1097</f>
        <v>15</v>
      </c>
      <c r="O1097" s="7" t="n">
        <f aca="false">IF(Raw_Nigeria!N1097="","",Raw_Nigeria!N1097)</f>
        <v>2549</v>
      </c>
      <c r="P1097" s="7" t="str">
        <f aca="false">IF(K1097="CBAW","Women of child-bearing age","Children")</f>
        <v>Children</v>
      </c>
      <c r="Q1097" s="7" t="n">
        <f aca="false">IF(J1097="NOT USED",1,0)</f>
        <v>0</v>
      </c>
      <c r="R1097" s="7" t="n">
        <f aca="false">IF(AND(P1097="Children",Q1097=0),1,0)</f>
        <v>1</v>
      </c>
      <c r="S1097" s="7" t="n">
        <f aca="false">IF(AND(R1097=1,J1097="Record or Recall",K1097="12-23 m"),1,0)</f>
        <v>0</v>
      </c>
      <c r="T1097" s="7" t="n">
        <f aca="false">IF(OR(I1097="BCG",I1097="DTP1",I1097="DTP3",I1097="POL3",I1097="MCV1",I1097="FULL"),1,0)</f>
        <v>0</v>
      </c>
      <c r="U1097" s="7" t="n">
        <f aca="false">IF(OR(C1097="DHS",C1097="MICS"),1,0)</f>
        <v>1</v>
      </c>
      <c r="V1097" s="7" t="n">
        <f aca="false">IF(O1097="",1,0)</f>
        <v>0</v>
      </c>
      <c r="W1097" s="7" t="n">
        <f aca="false">IF(M1097="",1,0)</f>
        <v>0</v>
      </c>
      <c r="X1097" s="7" t="n">
        <f aca="false">COUNTIFS($B$2:$B$1141,B1097,$H$2:$H$1141,H1097,$I$2:$I$1141,I1097,$J$2:$J$1141,J1097,$K$2:$K$1141,K1097,$L$2:$L$1141,L1097)</f>
        <v>1</v>
      </c>
    </row>
    <row r="1098" customFormat="false" ht="15" hidden="false" customHeight="false" outlineLevel="0" collapsed="false">
      <c r="A1098" s="7" t="n">
        <f aca="false">ROW()-1</f>
        <v>1097</v>
      </c>
      <c r="B1098" s="7" t="str">
        <f aca="false">IF(Raw_Nigeria!B1098="",TRIM(Raw_Nigeria!C1098),TRIM(Raw_Nigeria!B1098))</f>
        <v>Nigeria Demographic and Health Survey 2024</v>
      </c>
      <c r="C1098" s="7" t="str">
        <f aca="false">IF(ISNUMBER(SEARCH("Demographic and Health",B1098)),"DHS",IF(OR(ISNUMBER(SEARCH("Multiple Indicator Cluster",B1098)),ISNUMBER(SEARCH("MICS",B1098))),"MICS",IF(ISNUMBER(SEARCH("Immunization Coverage Survey",B1098)),"Coverage survey",IF(ISNUMBER(SEARCH("Nutrition",B1098)),"Nutrition survey","Other"))))</f>
        <v>DHS</v>
      </c>
      <c r="D1098" s="7" t="n">
        <f aca="false">VALUE(LEFT(Raw_Nigeria!D1098,4))</f>
        <v>2023</v>
      </c>
      <c r="E1098" s="7" t="n">
        <f aca="false">IF(VALUE(RIGHT(Raw_Nigeria!D1098,2))&gt;12,"",VALUE(RIGHT(Raw_Nigeria!D1098,2)))</f>
        <v>12</v>
      </c>
      <c r="F1098" s="7" t="n">
        <f aca="false">VALUE(LEFT(Raw_Nigeria!E1098,4))</f>
        <v>2024</v>
      </c>
      <c r="G1098" s="7" t="n">
        <f aca="false">IF(VALUE(RIGHT(Raw_Nigeria!E1098,2))&gt;12,"",VALUE(RIGHT(Raw_Nigeria!E1098,2)))</f>
        <v>5</v>
      </c>
      <c r="H1098" s="7" t="n">
        <f aca="false">Raw_Nigeria!F1098</f>
        <v>2022</v>
      </c>
      <c r="I1098" s="7" t="str">
        <f aca="false">UPPER(TRIM(Raw_Nigeria!G1098))</f>
        <v>PCV1</v>
      </c>
      <c r="J1098" s="7" t="str">
        <f aca="false">Raw_Nigeria!H1098</f>
        <v>Record</v>
      </c>
      <c r="K1098" s="7" t="str">
        <f aca="false">Raw_Nigeria!L1098</f>
        <v>12-23 m</v>
      </c>
      <c r="L1098" s="7" t="str">
        <f aca="false">IF(Raw_Nigeria!K1098="","n/a",Raw_Nigeria!K1098)</f>
        <v>0-23 m</v>
      </c>
      <c r="M1098" s="7" t="n">
        <f aca="false">IF(Raw_Nigeria!I1098="","",Raw_Nigeria!I1098)</f>
        <v>50.2</v>
      </c>
      <c r="N1098" s="7" t="n">
        <f aca="false">Raw_Nigeria!M1098</f>
        <v>48</v>
      </c>
      <c r="O1098" s="7" t="n">
        <f aca="false">IF(Raw_Nigeria!N1098="","",Raw_Nigeria!N1098)</f>
        <v>2572</v>
      </c>
      <c r="P1098" s="7" t="str">
        <f aca="false">IF(K1098="CBAW","Women of child-bearing age","Children")</f>
        <v>Children</v>
      </c>
      <c r="Q1098" s="7" t="n">
        <f aca="false">IF(J1098="NOT USED",1,0)</f>
        <v>0</v>
      </c>
      <c r="R1098" s="7" t="n">
        <f aca="false">IF(AND(P1098="Children",Q1098=0),1,0)</f>
        <v>1</v>
      </c>
      <c r="S1098" s="7" t="n">
        <f aca="false">IF(AND(R1098=1,J1098="Record or Recall",K1098="12-23 m"),1,0)</f>
        <v>0</v>
      </c>
      <c r="T1098" s="7" t="n">
        <f aca="false">IF(OR(I1098="BCG",I1098="DTP1",I1098="DTP3",I1098="POL3",I1098="MCV1",I1098="FULL"),1,0)</f>
        <v>0</v>
      </c>
      <c r="U1098" s="7" t="n">
        <f aca="false">IF(OR(C1098="DHS",C1098="MICS"),1,0)</f>
        <v>1</v>
      </c>
      <c r="V1098" s="7" t="n">
        <f aca="false">IF(O1098="",1,0)</f>
        <v>0</v>
      </c>
      <c r="W1098" s="7" t="n">
        <f aca="false">IF(M1098="",1,0)</f>
        <v>0</v>
      </c>
      <c r="X1098" s="7" t="n">
        <f aca="false">COUNTIFS($B$2:$B$1141,B1098,$H$2:$H$1141,H1098,$I$2:$I$1141,I1098,$J$2:$J$1141,J1098,$K$2:$K$1141,K1098,$L$2:$L$1141,L1098)</f>
        <v>1</v>
      </c>
    </row>
    <row r="1099" customFormat="false" ht="15" hidden="false" customHeight="false" outlineLevel="0" collapsed="false">
      <c r="A1099" s="7" t="n">
        <f aca="false">ROW()-1</f>
        <v>1098</v>
      </c>
      <c r="B1099" s="7" t="str">
        <f aca="false">IF(Raw_Nigeria!B1099="",TRIM(Raw_Nigeria!C1099),TRIM(Raw_Nigeria!B1099))</f>
        <v>Nigeria Demographic and Health Survey 2024</v>
      </c>
      <c r="C1099" s="7" t="str">
        <f aca="false">IF(ISNUMBER(SEARCH("Demographic and Health",B1099)),"DHS",IF(OR(ISNUMBER(SEARCH("Multiple Indicator Cluster",B1099)),ISNUMBER(SEARCH("MICS",B1099))),"MICS",IF(ISNUMBER(SEARCH("Immunization Coverage Survey",B1099)),"Coverage survey",IF(ISNUMBER(SEARCH("Nutrition",B1099)),"Nutrition survey","Other"))))</f>
        <v>DHS</v>
      </c>
      <c r="D1099" s="7" t="n">
        <f aca="false">VALUE(LEFT(Raw_Nigeria!D1099,4))</f>
        <v>2023</v>
      </c>
      <c r="E1099" s="7" t="n">
        <f aca="false">IF(VALUE(RIGHT(Raw_Nigeria!D1099,2))&gt;12,"",VALUE(RIGHT(Raw_Nigeria!D1099,2)))</f>
        <v>12</v>
      </c>
      <c r="F1099" s="7" t="n">
        <f aca="false">VALUE(LEFT(Raw_Nigeria!E1099,4))</f>
        <v>2024</v>
      </c>
      <c r="G1099" s="7" t="n">
        <f aca="false">IF(VALUE(RIGHT(Raw_Nigeria!E1099,2))&gt;12,"",VALUE(RIGHT(Raw_Nigeria!E1099,2)))</f>
        <v>5</v>
      </c>
      <c r="H1099" s="7" t="n">
        <f aca="false">Raw_Nigeria!F1099</f>
        <v>2022</v>
      </c>
      <c r="I1099" s="7" t="str">
        <f aca="false">UPPER(TRIM(Raw_Nigeria!G1099))</f>
        <v>PCV1</v>
      </c>
      <c r="J1099" s="7" t="str">
        <f aca="false">Raw_Nigeria!H1099</f>
        <v>Record or Recall</v>
      </c>
      <c r="K1099" s="7" t="str">
        <f aca="false">Raw_Nigeria!L1099</f>
        <v>12-23 m</v>
      </c>
      <c r="L1099" s="7" t="str">
        <f aca="false">IF(Raw_Nigeria!K1099="","n/a",Raw_Nigeria!K1099)</f>
        <v>0-23 m</v>
      </c>
      <c r="M1099" s="7" t="n">
        <f aca="false">IF(Raw_Nigeria!I1099="","",Raw_Nigeria!I1099)</f>
        <v>50.2</v>
      </c>
      <c r="N1099" s="7" t="n">
        <f aca="false">Raw_Nigeria!M1099</f>
        <v>63</v>
      </c>
      <c r="O1099" s="7" t="n">
        <f aca="false">IF(Raw_Nigeria!N1099="","",Raw_Nigeria!N1099)</f>
        <v>5121</v>
      </c>
      <c r="P1099" s="7" t="str">
        <f aca="false">IF(K1099="CBAW","Women of child-bearing age","Children")</f>
        <v>Children</v>
      </c>
      <c r="Q1099" s="7" t="n">
        <f aca="false">IF(J1099="NOT USED",1,0)</f>
        <v>0</v>
      </c>
      <c r="R1099" s="7" t="n">
        <f aca="false">IF(AND(P1099="Children",Q1099=0),1,0)</f>
        <v>1</v>
      </c>
      <c r="S1099" s="7" t="n">
        <f aca="false">IF(AND(R1099=1,J1099="Record or Recall",K1099="12-23 m"),1,0)</f>
        <v>1</v>
      </c>
      <c r="T1099" s="7" t="n">
        <f aca="false">IF(OR(I1099="BCG",I1099="DTP1",I1099="DTP3",I1099="POL3",I1099="MCV1",I1099="FULL"),1,0)</f>
        <v>0</v>
      </c>
      <c r="U1099" s="7" t="n">
        <f aca="false">IF(OR(C1099="DHS",C1099="MICS"),1,0)</f>
        <v>1</v>
      </c>
      <c r="V1099" s="7" t="n">
        <f aca="false">IF(O1099="",1,0)</f>
        <v>0</v>
      </c>
      <c r="W1099" s="7" t="n">
        <f aca="false">IF(M1099="",1,0)</f>
        <v>0</v>
      </c>
      <c r="X1099" s="7" t="n">
        <f aca="false">COUNTIFS($B$2:$B$1141,B1099,$H$2:$H$1141,H1099,$I$2:$I$1141,I1099,$J$2:$J$1141,J1099,$K$2:$K$1141,K1099,$L$2:$L$1141,L1099)</f>
        <v>1</v>
      </c>
    </row>
    <row r="1100" customFormat="false" ht="15" hidden="false" customHeight="false" outlineLevel="0" collapsed="false">
      <c r="A1100" s="7" t="n">
        <f aca="false">ROW()-1</f>
        <v>1099</v>
      </c>
      <c r="B1100" s="7" t="str">
        <f aca="false">IF(Raw_Nigeria!B1100="",TRIM(Raw_Nigeria!C1100),TRIM(Raw_Nigeria!B1100))</f>
        <v>Nigeria Demographic and Health Survey 2024</v>
      </c>
      <c r="C1100" s="7" t="str">
        <f aca="false">IF(ISNUMBER(SEARCH("Demographic and Health",B1100)),"DHS",IF(OR(ISNUMBER(SEARCH("Multiple Indicator Cluster",B1100)),ISNUMBER(SEARCH("MICS",B1100))),"MICS",IF(ISNUMBER(SEARCH("Immunization Coverage Survey",B1100)),"Coverage survey",IF(ISNUMBER(SEARCH("Nutrition",B1100)),"Nutrition survey","Other"))))</f>
        <v>DHS</v>
      </c>
      <c r="D1100" s="7" t="n">
        <f aca="false">VALUE(LEFT(Raw_Nigeria!D1100,4))</f>
        <v>2023</v>
      </c>
      <c r="E1100" s="7" t="n">
        <f aca="false">IF(VALUE(RIGHT(Raw_Nigeria!D1100,2))&gt;12,"",VALUE(RIGHT(Raw_Nigeria!D1100,2)))</f>
        <v>12</v>
      </c>
      <c r="F1100" s="7" t="n">
        <f aca="false">VALUE(LEFT(Raw_Nigeria!E1100,4))</f>
        <v>2024</v>
      </c>
      <c r="G1100" s="7" t="n">
        <f aca="false">IF(VALUE(RIGHT(Raw_Nigeria!E1100,2))&gt;12,"",VALUE(RIGHT(Raw_Nigeria!E1100,2)))</f>
        <v>5</v>
      </c>
      <c r="H1100" s="7" t="n">
        <f aca="false">Raw_Nigeria!F1100</f>
        <v>2022</v>
      </c>
      <c r="I1100" s="7" t="str">
        <f aca="false">UPPER(TRIM(Raw_Nigeria!G1100))</f>
        <v>PCV1</v>
      </c>
      <c r="J1100" s="7" t="str">
        <f aca="false">Raw_Nigeria!H1100</f>
        <v>Record or Recall&lt;12m</v>
      </c>
      <c r="K1100" s="7" t="str">
        <f aca="false">Raw_Nigeria!L1100</f>
        <v>12-23 m</v>
      </c>
      <c r="L1100" s="7" t="str">
        <f aca="false">IF(Raw_Nigeria!K1100="","n/a",Raw_Nigeria!K1100)</f>
        <v>0-12 m</v>
      </c>
      <c r="M1100" s="7" t="n">
        <f aca="false">IF(Raw_Nigeria!I1100="","",Raw_Nigeria!I1100)</f>
        <v>50.2</v>
      </c>
      <c r="N1100" s="7" t="n">
        <f aca="false">Raw_Nigeria!M1100</f>
        <v>62.2</v>
      </c>
      <c r="O1100" s="7" t="n">
        <f aca="false">IF(Raw_Nigeria!N1100="","",Raw_Nigeria!N1100)</f>
        <v>5121</v>
      </c>
      <c r="P1100" s="7" t="str">
        <f aca="false">IF(K1100="CBAW","Women of child-bearing age","Children")</f>
        <v>Children</v>
      </c>
      <c r="Q1100" s="7" t="n">
        <f aca="false">IF(J1100="NOT USED",1,0)</f>
        <v>0</v>
      </c>
      <c r="R1100" s="7" t="n">
        <f aca="false">IF(AND(P1100="Children",Q1100=0),1,0)</f>
        <v>1</v>
      </c>
      <c r="S1100" s="7" t="n">
        <f aca="false">IF(AND(R1100=1,J1100="Record or Recall",K1100="12-23 m"),1,0)</f>
        <v>0</v>
      </c>
      <c r="T1100" s="7" t="n">
        <f aca="false">IF(OR(I1100="BCG",I1100="DTP1",I1100="DTP3",I1100="POL3",I1100="MCV1",I1100="FULL"),1,0)</f>
        <v>0</v>
      </c>
      <c r="U1100" s="7" t="n">
        <f aca="false">IF(OR(C1100="DHS",C1100="MICS"),1,0)</f>
        <v>1</v>
      </c>
      <c r="V1100" s="7" t="n">
        <f aca="false">IF(O1100="",1,0)</f>
        <v>0</v>
      </c>
      <c r="W1100" s="7" t="n">
        <f aca="false">IF(M1100="",1,0)</f>
        <v>0</v>
      </c>
      <c r="X1100" s="7" t="n">
        <f aca="false">COUNTIFS($B$2:$B$1141,B1100,$H$2:$H$1141,H1100,$I$2:$I$1141,I1100,$J$2:$J$1141,J1100,$K$2:$K$1141,K1100,$L$2:$L$1141,L1100)</f>
        <v>1</v>
      </c>
    </row>
    <row r="1101" customFormat="false" ht="15" hidden="false" customHeight="false" outlineLevel="0" collapsed="false">
      <c r="A1101" s="7" t="n">
        <f aca="false">ROW()-1</f>
        <v>1100</v>
      </c>
      <c r="B1101" s="7" t="str">
        <f aca="false">IF(Raw_Nigeria!B1101="",TRIM(Raw_Nigeria!C1101),TRIM(Raw_Nigeria!B1101))</f>
        <v>Nigeria Demographic and Health Survey 2024</v>
      </c>
      <c r="C1101" s="7" t="str">
        <f aca="false">IF(ISNUMBER(SEARCH("Demographic and Health",B1101)),"DHS",IF(OR(ISNUMBER(SEARCH("Multiple Indicator Cluster",B1101)),ISNUMBER(SEARCH("MICS",B1101))),"MICS",IF(ISNUMBER(SEARCH("Immunization Coverage Survey",B1101)),"Coverage survey",IF(ISNUMBER(SEARCH("Nutrition",B1101)),"Nutrition survey","Other"))))</f>
        <v>DHS</v>
      </c>
      <c r="D1101" s="7" t="n">
        <f aca="false">VALUE(LEFT(Raw_Nigeria!D1101,4))</f>
        <v>2023</v>
      </c>
      <c r="E1101" s="7" t="n">
        <f aca="false">IF(VALUE(RIGHT(Raw_Nigeria!D1101,2))&gt;12,"",VALUE(RIGHT(Raw_Nigeria!D1101,2)))</f>
        <v>12</v>
      </c>
      <c r="F1101" s="7" t="n">
        <f aca="false">VALUE(LEFT(Raw_Nigeria!E1101,4))</f>
        <v>2024</v>
      </c>
      <c r="G1101" s="7" t="n">
        <f aca="false">IF(VALUE(RIGHT(Raw_Nigeria!E1101,2))&gt;12,"",VALUE(RIGHT(Raw_Nigeria!E1101,2)))</f>
        <v>5</v>
      </c>
      <c r="H1101" s="7" t="n">
        <f aca="false">Raw_Nigeria!F1101</f>
        <v>2022</v>
      </c>
      <c r="I1101" s="7" t="str">
        <f aca="false">UPPER(TRIM(Raw_Nigeria!G1101))</f>
        <v>PCV2</v>
      </c>
      <c r="J1101" s="7" t="str">
        <f aca="false">Raw_Nigeria!H1101</f>
        <v>Recall</v>
      </c>
      <c r="K1101" s="7" t="str">
        <f aca="false">Raw_Nigeria!L1101</f>
        <v>12-23 m</v>
      </c>
      <c r="L1101" s="7" t="str">
        <f aca="false">IF(Raw_Nigeria!K1101="","n/a",Raw_Nigeria!K1101)</f>
        <v>0-23 m</v>
      </c>
      <c r="M1101" s="7" t="n">
        <f aca="false">IF(Raw_Nigeria!I1101="","",Raw_Nigeria!I1101)</f>
        <v>50.2</v>
      </c>
      <c r="N1101" s="7" t="n">
        <f aca="false">Raw_Nigeria!M1101</f>
        <v>14.1</v>
      </c>
      <c r="O1101" s="7" t="n">
        <f aca="false">IF(Raw_Nigeria!N1101="","",Raw_Nigeria!N1101)</f>
        <v>2549</v>
      </c>
      <c r="P1101" s="7" t="str">
        <f aca="false">IF(K1101="CBAW","Women of child-bearing age","Children")</f>
        <v>Children</v>
      </c>
      <c r="Q1101" s="7" t="n">
        <f aca="false">IF(J1101="NOT USED",1,0)</f>
        <v>0</v>
      </c>
      <c r="R1101" s="7" t="n">
        <f aca="false">IF(AND(P1101="Children",Q1101=0),1,0)</f>
        <v>1</v>
      </c>
      <c r="S1101" s="7" t="n">
        <f aca="false">IF(AND(R1101=1,J1101="Record or Recall",K1101="12-23 m"),1,0)</f>
        <v>0</v>
      </c>
      <c r="T1101" s="7" t="n">
        <f aca="false">IF(OR(I1101="BCG",I1101="DTP1",I1101="DTP3",I1101="POL3",I1101="MCV1",I1101="FULL"),1,0)</f>
        <v>0</v>
      </c>
      <c r="U1101" s="7" t="n">
        <f aca="false">IF(OR(C1101="DHS",C1101="MICS"),1,0)</f>
        <v>1</v>
      </c>
      <c r="V1101" s="7" t="n">
        <f aca="false">IF(O1101="",1,0)</f>
        <v>0</v>
      </c>
      <c r="W1101" s="7" t="n">
        <f aca="false">IF(M1101="",1,0)</f>
        <v>0</v>
      </c>
      <c r="X1101" s="7" t="n">
        <f aca="false">COUNTIFS($B$2:$B$1141,B1101,$H$2:$H$1141,H1101,$I$2:$I$1141,I1101,$J$2:$J$1141,J1101,$K$2:$K$1141,K1101,$L$2:$L$1141,L1101)</f>
        <v>1</v>
      </c>
    </row>
    <row r="1102" customFormat="false" ht="15" hidden="false" customHeight="false" outlineLevel="0" collapsed="false">
      <c r="A1102" s="7" t="n">
        <f aca="false">ROW()-1</f>
        <v>1101</v>
      </c>
      <c r="B1102" s="7" t="str">
        <f aca="false">IF(Raw_Nigeria!B1102="",TRIM(Raw_Nigeria!C1102),TRIM(Raw_Nigeria!B1102))</f>
        <v>Nigeria Demographic and Health Survey 2024</v>
      </c>
      <c r="C1102" s="7" t="str">
        <f aca="false">IF(ISNUMBER(SEARCH("Demographic and Health",B1102)),"DHS",IF(OR(ISNUMBER(SEARCH("Multiple Indicator Cluster",B1102)),ISNUMBER(SEARCH("MICS",B1102))),"MICS",IF(ISNUMBER(SEARCH("Immunization Coverage Survey",B1102)),"Coverage survey",IF(ISNUMBER(SEARCH("Nutrition",B1102)),"Nutrition survey","Other"))))</f>
        <v>DHS</v>
      </c>
      <c r="D1102" s="7" t="n">
        <f aca="false">VALUE(LEFT(Raw_Nigeria!D1102,4))</f>
        <v>2023</v>
      </c>
      <c r="E1102" s="7" t="n">
        <f aca="false">IF(VALUE(RIGHT(Raw_Nigeria!D1102,2))&gt;12,"",VALUE(RIGHT(Raw_Nigeria!D1102,2)))</f>
        <v>12</v>
      </c>
      <c r="F1102" s="7" t="n">
        <f aca="false">VALUE(LEFT(Raw_Nigeria!E1102,4))</f>
        <v>2024</v>
      </c>
      <c r="G1102" s="7" t="n">
        <f aca="false">IF(VALUE(RIGHT(Raw_Nigeria!E1102,2))&gt;12,"",VALUE(RIGHT(Raw_Nigeria!E1102,2)))</f>
        <v>5</v>
      </c>
      <c r="H1102" s="7" t="n">
        <f aca="false">Raw_Nigeria!F1102</f>
        <v>2022</v>
      </c>
      <c r="I1102" s="7" t="str">
        <f aca="false">UPPER(TRIM(Raw_Nigeria!G1102))</f>
        <v>PCV2</v>
      </c>
      <c r="J1102" s="7" t="str">
        <f aca="false">Raw_Nigeria!H1102</f>
        <v>Record</v>
      </c>
      <c r="K1102" s="7" t="str">
        <f aca="false">Raw_Nigeria!L1102</f>
        <v>12-23 m</v>
      </c>
      <c r="L1102" s="7" t="str">
        <f aca="false">IF(Raw_Nigeria!K1102="","n/a",Raw_Nigeria!K1102)</f>
        <v>0-23 m</v>
      </c>
      <c r="M1102" s="7" t="n">
        <f aca="false">IF(Raw_Nigeria!I1102="","",Raw_Nigeria!I1102)</f>
        <v>50.2</v>
      </c>
      <c r="N1102" s="7" t="n">
        <f aca="false">Raw_Nigeria!M1102</f>
        <v>45.5</v>
      </c>
      <c r="O1102" s="7" t="n">
        <f aca="false">IF(Raw_Nigeria!N1102="","",Raw_Nigeria!N1102)</f>
        <v>2572</v>
      </c>
      <c r="P1102" s="7" t="str">
        <f aca="false">IF(K1102="CBAW","Women of child-bearing age","Children")</f>
        <v>Children</v>
      </c>
      <c r="Q1102" s="7" t="n">
        <f aca="false">IF(J1102="NOT USED",1,0)</f>
        <v>0</v>
      </c>
      <c r="R1102" s="7" t="n">
        <f aca="false">IF(AND(P1102="Children",Q1102=0),1,0)</f>
        <v>1</v>
      </c>
      <c r="S1102" s="7" t="n">
        <f aca="false">IF(AND(R1102=1,J1102="Record or Recall",K1102="12-23 m"),1,0)</f>
        <v>0</v>
      </c>
      <c r="T1102" s="7" t="n">
        <f aca="false">IF(OR(I1102="BCG",I1102="DTP1",I1102="DTP3",I1102="POL3",I1102="MCV1",I1102="FULL"),1,0)</f>
        <v>0</v>
      </c>
      <c r="U1102" s="7" t="n">
        <f aca="false">IF(OR(C1102="DHS",C1102="MICS"),1,0)</f>
        <v>1</v>
      </c>
      <c r="V1102" s="7" t="n">
        <f aca="false">IF(O1102="",1,0)</f>
        <v>0</v>
      </c>
      <c r="W1102" s="7" t="n">
        <f aca="false">IF(M1102="",1,0)</f>
        <v>0</v>
      </c>
      <c r="X1102" s="7" t="n">
        <f aca="false">COUNTIFS($B$2:$B$1141,B1102,$H$2:$H$1141,H1102,$I$2:$I$1141,I1102,$J$2:$J$1141,J1102,$K$2:$K$1141,K1102,$L$2:$L$1141,L1102)</f>
        <v>1</v>
      </c>
    </row>
    <row r="1103" customFormat="false" ht="15" hidden="false" customHeight="false" outlineLevel="0" collapsed="false">
      <c r="A1103" s="7" t="n">
        <f aca="false">ROW()-1</f>
        <v>1102</v>
      </c>
      <c r="B1103" s="7" t="str">
        <f aca="false">IF(Raw_Nigeria!B1103="",TRIM(Raw_Nigeria!C1103),TRIM(Raw_Nigeria!B1103))</f>
        <v>Nigeria Demographic and Health Survey 2024</v>
      </c>
      <c r="C1103" s="7" t="str">
        <f aca="false">IF(ISNUMBER(SEARCH("Demographic and Health",B1103)),"DHS",IF(OR(ISNUMBER(SEARCH("Multiple Indicator Cluster",B1103)),ISNUMBER(SEARCH("MICS",B1103))),"MICS",IF(ISNUMBER(SEARCH("Immunization Coverage Survey",B1103)),"Coverage survey",IF(ISNUMBER(SEARCH("Nutrition",B1103)),"Nutrition survey","Other"))))</f>
        <v>DHS</v>
      </c>
      <c r="D1103" s="7" t="n">
        <f aca="false">VALUE(LEFT(Raw_Nigeria!D1103,4))</f>
        <v>2023</v>
      </c>
      <c r="E1103" s="7" t="n">
        <f aca="false">IF(VALUE(RIGHT(Raw_Nigeria!D1103,2))&gt;12,"",VALUE(RIGHT(Raw_Nigeria!D1103,2)))</f>
        <v>12</v>
      </c>
      <c r="F1103" s="7" t="n">
        <f aca="false">VALUE(LEFT(Raw_Nigeria!E1103,4))</f>
        <v>2024</v>
      </c>
      <c r="G1103" s="7" t="n">
        <f aca="false">IF(VALUE(RIGHT(Raw_Nigeria!E1103,2))&gt;12,"",VALUE(RIGHT(Raw_Nigeria!E1103,2)))</f>
        <v>5</v>
      </c>
      <c r="H1103" s="7" t="n">
        <f aca="false">Raw_Nigeria!F1103</f>
        <v>2022</v>
      </c>
      <c r="I1103" s="7" t="str">
        <f aca="false">UPPER(TRIM(Raw_Nigeria!G1103))</f>
        <v>PCV2</v>
      </c>
      <c r="J1103" s="7" t="str">
        <f aca="false">Raw_Nigeria!H1103</f>
        <v>Record or Recall</v>
      </c>
      <c r="K1103" s="7" t="str">
        <f aca="false">Raw_Nigeria!L1103</f>
        <v>12-23 m</v>
      </c>
      <c r="L1103" s="7" t="str">
        <f aca="false">IF(Raw_Nigeria!K1103="","n/a",Raw_Nigeria!K1103)</f>
        <v>0-23 m</v>
      </c>
      <c r="M1103" s="7" t="n">
        <f aca="false">IF(Raw_Nigeria!I1103="","",Raw_Nigeria!I1103)</f>
        <v>50.2</v>
      </c>
      <c r="N1103" s="7" t="n">
        <f aca="false">Raw_Nigeria!M1103</f>
        <v>59.6</v>
      </c>
      <c r="O1103" s="7" t="n">
        <f aca="false">IF(Raw_Nigeria!N1103="","",Raw_Nigeria!N1103)</f>
        <v>5121</v>
      </c>
      <c r="P1103" s="7" t="str">
        <f aca="false">IF(K1103="CBAW","Women of child-bearing age","Children")</f>
        <v>Children</v>
      </c>
      <c r="Q1103" s="7" t="n">
        <f aca="false">IF(J1103="NOT USED",1,0)</f>
        <v>0</v>
      </c>
      <c r="R1103" s="7" t="n">
        <f aca="false">IF(AND(P1103="Children",Q1103=0),1,0)</f>
        <v>1</v>
      </c>
      <c r="S1103" s="7" t="n">
        <f aca="false">IF(AND(R1103=1,J1103="Record or Recall",K1103="12-23 m"),1,0)</f>
        <v>1</v>
      </c>
      <c r="T1103" s="7" t="n">
        <f aca="false">IF(OR(I1103="BCG",I1103="DTP1",I1103="DTP3",I1103="POL3",I1103="MCV1",I1103="FULL"),1,0)</f>
        <v>0</v>
      </c>
      <c r="U1103" s="7" t="n">
        <f aca="false">IF(OR(C1103="DHS",C1103="MICS"),1,0)</f>
        <v>1</v>
      </c>
      <c r="V1103" s="7" t="n">
        <f aca="false">IF(O1103="",1,0)</f>
        <v>0</v>
      </c>
      <c r="W1103" s="7" t="n">
        <f aca="false">IF(M1103="",1,0)</f>
        <v>0</v>
      </c>
      <c r="X1103" s="7" t="n">
        <f aca="false">COUNTIFS($B$2:$B$1141,B1103,$H$2:$H$1141,H1103,$I$2:$I$1141,I1103,$J$2:$J$1141,J1103,$K$2:$K$1141,K1103,$L$2:$L$1141,L1103)</f>
        <v>1</v>
      </c>
    </row>
    <row r="1104" customFormat="false" ht="15" hidden="false" customHeight="false" outlineLevel="0" collapsed="false">
      <c r="A1104" s="7" t="n">
        <f aca="false">ROW()-1</f>
        <v>1103</v>
      </c>
      <c r="B1104" s="7" t="str">
        <f aca="false">IF(Raw_Nigeria!B1104="",TRIM(Raw_Nigeria!C1104),TRIM(Raw_Nigeria!B1104))</f>
        <v>Nigeria Demographic and Health Survey 2024</v>
      </c>
      <c r="C1104" s="7" t="str">
        <f aca="false">IF(ISNUMBER(SEARCH("Demographic and Health",B1104)),"DHS",IF(OR(ISNUMBER(SEARCH("Multiple Indicator Cluster",B1104)),ISNUMBER(SEARCH("MICS",B1104))),"MICS",IF(ISNUMBER(SEARCH("Immunization Coverage Survey",B1104)),"Coverage survey",IF(ISNUMBER(SEARCH("Nutrition",B1104)),"Nutrition survey","Other"))))</f>
        <v>DHS</v>
      </c>
      <c r="D1104" s="7" t="n">
        <f aca="false">VALUE(LEFT(Raw_Nigeria!D1104,4))</f>
        <v>2023</v>
      </c>
      <c r="E1104" s="7" t="n">
        <f aca="false">IF(VALUE(RIGHT(Raw_Nigeria!D1104,2))&gt;12,"",VALUE(RIGHT(Raw_Nigeria!D1104,2)))</f>
        <v>12</v>
      </c>
      <c r="F1104" s="7" t="n">
        <f aca="false">VALUE(LEFT(Raw_Nigeria!E1104,4))</f>
        <v>2024</v>
      </c>
      <c r="G1104" s="7" t="n">
        <f aca="false">IF(VALUE(RIGHT(Raw_Nigeria!E1104,2))&gt;12,"",VALUE(RIGHT(Raw_Nigeria!E1104,2)))</f>
        <v>5</v>
      </c>
      <c r="H1104" s="7" t="n">
        <f aca="false">Raw_Nigeria!F1104</f>
        <v>2022</v>
      </c>
      <c r="I1104" s="7" t="str">
        <f aca="false">UPPER(TRIM(Raw_Nigeria!G1104))</f>
        <v>PCV2</v>
      </c>
      <c r="J1104" s="7" t="str">
        <f aca="false">Raw_Nigeria!H1104</f>
        <v>Record or Recall&lt;12m</v>
      </c>
      <c r="K1104" s="7" t="str">
        <f aca="false">Raw_Nigeria!L1104</f>
        <v>12-23 m</v>
      </c>
      <c r="L1104" s="7" t="str">
        <f aca="false">IF(Raw_Nigeria!K1104="","n/a",Raw_Nigeria!K1104)</f>
        <v>0-12 m</v>
      </c>
      <c r="M1104" s="7" t="n">
        <f aca="false">IF(Raw_Nigeria!I1104="","",Raw_Nigeria!I1104)</f>
        <v>50.2</v>
      </c>
      <c r="N1104" s="7" t="n">
        <f aca="false">Raw_Nigeria!M1104</f>
        <v>58.6</v>
      </c>
      <c r="O1104" s="7" t="n">
        <f aca="false">IF(Raw_Nigeria!N1104="","",Raw_Nigeria!N1104)</f>
        <v>5121</v>
      </c>
      <c r="P1104" s="7" t="str">
        <f aca="false">IF(K1104="CBAW","Women of child-bearing age","Children")</f>
        <v>Children</v>
      </c>
      <c r="Q1104" s="7" t="n">
        <f aca="false">IF(J1104="NOT USED",1,0)</f>
        <v>0</v>
      </c>
      <c r="R1104" s="7" t="n">
        <f aca="false">IF(AND(P1104="Children",Q1104=0),1,0)</f>
        <v>1</v>
      </c>
      <c r="S1104" s="7" t="n">
        <f aca="false">IF(AND(R1104=1,J1104="Record or Recall",K1104="12-23 m"),1,0)</f>
        <v>0</v>
      </c>
      <c r="T1104" s="7" t="n">
        <f aca="false">IF(OR(I1104="BCG",I1104="DTP1",I1104="DTP3",I1104="POL3",I1104="MCV1",I1104="FULL"),1,0)</f>
        <v>0</v>
      </c>
      <c r="U1104" s="7" t="n">
        <f aca="false">IF(OR(C1104="DHS",C1104="MICS"),1,0)</f>
        <v>1</v>
      </c>
      <c r="V1104" s="7" t="n">
        <f aca="false">IF(O1104="",1,0)</f>
        <v>0</v>
      </c>
      <c r="W1104" s="7" t="n">
        <f aca="false">IF(M1104="",1,0)</f>
        <v>0</v>
      </c>
      <c r="X1104" s="7" t="n">
        <f aca="false">COUNTIFS($B$2:$B$1141,B1104,$H$2:$H$1141,H1104,$I$2:$I$1141,I1104,$J$2:$J$1141,J1104,$K$2:$K$1141,K1104,$L$2:$L$1141,L1104)</f>
        <v>1</v>
      </c>
    </row>
    <row r="1105" customFormat="false" ht="15" hidden="false" customHeight="false" outlineLevel="0" collapsed="false">
      <c r="A1105" s="7" t="n">
        <f aca="false">ROW()-1</f>
        <v>1104</v>
      </c>
      <c r="B1105" s="7" t="str">
        <f aca="false">IF(Raw_Nigeria!B1105="",TRIM(Raw_Nigeria!C1105),TRIM(Raw_Nigeria!B1105))</f>
        <v>Nigeria Demographic and Health Survey 2024</v>
      </c>
      <c r="C1105" s="7" t="str">
        <f aca="false">IF(ISNUMBER(SEARCH("Demographic and Health",B1105)),"DHS",IF(OR(ISNUMBER(SEARCH("Multiple Indicator Cluster",B1105)),ISNUMBER(SEARCH("MICS",B1105))),"MICS",IF(ISNUMBER(SEARCH("Immunization Coverage Survey",B1105)),"Coverage survey",IF(ISNUMBER(SEARCH("Nutrition",B1105)),"Nutrition survey","Other"))))</f>
        <v>DHS</v>
      </c>
      <c r="D1105" s="7" t="n">
        <f aca="false">VALUE(LEFT(Raw_Nigeria!D1105,4))</f>
        <v>2023</v>
      </c>
      <c r="E1105" s="7" t="n">
        <f aca="false">IF(VALUE(RIGHT(Raw_Nigeria!D1105,2))&gt;12,"",VALUE(RIGHT(Raw_Nigeria!D1105,2)))</f>
        <v>12</v>
      </c>
      <c r="F1105" s="7" t="n">
        <f aca="false">VALUE(LEFT(Raw_Nigeria!E1105,4))</f>
        <v>2024</v>
      </c>
      <c r="G1105" s="7" t="n">
        <f aca="false">IF(VALUE(RIGHT(Raw_Nigeria!E1105,2))&gt;12,"",VALUE(RIGHT(Raw_Nigeria!E1105,2)))</f>
        <v>5</v>
      </c>
      <c r="H1105" s="7" t="n">
        <f aca="false">Raw_Nigeria!F1105</f>
        <v>2022</v>
      </c>
      <c r="I1105" s="7" t="str">
        <f aca="false">UPPER(TRIM(Raw_Nigeria!G1105))</f>
        <v>PCVC</v>
      </c>
      <c r="J1105" s="7" t="str">
        <f aca="false">Raw_Nigeria!H1105</f>
        <v>Recall</v>
      </c>
      <c r="K1105" s="7" t="str">
        <f aca="false">Raw_Nigeria!L1105</f>
        <v>12-23 m</v>
      </c>
      <c r="L1105" s="7" t="str">
        <f aca="false">IF(Raw_Nigeria!K1105="","n/a",Raw_Nigeria!K1105)</f>
        <v>0-23 m</v>
      </c>
      <c r="M1105" s="7" t="n">
        <f aca="false">IF(Raw_Nigeria!I1105="","",Raw_Nigeria!I1105)</f>
        <v>50.2</v>
      </c>
      <c r="N1105" s="7" t="n">
        <f aca="false">Raw_Nigeria!M1105</f>
        <v>10.4</v>
      </c>
      <c r="O1105" s="7" t="n">
        <f aca="false">IF(Raw_Nigeria!N1105="","",Raw_Nigeria!N1105)</f>
        <v>2549</v>
      </c>
      <c r="P1105" s="7" t="str">
        <f aca="false">IF(K1105="CBAW","Women of child-bearing age","Children")</f>
        <v>Children</v>
      </c>
      <c r="Q1105" s="7" t="n">
        <f aca="false">IF(J1105="NOT USED",1,0)</f>
        <v>0</v>
      </c>
      <c r="R1105" s="7" t="n">
        <f aca="false">IF(AND(P1105="Children",Q1105=0),1,0)</f>
        <v>1</v>
      </c>
      <c r="S1105" s="7" t="n">
        <f aca="false">IF(AND(R1105=1,J1105="Record or Recall",K1105="12-23 m"),1,0)</f>
        <v>0</v>
      </c>
      <c r="T1105" s="7" t="n">
        <f aca="false">IF(OR(I1105="BCG",I1105="DTP1",I1105="DTP3",I1105="POL3",I1105="MCV1",I1105="FULL"),1,0)</f>
        <v>0</v>
      </c>
      <c r="U1105" s="7" t="n">
        <f aca="false">IF(OR(C1105="DHS",C1105="MICS"),1,0)</f>
        <v>1</v>
      </c>
      <c r="V1105" s="7" t="n">
        <f aca="false">IF(O1105="",1,0)</f>
        <v>0</v>
      </c>
      <c r="W1105" s="7" t="n">
        <f aca="false">IF(M1105="",1,0)</f>
        <v>0</v>
      </c>
      <c r="X1105" s="7" t="n">
        <f aca="false">COUNTIFS($B$2:$B$1141,B1105,$H$2:$H$1141,H1105,$I$2:$I$1141,I1105,$J$2:$J$1141,J1105,$K$2:$K$1141,K1105,$L$2:$L$1141,L1105)</f>
        <v>1</v>
      </c>
    </row>
    <row r="1106" customFormat="false" ht="15" hidden="false" customHeight="false" outlineLevel="0" collapsed="false">
      <c r="A1106" s="7" t="n">
        <f aca="false">ROW()-1</f>
        <v>1105</v>
      </c>
      <c r="B1106" s="7" t="str">
        <f aca="false">IF(Raw_Nigeria!B1106="",TRIM(Raw_Nigeria!C1106),TRIM(Raw_Nigeria!B1106))</f>
        <v>Nigeria Demographic and Health Survey 2024</v>
      </c>
      <c r="C1106" s="7" t="str">
        <f aca="false">IF(ISNUMBER(SEARCH("Demographic and Health",B1106)),"DHS",IF(OR(ISNUMBER(SEARCH("Multiple Indicator Cluster",B1106)),ISNUMBER(SEARCH("MICS",B1106))),"MICS",IF(ISNUMBER(SEARCH("Immunization Coverage Survey",B1106)),"Coverage survey",IF(ISNUMBER(SEARCH("Nutrition",B1106)),"Nutrition survey","Other"))))</f>
        <v>DHS</v>
      </c>
      <c r="D1106" s="7" t="n">
        <f aca="false">VALUE(LEFT(Raw_Nigeria!D1106,4))</f>
        <v>2023</v>
      </c>
      <c r="E1106" s="7" t="n">
        <f aca="false">IF(VALUE(RIGHT(Raw_Nigeria!D1106,2))&gt;12,"",VALUE(RIGHT(Raw_Nigeria!D1106,2)))</f>
        <v>12</v>
      </c>
      <c r="F1106" s="7" t="n">
        <f aca="false">VALUE(LEFT(Raw_Nigeria!E1106,4))</f>
        <v>2024</v>
      </c>
      <c r="G1106" s="7" t="n">
        <f aca="false">IF(VALUE(RIGHT(Raw_Nigeria!E1106,2))&gt;12,"",VALUE(RIGHT(Raw_Nigeria!E1106,2)))</f>
        <v>5</v>
      </c>
      <c r="H1106" s="7" t="n">
        <f aca="false">Raw_Nigeria!F1106</f>
        <v>2022</v>
      </c>
      <c r="I1106" s="7" t="str">
        <f aca="false">UPPER(TRIM(Raw_Nigeria!G1106))</f>
        <v>PCVC</v>
      </c>
      <c r="J1106" s="7" t="str">
        <f aca="false">Raw_Nigeria!H1106</f>
        <v>Record</v>
      </c>
      <c r="K1106" s="7" t="str">
        <f aca="false">Raw_Nigeria!L1106</f>
        <v>12-23 m</v>
      </c>
      <c r="L1106" s="7" t="str">
        <f aca="false">IF(Raw_Nigeria!K1106="","n/a",Raw_Nigeria!K1106)</f>
        <v>0-23 m</v>
      </c>
      <c r="M1106" s="7" t="n">
        <f aca="false">IF(Raw_Nigeria!I1106="","",Raw_Nigeria!I1106)</f>
        <v>50.2</v>
      </c>
      <c r="N1106" s="7" t="n">
        <f aca="false">Raw_Nigeria!M1106</f>
        <v>42.9</v>
      </c>
      <c r="O1106" s="7" t="n">
        <f aca="false">IF(Raw_Nigeria!N1106="","",Raw_Nigeria!N1106)</f>
        <v>2572</v>
      </c>
      <c r="P1106" s="7" t="str">
        <f aca="false">IF(K1106="CBAW","Women of child-bearing age","Children")</f>
        <v>Children</v>
      </c>
      <c r="Q1106" s="7" t="n">
        <f aca="false">IF(J1106="NOT USED",1,0)</f>
        <v>0</v>
      </c>
      <c r="R1106" s="7" t="n">
        <f aca="false">IF(AND(P1106="Children",Q1106=0),1,0)</f>
        <v>1</v>
      </c>
      <c r="S1106" s="7" t="n">
        <f aca="false">IF(AND(R1106=1,J1106="Record or Recall",K1106="12-23 m"),1,0)</f>
        <v>0</v>
      </c>
      <c r="T1106" s="7" t="n">
        <f aca="false">IF(OR(I1106="BCG",I1106="DTP1",I1106="DTP3",I1106="POL3",I1106="MCV1",I1106="FULL"),1,0)</f>
        <v>0</v>
      </c>
      <c r="U1106" s="7" t="n">
        <f aca="false">IF(OR(C1106="DHS",C1106="MICS"),1,0)</f>
        <v>1</v>
      </c>
      <c r="V1106" s="7" t="n">
        <f aca="false">IF(O1106="",1,0)</f>
        <v>0</v>
      </c>
      <c r="W1106" s="7" t="n">
        <f aca="false">IF(M1106="",1,0)</f>
        <v>0</v>
      </c>
      <c r="X1106" s="7" t="n">
        <f aca="false">COUNTIFS($B$2:$B$1141,B1106,$H$2:$H$1141,H1106,$I$2:$I$1141,I1106,$J$2:$J$1141,J1106,$K$2:$K$1141,K1106,$L$2:$L$1141,L1106)</f>
        <v>1</v>
      </c>
    </row>
    <row r="1107" customFormat="false" ht="15" hidden="false" customHeight="false" outlineLevel="0" collapsed="false">
      <c r="A1107" s="7" t="n">
        <f aca="false">ROW()-1</f>
        <v>1106</v>
      </c>
      <c r="B1107" s="7" t="str">
        <f aca="false">IF(Raw_Nigeria!B1107="",TRIM(Raw_Nigeria!C1107),TRIM(Raw_Nigeria!B1107))</f>
        <v>Nigeria Demographic and Health Survey 2024</v>
      </c>
      <c r="C1107" s="7" t="str">
        <f aca="false">IF(ISNUMBER(SEARCH("Demographic and Health",B1107)),"DHS",IF(OR(ISNUMBER(SEARCH("Multiple Indicator Cluster",B1107)),ISNUMBER(SEARCH("MICS",B1107))),"MICS",IF(ISNUMBER(SEARCH("Immunization Coverage Survey",B1107)),"Coverage survey",IF(ISNUMBER(SEARCH("Nutrition",B1107)),"Nutrition survey","Other"))))</f>
        <v>DHS</v>
      </c>
      <c r="D1107" s="7" t="n">
        <f aca="false">VALUE(LEFT(Raw_Nigeria!D1107,4))</f>
        <v>2023</v>
      </c>
      <c r="E1107" s="7" t="n">
        <f aca="false">IF(VALUE(RIGHT(Raw_Nigeria!D1107,2))&gt;12,"",VALUE(RIGHT(Raw_Nigeria!D1107,2)))</f>
        <v>12</v>
      </c>
      <c r="F1107" s="7" t="n">
        <f aca="false">VALUE(LEFT(Raw_Nigeria!E1107,4))</f>
        <v>2024</v>
      </c>
      <c r="G1107" s="7" t="n">
        <f aca="false">IF(VALUE(RIGHT(Raw_Nigeria!E1107,2))&gt;12,"",VALUE(RIGHT(Raw_Nigeria!E1107,2)))</f>
        <v>5</v>
      </c>
      <c r="H1107" s="7" t="n">
        <f aca="false">Raw_Nigeria!F1107</f>
        <v>2022</v>
      </c>
      <c r="I1107" s="7" t="str">
        <f aca="false">UPPER(TRIM(Raw_Nigeria!G1107))</f>
        <v>PCVC</v>
      </c>
      <c r="J1107" s="7" t="str">
        <f aca="false">Raw_Nigeria!H1107</f>
        <v>Record or Recall</v>
      </c>
      <c r="K1107" s="7" t="str">
        <f aca="false">Raw_Nigeria!L1107</f>
        <v>12-23 m</v>
      </c>
      <c r="L1107" s="7" t="str">
        <f aca="false">IF(Raw_Nigeria!K1107="","n/a",Raw_Nigeria!K1107)</f>
        <v>0-23 m</v>
      </c>
      <c r="M1107" s="7" t="n">
        <f aca="false">IF(Raw_Nigeria!I1107="","",Raw_Nigeria!I1107)</f>
        <v>50.2</v>
      </c>
      <c r="N1107" s="7" t="n">
        <f aca="false">Raw_Nigeria!M1107</f>
        <v>53.3</v>
      </c>
      <c r="O1107" s="7" t="n">
        <f aca="false">IF(Raw_Nigeria!N1107="","",Raw_Nigeria!N1107)</f>
        <v>5121</v>
      </c>
      <c r="P1107" s="7" t="str">
        <f aca="false">IF(K1107="CBAW","Women of child-bearing age","Children")</f>
        <v>Children</v>
      </c>
      <c r="Q1107" s="7" t="n">
        <f aca="false">IF(J1107="NOT USED",1,0)</f>
        <v>0</v>
      </c>
      <c r="R1107" s="7" t="n">
        <f aca="false">IF(AND(P1107="Children",Q1107=0),1,0)</f>
        <v>1</v>
      </c>
      <c r="S1107" s="7" t="n">
        <f aca="false">IF(AND(R1107=1,J1107="Record or Recall",K1107="12-23 m"),1,0)</f>
        <v>1</v>
      </c>
      <c r="T1107" s="7" t="n">
        <f aca="false">IF(OR(I1107="BCG",I1107="DTP1",I1107="DTP3",I1107="POL3",I1107="MCV1",I1107="FULL"),1,0)</f>
        <v>0</v>
      </c>
      <c r="U1107" s="7" t="n">
        <f aca="false">IF(OR(C1107="DHS",C1107="MICS"),1,0)</f>
        <v>1</v>
      </c>
      <c r="V1107" s="7" t="n">
        <f aca="false">IF(O1107="",1,0)</f>
        <v>0</v>
      </c>
      <c r="W1107" s="7" t="n">
        <f aca="false">IF(M1107="",1,0)</f>
        <v>0</v>
      </c>
      <c r="X1107" s="7" t="n">
        <f aca="false">COUNTIFS($B$2:$B$1141,B1107,$H$2:$H$1141,H1107,$I$2:$I$1141,I1107,$J$2:$J$1141,J1107,$K$2:$K$1141,K1107,$L$2:$L$1141,L1107)</f>
        <v>1</v>
      </c>
    </row>
    <row r="1108" customFormat="false" ht="15" hidden="false" customHeight="false" outlineLevel="0" collapsed="false">
      <c r="A1108" s="7" t="n">
        <f aca="false">ROW()-1</f>
        <v>1107</v>
      </c>
      <c r="B1108" s="7" t="str">
        <f aca="false">IF(Raw_Nigeria!B1108="",TRIM(Raw_Nigeria!C1108),TRIM(Raw_Nigeria!B1108))</f>
        <v>Nigeria Demographic and Health Survey 2024</v>
      </c>
      <c r="C1108" s="7" t="str">
        <f aca="false">IF(ISNUMBER(SEARCH("Demographic and Health",B1108)),"DHS",IF(OR(ISNUMBER(SEARCH("Multiple Indicator Cluster",B1108)),ISNUMBER(SEARCH("MICS",B1108))),"MICS",IF(ISNUMBER(SEARCH("Immunization Coverage Survey",B1108)),"Coverage survey",IF(ISNUMBER(SEARCH("Nutrition",B1108)),"Nutrition survey","Other"))))</f>
        <v>DHS</v>
      </c>
      <c r="D1108" s="7" t="n">
        <f aca="false">VALUE(LEFT(Raw_Nigeria!D1108,4))</f>
        <v>2023</v>
      </c>
      <c r="E1108" s="7" t="n">
        <f aca="false">IF(VALUE(RIGHT(Raw_Nigeria!D1108,2))&gt;12,"",VALUE(RIGHT(Raw_Nigeria!D1108,2)))</f>
        <v>12</v>
      </c>
      <c r="F1108" s="7" t="n">
        <f aca="false">VALUE(LEFT(Raw_Nigeria!E1108,4))</f>
        <v>2024</v>
      </c>
      <c r="G1108" s="7" t="n">
        <f aca="false">IF(VALUE(RIGHT(Raw_Nigeria!E1108,2))&gt;12,"",VALUE(RIGHT(Raw_Nigeria!E1108,2)))</f>
        <v>5</v>
      </c>
      <c r="H1108" s="7" t="n">
        <f aca="false">Raw_Nigeria!F1108</f>
        <v>2022</v>
      </c>
      <c r="I1108" s="7" t="str">
        <f aca="false">UPPER(TRIM(Raw_Nigeria!G1108))</f>
        <v>PCVC</v>
      </c>
      <c r="J1108" s="7" t="str">
        <f aca="false">Raw_Nigeria!H1108</f>
        <v>Record or Recall&lt;12m</v>
      </c>
      <c r="K1108" s="7" t="str">
        <f aca="false">Raw_Nigeria!L1108</f>
        <v>12-23 m</v>
      </c>
      <c r="L1108" s="7" t="str">
        <f aca="false">IF(Raw_Nigeria!K1108="","n/a",Raw_Nigeria!K1108)</f>
        <v>0-12 m</v>
      </c>
      <c r="M1108" s="7" t="n">
        <f aca="false">IF(Raw_Nigeria!I1108="","",Raw_Nigeria!I1108)</f>
        <v>50.2</v>
      </c>
      <c r="N1108" s="7" t="n">
        <f aca="false">Raw_Nigeria!M1108</f>
        <v>51.8</v>
      </c>
      <c r="O1108" s="7" t="n">
        <f aca="false">IF(Raw_Nigeria!N1108="","",Raw_Nigeria!N1108)</f>
        <v>5121</v>
      </c>
      <c r="P1108" s="7" t="str">
        <f aca="false">IF(K1108="CBAW","Women of child-bearing age","Children")</f>
        <v>Children</v>
      </c>
      <c r="Q1108" s="7" t="n">
        <f aca="false">IF(J1108="NOT USED",1,0)</f>
        <v>0</v>
      </c>
      <c r="R1108" s="7" t="n">
        <f aca="false">IF(AND(P1108="Children",Q1108=0),1,0)</f>
        <v>1</v>
      </c>
      <c r="S1108" s="7" t="n">
        <f aca="false">IF(AND(R1108=1,J1108="Record or Recall",K1108="12-23 m"),1,0)</f>
        <v>0</v>
      </c>
      <c r="T1108" s="7" t="n">
        <f aca="false">IF(OR(I1108="BCG",I1108="DTP1",I1108="DTP3",I1108="POL3",I1108="MCV1",I1108="FULL"),1,0)</f>
        <v>0</v>
      </c>
      <c r="U1108" s="7" t="n">
        <f aca="false">IF(OR(C1108="DHS",C1108="MICS"),1,0)</f>
        <v>1</v>
      </c>
      <c r="V1108" s="7" t="n">
        <f aca="false">IF(O1108="",1,0)</f>
        <v>0</v>
      </c>
      <c r="W1108" s="7" t="n">
        <f aca="false">IF(M1108="",1,0)</f>
        <v>0</v>
      </c>
      <c r="X1108" s="7" t="n">
        <f aca="false">COUNTIFS($B$2:$B$1141,B1108,$H$2:$H$1141,H1108,$I$2:$I$1141,I1108,$J$2:$J$1141,J1108,$K$2:$K$1141,K1108,$L$2:$L$1141,L1108)</f>
        <v>1</v>
      </c>
    </row>
    <row r="1109" customFormat="false" ht="15" hidden="false" customHeight="false" outlineLevel="0" collapsed="false">
      <c r="A1109" s="7" t="n">
        <f aca="false">ROW()-1</f>
        <v>1108</v>
      </c>
      <c r="B1109" s="7" t="str">
        <f aca="false">IF(Raw_Nigeria!B1109="",TRIM(Raw_Nigeria!C1109),TRIM(Raw_Nigeria!B1109))</f>
        <v>Nigeria Demographic and Health Survey 2024</v>
      </c>
      <c r="C1109" s="7" t="str">
        <f aca="false">IF(ISNUMBER(SEARCH("Demographic and Health",B1109)),"DHS",IF(OR(ISNUMBER(SEARCH("Multiple Indicator Cluster",B1109)),ISNUMBER(SEARCH("MICS",B1109))),"MICS",IF(ISNUMBER(SEARCH("Immunization Coverage Survey",B1109)),"Coverage survey",IF(ISNUMBER(SEARCH("Nutrition",B1109)),"Nutrition survey","Other"))))</f>
        <v>DHS</v>
      </c>
      <c r="D1109" s="7" t="n">
        <f aca="false">VALUE(LEFT(Raw_Nigeria!D1109,4))</f>
        <v>2023</v>
      </c>
      <c r="E1109" s="7" t="n">
        <f aca="false">IF(VALUE(RIGHT(Raw_Nigeria!D1109,2))&gt;12,"",VALUE(RIGHT(Raw_Nigeria!D1109,2)))</f>
        <v>12</v>
      </c>
      <c r="F1109" s="7" t="n">
        <f aca="false">VALUE(LEFT(Raw_Nigeria!E1109,4))</f>
        <v>2024</v>
      </c>
      <c r="G1109" s="7" t="n">
        <f aca="false">IF(VALUE(RIGHT(Raw_Nigeria!E1109,2))&gt;12,"",VALUE(RIGHT(Raw_Nigeria!E1109,2)))</f>
        <v>5</v>
      </c>
      <c r="H1109" s="7" t="n">
        <f aca="false">Raw_Nigeria!F1109</f>
        <v>2022</v>
      </c>
      <c r="I1109" s="7" t="str">
        <f aca="false">UPPER(TRIM(Raw_Nigeria!G1109))</f>
        <v>POL0</v>
      </c>
      <c r="J1109" s="7" t="str">
        <f aca="false">Raw_Nigeria!H1109</f>
        <v>Recall</v>
      </c>
      <c r="K1109" s="7" t="str">
        <f aca="false">Raw_Nigeria!L1109</f>
        <v>12-23 m</v>
      </c>
      <c r="L1109" s="7" t="str">
        <f aca="false">IF(Raw_Nigeria!K1109="","n/a",Raw_Nigeria!K1109)</f>
        <v>0-23 m</v>
      </c>
      <c r="M1109" s="7" t="n">
        <f aca="false">IF(Raw_Nigeria!I1109="","",Raw_Nigeria!I1109)</f>
        <v>50.2</v>
      </c>
      <c r="N1109" s="7" t="n">
        <f aca="false">Raw_Nigeria!M1109</f>
        <v>14.2</v>
      </c>
      <c r="O1109" s="7" t="n">
        <f aca="false">IF(Raw_Nigeria!N1109="","",Raw_Nigeria!N1109)</f>
        <v>2549</v>
      </c>
      <c r="P1109" s="7" t="str">
        <f aca="false">IF(K1109="CBAW","Women of child-bearing age","Children")</f>
        <v>Children</v>
      </c>
      <c r="Q1109" s="7" t="n">
        <f aca="false">IF(J1109="NOT USED",1,0)</f>
        <v>0</v>
      </c>
      <c r="R1109" s="7" t="n">
        <f aca="false">IF(AND(P1109="Children",Q1109=0),1,0)</f>
        <v>1</v>
      </c>
      <c r="S1109" s="7" t="n">
        <f aca="false">IF(AND(R1109=1,J1109="Record or Recall",K1109="12-23 m"),1,0)</f>
        <v>0</v>
      </c>
      <c r="T1109" s="7" t="n">
        <f aca="false">IF(OR(I1109="BCG",I1109="DTP1",I1109="DTP3",I1109="POL3",I1109="MCV1",I1109="FULL"),1,0)</f>
        <v>0</v>
      </c>
      <c r="U1109" s="7" t="n">
        <f aca="false">IF(OR(C1109="DHS",C1109="MICS"),1,0)</f>
        <v>1</v>
      </c>
      <c r="V1109" s="7" t="n">
        <f aca="false">IF(O1109="",1,0)</f>
        <v>0</v>
      </c>
      <c r="W1109" s="7" t="n">
        <f aca="false">IF(M1109="",1,0)</f>
        <v>0</v>
      </c>
      <c r="X1109" s="7" t="n">
        <f aca="false">COUNTIFS($B$2:$B$1141,B1109,$H$2:$H$1141,H1109,$I$2:$I$1141,I1109,$J$2:$J$1141,J1109,$K$2:$K$1141,K1109,$L$2:$L$1141,L1109)</f>
        <v>1</v>
      </c>
    </row>
    <row r="1110" customFormat="false" ht="15" hidden="false" customHeight="false" outlineLevel="0" collapsed="false">
      <c r="A1110" s="7" t="n">
        <f aca="false">ROW()-1</f>
        <v>1109</v>
      </c>
      <c r="B1110" s="7" t="str">
        <f aca="false">IF(Raw_Nigeria!B1110="",TRIM(Raw_Nigeria!C1110),TRIM(Raw_Nigeria!B1110))</f>
        <v>Nigeria Demographic and Health Survey 2024</v>
      </c>
      <c r="C1110" s="7" t="str">
        <f aca="false">IF(ISNUMBER(SEARCH("Demographic and Health",B1110)),"DHS",IF(OR(ISNUMBER(SEARCH("Multiple Indicator Cluster",B1110)),ISNUMBER(SEARCH("MICS",B1110))),"MICS",IF(ISNUMBER(SEARCH("Immunization Coverage Survey",B1110)),"Coverage survey",IF(ISNUMBER(SEARCH("Nutrition",B1110)),"Nutrition survey","Other"))))</f>
        <v>DHS</v>
      </c>
      <c r="D1110" s="7" t="n">
        <f aca="false">VALUE(LEFT(Raw_Nigeria!D1110,4))</f>
        <v>2023</v>
      </c>
      <c r="E1110" s="7" t="n">
        <f aca="false">IF(VALUE(RIGHT(Raw_Nigeria!D1110,2))&gt;12,"",VALUE(RIGHT(Raw_Nigeria!D1110,2)))</f>
        <v>12</v>
      </c>
      <c r="F1110" s="7" t="n">
        <f aca="false">VALUE(LEFT(Raw_Nigeria!E1110,4))</f>
        <v>2024</v>
      </c>
      <c r="G1110" s="7" t="n">
        <f aca="false">IF(VALUE(RIGHT(Raw_Nigeria!E1110,2))&gt;12,"",VALUE(RIGHT(Raw_Nigeria!E1110,2)))</f>
        <v>5</v>
      </c>
      <c r="H1110" s="7" t="n">
        <f aca="false">Raw_Nigeria!F1110</f>
        <v>2022</v>
      </c>
      <c r="I1110" s="7" t="str">
        <f aca="false">UPPER(TRIM(Raw_Nigeria!G1110))</f>
        <v>POL0</v>
      </c>
      <c r="J1110" s="7" t="str">
        <f aca="false">Raw_Nigeria!H1110</f>
        <v>Record</v>
      </c>
      <c r="K1110" s="7" t="str">
        <f aca="false">Raw_Nigeria!L1110</f>
        <v>12-23 m</v>
      </c>
      <c r="L1110" s="7" t="str">
        <f aca="false">IF(Raw_Nigeria!K1110="","n/a",Raw_Nigeria!K1110)</f>
        <v>0-23 m</v>
      </c>
      <c r="M1110" s="7" t="n">
        <f aca="false">IF(Raw_Nigeria!I1110="","",Raw_Nigeria!I1110)</f>
        <v>50.2</v>
      </c>
      <c r="N1110" s="7" t="n">
        <f aca="false">Raw_Nigeria!M1110</f>
        <v>42.7</v>
      </c>
      <c r="O1110" s="7" t="n">
        <f aca="false">IF(Raw_Nigeria!N1110="","",Raw_Nigeria!N1110)</f>
        <v>2572</v>
      </c>
      <c r="P1110" s="7" t="str">
        <f aca="false">IF(K1110="CBAW","Women of child-bearing age","Children")</f>
        <v>Children</v>
      </c>
      <c r="Q1110" s="7" t="n">
        <f aca="false">IF(J1110="NOT USED",1,0)</f>
        <v>0</v>
      </c>
      <c r="R1110" s="7" t="n">
        <f aca="false">IF(AND(P1110="Children",Q1110=0),1,0)</f>
        <v>1</v>
      </c>
      <c r="S1110" s="7" t="n">
        <f aca="false">IF(AND(R1110=1,J1110="Record or Recall",K1110="12-23 m"),1,0)</f>
        <v>0</v>
      </c>
      <c r="T1110" s="7" t="n">
        <f aca="false">IF(OR(I1110="BCG",I1110="DTP1",I1110="DTP3",I1110="POL3",I1110="MCV1",I1110="FULL"),1,0)</f>
        <v>0</v>
      </c>
      <c r="U1110" s="7" t="n">
        <f aca="false">IF(OR(C1110="DHS",C1110="MICS"),1,0)</f>
        <v>1</v>
      </c>
      <c r="V1110" s="7" t="n">
        <f aca="false">IF(O1110="",1,0)</f>
        <v>0</v>
      </c>
      <c r="W1110" s="7" t="n">
        <f aca="false">IF(M1110="",1,0)</f>
        <v>0</v>
      </c>
      <c r="X1110" s="7" t="n">
        <f aca="false">COUNTIFS($B$2:$B$1141,B1110,$H$2:$H$1141,H1110,$I$2:$I$1141,I1110,$J$2:$J$1141,J1110,$K$2:$K$1141,K1110,$L$2:$L$1141,L1110)</f>
        <v>1</v>
      </c>
    </row>
    <row r="1111" customFormat="false" ht="15" hidden="false" customHeight="false" outlineLevel="0" collapsed="false">
      <c r="A1111" s="7" t="n">
        <f aca="false">ROW()-1</f>
        <v>1110</v>
      </c>
      <c r="B1111" s="7" t="str">
        <f aca="false">IF(Raw_Nigeria!B1111="",TRIM(Raw_Nigeria!C1111),TRIM(Raw_Nigeria!B1111))</f>
        <v>Nigeria Demographic and Health Survey 2024</v>
      </c>
      <c r="C1111" s="7" t="str">
        <f aca="false">IF(ISNUMBER(SEARCH("Demographic and Health",B1111)),"DHS",IF(OR(ISNUMBER(SEARCH("Multiple Indicator Cluster",B1111)),ISNUMBER(SEARCH("MICS",B1111))),"MICS",IF(ISNUMBER(SEARCH("Immunization Coverage Survey",B1111)),"Coverage survey",IF(ISNUMBER(SEARCH("Nutrition",B1111)),"Nutrition survey","Other"))))</f>
        <v>DHS</v>
      </c>
      <c r="D1111" s="7" t="n">
        <f aca="false">VALUE(LEFT(Raw_Nigeria!D1111,4))</f>
        <v>2023</v>
      </c>
      <c r="E1111" s="7" t="n">
        <f aca="false">IF(VALUE(RIGHT(Raw_Nigeria!D1111,2))&gt;12,"",VALUE(RIGHT(Raw_Nigeria!D1111,2)))</f>
        <v>12</v>
      </c>
      <c r="F1111" s="7" t="n">
        <f aca="false">VALUE(LEFT(Raw_Nigeria!E1111,4))</f>
        <v>2024</v>
      </c>
      <c r="G1111" s="7" t="n">
        <f aca="false">IF(VALUE(RIGHT(Raw_Nigeria!E1111,2))&gt;12,"",VALUE(RIGHT(Raw_Nigeria!E1111,2)))</f>
        <v>5</v>
      </c>
      <c r="H1111" s="7" t="n">
        <f aca="false">Raw_Nigeria!F1111</f>
        <v>2022</v>
      </c>
      <c r="I1111" s="7" t="str">
        <f aca="false">UPPER(TRIM(Raw_Nigeria!G1111))</f>
        <v>POL0</v>
      </c>
      <c r="J1111" s="7" t="str">
        <f aca="false">Raw_Nigeria!H1111</f>
        <v>Record or Recall</v>
      </c>
      <c r="K1111" s="7" t="str">
        <f aca="false">Raw_Nigeria!L1111</f>
        <v>12-23 m</v>
      </c>
      <c r="L1111" s="7" t="str">
        <f aca="false">IF(Raw_Nigeria!K1111="","n/a",Raw_Nigeria!K1111)</f>
        <v>0-23 m</v>
      </c>
      <c r="M1111" s="7" t="n">
        <f aca="false">IF(Raw_Nigeria!I1111="","",Raw_Nigeria!I1111)</f>
        <v>50.2</v>
      </c>
      <c r="N1111" s="7" t="n">
        <f aca="false">Raw_Nigeria!M1111</f>
        <v>56.9</v>
      </c>
      <c r="O1111" s="7" t="n">
        <f aca="false">IF(Raw_Nigeria!N1111="","",Raw_Nigeria!N1111)</f>
        <v>5121</v>
      </c>
      <c r="P1111" s="7" t="str">
        <f aca="false">IF(K1111="CBAW","Women of child-bearing age","Children")</f>
        <v>Children</v>
      </c>
      <c r="Q1111" s="7" t="n">
        <f aca="false">IF(J1111="NOT USED",1,0)</f>
        <v>0</v>
      </c>
      <c r="R1111" s="7" t="n">
        <f aca="false">IF(AND(P1111="Children",Q1111=0),1,0)</f>
        <v>1</v>
      </c>
      <c r="S1111" s="7" t="n">
        <f aca="false">IF(AND(R1111=1,J1111="Record or Recall",K1111="12-23 m"),1,0)</f>
        <v>1</v>
      </c>
      <c r="T1111" s="7" t="n">
        <f aca="false">IF(OR(I1111="BCG",I1111="DTP1",I1111="DTP3",I1111="POL3",I1111="MCV1",I1111="FULL"),1,0)</f>
        <v>0</v>
      </c>
      <c r="U1111" s="7" t="n">
        <f aca="false">IF(OR(C1111="DHS",C1111="MICS"),1,0)</f>
        <v>1</v>
      </c>
      <c r="V1111" s="7" t="n">
        <f aca="false">IF(O1111="",1,0)</f>
        <v>0</v>
      </c>
      <c r="W1111" s="7" t="n">
        <f aca="false">IF(M1111="",1,0)</f>
        <v>0</v>
      </c>
      <c r="X1111" s="7" t="n">
        <f aca="false">COUNTIFS($B$2:$B$1141,B1111,$H$2:$H$1141,H1111,$I$2:$I$1141,I1111,$J$2:$J$1141,J1111,$K$2:$K$1141,K1111,$L$2:$L$1141,L1111)</f>
        <v>1</v>
      </c>
    </row>
    <row r="1112" customFormat="false" ht="15" hidden="false" customHeight="false" outlineLevel="0" collapsed="false">
      <c r="A1112" s="7" t="n">
        <f aca="false">ROW()-1</f>
        <v>1111</v>
      </c>
      <c r="B1112" s="7" t="str">
        <f aca="false">IF(Raw_Nigeria!B1112="",TRIM(Raw_Nigeria!C1112),TRIM(Raw_Nigeria!B1112))</f>
        <v>Nigeria Demographic and Health Survey 2024</v>
      </c>
      <c r="C1112" s="7" t="str">
        <f aca="false">IF(ISNUMBER(SEARCH("Demographic and Health",B1112)),"DHS",IF(OR(ISNUMBER(SEARCH("Multiple Indicator Cluster",B1112)),ISNUMBER(SEARCH("MICS",B1112))),"MICS",IF(ISNUMBER(SEARCH("Immunization Coverage Survey",B1112)),"Coverage survey",IF(ISNUMBER(SEARCH("Nutrition",B1112)),"Nutrition survey","Other"))))</f>
        <v>DHS</v>
      </c>
      <c r="D1112" s="7" t="n">
        <f aca="false">VALUE(LEFT(Raw_Nigeria!D1112,4))</f>
        <v>2023</v>
      </c>
      <c r="E1112" s="7" t="n">
        <f aca="false">IF(VALUE(RIGHT(Raw_Nigeria!D1112,2))&gt;12,"",VALUE(RIGHT(Raw_Nigeria!D1112,2)))</f>
        <v>12</v>
      </c>
      <c r="F1112" s="7" t="n">
        <f aca="false">VALUE(LEFT(Raw_Nigeria!E1112,4))</f>
        <v>2024</v>
      </c>
      <c r="G1112" s="7" t="n">
        <f aca="false">IF(VALUE(RIGHT(Raw_Nigeria!E1112,2))&gt;12,"",VALUE(RIGHT(Raw_Nigeria!E1112,2)))</f>
        <v>5</v>
      </c>
      <c r="H1112" s="7" t="n">
        <f aca="false">Raw_Nigeria!F1112</f>
        <v>2022</v>
      </c>
      <c r="I1112" s="7" t="str">
        <f aca="false">UPPER(TRIM(Raw_Nigeria!G1112))</f>
        <v>POL0</v>
      </c>
      <c r="J1112" s="7" t="str">
        <f aca="false">Raw_Nigeria!H1112</f>
        <v>Record or Recall&lt;12m</v>
      </c>
      <c r="K1112" s="7" t="str">
        <f aca="false">Raw_Nigeria!L1112</f>
        <v>12-23 m</v>
      </c>
      <c r="L1112" s="7" t="str">
        <f aca="false">IF(Raw_Nigeria!K1112="","n/a",Raw_Nigeria!K1112)</f>
        <v>0-12 m</v>
      </c>
      <c r="M1112" s="7" t="n">
        <f aca="false">IF(Raw_Nigeria!I1112="","",Raw_Nigeria!I1112)</f>
        <v>50.2</v>
      </c>
      <c r="N1112" s="7" t="n">
        <f aca="false">Raw_Nigeria!M1112</f>
        <v>56.5</v>
      </c>
      <c r="O1112" s="7" t="n">
        <f aca="false">IF(Raw_Nigeria!N1112="","",Raw_Nigeria!N1112)</f>
        <v>5121</v>
      </c>
      <c r="P1112" s="7" t="str">
        <f aca="false">IF(K1112="CBAW","Women of child-bearing age","Children")</f>
        <v>Children</v>
      </c>
      <c r="Q1112" s="7" t="n">
        <f aca="false">IF(J1112="NOT USED",1,0)</f>
        <v>0</v>
      </c>
      <c r="R1112" s="7" t="n">
        <f aca="false">IF(AND(P1112="Children",Q1112=0),1,0)</f>
        <v>1</v>
      </c>
      <c r="S1112" s="7" t="n">
        <f aca="false">IF(AND(R1112=1,J1112="Record or Recall",K1112="12-23 m"),1,0)</f>
        <v>0</v>
      </c>
      <c r="T1112" s="7" t="n">
        <f aca="false">IF(OR(I1112="BCG",I1112="DTP1",I1112="DTP3",I1112="POL3",I1112="MCV1",I1112="FULL"),1,0)</f>
        <v>0</v>
      </c>
      <c r="U1112" s="7" t="n">
        <f aca="false">IF(OR(C1112="DHS",C1112="MICS"),1,0)</f>
        <v>1</v>
      </c>
      <c r="V1112" s="7" t="n">
        <f aca="false">IF(O1112="",1,0)</f>
        <v>0</v>
      </c>
      <c r="W1112" s="7" t="n">
        <f aca="false">IF(M1112="",1,0)</f>
        <v>0</v>
      </c>
      <c r="X1112" s="7" t="n">
        <f aca="false">COUNTIFS($B$2:$B$1141,B1112,$H$2:$H$1141,H1112,$I$2:$I$1141,I1112,$J$2:$J$1141,J1112,$K$2:$K$1141,K1112,$L$2:$L$1141,L1112)</f>
        <v>1</v>
      </c>
    </row>
    <row r="1113" customFormat="false" ht="15" hidden="false" customHeight="false" outlineLevel="0" collapsed="false">
      <c r="A1113" s="7" t="n">
        <f aca="false">ROW()-1</f>
        <v>1112</v>
      </c>
      <c r="B1113" s="7" t="str">
        <f aca="false">IF(Raw_Nigeria!B1113="",TRIM(Raw_Nigeria!C1113),TRIM(Raw_Nigeria!B1113))</f>
        <v>Nigeria Demographic and Health Survey 2024</v>
      </c>
      <c r="C1113" s="7" t="str">
        <f aca="false">IF(ISNUMBER(SEARCH("Demographic and Health",B1113)),"DHS",IF(OR(ISNUMBER(SEARCH("Multiple Indicator Cluster",B1113)),ISNUMBER(SEARCH("MICS",B1113))),"MICS",IF(ISNUMBER(SEARCH("Immunization Coverage Survey",B1113)),"Coverage survey",IF(ISNUMBER(SEARCH("Nutrition",B1113)),"Nutrition survey","Other"))))</f>
        <v>DHS</v>
      </c>
      <c r="D1113" s="7" t="n">
        <f aca="false">VALUE(LEFT(Raw_Nigeria!D1113,4))</f>
        <v>2023</v>
      </c>
      <c r="E1113" s="7" t="n">
        <f aca="false">IF(VALUE(RIGHT(Raw_Nigeria!D1113,2))&gt;12,"",VALUE(RIGHT(Raw_Nigeria!D1113,2)))</f>
        <v>12</v>
      </c>
      <c r="F1113" s="7" t="n">
        <f aca="false">VALUE(LEFT(Raw_Nigeria!E1113,4))</f>
        <v>2024</v>
      </c>
      <c r="G1113" s="7" t="n">
        <f aca="false">IF(VALUE(RIGHT(Raw_Nigeria!E1113,2))&gt;12,"",VALUE(RIGHT(Raw_Nigeria!E1113,2)))</f>
        <v>5</v>
      </c>
      <c r="H1113" s="7" t="n">
        <f aca="false">Raw_Nigeria!F1113</f>
        <v>2022</v>
      </c>
      <c r="I1113" s="7" t="str">
        <f aca="false">UPPER(TRIM(Raw_Nigeria!G1113))</f>
        <v>POL1</v>
      </c>
      <c r="J1113" s="7" t="str">
        <f aca="false">Raw_Nigeria!H1113</f>
        <v>Recall</v>
      </c>
      <c r="K1113" s="7" t="str">
        <f aca="false">Raw_Nigeria!L1113</f>
        <v>12-23 m</v>
      </c>
      <c r="L1113" s="7" t="str">
        <f aca="false">IF(Raw_Nigeria!K1113="","n/a",Raw_Nigeria!K1113)</f>
        <v>0-23 m</v>
      </c>
      <c r="M1113" s="7" t="n">
        <f aca="false">IF(Raw_Nigeria!I1113="","",Raw_Nigeria!I1113)</f>
        <v>50.2</v>
      </c>
      <c r="N1113" s="7" t="n">
        <f aca="false">Raw_Nigeria!M1113</f>
        <v>16.7</v>
      </c>
      <c r="O1113" s="7" t="n">
        <f aca="false">IF(Raw_Nigeria!N1113="","",Raw_Nigeria!N1113)</f>
        <v>2549</v>
      </c>
      <c r="P1113" s="7" t="str">
        <f aca="false">IF(K1113="CBAW","Women of child-bearing age","Children")</f>
        <v>Children</v>
      </c>
      <c r="Q1113" s="7" t="n">
        <f aca="false">IF(J1113="NOT USED",1,0)</f>
        <v>0</v>
      </c>
      <c r="R1113" s="7" t="n">
        <f aca="false">IF(AND(P1113="Children",Q1113=0),1,0)</f>
        <v>1</v>
      </c>
      <c r="S1113" s="7" t="n">
        <f aca="false">IF(AND(R1113=1,J1113="Record or Recall",K1113="12-23 m"),1,0)</f>
        <v>0</v>
      </c>
      <c r="T1113" s="7" t="n">
        <f aca="false">IF(OR(I1113="BCG",I1113="DTP1",I1113="DTP3",I1113="POL3",I1113="MCV1",I1113="FULL"),1,0)</f>
        <v>0</v>
      </c>
      <c r="U1113" s="7" t="n">
        <f aca="false">IF(OR(C1113="DHS",C1113="MICS"),1,0)</f>
        <v>1</v>
      </c>
      <c r="V1113" s="7" t="n">
        <f aca="false">IF(O1113="",1,0)</f>
        <v>0</v>
      </c>
      <c r="W1113" s="7" t="n">
        <f aca="false">IF(M1113="",1,0)</f>
        <v>0</v>
      </c>
      <c r="X1113" s="7" t="n">
        <f aca="false">COUNTIFS($B$2:$B$1141,B1113,$H$2:$H$1141,H1113,$I$2:$I$1141,I1113,$J$2:$J$1141,J1113,$K$2:$K$1141,K1113,$L$2:$L$1141,L1113)</f>
        <v>1</v>
      </c>
    </row>
    <row r="1114" customFormat="false" ht="15" hidden="false" customHeight="false" outlineLevel="0" collapsed="false">
      <c r="A1114" s="7" t="n">
        <f aca="false">ROW()-1</f>
        <v>1113</v>
      </c>
      <c r="B1114" s="7" t="str">
        <f aca="false">IF(Raw_Nigeria!B1114="",TRIM(Raw_Nigeria!C1114),TRIM(Raw_Nigeria!B1114))</f>
        <v>Nigeria Demographic and Health Survey 2024</v>
      </c>
      <c r="C1114" s="7" t="str">
        <f aca="false">IF(ISNUMBER(SEARCH("Demographic and Health",B1114)),"DHS",IF(OR(ISNUMBER(SEARCH("Multiple Indicator Cluster",B1114)),ISNUMBER(SEARCH("MICS",B1114))),"MICS",IF(ISNUMBER(SEARCH("Immunization Coverage Survey",B1114)),"Coverage survey",IF(ISNUMBER(SEARCH("Nutrition",B1114)),"Nutrition survey","Other"))))</f>
        <v>DHS</v>
      </c>
      <c r="D1114" s="7" t="n">
        <f aca="false">VALUE(LEFT(Raw_Nigeria!D1114,4))</f>
        <v>2023</v>
      </c>
      <c r="E1114" s="7" t="n">
        <f aca="false">IF(VALUE(RIGHT(Raw_Nigeria!D1114,2))&gt;12,"",VALUE(RIGHT(Raw_Nigeria!D1114,2)))</f>
        <v>12</v>
      </c>
      <c r="F1114" s="7" t="n">
        <f aca="false">VALUE(LEFT(Raw_Nigeria!E1114,4))</f>
        <v>2024</v>
      </c>
      <c r="G1114" s="7" t="n">
        <f aca="false">IF(VALUE(RIGHT(Raw_Nigeria!E1114,2))&gt;12,"",VALUE(RIGHT(Raw_Nigeria!E1114,2)))</f>
        <v>5</v>
      </c>
      <c r="H1114" s="7" t="n">
        <f aca="false">Raw_Nigeria!F1114</f>
        <v>2022</v>
      </c>
      <c r="I1114" s="7" t="str">
        <f aca="false">UPPER(TRIM(Raw_Nigeria!G1114))</f>
        <v>POL1</v>
      </c>
      <c r="J1114" s="7" t="str">
        <f aca="false">Raw_Nigeria!H1114</f>
        <v>Record</v>
      </c>
      <c r="K1114" s="7" t="str">
        <f aca="false">Raw_Nigeria!L1114</f>
        <v>12-23 m</v>
      </c>
      <c r="L1114" s="7" t="str">
        <f aca="false">IF(Raw_Nigeria!K1114="","n/a",Raw_Nigeria!K1114)</f>
        <v>0-23 m</v>
      </c>
      <c r="M1114" s="7" t="n">
        <f aca="false">IF(Raw_Nigeria!I1114="","",Raw_Nigeria!I1114)</f>
        <v>50.2</v>
      </c>
      <c r="N1114" s="7" t="n">
        <f aca="false">Raw_Nigeria!M1114</f>
        <v>48.1</v>
      </c>
      <c r="O1114" s="7" t="n">
        <f aca="false">IF(Raw_Nigeria!N1114="","",Raw_Nigeria!N1114)</f>
        <v>2572</v>
      </c>
      <c r="P1114" s="7" t="str">
        <f aca="false">IF(K1114="CBAW","Women of child-bearing age","Children")</f>
        <v>Children</v>
      </c>
      <c r="Q1114" s="7" t="n">
        <f aca="false">IF(J1114="NOT USED",1,0)</f>
        <v>0</v>
      </c>
      <c r="R1114" s="7" t="n">
        <f aca="false">IF(AND(P1114="Children",Q1114=0),1,0)</f>
        <v>1</v>
      </c>
      <c r="S1114" s="7" t="n">
        <f aca="false">IF(AND(R1114=1,J1114="Record or Recall",K1114="12-23 m"),1,0)</f>
        <v>0</v>
      </c>
      <c r="T1114" s="7" t="n">
        <f aca="false">IF(OR(I1114="BCG",I1114="DTP1",I1114="DTP3",I1114="POL3",I1114="MCV1",I1114="FULL"),1,0)</f>
        <v>0</v>
      </c>
      <c r="U1114" s="7" t="n">
        <f aca="false">IF(OR(C1114="DHS",C1114="MICS"),1,0)</f>
        <v>1</v>
      </c>
      <c r="V1114" s="7" t="n">
        <f aca="false">IF(O1114="",1,0)</f>
        <v>0</v>
      </c>
      <c r="W1114" s="7" t="n">
        <f aca="false">IF(M1114="",1,0)</f>
        <v>0</v>
      </c>
      <c r="X1114" s="7" t="n">
        <f aca="false">COUNTIFS($B$2:$B$1141,B1114,$H$2:$H$1141,H1114,$I$2:$I$1141,I1114,$J$2:$J$1141,J1114,$K$2:$K$1141,K1114,$L$2:$L$1141,L1114)</f>
        <v>1</v>
      </c>
    </row>
    <row r="1115" customFormat="false" ht="15" hidden="false" customHeight="false" outlineLevel="0" collapsed="false">
      <c r="A1115" s="7" t="n">
        <f aca="false">ROW()-1</f>
        <v>1114</v>
      </c>
      <c r="B1115" s="7" t="str">
        <f aca="false">IF(Raw_Nigeria!B1115="",TRIM(Raw_Nigeria!C1115),TRIM(Raw_Nigeria!B1115))</f>
        <v>Nigeria Demographic and Health Survey 2024</v>
      </c>
      <c r="C1115" s="7" t="str">
        <f aca="false">IF(ISNUMBER(SEARCH("Demographic and Health",B1115)),"DHS",IF(OR(ISNUMBER(SEARCH("Multiple Indicator Cluster",B1115)),ISNUMBER(SEARCH("MICS",B1115))),"MICS",IF(ISNUMBER(SEARCH("Immunization Coverage Survey",B1115)),"Coverage survey",IF(ISNUMBER(SEARCH("Nutrition",B1115)),"Nutrition survey","Other"))))</f>
        <v>DHS</v>
      </c>
      <c r="D1115" s="7" t="n">
        <f aca="false">VALUE(LEFT(Raw_Nigeria!D1115,4))</f>
        <v>2023</v>
      </c>
      <c r="E1115" s="7" t="n">
        <f aca="false">IF(VALUE(RIGHT(Raw_Nigeria!D1115,2))&gt;12,"",VALUE(RIGHT(Raw_Nigeria!D1115,2)))</f>
        <v>12</v>
      </c>
      <c r="F1115" s="7" t="n">
        <f aca="false">VALUE(LEFT(Raw_Nigeria!E1115,4))</f>
        <v>2024</v>
      </c>
      <c r="G1115" s="7" t="n">
        <f aca="false">IF(VALUE(RIGHT(Raw_Nigeria!E1115,2))&gt;12,"",VALUE(RIGHT(Raw_Nigeria!E1115,2)))</f>
        <v>5</v>
      </c>
      <c r="H1115" s="7" t="n">
        <f aca="false">Raw_Nigeria!F1115</f>
        <v>2022</v>
      </c>
      <c r="I1115" s="7" t="str">
        <f aca="false">UPPER(TRIM(Raw_Nigeria!G1115))</f>
        <v>POL1</v>
      </c>
      <c r="J1115" s="7" t="str">
        <f aca="false">Raw_Nigeria!H1115</f>
        <v>Record or Recall</v>
      </c>
      <c r="K1115" s="7" t="str">
        <f aca="false">Raw_Nigeria!L1115</f>
        <v>12-23 m</v>
      </c>
      <c r="L1115" s="7" t="str">
        <f aca="false">IF(Raw_Nigeria!K1115="","n/a",Raw_Nigeria!K1115)</f>
        <v>0-23 m</v>
      </c>
      <c r="M1115" s="7" t="n">
        <f aca="false">IF(Raw_Nigeria!I1115="","",Raw_Nigeria!I1115)</f>
        <v>50.2</v>
      </c>
      <c r="N1115" s="7" t="n">
        <f aca="false">Raw_Nigeria!M1115</f>
        <v>64.8</v>
      </c>
      <c r="O1115" s="7" t="n">
        <f aca="false">IF(Raw_Nigeria!N1115="","",Raw_Nigeria!N1115)</f>
        <v>5121</v>
      </c>
      <c r="P1115" s="7" t="str">
        <f aca="false">IF(K1115="CBAW","Women of child-bearing age","Children")</f>
        <v>Children</v>
      </c>
      <c r="Q1115" s="7" t="n">
        <f aca="false">IF(J1115="NOT USED",1,0)</f>
        <v>0</v>
      </c>
      <c r="R1115" s="7" t="n">
        <f aca="false">IF(AND(P1115="Children",Q1115=0),1,0)</f>
        <v>1</v>
      </c>
      <c r="S1115" s="7" t="n">
        <f aca="false">IF(AND(R1115=1,J1115="Record or Recall",K1115="12-23 m"),1,0)</f>
        <v>1</v>
      </c>
      <c r="T1115" s="7" t="n">
        <f aca="false">IF(OR(I1115="BCG",I1115="DTP1",I1115="DTP3",I1115="POL3",I1115="MCV1",I1115="FULL"),1,0)</f>
        <v>0</v>
      </c>
      <c r="U1115" s="7" t="n">
        <f aca="false">IF(OR(C1115="DHS",C1115="MICS"),1,0)</f>
        <v>1</v>
      </c>
      <c r="V1115" s="7" t="n">
        <f aca="false">IF(O1115="",1,0)</f>
        <v>0</v>
      </c>
      <c r="W1115" s="7" t="n">
        <f aca="false">IF(M1115="",1,0)</f>
        <v>0</v>
      </c>
      <c r="X1115" s="7" t="n">
        <f aca="false">COUNTIFS($B$2:$B$1141,B1115,$H$2:$H$1141,H1115,$I$2:$I$1141,I1115,$J$2:$J$1141,J1115,$K$2:$K$1141,K1115,$L$2:$L$1141,L1115)</f>
        <v>1</v>
      </c>
    </row>
    <row r="1116" customFormat="false" ht="15" hidden="false" customHeight="false" outlineLevel="0" collapsed="false">
      <c r="A1116" s="7" t="n">
        <f aca="false">ROW()-1</f>
        <v>1115</v>
      </c>
      <c r="B1116" s="7" t="str">
        <f aca="false">IF(Raw_Nigeria!B1116="",TRIM(Raw_Nigeria!C1116),TRIM(Raw_Nigeria!B1116))</f>
        <v>Nigeria Demographic and Health Survey 2024</v>
      </c>
      <c r="C1116" s="7" t="str">
        <f aca="false">IF(ISNUMBER(SEARCH("Demographic and Health",B1116)),"DHS",IF(OR(ISNUMBER(SEARCH("Multiple Indicator Cluster",B1116)),ISNUMBER(SEARCH("MICS",B1116))),"MICS",IF(ISNUMBER(SEARCH("Immunization Coverage Survey",B1116)),"Coverage survey",IF(ISNUMBER(SEARCH("Nutrition",B1116)),"Nutrition survey","Other"))))</f>
        <v>DHS</v>
      </c>
      <c r="D1116" s="7" t="n">
        <f aca="false">VALUE(LEFT(Raw_Nigeria!D1116,4))</f>
        <v>2023</v>
      </c>
      <c r="E1116" s="7" t="n">
        <f aca="false">IF(VALUE(RIGHT(Raw_Nigeria!D1116,2))&gt;12,"",VALUE(RIGHT(Raw_Nigeria!D1116,2)))</f>
        <v>12</v>
      </c>
      <c r="F1116" s="7" t="n">
        <f aca="false">VALUE(LEFT(Raw_Nigeria!E1116,4))</f>
        <v>2024</v>
      </c>
      <c r="G1116" s="7" t="n">
        <f aca="false">IF(VALUE(RIGHT(Raw_Nigeria!E1116,2))&gt;12,"",VALUE(RIGHT(Raw_Nigeria!E1116,2)))</f>
        <v>5</v>
      </c>
      <c r="H1116" s="7" t="n">
        <f aca="false">Raw_Nigeria!F1116</f>
        <v>2022</v>
      </c>
      <c r="I1116" s="7" t="str">
        <f aca="false">UPPER(TRIM(Raw_Nigeria!G1116))</f>
        <v>POL1</v>
      </c>
      <c r="J1116" s="7" t="str">
        <f aca="false">Raw_Nigeria!H1116</f>
        <v>Record or Recall&lt;12m</v>
      </c>
      <c r="K1116" s="7" t="str">
        <f aca="false">Raw_Nigeria!L1116</f>
        <v>12-23 m</v>
      </c>
      <c r="L1116" s="7" t="str">
        <f aca="false">IF(Raw_Nigeria!K1116="","n/a",Raw_Nigeria!K1116)</f>
        <v>0-12 m</v>
      </c>
      <c r="M1116" s="7" t="n">
        <f aca="false">IF(Raw_Nigeria!I1116="","",Raw_Nigeria!I1116)</f>
        <v>50.2</v>
      </c>
      <c r="N1116" s="7" t="n">
        <f aca="false">Raw_Nigeria!M1116</f>
        <v>64.1</v>
      </c>
      <c r="O1116" s="7" t="n">
        <f aca="false">IF(Raw_Nigeria!N1116="","",Raw_Nigeria!N1116)</f>
        <v>5121</v>
      </c>
      <c r="P1116" s="7" t="str">
        <f aca="false">IF(K1116="CBAW","Women of child-bearing age","Children")</f>
        <v>Children</v>
      </c>
      <c r="Q1116" s="7" t="n">
        <f aca="false">IF(J1116="NOT USED",1,0)</f>
        <v>0</v>
      </c>
      <c r="R1116" s="7" t="n">
        <f aca="false">IF(AND(P1116="Children",Q1116=0),1,0)</f>
        <v>1</v>
      </c>
      <c r="S1116" s="7" t="n">
        <f aca="false">IF(AND(R1116=1,J1116="Record or Recall",K1116="12-23 m"),1,0)</f>
        <v>0</v>
      </c>
      <c r="T1116" s="7" t="n">
        <f aca="false">IF(OR(I1116="BCG",I1116="DTP1",I1116="DTP3",I1116="POL3",I1116="MCV1",I1116="FULL"),1,0)</f>
        <v>0</v>
      </c>
      <c r="U1116" s="7" t="n">
        <f aca="false">IF(OR(C1116="DHS",C1116="MICS"),1,0)</f>
        <v>1</v>
      </c>
      <c r="V1116" s="7" t="n">
        <f aca="false">IF(O1116="",1,0)</f>
        <v>0</v>
      </c>
      <c r="W1116" s="7" t="n">
        <f aca="false">IF(M1116="",1,0)</f>
        <v>0</v>
      </c>
      <c r="X1116" s="7" t="n">
        <f aca="false">COUNTIFS($B$2:$B$1141,B1116,$H$2:$H$1141,H1116,$I$2:$I$1141,I1116,$J$2:$J$1141,J1116,$K$2:$K$1141,K1116,$L$2:$L$1141,L1116)</f>
        <v>1</v>
      </c>
    </row>
    <row r="1117" customFormat="false" ht="15" hidden="false" customHeight="false" outlineLevel="0" collapsed="false">
      <c r="A1117" s="7" t="n">
        <f aca="false">ROW()-1</f>
        <v>1116</v>
      </c>
      <c r="B1117" s="7" t="str">
        <f aca="false">IF(Raw_Nigeria!B1117="",TRIM(Raw_Nigeria!C1117),TRIM(Raw_Nigeria!B1117))</f>
        <v>Nigeria Demographic and Health Survey 2024</v>
      </c>
      <c r="C1117" s="7" t="str">
        <f aca="false">IF(ISNUMBER(SEARCH("Demographic and Health",B1117)),"DHS",IF(OR(ISNUMBER(SEARCH("Multiple Indicator Cluster",B1117)),ISNUMBER(SEARCH("MICS",B1117))),"MICS",IF(ISNUMBER(SEARCH("Immunization Coverage Survey",B1117)),"Coverage survey",IF(ISNUMBER(SEARCH("Nutrition",B1117)),"Nutrition survey","Other"))))</f>
        <v>DHS</v>
      </c>
      <c r="D1117" s="7" t="n">
        <f aca="false">VALUE(LEFT(Raw_Nigeria!D1117,4))</f>
        <v>2023</v>
      </c>
      <c r="E1117" s="7" t="n">
        <f aca="false">IF(VALUE(RIGHT(Raw_Nigeria!D1117,2))&gt;12,"",VALUE(RIGHT(Raw_Nigeria!D1117,2)))</f>
        <v>12</v>
      </c>
      <c r="F1117" s="7" t="n">
        <f aca="false">VALUE(LEFT(Raw_Nigeria!E1117,4))</f>
        <v>2024</v>
      </c>
      <c r="G1117" s="7" t="n">
        <f aca="false">IF(VALUE(RIGHT(Raw_Nigeria!E1117,2))&gt;12,"",VALUE(RIGHT(Raw_Nigeria!E1117,2)))</f>
        <v>5</v>
      </c>
      <c r="H1117" s="7" t="n">
        <f aca="false">Raw_Nigeria!F1117</f>
        <v>2022</v>
      </c>
      <c r="I1117" s="7" t="str">
        <f aca="false">UPPER(TRIM(Raw_Nigeria!G1117))</f>
        <v>POL2</v>
      </c>
      <c r="J1117" s="7" t="str">
        <f aca="false">Raw_Nigeria!H1117</f>
        <v>Recall</v>
      </c>
      <c r="K1117" s="7" t="str">
        <f aca="false">Raw_Nigeria!L1117</f>
        <v>12-23 m</v>
      </c>
      <c r="L1117" s="7" t="str">
        <f aca="false">IF(Raw_Nigeria!K1117="","n/a",Raw_Nigeria!K1117)</f>
        <v>0-23 m</v>
      </c>
      <c r="M1117" s="7" t="n">
        <f aca="false">IF(Raw_Nigeria!I1117="","",Raw_Nigeria!I1117)</f>
        <v>50.2</v>
      </c>
      <c r="N1117" s="7" t="n">
        <f aca="false">Raw_Nigeria!M1117</f>
        <v>12.6</v>
      </c>
      <c r="O1117" s="7" t="n">
        <f aca="false">IF(Raw_Nigeria!N1117="","",Raw_Nigeria!N1117)</f>
        <v>2549</v>
      </c>
      <c r="P1117" s="7" t="str">
        <f aca="false">IF(K1117="CBAW","Women of child-bearing age","Children")</f>
        <v>Children</v>
      </c>
      <c r="Q1117" s="7" t="n">
        <f aca="false">IF(J1117="NOT USED",1,0)</f>
        <v>0</v>
      </c>
      <c r="R1117" s="7" t="n">
        <f aca="false">IF(AND(P1117="Children",Q1117=0),1,0)</f>
        <v>1</v>
      </c>
      <c r="S1117" s="7" t="n">
        <f aca="false">IF(AND(R1117=1,J1117="Record or Recall",K1117="12-23 m"),1,0)</f>
        <v>0</v>
      </c>
      <c r="T1117" s="7" t="n">
        <f aca="false">IF(OR(I1117="BCG",I1117="DTP1",I1117="DTP3",I1117="POL3",I1117="MCV1",I1117="FULL"),1,0)</f>
        <v>0</v>
      </c>
      <c r="U1117" s="7" t="n">
        <f aca="false">IF(OR(C1117="DHS",C1117="MICS"),1,0)</f>
        <v>1</v>
      </c>
      <c r="V1117" s="7" t="n">
        <f aca="false">IF(O1117="",1,0)</f>
        <v>0</v>
      </c>
      <c r="W1117" s="7" t="n">
        <f aca="false">IF(M1117="",1,0)</f>
        <v>0</v>
      </c>
      <c r="X1117" s="7" t="n">
        <f aca="false">COUNTIFS($B$2:$B$1141,B1117,$H$2:$H$1141,H1117,$I$2:$I$1141,I1117,$J$2:$J$1141,J1117,$K$2:$K$1141,K1117,$L$2:$L$1141,L1117)</f>
        <v>1</v>
      </c>
    </row>
    <row r="1118" customFormat="false" ht="15" hidden="false" customHeight="false" outlineLevel="0" collapsed="false">
      <c r="A1118" s="7" t="n">
        <f aca="false">ROW()-1</f>
        <v>1117</v>
      </c>
      <c r="B1118" s="7" t="str">
        <f aca="false">IF(Raw_Nigeria!B1118="",TRIM(Raw_Nigeria!C1118),TRIM(Raw_Nigeria!B1118))</f>
        <v>Nigeria Demographic and Health Survey 2024</v>
      </c>
      <c r="C1118" s="7" t="str">
        <f aca="false">IF(ISNUMBER(SEARCH("Demographic and Health",B1118)),"DHS",IF(OR(ISNUMBER(SEARCH("Multiple Indicator Cluster",B1118)),ISNUMBER(SEARCH("MICS",B1118))),"MICS",IF(ISNUMBER(SEARCH("Immunization Coverage Survey",B1118)),"Coverage survey",IF(ISNUMBER(SEARCH("Nutrition",B1118)),"Nutrition survey","Other"))))</f>
        <v>DHS</v>
      </c>
      <c r="D1118" s="7" t="n">
        <f aca="false">VALUE(LEFT(Raw_Nigeria!D1118,4))</f>
        <v>2023</v>
      </c>
      <c r="E1118" s="7" t="n">
        <f aca="false">IF(VALUE(RIGHT(Raw_Nigeria!D1118,2))&gt;12,"",VALUE(RIGHT(Raw_Nigeria!D1118,2)))</f>
        <v>12</v>
      </c>
      <c r="F1118" s="7" t="n">
        <f aca="false">VALUE(LEFT(Raw_Nigeria!E1118,4))</f>
        <v>2024</v>
      </c>
      <c r="G1118" s="7" t="n">
        <f aca="false">IF(VALUE(RIGHT(Raw_Nigeria!E1118,2))&gt;12,"",VALUE(RIGHT(Raw_Nigeria!E1118,2)))</f>
        <v>5</v>
      </c>
      <c r="H1118" s="7" t="n">
        <f aca="false">Raw_Nigeria!F1118</f>
        <v>2022</v>
      </c>
      <c r="I1118" s="7" t="str">
        <f aca="false">UPPER(TRIM(Raw_Nigeria!G1118))</f>
        <v>POL2</v>
      </c>
      <c r="J1118" s="7" t="str">
        <f aca="false">Raw_Nigeria!H1118</f>
        <v>Record</v>
      </c>
      <c r="K1118" s="7" t="str">
        <f aca="false">Raw_Nigeria!L1118</f>
        <v>12-23 m</v>
      </c>
      <c r="L1118" s="7" t="str">
        <f aca="false">IF(Raw_Nigeria!K1118="","n/a",Raw_Nigeria!K1118)</f>
        <v>0-23 m</v>
      </c>
      <c r="M1118" s="7" t="n">
        <f aca="false">IF(Raw_Nigeria!I1118="","",Raw_Nigeria!I1118)</f>
        <v>50.2</v>
      </c>
      <c r="N1118" s="7" t="n">
        <f aca="false">Raw_Nigeria!M1118</f>
        <v>45.3</v>
      </c>
      <c r="O1118" s="7" t="n">
        <f aca="false">IF(Raw_Nigeria!N1118="","",Raw_Nigeria!N1118)</f>
        <v>2572</v>
      </c>
      <c r="P1118" s="7" t="str">
        <f aca="false">IF(K1118="CBAW","Women of child-bearing age","Children")</f>
        <v>Children</v>
      </c>
      <c r="Q1118" s="7" t="n">
        <f aca="false">IF(J1118="NOT USED",1,0)</f>
        <v>0</v>
      </c>
      <c r="R1118" s="7" t="n">
        <f aca="false">IF(AND(P1118="Children",Q1118=0),1,0)</f>
        <v>1</v>
      </c>
      <c r="S1118" s="7" t="n">
        <f aca="false">IF(AND(R1118=1,J1118="Record or Recall",K1118="12-23 m"),1,0)</f>
        <v>0</v>
      </c>
      <c r="T1118" s="7" t="n">
        <f aca="false">IF(OR(I1118="BCG",I1118="DTP1",I1118="DTP3",I1118="POL3",I1118="MCV1",I1118="FULL"),1,0)</f>
        <v>0</v>
      </c>
      <c r="U1118" s="7" t="n">
        <f aca="false">IF(OR(C1118="DHS",C1118="MICS"),1,0)</f>
        <v>1</v>
      </c>
      <c r="V1118" s="7" t="n">
        <f aca="false">IF(O1118="",1,0)</f>
        <v>0</v>
      </c>
      <c r="W1118" s="7" t="n">
        <f aca="false">IF(M1118="",1,0)</f>
        <v>0</v>
      </c>
      <c r="X1118" s="7" t="n">
        <f aca="false">COUNTIFS($B$2:$B$1141,B1118,$H$2:$H$1141,H1118,$I$2:$I$1141,I1118,$J$2:$J$1141,J1118,$K$2:$K$1141,K1118,$L$2:$L$1141,L1118)</f>
        <v>1</v>
      </c>
    </row>
    <row r="1119" customFormat="false" ht="15" hidden="false" customHeight="false" outlineLevel="0" collapsed="false">
      <c r="A1119" s="7" t="n">
        <f aca="false">ROW()-1</f>
        <v>1118</v>
      </c>
      <c r="B1119" s="7" t="str">
        <f aca="false">IF(Raw_Nigeria!B1119="",TRIM(Raw_Nigeria!C1119),TRIM(Raw_Nigeria!B1119))</f>
        <v>Nigeria Demographic and Health Survey 2024</v>
      </c>
      <c r="C1119" s="7" t="str">
        <f aca="false">IF(ISNUMBER(SEARCH("Demographic and Health",B1119)),"DHS",IF(OR(ISNUMBER(SEARCH("Multiple Indicator Cluster",B1119)),ISNUMBER(SEARCH("MICS",B1119))),"MICS",IF(ISNUMBER(SEARCH("Immunization Coverage Survey",B1119)),"Coverage survey",IF(ISNUMBER(SEARCH("Nutrition",B1119)),"Nutrition survey","Other"))))</f>
        <v>DHS</v>
      </c>
      <c r="D1119" s="7" t="n">
        <f aca="false">VALUE(LEFT(Raw_Nigeria!D1119,4))</f>
        <v>2023</v>
      </c>
      <c r="E1119" s="7" t="n">
        <f aca="false">IF(VALUE(RIGHT(Raw_Nigeria!D1119,2))&gt;12,"",VALUE(RIGHT(Raw_Nigeria!D1119,2)))</f>
        <v>12</v>
      </c>
      <c r="F1119" s="7" t="n">
        <f aca="false">VALUE(LEFT(Raw_Nigeria!E1119,4))</f>
        <v>2024</v>
      </c>
      <c r="G1119" s="7" t="n">
        <f aca="false">IF(VALUE(RIGHT(Raw_Nigeria!E1119,2))&gt;12,"",VALUE(RIGHT(Raw_Nigeria!E1119,2)))</f>
        <v>5</v>
      </c>
      <c r="H1119" s="7" t="n">
        <f aca="false">Raw_Nigeria!F1119</f>
        <v>2022</v>
      </c>
      <c r="I1119" s="7" t="str">
        <f aca="false">UPPER(TRIM(Raw_Nigeria!G1119))</f>
        <v>POL2</v>
      </c>
      <c r="J1119" s="7" t="str">
        <f aca="false">Raw_Nigeria!H1119</f>
        <v>Record or Recall</v>
      </c>
      <c r="K1119" s="7" t="str">
        <f aca="false">Raw_Nigeria!L1119</f>
        <v>12-23 m</v>
      </c>
      <c r="L1119" s="7" t="str">
        <f aca="false">IF(Raw_Nigeria!K1119="","n/a",Raw_Nigeria!K1119)</f>
        <v>0-23 m</v>
      </c>
      <c r="M1119" s="7" t="n">
        <f aca="false">IF(Raw_Nigeria!I1119="","",Raw_Nigeria!I1119)</f>
        <v>50.2</v>
      </c>
      <c r="N1119" s="7" t="n">
        <f aca="false">Raw_Nigeria!M1119</f>
        <v>57.9</v>
      </c>
      <c r="O1119" s="7" t="n">
        <f aca="false">IF(Raw_Nigeria!N1119="","",Raw_Nigeria!N1119)</f>
        <v>5121</v>
      </c>
      <c r="P1119" s="7" t="str">
        <f aca="false">IF(K1119="CBAW","Women of child-bearing age","Children")</f>
        <v>Children</v>
      </c>
      <c r="Q1119" s="7" t="n">
        <f aca="false">IF(J1119="NOT USED",1,0)</f>
        <v>0</v>
      </c>
      <c r="R1119" s="7" t="n">
        <f aca="false">IF(AND(P1119="Children",Q1119=0),1,0)</f>
        <v>1</v>
      </c>
      <c r="S1119" s="7" t="n">
        <f aca="false">IF(AND(R1119=1,J1119="Record or Recall",K1119="12-23 m"),1,0)</f>
        <v>1</v>
      </c>
      <c r="T1119" s="7" t="n">
        <f aca="false">IF(OR(I1119="BCG",I1119="DTP1",I1119="DTP3",I1119="POL3",I1119="MCV1",I1119="FULL"),1,0)</f>
        <v>0</v>
      </c>
      <c r="U1119" s="7" t="n">
        <f aca="false">IF(OR(C1119="DHS",C1119="MICS"),1,0)</f>
        <v>1</v>
      </c>
      <c r="V1119" s="7" t="n">
        <f aca="false">IF(O1119="",1,0)</f>
        <v>0</v>
      </c>
      <c r="W1119" s="7" t="n">
        <f aca="false">IF(M1119="",1,0)</f>
        <v>0</v>
      </c>
      <c r="X1119" s="7" t="n">
        <f aca="false">COUNTIFS($B$2:$B$1141,B1119,$H$2:$H$1141,H1119,$I$2:$I$1141,I1119,$J$2:$J$1141,J1119,$K$2:$K$1141,K1119,$L$2:$L$1141,L1119)</f>
        <v>1</v>
      </c>
    </row>
    <row r="1120" customFormat="false" ht="15" hidden="false" customHeight="false" outlineLevel="0" collapsed="false">
      <c r="A1120" s="7" t="n">
        <f aca="false">ROW()-1</f>
        <v>1119</v>
      </c>
      <c r="B1120" s="7" t="str">
        <f aca="false">IF(Raw_Nigeria!B1120="",TRIM(Raw_Nigeria!C1120),TRIM(Raw_Nigeria!B1120))</f>
        <v>Nigeria Demographic and Health Survey 2024</v>
      </c>
      <c r="C1120" s="7" t="str">
        <f aca="false">IF(ISNUMBER(SEARCH("Demographic and Health",B1120)),"DHS",IF(OR(ISNUMBER(SEARCH("Multiple Indicator Cluster",B1120)),ISNUMBER(SEARCH("MICS",B1120))),"MICS",IF(ISNUMBER(SEARCH("Immunization Coverage Survey",B1120)),"Coverage survey",IF(ISNUMBER(SEARCH("Nutrition",B1120)),"Nutrition survey","Other"))))</f>
        <v>DHS</v>
      </c>
      <c r="D1120" s="7" t="n">
        <f aca="false">VALUE(LEFT(Raw_Nigeria!D1120,4))</f>
        <v>2023</v>
      </c>
      <c r="E1120" s="7" t="n">
        <f aca="false">IF(VALUE(RIGHT(Raw_Nigeria!D1120,2))&gt;12,"",VALUE(RIGHT(Raw_Nigeria!D1120,2)))</f>
        <v>12</v>
      </c>
      <c r="F1120" s="7" t="n">
        <f aca="false">VALUE(LEFT(Raw_Nigeria!E1120,4))</f>
        <v>2024</v>
      </c>
      <c r="G1120" s="7" t="n">
        <f aca="false">IF(VALUE(RIGHT(Raw_Nigeria!E1120,2))&gt;12,"",VALUE(RIGHT(Raw_Nigeria!E1120,2)))</f>
        <v>5</v>
      </c>
      <c r="H1120" s="7" t="n">
        <f aca="false">Raw_Nigeria!F1120</f>
        <v>2022</v>
      </c>
      <c r="I1120" s="7" t="str">
        <f aca="false">UPPER(TRIM(Raw_Nigeria!G1120))</f>
        <v>POL2</v>
      </c>
      <c r="J1120" s="7" t="str">
        <f aca="false">Raw_Nigeria!H1120</f>
        <v>Record or Recall&lt;12m</v>
      </c>
      <c r="K1120" s="7" t="str">
        <f aca="false">Raw_Nigeria!L1120</f>
        <v>12-23 m</v>
      </c>
      <c r="L1120" s="7" t="str">
        <f aca="false">IF(Raw_Nigeria!K1120="","n/a",Raw_Nigeria!K1120)</f>
        <v>0-12 m</v>
      </c>
      <c r="M1120" s="7" t="n">
        <f aca="false">IF(Raw_Nigeria!I1120="","",Raw_Nigeria!I1120)</f>
        <v>50.2</v>
      </c>
      <c r="N1120" s="7" t="n">
        <f aca="false">Raw_Nigeria!M1120</f>
        <v>56.8</v>
      </c>
      <c r="O1120" s="7" t="n">
        <f aca="false">IF(Raw_Nigeria!N1120="","",Raw_Nigeria!N1120)</f>
        <v>5121</v>
      </c>
      <c r="P1120" s="7" t="str">
        <f aca="false">IF(K1120="CBAW","Women of child-bearing age","Children")</f>
        <v>Children</v>
      </c>
      <c r="Q1120" s="7" t="n">
        <f aca="false">IF(J1120="NOT USED",1,0)</f>
        <v>0</v>
      </c>
      <c r="R1120" s="7" t="n">
        <f aca="false">IF(AND(P1120="Children",Q1120=0),1,0)</f>
        <v>1</v>
      </c>
      <c r="S1120" s="7" t="n">
        <f aca="false">IF(AND(R1120=1,J1120="Record or Recall",K1120="12-23 m"),1,0)</f>
        <v>0</v>
      </c>
      <c r="T1120" s="7" t="n">
        <f aca="false">IF(OR(I1120="BCG",I1120="DTP1",I1120="DTP3",I1120="POL3",I1120="MCV1",I1120="FULL"),1,0)</f>
        <v>0</v>
      </c>
      <c r="U1120" s="7" t="n">
        <f aca="false">IF(OR(C1120="DHS",C1120="MICS"),1,0)</f>
        <v>1</v>
      </c>
      <c r="V1120" s="7" t="n">
        <f aca="false">IF(O1120="",1,0)</f>
        <v>0</v>
      </c>
      <c r="W1120" s="7" t="n">
        <f aca="false">IF(M1120="",1,0)</f>
        <v>0</v>
      </c>
      <c r="X1120" s="7" t="n">
        <f aca="false">COUNTIFS($B$2:$B$1141,B1120,$H$2:$H$1141,H1120,$I$2:$I$1141,I1120,$J$2:$J$1141,J1120,$K$2:$K$1141,K1120,$L$2:$L$1141,L1120)</f>
        <v>1</v>
      </c>
    </row>
    <row r="1121" customFormat="false" ht="15" hidden="false" customHeight="false" outlineLevel="0" collapsed="false">
      <c r="A1121" s="7" t="n">
        <f aca="false">ROW()-1</f>
        <v>1120</v>
      </c>
      <c r="B1121" s="7" t="str">
        <f aca="false">IF(Raw_Nigeria!B1121="",TRIM(Raw_Nigeria!C1121),TRIM(Raw_Nigeria!B1121))</f>
        <v>Nigeria Demographic and Health Survey 2024</v>
      </c>
      <c r="C1121" s="7" t="str">
        <f aca="false">IF(ISNUMBER(SEARCH("Demographic and Health",B1121)),"DHS",IF(OR(ISNUMBER(SEARCH("Multiple Indicator Cluster",B1121)),ISNUMBER(SEARCH("MICS",B1121))),"MICS",IF(ISNUMBER(SEARCH("Immunization Coverage Survey",B1121)),"Coverage survey",IF(ISNUMBER(SEARCH("Nutrition",B1121)),"Nutrition survey","Other"))))</f>
        <v>DHS</v>
      </c>
      <c r="D1121" s="7" t="n">
        <f aca="false">VALUE(LEFT(Raw_Nigeria!D1121,4))</f>
        <v>2023</v>
      </c>
      <c r="E1121" s="7" t="n">
        <f aca="false">IF(VALUE(RIGHT(Raw_Nigeria!D1121,2))&gt;12,"",VALUE(RIGHT(Raw_Nigeria!D1121,2)))</f>
        <v>12</v>
      </c>
      <c r="F1121" s="7" t="n">
        <f aca="false">VALUE(LEFT(Raw_Nigeria!E1121,4))</f>
        <v>2024</v>
      </c>
      <c r="G1121" s="7" t="n">
        <f aca="false">IF(VALUE(RIGHT(Raw_Nigeria!E1121,2))&gt;12,"",VALUE(RIGHT(Raw_Nigeria!E1121,2)))</f>
        <v>5</v>
      </c>
      <c r="H1121" s="7" t="n">
        <f aca="false">Raw_Nigeria!F1121</f>
        <v>2022</v>
      </c>
      <c r="I1121" s="7" t="str">
        <f aca="false">UPPER(TRIM(Raw_Nigeria!G1121))</f>
        <v>POL3</v>
      </c>
      <c r="J1121" s="7" t="str">
        <f aca="false">Raw_Nigeria!H1121</f>
        <v>Recall</v>
      </c>
      <c r="K1121" s="7" t="str">
        <f aca="false">Raw_Nigeria!L1121</f>
        <v>12-23 m</v>
      </c>
      <c r="L1121" s="7" t="str">
        <f aca="false">IF(Raw_Nigeria!K1121="","n/a",Raw_Nigeria!K1121)</f>
        <v>0-23 m</v>
      </c>
      <c r="M1121" s="7" t="n">
        <f aca="false">IF(Raw_Nigeria!I1121="","",Raw_Nigeria!I1121)</f>
        <v>50.2</v>
      </c>
      <c r="N1121" s="7" t="n">
        <f aca="false">Raw_Nigeria!M1121</f>
        <v>4.8</v>
      </c>
      <c r="O1121" s="7" t="n">
        <f aca="false">IF(Raw_Nigeria!N1121="","",Raw_Nigeria!N1121)</f>
        <v>2549</v>
      </c>
      <c r="P1121" s="7" t="str">
        <f aca="false">IF(K1121="CBAW","Women of child-bearing age","Children")</f>
        <v>Children</v>
      </c>
      <c r="Q1121" s="7" t="n">
        <f aca="false">IF(J1121="NOT USED",1,0)</f>
        <v>0</v>
      </c>
      <c r="R1121" s="7" t="n">
        <f aca="false">IF(AND(P1121="Children",Q1121=0),1,0)</f>
        <v>1</v>
      </c>
      <c r="S1121" s="7" t="n">
        <f aca="false">IF(AND(R1121=1,J1121="Record or Recall",K1121="12-23 m"),1,0)</f>
        <v>0</v>
      </c>
      <c r="T1121" s="7" t="n">
        <f aca="false">IF(OR(I1121="BCG",I1121="DTP1",I1121="DTP3",I1121="POL3",I1121="MCV1",I1121="FULL"),1,0)</f>
        <v>1</v>
      </c>
      <c r="U1121" s="7" t="n">
        <f aca="false">IF(OR(C1121="DHS",C1121="MICS"),1,0)</f>
        <v>1</v>
      </c>
      <c r="V1121" s="7" t="n">
        <f aca="false">IF(O1121="",1,0)</f>
        <v>0</v>
      </c>
      <c r="W1121" s="7" t="n">
        <f aca="false">IF(M1121="",1,0)</f>
        <v>0</v>
      </c>
      <c r="X1121" s="7" t="n">
        <f aca="false">COUNTIFS($B$2:$B$1141,B1121,$H$2:$H$1141,H1121,$I$2:$I$1141,I1121,$J$2:$J$1141,J1121,$K$2:$K$1141,K1121,$L$2:$L$1141,L1121)</f>
        <v>1</v>
      </c>
    </row>
    <row r="1122" customFormat="false" ht="15" hidden="false" customHeight="false" outlineLevel="0" collapsed="false">
      <c r="A1122" s="7" t="n">
        <f aca="false">ROW()-1</f>
        <v>1121</v>
      </c>
      <c r="B1122" s="7" t="str">
        <f aca="false">IF(Raw_Nigeria!B1122="",TRIM(Raw_Nigeria!C1122),TRIM(Raw_Nigeria!B1122))</f>
        <v>Nigeria Demographic and Health Survey 2024</v>
      </c>
      <c r="C1122" s="7" t="str">
        <f aca="false">IF(ISNUMBER(SEARCH("Demographic and Health",B1122)),"DHS",IF(OR(ISNUMBER(SEARCH("Multiple Indicator Cluster",B1122)),ISNUMBER(SEARCH("MICS",B1122))),"MICS",IF(ISNUMBER(SEARCH("Immunization Coverage Survey",B1122)),"Coverage survey",IF(ISNUMBER(SEARCH("Nutrition",B1122)),"Nutrition survey","Other"))))</f>
        <v>DHS</v>
      </c>
      <c r="D1122" s="7" t="n">
        <f aca="false">VALUE(LEFT(Raw_Nigeria!D1122,4))</f>
        <v>2023</v>
      </c>
      <c r="E1122" s="7" t="n">
        <f aca="false">IF(VALUE(RIGHT(Raw_Nigeria!D1122,2))&gt;12,"",VALUE(RIGHT(Raw_Nigeria!D1122,2)))</f>
        <v>12</v>
      </c>
      <c r="F1122" s="7" t="n">
        <f aca="false">VALUE(LEFT(Raw_Nigeria!E1122,4))</f>
        <v>2024</v>
      </c>
      <c r="G1122" s="7" t="n">
        <f aca="false">IF(VALUE(RIGHT(Raw_Nigeria!E1122,2))&gt;12,"",VALUE(RIGHT(Raw_Nigeria!E1122,2)))</f>
        <v>5</v>
      </c>
      <c r="H1122" s="7" t="n">
        <f aca="false">Raw_Nigeria!F1122</f>
        <v>2022</v>
      </c>
      <c r="I1122" s="7" t="str">
        <f aca="false">UPPER(TRIM(Raw_Nigeria!G1122))</f>
        <v>POL3</v>
      </c>
      <c r="J1122" s="7" t="str">
        <f aca="false">Raw_Nigeria!H1122</f>
        <v>Record</v>
      </c>
      <c r="K1122" s="7" t="str">
        <f aca="false">Raw_Nigeria!L1122</f>
        <v>12-23 m</v>
      </c>
      <c r="L1122" s="7" t="str">
        <f aca="false">IF(Raw_Nigeria!K1122="","n/a",Raw_Nigeria!K1122)</f>
        <v>0-23 m</v>
      </c>
      <c r="M1122" s="7" t="n">
        <f aca="false">IF(Raw_Nigeria!I1122="","",Raw_Nigeria!I1122)</f>
        <v>50.2</v>
      </c>
      <c r="N1122" s="7" t="n">
        <f aca="false">Raw_Nigeria!M1122</f>
        <v>40.9</v>
      </c>
      <c r="O1122" s="7" t="n">
        <f aca="false">IF(Raw_Nigeria!N1122="","",Raw_Nigeria!N1122)</f>
        <v>2572</v>
      </c>
      <c r="P1122" s="7" t="str">
        <f aca="false">IF(K1122="CBAW","Women of child-bearing age","Children")</f>
        <v>Children</v>
      </c>
      <c r="Q1122" s="7" t="n">
        <f aca="false">IF(J1122="NOT USED",1,0)</f>
        <v>0</v>
      </c>
      <c r="R1122" s="7" t="n">
        <f aca="false">IF(AND(P1122="Children",Q1122=0),1,0)</f>
        <v>1</v>
      </c>
      <c r="S1122" s="7" t="n">
        <f aca="false">IF(AND(R1122=1,J1122="Record or Recall",K1122="12-23 m"),1,0)</f>
        <v>0</v>
      </c>
      <c r="T1122" s="7" t="n">
        <f aca="false">IF(OR(I1122="BCG",I1122="DTP1",I1122="DTP3",I1122="POL3",I1122="MCV1",I1122="FULL"),1,0)</f>
        <v>1</v>
      </c>
      <c r="U1122" s="7" t="n">
        <f aca="false">IF(OR(C1122="DHS",C1122="MICS"),1,0)</f>
        <v>1</v>
      </c>
      <c r="V1122" s="7" t="n">
        <f aca="false">IF(O1122="",1,0)</f>
        <v>0</v>
      </c>
      <c r="W1122" s="7" t="n">
        <f aca="false">IF(M1122="",1,0)</f>
        <v>0</v>
      </c>
      <c r="X1122" s="7" t="n">
        <f aca="false">COUNTIFS($B$2:$B$1141,B1122,$H$2:$H$1141,H1122,$I$2:$I$1141,I1122,$J$2:$J$1141,J1122,$K$2:$K$1141,K1122,$L$2:$L$1141,L1122)</f>
        <v>1</v>
      </c>
    </row>
    <row r="1123" customFormat="false" ht="15" hidden="false" customHeight="false" outlineLevel="0" collapsed="false">
      <c r="A1123" s="7" t="n">
        <f aca="false">ROW()-1</f>
        <v>1122</v>
      </c>
      <c r="B1123" s="7" t="str">
        <f aca="false">IF(Raw_Nigeria!B1123="",TRIM(Raw_Nigeria!C1123),TRIM(Raw_Nigeria!B1123))</f>
        <v>Nigeria Demographic and Health Survey 2024</v>
      </c>
      <c r="C1123" s="7" t="str">
        <f aca="false">IF(ISNUMBER(SEARCH("Demographic and Health",B1123)),"DHS",IF(OR(ISNUMBER(SEARCH("Multiple Indicator Cluster",B1123)),ISNUMBER(SEARCH("MICS",B1123))),"MICS",IF(ISNUMBER(SEARCH("Immunization Coverage Survey",B1123)),"Coverage survey",IF(ISNUMBER(SEARCH("Nutrition",B1123)),"Nutrition survey","Other"))))</f>
        <v>DHS</v>
      </c>
      <c r="D1123" s="7" t="n">
        <f aca="false">VALUE(LEFT(Raw_Nigeria!D1123,4))</f>
        <v>2023</v>
      </c>
      <c r="E1123" s="7" t="n">
        <f aca="false">IF(VALUE(RIGHT(Raw_Nigeria!D1123,2))&gt;12,"",VALUE(RIGHT(Raw_Nigeria!D1123,2)))</f>
        <v>12</v>
      </c>
      <c r="F1123" s="7" t="n">
        <f aca="false">VALUE(LEFT(Raw_Nigeria!E1123,4))</f>
        <v>2024</v>
      </c>
      <c r="G1123" s="7" t="n">
        <f aca="false">IF(VALUE(RIGHT(Raw_Nigeria!E1123,2))&gt;12,"",VALUE(RIGHT(Raw_Nigeria!E1123,2)))</f>
        <v>5</v>
      </c>
      <c r="H1123" s="7" t="n">
        <f aca="false">Raw_Nigeria!F1123</f>
        <v>2022</v>
      </c>
      <c r="I1123" s="7" t="str">
        <f aca="false">UPPER(TRIM(Raw_Nigeria!G1123))</f>
        <v>POL3</v>
      </c>
      <c r="J1123" s="7" t="str">
        <f aca="false">Raw_Nigeria!H1123</f>
        <v>Record or Recall</v>
      </c>
      <c r="K1123" s="7" t="str">
        <f aca="false">Raw_Nigeria!L1123</f>
        <v>12-23 m</v>
      </c>
      <c r="L1123" s="7" t="str">
        <f aca="false">IF(Raw_Nigeria!K1123="","n/a",Raw_Nigeria!K1123)</f>
        <v>0-23 m</v>
      </c>
      <c r="M1123" s="7" t="n">
        <f aca="false">IF(Raw_Nigeria!I1123="","",Raw_Nigeria!I1123)</f>
        <v>50.2</v>
      </c>
      <c r="N1123" s="7" t="n">
        <f aca="false">Raw_Nigeria!M1123</f>
        <v>45.6</v>
      </c>
      <c r="O1123" s="7" t="n">
        <f aca="false">IF(Raw_Nigeria!N1123="","",Raw_Nigeria!N1123)</f>
        <v>5121</v>
      </c>
      <c r="P1123" s="7" t="str">
        <f aca="false">IF(K1123="CBAW","Women of child-bearing age","Children")</f>
        <v>Children</v>
      </c>
      <c r="Q1123" s="7" t="n">
        <f aca="false">IF(J1123="NOT USED",1,0)</f>
        <v>0</v>
      </c>
      <c r="R1123" s="7" t="n">
        <f aca="false">IF(AND(P1123="Children",Q1123=0),1,0)</f>
        <v>1</v>
      </c>
      <c r="S1123" s="7" t="n">
        <f aca="false">IF(AND(R1123=1,J1123="Record or Recall",K1123="12-23 m"),1,0)</f>
        <v>1</v>
      </c>
      <c r="T1123" s="7" t="n">
        <f aca="false">IF(OR(I1123="BCG",I1123="DTP1",I1123="DTP3",I1123="POL3",I1123="MCV1",I1123="FULL"),1,0)</f>
        <v>1</v>
      </c>
      <c r="U1123" s="7" t="n">
        <f aca="false">IF(OR(C1123="DHS",C1123="MICS"),1,0)</f>
        <v>1</v>
      </c>
      <c r="V1123" s="7" t="n">
        <f aca="false">IF(O1123="",1,0)</f>
        <v>0</v>
      </c>
      <c r="W1123" s="7" t="n">
        <f aca="false">IF(M1123="",1,0)</f>
        <v>0</v>
      </c>
      <c r="X1123" s="7" t="n">
        <f aca="false">COUNTIFS($B$2:$B$1141,B1123,$H$2:$H$1141,H1123,$I$2:$I$1141,I1123,$J$2:$J$1141,J1123,$K$2:$K$1141,K1123,$L$2:$L$1141,L1123)</f>
        <v>1</v>
      </c>
    </row>
    <row r="1124" customFormat="false" ht="15" hidden="false" customHeight="false" outlineLevel="0" collapsed="false">
      <c r="A1124" s="7" t="n">
        <f aca="false">ROW()-1</f>
        <v>1123</v>
      </c>
      <c r="B1124" s="7" t="str">
        <f aca="false">IF(Raw_Nigeria!B1124="",TRIM(Raw_Nigeria!C1124),TRIM(Raw_Nigeria!B1124))</f>
        <v>Nigeria Demographic and Health Survey 2024</v>
      </c>
      <c r="C1124" s="7" t="str">
        <f aca="false">IF(ISNUMBER(SEARCH("Demographic and Health",B1124)),"DHS",IF(OR(ISNUMBER(SEARCH("Multiple Indicator Cluster",B1124)),ISNUMBER(SEARCH("MICS",B1124))),"MICS",IF(ISNUMBER(SEARCH("Immunization Coverage Survey",B1124)),"Coverage survey",IF(ISNUMBER(SEARCH("Nutrition",B1124)),"Nutrition survey","Other"))))</f>
        <v>DHS</v>
      </c>
      <c r="D1124" s="7" t="n">
        <f aca="false">VALUE(LEFT(Raw_Nigeria!D1124,4))</f>
        <v>2023</v>
      </c>
      <c r="E1124" s="7" t="n">
        <f aca="false">IF(VALUE(RIGHT(Raw_Nigeria!D1124,2))&gt;12,"",VALUE(RIGHT(Raw_Nigeria!D1124,2)))</f>
        <v>12</v>
      </c>
      <c r="F1124" s="7" t="n">
        <f aca="false">VALUE(LEFT(Raw_Nigeria!E1124,4))</f>
        <v>2024</v>
      </c>
      <c r="G1124" s="7" t="n">
        <f aca="false">IF(VALUE(RIGHT(Raw_Nigeria!E1124,2))&gt;12,"",VALUE(RIGHT(Raw_Nigeria!E1124,2)))</f>
        <v>5</v>
      </c>
      <c r="H1124" s="7" t="n">
        <f aca="false">Raw_Nigeria!F1124</f>
        <v>2022</v>
      </c>
      <c r="I1124" s="7" t="str">
        <f aca="false">UPPER(TRIM(Raw_Nigeria!G1124))</f>
        <v>POL3</v>
      </c>
      <c r="J1124" s="7" t="str">
        <f aca="false">Raw_Nigeria!H1124</f>
        <v>Record or Recall&lt;12m</v>
      </c>
      <c r="K1124" s="7" t="str">
        <f aca="false">Raw_Nigeria!L1124</f>
        <v>12-23 m</v>
      </c>
      <c r="L1124" s="7" t="str">
        <f aca="false">IF(Raw_Nigeria!K1124="","n/a",Raw_Nigeria!K1124)</f>
        <v>0-12 m</v>
      </c>
      <c r="M1124" s="7" t="n">
        <f aca="false">IF(Raw_Nigeria!I1124="","",Raw_Nigeria!I1124)</f>
        <v>50.2</v>
      </c>
      <c r="N1124" s="7" t="n">
        <f aca="false">Raw_Nigeria!M1124</f>
        <v>44.6</v>
      </c>
      <c r="O1124" s="7" t="n">
        <f aca="false">IF(Raw_Nigeria!N1124="","",Raw_Nigeria!N1124)</f>
        <v>5121</v>
      </c>
      <c r="P1124" s="7" t="str">
        <f aca="false">IF(K1124="CBAW","Women of child-bearing age","Children")</f>
        <v>Children</v>
      </c>
      <c r="Q1124" s="7" t="n">
        <f aca="false">IF(J1124="NOT USED",1,0)</f>
        <v>0</v>
      </c>
      <c r="R1124" s="7" t="n">
        <f aca="false">IF(AND(P1124="Children",Q1124=0),1,0)</f>
        <v>1</v>
      </c>
      <c r="S1124" s="7" t="n">
        <f aca="false">IF(AND(R1124=1,J1124="Record or Recall",K1124="12-23 m"),1,0)</f>
        <v>0</v>
      </c>
      <c r="T1124" s="7" t="n">
        <f aca="false">IF(OR(I1124="BCG",I1124="DTP1",I1124="DTP3",I1124="POL3",I1124="MCV1",I1124="FULL"),1,0)</f>
        <v>1</v>
      </c>
      <c r="U1124" s="7" t="n">
        <f aca="false">IF(OR(C1124="DHS",C1124="MICS"),1,0)</f>
        <v>1</v>
      </c>
      <c r="V1124" s="7" t="n">
        <f aca="false">IF(O1124="",1,0)</f>
        <v>0</v>
      </c>
      <c r="W1124" s="7" t="n">
        <f aca="false">IF(M1124="",1,0)</f>
        <v>0</v>
      </c>
      <c r="X1124" s="7" t="n">
        <f aca="false">COUNTIFS($B$2:$B$1141,B1124,$H$2:$H$1141,H1124,$I$2:$I$1141,I1124,$J$2:$J$1141,J1124,$K$2:$K$1141,K1124,$L$2:$L$1141,L1124)</f>
        <v>1</v>
      </c>
    </row>
    <row r="1125" customFormat="false" ht="15" hidden="false" customHeight="false" outlineLevel="0" collapsed="false">
      <c r="A1125" s="7" t="n">
        <f aca="false">ROW()-1</f>
        <v>1124</v>
      </c>
      <c r="B1125" s="7" t="str">
        <f aca="false">IF(Raw_Nigeria!B1125="",TRIM(Raw_Nigeria!C1125),TRIM(Raw_Nigeria!B1125))</f>
        <v>Nigeria Demographic and Health Survey 2024</v>
      </c>
      <c r="C1125" s="7" t="str">
        <f aca="false">IF(ISNUMBER(SEARCH("Demographic and Health",B1125)),"DHS",IF(OR(ISNUMBER(SEARCH("Multiple Indicator Cluster",B1125)),ISNUMBER(SEARCH("MICS",B1125))),"MICS",IF(ISNUMBER(SEARCH("Immunization Coverage Survey",B1125)),"Coverage survey",IF(ISNUMBER(SEARCH("Nutrition",B1125)),"Nutrition survey","Other"))))</f>
        <v>DHS</v>
      </c>
      <c r="D1125" s="7" t="n">
        <f aca="false">VALUE(LEFT(Raw_Nigeria!D1125,4))</f>
        <v>2023</v>
      </c>
      <c r="E1125" s="7" t="n">
        <f aca="false">IF(VALUE(RIGHT(Raw_Nigeria!D1125,2))&gt;12,"",VALUE(RIGHT(Raw_Nigeria!D1125,2)))</f>
        <v>12</v>
      </c>
      <c r="F1125" s="7" t="n">
        <f aca="false">VALUE(LEFT(Raw_Nigeria!E1125,4))</f>
        <v>2024</v>
      </c>
      <c r="G1125" s="7" t="n">
        <f aca="false">IF(VALUE(RIGHT(Raw_Nigeria!E1125,2))&gt;12,"",VALUE(RIGHT(Raw_Nigeria!E1125,2)))</f>
        <v>5</v>
      </c>
      <c r="H1125" s="7" t="n">
        <f aca="false">Raw_Nigeria!F1125</f>
        <v>2022</v>
      </c>
      <c r="I1125" s="7" t="str">
        <f aca="false">UPPER(TRIM(Raw_Nigeria!G1125))</f>
        <v>ROTA1</v>
      </c>
      <c r="J1125" s="7" t="str">
        <f aca="false">Raw_Nigeria!H1125</f>
        <v>Recall</v>
      </c>
      <c r="K1125" s="7" t="str">
        <f aca="false">Raw_Nigeria!L1125</f>
        <v>12-23 m</v>
      </c>
      <c r="L1125" s="7" t="str">
        <f aca="false">IF(Raw_Nigeria!K1125="","n/a",Raw_Nigeria!K1125)</f>
        <v>0-23 m</v>
      </c>
      <c r="M1125" s="7" t="n">
        <f aca="false">IF(Raw_Nigeria!I1125="","",Raw_Nigeria!I1125)</f>
        <v>50.2</v>
      </c>
      <c r="N1125" s="7" t="n">
        <f aca="false">Raw_Nigeria!M1125</f>
        <v>13.6</v>
      </c>
      <c r="O1125" s="7" t="n">
        <f aca="false">IF(Raw_Nigeria!N1125="","",Raw_Nigeria!N1125)</f>
        <v>2549</v>
      </c>
      <c r="P1125" s="7" t="str">
        <f aca="false">IF(K1125="CBAW","Women of child-bearing age","Children")</f>
        <v>Children</v>
      </c>
      <c r="Q1125" s="7" t="n">
        <f aca="false">IF(J1125="NOT USED",1,0)</f>
        <v>0</v>
      </c>
      <c r="R1125" s="7" t="n">
        <f aca="false">IF(AND(P1125="Children",Q1125=0),1,0)</f>
        <v>1</v>
      </c>
      <c r="S1125" s="7" t="n">
        <f aca="false">IF(AND(R1125=1,J1125="Record or Recall",K1125="12-23 m"),1,0)</f>
        <v>0</v>
      </c>
      <c r="T1125" s="7" t="n">
        <f aca="false">IF(OR(I1125="BCG",I1125="DTP1",I1125="DTP3",I1125="POL3",I1125="MCV1",I1125="FULL"),1,0)</f>
        <v>0</v>
      </c>
      <c r="U1125" s="7" t="n">
        <f aca="false">IF(OR(C1125="DHS",C1125="MICS"),1,0)</f>
        <v>1</v>
      </c>
      <c r="V1125" s="7" t="n">
        <f aca="false">IF(O1125="",1,0)</f>
        <v>0</v>
      </c>
      <c r="W1125" s="7" t="n">
        <f aca="false">IF(M1125="",1,0)</f>
        <v>0</v>
      </c>
      <c r="X1125" s="7" t="n">
        <f aca="false">COUNTIFS($B$2:$B$1141,B1125,$H$2:$H$1141,H1125,$I$2:$I$1141,I1125,$J$2:$J$1141,J1125,$K$2:$K$1141,K1125,$L$2:$L$1141,L1125)</f>
        <v>1</v>
      </c>
    </row>
    <row r="1126" customFormat="false" ht="15" hidden="false" customHeight="false" outlineLevel="0" collapsed="false">
      <c r="A1126" s="7" t="n">
        <f aca="false">ROW()-1</f>
        <v>1125</v>
      </c>
      <c r="B1126" s="7" t="str">
        <f aca="false">IF(Raw_Nigeria!B1126="",TRIM(Raw_Nigeria!C1126),TRIM(Raw_Nigeria!B1126))</f>
        <v>Nigeria Demographic and Health Survey 2024</v>
      </c>
      <c r="C1126" s="7" t="str">
        <f aca="false">IF(ISNUMBER(SEARCH("Demographic and Health",B1126)),"DHS",IF(OR(ISNUMBER(SEARCH("Multiple Indicator Cluster",B1126)),ISNUMBER(SEARCH("MICS",B1126))),"MICS",IF(ISNUMBER(SEARCH("Immunization Coverage Survey",B1126)),"Coverage survey",IF(ISNUMBER(SEARCH("Nutrition",B1126)),"Nutrition survey","Other"))))</f>
        <v>DHS</v>
      </c>
      <c r="D1126" s="7" t="n">
        <f aca="false">VALUE(LEFT(Raw_Nigeria!D1126,4))</f>
        <v>2023</v>
      </c>
      <c r="E1126" s="7" t="n">
        <f aca="false">IF(VALUE(RIGHT(Raw_Nigeria!D1126,2))&gt;12,"",VALUE(RIGHT(Raw_Nigeria!D1126,2)))</f>
        <v>12</v>
      </c>
      <c r="F1126" s="7" t="n">
        <f aca="false">VALUE(LEFT(Raw_Nigeria!E1126,4))</f>
        <v>2024</v>
      </c>
      <c r="G1126" s="7" t="n">
        <f aca="false">IF(VALUE(RIGHT(Raw_Nigeria!E1126,2))&gt;12,"",VALUE(RIGHT(Raw_Nigeria!E1126,2)))</f>
        <v>5</v>
      </c>
      <c r="H1126" s="7" t="n">
        <f aca="false">Raw_Nigeria!F1126</f>
        <v>2022</v>
      </c>
      <c r="I1126" s="7" t="str">
        <f aca="false">UPPER(TRIM(Raw_Nigeria!G1126))</f>
        <v>ROTA1</v>
      </c>
      <c r="J1126" s="7" t="str">
        <f aca="false">Raw_Nigeria!H1126</f>
        <v>Record</v>
      </c>
      <c r="K1126" s="7" t="str">
        <f aca="false">Raw_Nigeria!L1126</f>
        <v>12-23 m</v>
      </c>
      <c r="L1126" s="7" t="str">
        <f aca="false">IF(Raw_Nigeria!K1126="","n/a",Raw_Nigeria!K1126)</f>
        <v>0-23 m</v>
      </c>
      <c r="M1126" s="7" t="n">
        <f aca="false">IF(Raw_Nigeria!I1126="","",Raw_Nigeria!I1126)</f>
        <v>50.2</v>
      </c>
      <c r="N1126" s="7" t="n">
        <f aca="false">Raw_Nigeria!M1126</f>
        <v>41.8</v>
      </c>
      <c r="O1126" s="7" t="n">
        <f aca="false">IF(Raw_Nigeria!N1126="","",Raw_Nigeria!N1126)</f>
        <v>2572</v>
      </c>
      <c r="P1126" s="7" t="str">
        <f aca="false">IF(K1126="CBAW","Women of child-bearing age","Children")</f>
        <v>Children</v>
      </c>
      <c r="Q1126" s="7" t="n">
        <f aca="false">IF(J1126="NOT USED",1,0)</f>
        <v>0</v>
      </c>
      <c r="R1126" s="7" t="n">
        <f aca="false">IF(AND(P1126="Children",Q1126=0),1,0)</f>
        <v>1</v>
      </c>
      <c r="S1126" s="7" t="n">
        <f aca="false">IF(AND(R1126=1,J1126="Record or Recall",K1126="12-23 m"),1,0)</f>
        <v>0</v>
      </c>
      <c r="T1126" s="7" t="n">
        <f aca="false">IF(OR(I1126="BCG",I1126="DTP1",I1126="DTP3",I1126="POL3",I1126="MCV1",I1126="FULL"),1,0)</f>
        <v>0</v>
      </c>
      <c r="U1126" s="7" t="n">
        <f aca="false">IF(OR(C1126="DHS",C1126="MICS"),1,0)</f>
        <v>1</v>
      </c>
      <c r="V1126" s="7" t="n">
        <f aca="false">IF(O1126="",1,0)</f>
        <v>0</v>
      </c>
      <c r="W1126" s="7" t="n">
        <f aca="false">IF(M1126="",1,0)</f>
        <v>0</v>
      </c>
      <c r="X1126" s="7" t="n">
        <f aca="false">COUNTIFS($B$2:$B$1141,B1126,$H$2:$H$1141,H1126,$I$2:$I$1141,I1126,$J$2:$J$1141,J1126,$K$2:$K$1141,K1126,$L$2:$L$1141,L1126)</f>
        <v>1</v>
      </c>
    </row>
    <row r="1127" customFormat="false" ht="15" hidden="false" customHeight="false" outlineLevel="0" collapsed="false">
      <c r="A1127" s="7" t="n">
        <f aca="false">ROW()-1</f>
        <v>1126</v>
      </c>
      <c r="B1127" s="7" t="str">
        <f aca="false">IF(Raw_Nigeria!B1127="",TRIM(Raw_Nigeria!C1127),TRIM(Raw_Nigeria!B1127))</f>
        <v>Nigeria Demographic and Health Survey 2024</v>
      </c>
      <c r="C1127" s="7" t="str">
        <f aca="false">IF(ISNUMBER(SEARCH("Demographic and Health",B1127)),"DHS",IF(OR(ISNUMBER(SEARCH("Multiple Indicator Cluster",B1127)),ISNUMBER(SEARCH("MICS",B1127))),"MICS",IF(ISNUMBER(SEARCH("Immunization Coverage Survey",B1127)),"Coverage survey",IF(ISNUMBER(SEARCH("Nutrition",B1127)),"Nutrition survey","Other"))))</f>
        <v>DHS</v>
      </c>
      <c r="D1127" s="7" t="n">
        <f aca="false">VALUE(LEFT(Raw_Nigeria!D1127,4))</f>
        <v>2023</v>
      </c>
      <c r="E1127" s="7" t="n">
        <f aca="false">IF(VALUE(RIGHT(Raw_Nigeria!D1127,2))&gt;12,"",VALUE(RIGHT(Raw_Nigeria!D1127,2)))</f>
        <v>12</v>
      </c>
      <c r="F1127" s="7" t="n">
        <f aca="false">VALUE(LEFT(Raw_Nigeria!E1127,4))</f>
        <v>2024</v>
      </c>
      <c r="G1127" s="7" t="n">
        <f aca="false">IF(VALUE(RIGHT(Raw_Nigeria!E1127,2))&gt;12,"",VALUE(RIGHT(Raw_Nigeria!E1127,2)))</f>
        <v>5</v>
      </c>
      <c r="H1127" s="7" t="n">
        <f aca="false">Raw_Nigeria!F1127</f>
        <v>2022</v>
      </c>
      <c r="I1127" s="7" t="str">
        <f aca="false">UPPER(TRIM(Raw_Nigeria!G1127))</f>
        <v>ROTA1</v>
      </c>
      <c r="J1127" s="7" t="str">
        <f aca="false">Raw_Nigeria!H1127</f>
        <v>Record or Recall</v>
      </c>
      <c r="K1127" s="7" t="str">
        <f aca="false">Raw_Nigeria!L1127</f>
        <v>12-23 m</v>
      </c>
      <c r="L1127" s="7" t="str">
        <f aca="false">IF(Raw_Nigeria!K1127="","n/a",Raw_Nigeria!K1127)</f>
        <v>0-23 m</v>
      </c>
      <c r="M1127" s="7" t="n">
        <f aca="false">IF(Raw_Nigeria!I1127="","",Raw_Nigeria!I1127)</f>
        <v>50.2</v>
      </c>
      <c r="N1127" s="7" t="n">
        <f aca="false">Raw_Nigeria!M1127</f>
        <v>55.3</v>
      </c>
      <c r="O1127" s="7" t="n">
        <f aca="false">IF(Raw_Nigeria!N1127="","",Raw_Nigeria!N1127)</f>
        <v>5121</v>
      </c>
      <c r="P1127" s="7" t="str">
        <f aca="false">IF(K1127="CBAW","Women of child-bearing age","Children")</f>
        <v>Children</v>
      </c>
      <c r="Q1127" s="7" t="n">
        <f aca="false">IF(J1127="NOT USED",1,0)</f>
        <v>0</v>
      </c>
      <c r="R1127" s="7" t="n">
        <f aca="false">IF(AND(P1127="Children",Q1127=0),1,0)</f>
        <v>1</v>
      </c>
      <c r="S1127" s="7" t="n">
        <f aca="false">IF(AND(R1127=1,J1127="Record or Recall",K1127="12-23 m"),1,0)</f>
        <v>1</v>
      </c>
      <c r="T1127" s="7" t="n">
        <f aca="false">IF(OR(I1127="BCG",I1127="DTP1",I1127="DTP3",I1127="POL3",I1127="MCV1",I1127="FULL"),1,0)</f>
        <v>0</v>
      </c>
      <c r="U1127" s="7" t="n">
        <f aca="false">IF(OR(C1127="DHS",C1127="MICS"),1,0)</f>
        <v>1</v>
      </c>
      <c r="V1127" s="7" t="n">
        <f aca="false">IF(O1127="",1,0)</f>
        <v>0</v>
      </c>
      <c r="W1127" s="7" t="n">
        <f aca="false">IF(M1127="",1,0)</f>
        <v>0</v>
      </c>
      <c r="X1127" s="7" t="n">
        <f aca="false">COUNTIFS($B$2:$B$1141,B1127,$H$2:$H$1141,H1127,$I$2:$I$1141,I1127,$J$2:$J$1141,J1127,$K$2:$K$1141,K1127,$L$2:$L$1141,L1127)</f>
        <v>1</v>
      </c>
    </row>
    <row r="1128" customFormat="false" ht="15" hidden="false" customHeight="false" outlineLevel="0" collapsed="false">
      <c r="A1128" s="7" t="n">
        <f aca="false">ROW()-1</f>
        <v>1127</v>
      </c>
      <c r="B1128" s="7" t="str">
        <f aca="false">IF(Raw_Nigeria!B1128="",TRIM(Raw_Nigeria!C1128),TRIM(Raw_Nigeria!B1128))</f>
        <v>Nigeria Demographic and Health Survey 2024</v>
      </c>
      <c r="C1128" s="7" t="str">
        <f aca="false">IF(ISNUMBER(SEARCH("Demographic and Health",B1128)),"DHS",IF(OR(ISNUMBER(SEARCH("Multiple Indicator Cluster",B1128)),ISNUMBER(SEARCH("MICS",B1128))),"MICS",IF(ISNUMBER(SEARCH("Immunization Coverage Survey",B1128)),"Coverage survey",IF(ISNUMBER(SEARCH("Nutrition",B1128)),"Nutrition survey","Other"))))</f>
        <v>DHS</v>
      </c>
      <c r="D1128" s="7" t="n">
        <f aca="false">VALUE(LEFT(Raw_Nigeria!D1128,4))</f>
        <v>2023</v>
      </c>
      <c r="E1128" s="7" t="n">
        <f aca="false">IF(VALUE(RIGHT(Raw_Nigeria!D1128,2))&gt;12,"",VALUE(RIGHT(Raw_Nigeria!D1128,2)))</f>
        <v>12</v>
      </c>
      <c r="F1128" s="7" t="n">
        <f aca="false">VALUE(LEFT(Raw_Nigeria!E1128,4))</f>
        <v>2024</v>
      </c>
      <c r="G1128" s="7" t="n">
        <f aca="false">IF(VALUE(RIGHT(Raw_Nigeria!E1128,2))&gt;12,"",VALUE(RIGHT(Raw_Nigeria!E1128,2)))</f>
        <v>5</v>
      </c>
      <c r="H1128" s="7" t="n">
        <f aca="false">Raw_Nigeria!F1128</f>
        <v>2022</v>
      </c>
      <c r="I1128" s="7" t="str">
        <f aca="false">UPPER(TRIM(Raw_Nigeria!G1128))</f>
        <v>ROTA1</v>
      </c>
      <c r="J1128" s="7" t="str">
        <f aca="false">Raw_Nigeria!H1128</f>
        <v>Record or Recall&lt;12m</v>
      </c>
      <c r="K1128" s="7" t="str">
        <f aca="false">Raw_Nigeria!L1128</f>
        <v>12-23 m</v>
      </c>
      <c r="L1128" s="7" t="str">
        <f aca="false">IF(Raw_Nigeria!K1128="","n/a",Raw_Nigeria!K1128)</f>
        <v>0-12 m</v>
      </c>
      <c r="M1128" s="7" t="n">
        <f aca="false">IF(Raw_Nigeria!I1128="","",Raw_Nigeria!I1128)</f>
        <v>50.2</v>
      </c>
      <c r="N1128" s="7" t="n">
        <f aca="false">Raw_Nigeria!M1128</f>
        <v>54.1</v>
      </c>
      <c r="O1128" s="7" t="n">
        <f aca="false">IF(Raw_Nigeria!N1128="","",Raw_Nigeria!N1128)</f>
        <v>5121</v>
      </c>
      <c r="P1128" s="7" t="str">
        <f aca="false">IF(K1128="CBAW","Women of child-bearing age","Children")</f>
        <v>Children</v>
      </c>
      <c r="Q1128" s="7" t="n">
        <f aca="false">IF(J1128="NOT USED",1,0)</f>
        <v>0</v>
      </c>
      <c r="R1128" s="7" t="n">
        <f aca="false">IF(AND(P1128="Children",Q1128=0),1,0)</f>
        <v>1</v>
      </c>
      <c r="S1128" s="7" t="n">
        <f aca="false">IF(AND(R1128=1,J1128="Record or Recall",K1128="12-23 m"),1,0)</f>
        <v>0</v>
      </c>
      <c r="T1128" s="7" t="n">
        <f aca="false">IF(OR(I1128="BCG",I1128="DTP1",I1128="DTP3",I1128="POL3",I1128="MCV1",I1128="FULL"),1,0)</f>
        <v>0</v>
      </c>
      <c r="U1128" s="7" t="n">
        <f aca="false">IF(OR(C1128="DHS",C1128="MICS"),1,0)</f>
        <v>1</v>
      </c>
      <c r="V1128" s="7" t="n">
        <f aca="false">IF(O1128="",1,0)</f>
        <v>0</v>
      </c>
      <c r="W1128" s="7" t="n">
        <f aca="false">IF(M1128="",1,0)</f>
        <v>0</v>
      </c>
      <c r="X1128" s="7" t="n">
        <f aca="false">COUNTIFS($B$2:$B$1141,B1128,$H$2:$H$1141,H1128,$I$2:$I$1141,I1128,$J$2:$J$1141,J1128,$K$2:$K$1141,K1128,$L$2:$L$1141,L1128)</f>
        <v>1</v>
      </c>
    </row>
    <row r="1129" customFormat="false" ht="15" hidden="false" customHeight="false" outlineLevel="0" collapsed="false">
      <c r="A1129" s="7" t="n">
        <f aca="false">ROW()-1</f>
        <v>1128</v>
      </c>
      <c r="B1129" s="7" t="str">
        <f aca="false">IF(Raw_Nigeria!B1129="",TRIM(Raw_Nigeria!C1129),TRIM(Raw_Nigeria!B1129))</f>
        <v>Nigeria Demographic and Health Survey 2024</v>
      </c>
      <c r="C1129" s="7" t="str">
        <f aca="false">IF(ISNUMBER(SEARCH("Demographic and Health",B1129)),"DHS",IF(OR(ISNUMBER(SEARCH("Multiple Indicator Cluster",B1129)),ISNUMBER(SEARCH("MICS",B1129))),"MICS",IF(ISNUMBER(SEARCH("Immunization Coverage Survey",B1129)),"Coverage survey",IF(ISNUMBER(SEARCH("Nutrition",B1129)),"Nutrition survey","Other"))))</f>
        <v>DHS</v>
      </c>
      <c r="D1129" s="7" t="n">
        <f aca="false">VALUE(LEFT(Raw_Nigeria!D1129,4))</f>
        <v>2023</v>
      </c>
      <c r="E1129" s="7" t="n">
        <f aca="false">IF(VALUE(RIGHT(Raw_Nigeria!D1129,2))&gt;12,"",VALUE(RIGHT(Raw_Nigeria!D1129,2)))</f>
        <v>12</v>
      </c>
      <c r="F1129" s="7" t="n">
        <f aca="false">VALUE(LEFT(Raw_Nigeria!E1129,4))</f>
        <v>2024</v>
      </c>
      <c r="G1129" s="7" t="n">
        <f aca="false">IF(VALUE(RIGHT(Raw_Nigeria!E1129,2))&gt;12,"",VALUE(RIGHT(Raw_Nigeria!E1129,2)))</f>
        <v>5</v>
      </c>
      <c r="H1129" s="7" t="n">
        <f aca="false">Raw_Nigeria!F1129</f>
        <v>2022</v>
      </c>
      <c r="I1129" s="7" t="str">
        <f aca="false">UPPER(TRIM(Raw_Nigeria!G1129))</f>
        <v>ROTA2</v>
      </c>
      <c r="J1129" s="7" t="str">
        <f aca="false">Raw_Nigeria!H1129</f>
        <v>Recall</v>
      </c>
      <c r="K1129" s="7" t="str">
        <f aca="false">Raw_Nigeria!L1129</f>
        <v>12-23 m</v>
      </c>
      <c r="L1129" s="7" t="str">
        <f aca="false">IF(Raw_Nigeria!K1129="","n/a",Raw_Nigeria!K1129)</f>
        <v>0-23 m</v>
      </c>
      <c r="M1129" s="7" t="n">
        <f aca="false">IF(Raw_Nigeria!I1129="","",Raw_Nigeria!I1129)</f>
        <v>50.2</v>
      </c>
      <c r="N1129" s="7" t="n">
        <f aca="false">Raw_Nigeria!M1129</f>
        <v>11.2</v>
      </c>
      <c r="O1129" s="7" t="n">
        <f aca="false">IF(Raw_Nigeria!N1129="","",Raw_Nigeria!N1129)</f>
        <v>2549</v>
      </c>
      <c r="P1129" s="7" t="str">
        <f aca="false">IF(K1129="CBAW","Women of child-bearing age","Children")</f>
        <v>Children</v>
      </c>
      <c r="Q1129" s="7" t="n">
        <f aca="false">IF(J1129="NOT USED",1,0)</f>
        <v>0</v>
      </c>
      <c r="R1129" s="7" t="n">
        <f aca="false">IF(AND(P1129="Children",Q1129=0),1,0)</f>
        <v>1</v>
      </c>
      <c r="S1129" s="7" t="n">
        <f aca="false">IF(AND(R1129=1,J1129="Record or Recall",K1129="12-23 m"),1,0)</f>
        <v>0</v>
      </c>
      <c r="T1129" s="7" t="n">
        <f aca="false">IF(OR(I1129="BCG",I1129="DTP1",I1129="DTP3",I1129="POL3",I1129="MCV1",I1129="FULL"),1,0)</f>
        <v>0</v>
      </c>
      <c r="U1129" s="7" t="n">
        <f aca="false">IF(OR(C1129="DHS",C1129="MICS"),1,0)</f>
        <v>1</v>
      </c>
      <c r="V1129" s="7" t="n">
        <f aca="false">IF(O1129="",1,0)</f>
        <v>0</v>
      </c>
      <c r="W1129" s="7" t="n">
        <f aca="false">IF(M1129="",1,0)</f>
        <v>0</v>
      </c>
      <c r="X1129" s="7" t="n">
        <f aca="false">COUNTIFS($B$2:$B$1141,B1129,$H$2:$H$1141,H1129,$I$2:$I$1141,I1129,$J$2:$J$1141,J1129,$K$2:$K$1141,K1129,$L$2:$L$1141,L1129)</f>
        <v>1</v>
      </c>
    </row>
    <row r="1130" customFormat="false" ht="15" hidden="false" customHeight="false" outlineLevel="0" collapsed="false">
      <c r="A1130" s="7" t="n">
        <f aca="false">ROW()-1</f>
        <v>1129</v>
      </c>
      <c r="B1130" s="7" t="str">
        <f aca="false">IF(Raw_Nigeria!B1130="",TRIM(Raw_Nigeria!C1130),TRIM(Raw_Nigeria!B1130))</f>
        <v>Nigeria Demographic and Health Survey 2024</v>
      </c>
      <c r="C1130" s="7" t="str">
        <f aca="false">IF(ISNUMBER(SEARCH("Demographic and Health",B1130)),"DHS",IF(OR(ISNUMBER(SEARCH("Multiple Indicator Cluster",B1130)),ISNUMBER(SEARCH("MICS",B1130))),"MICS",IF(ISNUMBER(SEARCH("Immunization Coverage Survey",B1130)),"Coverage survey",IF(ISNUMBER(SEARCH("Nutrition",B1130)),"Nutrition survey","Other"))))</f>
        <v>DHS</v>
      </c>
      <c r="D1130" s="7" t="n">
        <f aca="false">VALUE(LEFT(Raw_Nigeria!D1130,4))</f>
        <v>2023</v>
      </c>
      <c r="E1130" s="7" t="n">
        <f aca="false">IF(VALUE(RIGHT(Raw_Nigeria!D1130,2))&gt;12,"",VALUE(RIGHT(Raw_Nigeria!D1130,2)))</f>
        <v>12</v>
      </c>
      <c r="F1130" s="7" t="n">
        <f aca="false">VALUE(LEFT(Raw_Nigeria!E1130,4))</f>
        <v>2024</v>
      </c>
      <c r="G1130" s="7" t="n">
        <f aca="false">IF(VALUE(RIGHT(Raw_Nigeria!E1130,2))&gt;12,"",VALUE(RIGHT(Raw_Nigeria!E1130,2)))</f>
        <v>5</v>
      </c>
      <c r="H1130" s="7" t="n">
        <f aca="false">Raw_Nigeria!F1130</f>
        <v>2022</v>
      </c>
      <c r="I1130" s="7" t="str">
        <f aca="false">UPPER(TRIM(Raw_Nigeria!G1130))</f>
        <v>ROTA2</v>
      </c>
      <c r="J1130" s="7" t="str">
        <f aca="false">Raw_Nigeria!H1130</f>
        <v>Record</v>
      </c>
      <c r="K1130" s="7" t="str">
        <f aca="false">Raw_Nigeria!L1130</f>
        <v>12-23 m</v>
      </c>
      <c r="L1130" s="7" t="str">
        <f aca="false">IF(Raw_Nigeria!K1130="","n/a",Raw_Nigeria!K1130)</f>
        <v>0-23 m</v>
      </c>
      <c r="M1130" s="7" t="n">
        <f aca="false">IF(Raw_Nigeria!I1130="","",Raw_Nigeria!I1130)</f>
        <v>50.2</v>
      </c>
      <c r="N1130" s="7" t="n">
        <f aca="false">Raw_Nigeria!M1130</f>
        <v>31.1</v>
      </c>
      <c r="O1130" s="7" t="n">
        <f aca="false">IF(Raw_Nigeria!N1130="","",Raw_Nigeria!N1130)</f>
        <v>2572</v>
      </c>
      <c r="P1130" s="7" t="str">
        <f aca="false">IF(K1130="CBAW","Women of child-bearing age","Children")</f>
        <v>Children</v>
      </c>
      <c r="Q1130" s="7" t="n">
        <f aca="false">IF(J1130="NOT USED",1,0)</f>
        <v>0</v>
      </c>
      <c r="R1130" s="7" t="n">
        <f aca="false">IF(AND(P1130="Children",Q1130=0),1,0)</f>
        <v>1</v>
      </c>
      <c r="S1130" s="7" t="n">
        <f aca="false">IF(AND(R1130=1,J1130="Record or Recall",K1130="12-23 m"),1,0)</f>
        <v>0</v>
      </c>
      <c r="T1130" s="7" t="n">
        <f aca="false">IF(OR(I1130="BCG",I1130="DTP1",I1130="DTP3",I1130="POL3",I1130="MCV1",I1130="FULL"),1,0)</f>
        <v>0</v>
      </c>
      <c r="U1130" s="7" t="n">
        <f aca="false">IF(OR(C1130="DHS",C1130="MICS"),1,0)</f>
        <v>1</v>
      </c>
      <c r="V1130" s="7" t="n">
        <f aca="false">IF(O1130="",1,0)</f>
        <v>0</v>
      </c>
      <c r="W1130" s="7" t="n">
        <f aca="false">IF(M1130="",1,0)</f>
        <v>0</v>
      </c>
      <c r="X1130" s="7" t="n">
        <f aca="false">COUNTIFS($B$2:$B$1141,B1130,$H$2:$H$1141,H1130,$I$2:$I$1141,I1130,$J$2:$J$1141,J1130,$K$2:$K$1141,K1130,$L$2:$L$1141,L1130)</f>
        <v>1</v>
      </c>
    </row>
    <row r="1131" customFormat="false" ht="15" hidden="false" customHeight="false" outlineLevel="0" collapsed="false">
      <c r="A1131" s="7" t="n">
        <f aca="false">ROW()-1</f>
        <v>1130</v>
      </c>
      <c r="B1131" s="7" t="str">
        <f aca="false">IF(Raw_Nigeria!B1131="",TRIM(Raw_Nigeria!C1131),TRIM(Raw_Nigeria!B1131))</f>
        <v>Nigeria Demographic and Health Survey 2024</v>
      </c>
      <c r="C1131" s="7" t="str">
        <f aca="false">IF(ISNUMBER(SEARCH("Demographic and Health",B1131)),"DHS",IF(OR(ISNUMBER(SEARCH("Multiple Indicator Cluster",B1131)),ISNUMBER(SEARCH("MICS",B1131))),"MICS",IF(ISNUMBER(SEARCH("Immunization Coverage Survey",B1131)),"Coverage survey",IF(ISNUMBER(SEARCH("Nutrition",B1131)),"Nutrition survey","Other"))))</f>
        <v>DHS</v>
      </c>
      <c r="D1131" s="7" t="n">
        <f aca="false">VALUE(LEFT(Raw_Nigeria!D1131,4))</f>
        <v>2023</v>
      </c>
      <c r="E1131" s="7" t="n">
        <f aca="false">IF(VALUE(RIGHT(Raw_Nigeria!D1131,2))&gt;12,"",VALUE(RIGHT(Raw_Nigeria!D1131,2)))</f>
        <v>12</v>
      </c>
      <c r="F1131" s="7" t="n">
        <f aca="false">VALUE(LEFT(Raw_Nigeria!E1131,4))</f>
        <v>2024</v>
      </c>
      <c r="G1131" s="7" t="n">
        <f aca="false">IF(VALUE(RIGHT(Raw_Nigeria!E1131,2))&gt;12,"",VALUE(RIGHT(Raw_Nigeria!E1131,2)))</f>
        <v>5</v>
      </c>
      <c r="H1131" s="7" t="n">
        <f aca="false">Raw_Nigeria!F1131</f>
        <v>2022</v>
      </c>
      <c r="I1131" s="7" t="str">
        <f aca="false">UPPER(TRIM(Raw_Nigeria!G1131))</f>
        <v>ROTA2</v>
      </c>
      <c r="J1131" s="7" t="str">
        <f aca="false">Raw_Nigeria!H1131</f>
        <v>Record or Recall</v>
      </c>
      <c r="K1131" s="7" t="str">
        <f aca="false">Raw_Nigeria!L1131</f>
        <v>12-23 m</v>
      </c>
      <c r="L1131" s="7" t="str">
        <f aca="false">IF(Raw_Nigeria!K1131="","n/a",Raw_Nigeria!K1131)</f>
        <v>0-23 m</v>
      </c>
      <c r="M1131" s="7" t="n">
        <f aca="false">IF(Raw_Nigeria!I1131="","",Raw_Nigeria!I1131)</f>
        <v>50.2</v>
      </c>
      <c r="N1131" s="7" t="n">
        <f aca="false">Raw_Nigeria!M1131</f>
        <v>42.3</v>
      </c>
      <c r="O1131" s="7" t="n">
        <f aca="false">IF(Raw_Nigeria!N1131="","",Raw_Nigeria!N1131)</f>
        <v>5121</v>
      </c>
      <c r="P1131" s="7" t="str">
        <f aca="false">IF(K1131="CBAW","Women of child-bearing age","Children")</f>
        <v>Children</v>
      </c>
      <c r="Q1131" s="7" t="n">
        <f aca="false">IF(J1131="NOT USED",1,0)</f>
        <v>0</v>
      </c>
      <c r="R1131" s="7" t="n">
        <f aca="false">IF(AND(P1131="Children",Q1131=0),1,0)</f>
        <v>1</v>
      </c>
      <c r="S1131" s="7" t="n">
        <f aca="false">IF(AND(R1131=1,J1131="Record or Recall",K1131="12-23 m"),1,0)</f>
        <v>1</v>
      </c>
      <c r="T1131" s="7" t="n">
        <f aca="false">IF(OR(I1131="BCG",I1131="DTP1",I1131="DTP3",I1131="POL3",I1131="MCV1",I1131="FULL"),1,0)</f>
        <v>0</v>
      </c>
      <c r="U1131" s="7" t="n">
        <f aca="false">IF(OR(C1131="DHS",C1131="MICS"),1,0)</f>
        <v>1</v>
      </c>
      <c r="V1131" s="7" t="n">
        <f aca="false">IF(O1131="",1,0)</f>
        <v>0</v>
      </c>
      <c r="W1131" s="7" t="n">
        <f aca="false">IF(M1131="",1,0)</f>
        <v>0</v>
      </c>
      <c r="X1131" s="7" t="n">
        <f aca="false">COUNTIFS($B$2:$B$1141,B1131,$H$2:$H$1141,H1131,$I$2:$I$1141,I1131,$J$2:$J$1141,J1131,$K$2:$K$1141,K1131,$L$2:$L$1141,L1131)</f>
        <v>1</v>
      </c>
    </row>
    <row r="1132" customFormat="false" ht="15" hidden="false" customHeight="false" outlineLevel="0" collapsed="false">
      <c r="A1132" s="7" t="n">
        <f aca="false">ROW()-1</f>
        <v>1131</v>
      </c>
      <c r="B1132" s="7" t="str">
        <f aca="false">IF(Raw_Nigeria!B1132="",TRIM(Raw_Nigeria!C1132),TRIM(Raw_Nigeria!B1132))</f>
        <v>Nigeria Demographic and Health Survey 2024</v>
      </c>
      <c r="C1132" s="7" t="str">
        <f aca="false">IF(ISNUMBER(SEARCH("Demographic and Health",B1132)),"DHS",IF(OR(ISNUMBER(SEARCH("Multiple Indicator Cluster",B1132)),ISNUMBER(SEARCH("MICS",B1132))),"MICS",IF(ISNUMBER(SEARCH("Immunization Coverage Survey",B1132)),"Coverage survey",IF(ISNUMBER(SEARCH("Nutrition",B1132)),"Nutrition survey","Other"))))</f>
        <v>DHS</v>
      </c>
      <c r="D1132" s="7" t="n">
        <f aca="false">VALUE(LEFT(Raw_Nigeria!D1132,4))</f>
        <v>2023</v>
      </c>
      <c r="E1132" s="7" t="n">
        <f aca="false">IF(VALUE(RIGHT(Raw_Nigeria!D1132,2))&gt;12,"",VALUE(RIGHT(Raw_Nigeria!D1132,2)))</f>
        <v>12</v>
      </c>
      <c r="F1132" s="7" t="n">
        <f aca="false">VALUE(LEFT(Raw_Nigeria!E1132,4))</f>
        <v>2024</v>
      </c>
      <c r="G1132" s="7" t="n">
        <f aca="false">IF(VALUE(RIGHT(Raw_Nigeria!E1132,2))&gt;12,"",VALUE(RIGHT(Raw_Nigeria!E1132,2)))</f>
        <v>5</v>
      </c>
      <c r="H1132" s="7" t="n">
        <f aca="false">Raw_Nigeria!F1132</f>
        <v>2022</v>
      </c>
      <c r="I1132" s="7" t="str">
        <f aca="false">UPPER(TRIM(Raw_Nigeria!G1132))</f>
        <v>ROTA2</v>
      </c>
      <c r="J1132" s="7" t="str">
        <f aca="false">Raw_Nigeria!H1132</f>
        <v>Record or Recall&lt;12m</v>
      </c>
      <c r="K1132" s="7" t="str">
        <f aca="false">Raw_Nigeria!L1132</f>
        <v>12-23 m</v>
      </c>
      <c r="L1132" s="7" t="str">
        <f aca="false">IF(Raw_Nigeria!K1132="","n/a",Raw_Nigeria!K1132)</f>
        <v>0-12 m</v>
      </c>
      <c r="M1132" s="7" t="n">
        <f aca="false">IF(Raw_Nigeria!I1132="","",Raw_Nigeria!I1132)</f>
        <v>50.2</v>
      </c>
      <c r="N1132" s="7" t="n">
        <f aca="false">Raw_Nigeria!M1132</f>
        <v>40.6</v>
      </c>
      <c r="O1132" s="7" t="n">
        <f aca="false">IF(Raw_Nigeria!N1132="","",Raw_Nigeria!N1132)</f>
        <v>5121</v>
      </c>
      <c r="P1132" s="7" t="str">
        <f aca="false">IF(K1132="CBAW","Women of child-bearing age","Children")</f>
        <v>Children</v>
      </c>
      <c r="Q1132" s="7" t="n">
        <f aca="false">IF(J1132="NOT USED",1,0)</f>
        <v>0</v>
      </c>
      <c r="R1132" s="7" t="n">
        <f aca="false">IF(AND(P1132="Children",Q1132=0),1,0)</f>
        <v>1</v>
      </c>
      <c r="S1132" s="7" t="n">
        <f aca="false">IF(AND(R1132=1,J1132="Record or Recall",K1132="12-23 m"),1,0)</f>
        <v>0</v>
      </c>
      <c r="T1132" s="7" t="n">
        <f aca="false">IF(OR(I1132="BCG",I1132="DTP1",I1132="DTP3",I1132="POL3",I1132="MCV1",I1132="FULL"),1,0)</f>
        <v>0</v>
      </c>
      <c r="U1132" s="7" t="n">
        <f aca="false">IF(OR(C1132="DHS",C1132="MICS"),1,0)</f>
        <v>1</v>
      </c>
      <c r="V1132" s="7" t="n">
        <f aca="false">IF(O1132="",1,0)</f>
        <v>0</v>
      </c>
      <c r="W1132" s="7" t="n">
        <f aca="false">IF(M1132="",1,0)</f>
        <v>0</v>
      </c>
      <c r="X1132" s="7" t="n">
        <f aca="false">COUNTIFS($B$2:$B$1141,B1132,$H$2:$H$1141,H1132,$I$2:$I$1141,I1132,$J$2:$J$1141,J1132,$K$2:$K$1141,K1132,$L$2:$L$1141,L1132)</f>
        <v>1</v>
      </c>
    </row>
    <row r="1133" customFormat="false" ht="15" hidden="false" customHeight="false" outlineLevel="0" collapsed="false">
      <c r="A1133" s="7" t="n">
        <f aca="false">ROW()-1</f>
        <v>1132</v>
      </c>
      <c r="B1133" s="7" t="str">
        <f aca="false">IF(Raw_Nigeria!B1133="",TRIM(Raw_Nigeria!C1133),TRIM(Raw_Nigeria!B1133))</f>
        <v>Nigeria Demographic and Health Survey 2024</v>
      </c>
      <c r="C1133" s="7" t="str">
        <f aca="false">IF(ISNUMBER(SEARCH("Demographic and Health",B1133)),"DHS",IF(OR(ISNUMBER(SEARCH("Multiple Indicator Cluster",B1133)),ISNUMBER(SEARCH("MICS",B1133))),"MICS",IF(ISNUMBER(SEARCH("Immunization Coverage Survey",B1133)),"Coverage survey",IF(ISNUMBER(SEARCH("Nutrition",B1133)),"Nutrition survey","Other"))))</f>
        <v>DHS</v>
      </c>
      <c r="D1133" s="7" t="n">
        <f aca="false">VALUE(LEFT(Raw_Nigeria!D1133,4))</f>
        <v>2023</v>
      </c>
      <c r="E1133" s="7" t="n">
        <f aca="false">IF(VALUE(RIGHT(Raw_Nigeria!D1133,2))&gt;12,"",VALUE(RIGHT(Raw_Nigeria!D1133,2)))</f>
        <v>12</v>
      </c>
      <c r="F1133" s="7" t="n">
        <f aca="false">VALUE(LEFT(Raw_Nigeria!E1133,4))</f>
        <v>2024</v>
      </c>
      <c r="G1133" s="7" t="n">
        <f aca="false">IF(VALUE(RIGHT(Raw_Nigeria!E1133,2))&gt;12,"",VALUE(RIGHT(Raw_Nigeria!E1133,2)))</f>
        <v>5</v>
      </c>
      <c r="H1133" s="7" t="n">
        <f aca="false">Raw_Nigeria!F1133</f>
        <v>2022</v>
      </c>
      <c r="I1133" s="7" t="str">
        <f aca="false">UPPER(TRIM(Raw_Nigeria!G1133))</f>
        <v>ROTAC</v>
      </c>
      <c r="J1133" s="7" t="str">
        <f aca="false">Raw_Nigeria!H1133</f>
        <v>Recall</v>
      </c>
      <c r="K1133" s="7" t="str">
        <f aca="false">Raw_Nigeria!L1133</f>
        <v>12-23 m</v>
      </c>
      <c r="L1133" s="7" t="str">
        <f aca="false">IF(Raw_Nigeria!K1133="","n/a",Raw_Nigeria!K1133)</f>
        <v>0-23 m</v>
      </c>
      <c r="M1133" s="7" t="n">
        <f aca="false">IF(Raw_Nigeria!I1133="","",Raw_Nigeria!I1133)</f>
        <v>50.2</v>
      </c>
      <c r="N1133" s="7" t="n">
        <f aca="false">Raw_Nigeria!M1133</f>
        <v>4</v>
      </c>
      <c r="O1133" s="7" t="n">
        <f aca="false">IF(Raw_Nigeria!N1133="","",Raw_Nigeria!N1133)</f>
        <v>2549</v>
      </c>
      <c r="P1133" s="7" t="str">
        <f aca="false">IF(K1133="CBAW","Women of child-bearing age","Children")</f>
        <v>Children</v>
      </c>
      <c r="Q1133" s="7" t="n">
        <f aca="false">IF(J1133="NOT USED",1,0)</f>
        <v>0</v>
      </c>
      <c r="R1133" s="7" t="n">
        <f aca="false">IF(AND(P1133="Children",Q1133=0),1,0)</f>
        <v>1</v>
      </c>
      <c r="S1133" s="7" t="n">
        <f aca="false">IF(AND(R1133=1,J1133="Record or Recall",K1133="12-23 m"),1,0)</f>
        <v>0</v>
      </c>
      <c r="T1133" s="7" t="n">
        <f aca="false">IF(OR(I1133="BCG",I1133="DTP1",I1133="DTP3",I1133="POL3",I1133="MCV1",I1133="FULL"),1,0)</f>
        <v>0</v>
      </c>
      <c r="U1133" s="7" t="n">
        <f aca="false">IF(OR(C1133="DHS",C1133="MICS"),1,0)</f>
        <v>1</v>
      </c>
      <c r="V1133" s="7" t="n">
        <f aca="false">IF(O1133="",1,0)</f>
        <v>0</v>
      </c>
      <c r="W1133" s="7" t="n">
        <f aca="false">IF(M1133="",1,0)</f>
        <v>0</v>
      </c>
      <c r="X1133" s="7" t="n">
        <f aca="false">COUNTIFS($B$2:$B$1141,B1133,$H$2:$H$1141,H1133,$I$2:$I$1141,I1133,$J$2:$J$1141,J1133,$K$2:$K$1141,K1133,$L$2:$L$1141,L1133)</f>
        <v>1</v>
      </c>
    </row>
    <row r="1134" customFormat="false" ht="15" hidden="false" customHeight="false" outlineLevel="0" collapsed="false">
      <c r="A1134" s="7" t="n">
        <f aca="false">ROW()-1</f>
        <v>1133</v>
      </c>
      <c r="B1134" s="7" t="str">
        <f aca="false">IF(Raw_Nigeria!B1134="",TRIM(Raw_Nigeria!C1134),TRIM(Raw_Nigeria!B1134))</f>
        <v>Nigeria Demographic and Health Survey 2024</v>
      </c>
      <c r="C1134" s="7" t="str">
        <f aca="false">IF(ISNUMBER(SEARCH("Demographic and Health",B1134)),"DHS",IF(OR(ISNUMBER(SEARCH("Multiple Indicator Cluster",B1134)),ISNUMBER(SEARCH("MICS",B1134))),"MICS",IF(ISNUMBER(SEARCH("Immunization Coverage Survey",B1134)),"Coverage survey",IF(ISNUMBER(SEARCH("Nutrition",B1134)),"Nutrition survey","Other"))))</f>
        <v>DHS</v>
      </c>
      <c r="D1134" s="7" t="n">
        <f aca="false">VALUE(LEFT(Raw_Nigeria!D1134,4))</f>
        <v>2023</v>
      </c>
      <c r="E1134" s="7" t="n">
        <f aca="false">IF(VALUE(RIGHT(Raw_Nigeria!D1134,2))&gt;12,"",VALUE(RIGHT(Raw_Nigeria!D1134,2)))</f>
        <v>12</v>
      </c>
      <c r="F1134" s="7" t="n">
        <f aca="false">VALUE(LEFT(Raw_Nigeria!E1134,4))</f>
        <v>2024</v>
      </c>
      <c r="G1134" s="7" t="n">
        <f aca="false">IF(VALUE(RIGHT(Raw_Nigeria!E1134,2))&gt;12,"",VALUE(RIGHT(Raw_Nigeria!E1134,2)))</f>
        <v>5</v>
      </c>
      <c r="H1134" s="7" t="n">
        <f aca="false">Raw_Nigeria!F1134</f>
        <v>2022</v>
      </c>
      <c r="I1134" s="7" t="str">
        <f aca="false">UPPER(TRIM(Raw_Nigeria!G1134))</f>
        <v>ROTAC</v>
      </c>
      <c r="J1134" s="7" t="str">
        <f aca="false">Raw_Nigeria!H1134</f>
        <v>Record</v>
      </c>
      <c r="K1134" s="7" t="str">
        <f aca="false">Raw_Nigeria!L1134</f>
        <v>12-23 m</v>
      </c>
      <c r="L1134" s="7" t="str">
        <f aca="false">IF(Raw_Nigeria!K1134="","n/a",Raw_Nigeria!K1134)</f>
        <v>0-23 m</v>
      </c>
      <c r="M1134" s="7" t="n">
        <f aca="false">IF(Raw_Nigeria!I1134="","",Raw_Nigeria!I1134)</f>
        <v>50.2</v>
      </c>
      <c r="N1134" s="7" t="n">
        <f aca="false">Raw_Nigeria!M1134</f>
        <v>14.3</v>
      </c>
      <c r="O1134" s="7" t="n">
        <f aca="false">IF(Raw_Nigeria!N1134="","",Raw_Nigeria!N1134)</f>
        <v>2572</v>
      </c>
      <c r="P1134" s="7" t="str">
        <f aca="false">IF(K1134="CBAW","Women of child-bearing age","Children")</f>
        <v>Children</v>
      </c>
      <c r="Q1134" s="7" t="n">
        <f aca="false">IF(J1134="NOT USED",1,0)</f>
        <v>0</v>
      </c>
      <c r="R1134" s="7" t="n">
        <f aca="false">IF(AND(P1134="Children",Q1134=0),1,0)</f>
        <v>1</v>
      </c>
      <c r="S1134" s="7" t="n">
        <f aca="false">IF(AND(R1134=1,J1134="Record or Recall",K1134="12-23 m"),1,0)</f>
        <v>0</v>
      </c>
      <c r="T1134" s="7" t="n">
        <f aca="false">IF(OR(I1134="BCG",I1134="DTP1",I1134="DTP3",I1134="POL3",I1134="MCV1",I1134="FULL"),1,0)</f>
        <v>0</v>
      </c>
      <c r="U1134" s="7" t="n">
        <f aca="false">IF(OR(C1134="DHS",C1134="MICS"),1,0)</f>
        <v>1</v>
      </c>
      <c r="V1134" s="7" t="n">
        <f aca="false">IF(O1134="",1,0)</f>
        <v>0</v>
      </c>
      <c r="W1134" s="7" t="n">
        <f aca="false">IF(M1134="",1,0)</f>
        <v>0</v>
      </c>
      <c r="X1134" s="7" t="n">
        <f aca="false">COUNTIFS($B$2:$B$1141,B1134,$H$2:$H$1141,H1134,$I$2:$I$1141,I1134,$J$2:$J$1141,J1134,$K$2:$K$1141,K1134,$L$2:$L$1141,L1134)</f>
        <v>1</v>
      </c>
    </row>
    <row r="1135" customFormat="false" ht="15" hidden="false" customHeight="false" outlineLevel="0" collapsed="false">
      <c r="A1135" s="7" t="n">
        <f aca="false">ROW()-1</f>
        <v>1134</v>
      </c>
      <c r="B1135" s="7" t="str">
        <f aca="false">IF(Raw_Nigeria!B1135="",TRIM(Raw_Nigeria!C1135),TRIM(Raw_Nigeria!B1135))</f>
        <v>Nigeria Demographic and Health Survey 2024</v>
      </c>
      <c r="C1135" s="7" t="str">
        <f aca="false">IF(ISNUMBER(SEARCH("Demographic and Health",B1135)),"DHS",IF(OR(ISNUMBER(SEARCH("Multiple Indicator Cluster",B1135)),ISNUMBER(SEARCH("MICS",B1135))),"MICS",IF(ISNUMBER(SEARCH("Immunization Coverage Survey",B1135)),"Coverage survey",IF(ISNUMBER(SEARCH("Nutrition",B1135)),"Nutrition survey","Other"))))</f>
        <v>DHS</v>
      </c>
      <c r="D1135" s="7" t="n">
        <f aca="false">VALUE(LEFT(Raw_Nigeria!D1135,4))</f>
        <v>2023</v>
      </c>
      <c r="E1135" s="7" t="n">
        <f aca="false">IF(VALUE(RIGHT(Raw_Nigeria!D1135,2))&gt;12,"",VALUE(RIGHT(Raw_Nigeria!D1135,2)))</f>
        <v>12</v>
      </c>
      <c r="F1135" s="7" t="n">
        <f aca="false">VALUE(LEFT(Raw_Nigeria!E1135,4))</f>
        <v>2024</v>
      </c>
      <c r="G1135" s="7" t="n">
        <f aca="false">IF(VALUE(RIGHT(Raw_Nigeria!E1135,2))&gt;12,"",VALUE(RIGHT(Raw_Nigeria!E1135,2)))</f>
        <v>5</v>
      </c>
      <c r="H1135" s="7" t="n">
        <f aca="false">Raw_Nigeria!F1135</f>
        <v>2022</v>
      </c>
      <c r="I1135" s="7" t="str">
        <f aca="false">UPPER(TRIM(Raw_Nigeria!G1135))</f>
        <v>ROTAC</v>
      </c>
      <c r="J1135" s="7" t="str">
        <f aca="false">Raw_Nigeria!H1135</f>
        <v>Record or Recall</v>
      </c>
      <c r="K1135" s="7" t="str">
        <f aca="false">Raw_Nigeria!L1135</f>
        <v>12-23 m</v>
      </c>
      <c r="L1135" s="7" t="str">
        <f aca="false">IF(Raw_Nigeria!K1135="","n/a",Raw_Nigeria!K1135)</f>
        <v>0-23 m</v>
      </c>
      <c r="M1135" s="7" t="n">
        <f aca="false">IF(Raw_Nigeria!I1135="","",Raw_Nigeria!I1135)</f>
        <v>50.2</v>
      </c>
      <c r="N1135" s="7" t="n">
        <f aca="false">Raw_Nigeria!M1135</f>
        <v>18.3</v>
      </c>
      <c r="O1135" s="7" t="n">
        <f aca="false">IF(Raw_Nigeria!N1135="","",Raw_Nigeria!N1135)</f>
        <v>5121</v>
      </c>
      <c r="P1135" s="7" t="str">
        <f aca="false">IF(K1135="CBAW","Women of child-bearing age","Children")</f>
        <v>Children</v>
      </c>
      <c r="Q1135" s="7" t="n">
        <f aca="false">IF(J1135="NOT USED",1,0)</f>
        <v>0</v>
      </c>
      <c r="R1135" s="7" t="n">
        <f aca="false">IF(AND(P1135="Children",Q1135=0),1,0)</f>
        <v>1</v>
      </c>
      <c r="S1135" s="7" t="n">
        <f aca="false">IF(AND(R1135=1,J1135="Record or Recall",K1135="12-23 m"),1,0)</f>
        <v>1</v>
      </c>
      <c r="T1135" s="7" t="n">
        <f aca="false">IF(OR(I1135="BCG",I1135="DTP1",I1135="DTP3",I1135="POL3",I1135="MCV1",I1135="FULL"),1,0)</f>
        <v>0</v>
      </c>
      <c r="U1135" s="7" t="n">
        <f aca="false">IF(OR(C1135="DHS",C1135="MICS"),1,0)</f>
        <v>1</v>
      </c>
      <c r="V1135" s="7" t="n">
        <f aca="false">IF(O1135="",1,0)</f>
        <v>0</v>
      </c>
      <c r="W1135" s="7" t="n">
        <f aca="false">IF(M1135="",1,0)</f>
        <v>0</v>
      </c>
      <c r="X1135" s="7" t="n">
        <f aca="false">COUNTIFS($B$2:$B$1141,B1135,$H$2:$H$1141,H1135,$I$2:$I$1141,I1135,$J$2:$J$1141,J1135,$K$2:$K$1141,K1135,$L$2:$L$1141,L1135)</f>
        <v>1</v>
      </c>
    </row>
    <row r="1136" customFormat="false" ht="15" hidden="false" customHeight="false" outlineLevel="0" collapsed="false">
      <c r="A1136" s="7" t="n">
        <f aca="false">ROW()-1</f>
        <v>1135</v>
      </c>
      <c r="B1136" s="7" t="str">
        <f aca="false">IF(Raw_Nigeria!B1136="",TRIM(Raw_Nigeria!C1136),TRIM(Raw_Nigeria!B1136))</f>
        <v>Nigeria Demographic and Health Survey 2024</v>
      </c>
      <c r="C1136" s="7" t="str">
        <f aca="false">IF(ISNUMBER(SEARCH("Demographic and Health",B1136)),"DHS",IF(OR(ISNUMBER(SEARCH("Multiple Indicator Cluster",B1136)),ISNUMBER(SEARCH("MICS",B1136))),"MICS",IF(ISNUMBER(SEARCH("Immunization Coverage Survey",B1136)),"Coverage survey",IF(ISNUMBER(SEARCH("Nutrition",B1136)),"Nutrition survey","Other"))))</f>
        <v>DHS</v>
      </c>
      <c r="D1136" s="7" t="n">
        <f aca="false">VALUE(LEFT(Raw_Nigeria!D1136,4))</f>
        <v>2023</v>
      </c>
      <c r="E1136" s="7" t="n">
        <f aca="false">IF(VALUE(RIGHT(Raw_Nigeria!D1136,2))&gt;12,"",VALUE(RIGHT(Raw_Nigeria!D1136,2)))</f>
        <v>12</v>
      </c>
      <c r="F1136" s="7" t="n">
        <f aca="false">VALUE(LEFT(Raw_Nigeria!E1136,4))</f>
        <v>2024</v>
      </c>
      <c r="G1136" s="7" t="n">
        <f aca="false">IF(VALUE(RIGHT(Raw_Nigeria!E1136,2))&gt;12,"",VALUE(RIGHT(Raw_Nigeria!E1136,2)))</f>
        <v>5</v>
      </c>
      <c r="H1136" s="7" t="n">
        <f aca="false">Raw_Nigeria!F1136</f>
        <v>2022</v>
      </c>
      <c r="I1136" s="7" t="str">
        <f aca="false">UPPER(TRIM(Raw_Nigeria!G1136))</f>
        <v>ROTAC</v>
      </c>
      <c r="J1136" s="7" t="str">
        <f aca="false">Raw_Nigeria!H1136</f>
        <v>Record or Recall&lt;12m</v>
      </c>
      <c r="K1136" s="7" t="str">
        <f aca="false">Raw_Nigeria!L1136</f>
        <v>12-23 m</v>
      </c>
      <c r="L1136" s="7" t="str">
        <f aca="false">IF(Raw_Nigeria!K1136="","n/a",Raw_Nigeria!K1136)</f>
        <v>0-12 m</v>
      </c>
      <c r="M1136" s="7" t="n">
        <f aca="false">IF(Raw_Nigeria!I1136="","",Raw_Nigeria!I1136)</f>
        <v>50.2</v>
      </c>
      <c r="N1136" s="7" t="n">
        <f aca="false">Raw_Nigeria!M1136</f>
        <v>16.6</v>
      </c>
      <c r="O1136" s="7" t="n">
        <f aca="false">IF(Raw_Nigeria!N1136="","",Raw_Nigeria!N1136)</f>
        <v>5121</v>
      </c>
      <c r="P1136" s="7" t="str">
        <f aca="false">IF(K1136="CBAW","Women of child-bearing age","Children")</f>
        <v>Children</v>
      </c>
      <c r="Q1136" s="7" t="n">
        <f aca="false">IF(J1136="NOT USED",1,0)</f>
        <v>0</v>
      </c>
      <c r="R1136" s="7" t="n">
        <f aca="false">IF(AND(P1136="Children",Q1136=0),1,0)</f>
        <v>1</v>
      </c>
      <c r="S1136" s="7" t="n">
        <f aca="false">IF(AND(R1136=1,J1136="Record or Recall",K1136="12-23 m"),1,0)</f>
        <v>0</v>
      </c>
      <c r="T1136" s="7" t="n">
        <f aca="false">IF(OR(I1136="BCG",I1136="DTP1",I1136="DTP3",I1136="POL3",I1136="MCV1",I1136="FULL"),1,0)</f>
        <v>0</v>
      </c>
      <c r="U1136" s="7" t="n">
        <f aca="false">IF(OR(C1136="DHS",C1136="MICS"),1,0)</f>
        <v>1</v>
      </c>
      <c r="V1136" s="7" t="n">
        <f aca="false">IF(O1136="",1,0)</f>
        <v>0</v>
      </c>
      <c r="W1136" s="7" t="n">
        <f aca="false">IF(M1136="",1,0)</f>
        <v>0</v>
      </c>
      <c r="X1136" s="7" t="n">
        <f aca="false">COUNTIFS($B$2:$B$1141,B1136,$H$2:$H$1141,H1136,$I$2:$I$1141,I1136,$J$2:$J$1141,J1136,$K$2:$K$1141,K1136,$L$2:$L$1141,L1136)</f>
        <v>1</v>
      </c>
    </row>
    <row r="1137" customFormat="false" ht="15" hidden="false" customHeight="false" outlineLevel="0" collapsed="false">
      <c r="A1137" s="7" t="n">
        <f aca="false">ROW()-1</f>
        <v>1136</v>
      </c>
      <c r="B1137" s="7" t="str">
        <f aca="false">IF(Raw_Nigeria!B1137="",TRIM(Raw_Nigeria!C1137),TRIM(Raw_Nigeria!B1137))</f>
        <v>Nigeria Demographic and Health Survey 2024</v>
      </c>
      <c r="C1137" s="7" t="str">
        <f aca="false">IF(ISNUMBER(SEARCH("Demographic and Health",B1137)),"DHS",IF(OR(ISNUMBER(SEARCH("Multiple Indicator Cluster",B1137)),ISNUMBER(SEARCH("MICS",B1137))),"MICS",IF(ISNUMBER(SEARCH("Immunization Coverage Survey",B1137)),"Coverage survey",IF(ISNUMBER(SEARCH("Nutrition",B1137)),"Nutrition survey","Other"))))</f>
        <v>DHS</v>
      </c>
      <c r="D1137" s="7" t="n">
        <f aca="false">VALUE(LEFT(Raw_Nigeria!D1137,4))</f>
        <v>2023</v>
      </c>
      <c r="E1137" s="7" t="n">
        <f aca="false">IF(VALUE(RIGHT(Raw_Nigeria!D1137,2))&gt;12,"",VALUE(RIGHT(Raw_Nigeria!D1137,2)))</f>
        <v>12</v>
      </c>
      <c r="F1137" s="7" t="n">
        <f aca="false">VALUE(LEFT(Raw_Nigeria!E1137,4))</f>
        <v>2024</v>
      </c>
      <c r="G1137" s="7" t="n">
        <f aca="false">IF(VALUE(RIGHT(Raw_Nigeria!E1137,2))&gt;12,"",VALUE(RIGHT(Raw_Nigeria!E1137,2)))</f>
        <v>5</v>
      </c>
      <c r="H1137" s="7" t="n">
        <f aca="false">Raw_Nigeria!F1137</f>
        <v>2022</v>
      </c>
      <c r="I1137" s="7" t="str">
        <f aca="false">UPPER(TRIM(Raw_Nigeria!G1137))</f>
        <v>TT2+</v>
      </c>
      <c r="J1137" s="7" t="str">
        <f aca="false">Raw_Nigeria!H1137</f>
        <v>Record or Recall</v>
      </c>
      <c r="K1137" s="7" t="str">
        <f aca="false">Raw_Nigeria!L1137</f>
        <v>CBAW</v>
      </c>
      <c r="L1137" s="7" t="str">
        <f aca="false">IF(Raw_Nigeria!K1137="","n/a",Raw_Nigeria!K1137)</f>
        <v>n/a</v>
      </c>
      <c r="M1137" s="7" t="str">
        <f aca="false">IF(Raw_Nigeria!I1137="","",Raw_Nigeria!I1137)</f>
        <v/>
      </c>
      <c r="N1137" s="7" t="n">
        <f aca="false">Raw_Nigeria!M1137</f>
        <v>49.6</v>
      </c>
      <c r="O1137" s="7" t="n">
        <f aca="false">IF(Raw_Nigeria!N1137="","",Raw_Nigeria!N1137)</f>
        <v>10948</v>
      </c>
      <c r="P1137" s="7" t="str">
        <f aca="false">IF(K1137="CBAW","Women of child-bearing age","Children")</f>
        <v>Women of child-bearing age</v>
      </c>
      <c r="Q1137" s="7" t="n">
        <f aca="false">IF(J1137="NOT USED",1,0)</f>
        <v>0</v>
      </c>
      <c r="R1137" s="7" t="n">
        <f aca="false">IF(AND(P1137="Children",Q1137=0),1,0)</f>
        <v>0</v>
      </c>
      <c r="S1137" s="7" t="n">
        <f aca="false">IF(AND(R1137=1,J1137="Record or Recall",K1137="12-23 m"),1,0)</f>
        <v>0</v>
      </c>
      <c r="T1137" s="7" t="n">
        <f aca="false">IF(OR(I1137="BCG",I1137="DTP1",I1137="DTP3",I1137="POL3",I1137="MCV1",I1137="FULL"),1,0)</f>
        <v>0</v>
      </c>
      <c r="U1137" s="7" t="n">
        <f aca="false">IF(OR(C1137="DHS",C1137="MICS"),1,0)</f>
        <v>1</v>
      </c>
      <c r="V1137" s="7" t="n">
        <f aca="false">IF(O1137="",1,0)</f>
        <v>0</v>
      </c>
      <c r="W1137" s="7" t="n">
        <f aca="false">IF(M1137="",1,0)</f>
        <v>1</v>
      </c>
      <c r="X1137" s="7" t="n">
        <f aca="false">COUNTIFS($B$2:$B$1141,B1137,$H$2:$H$1141,H1137,$I$2:$I$1141,I1137,$J$2:$J$1141,J1137,$K$2:$K$1141,K1137,$L$2:$L$1141,L1137)</f>
        <v>1</v>
      </c>
    </row>
    <row r="1138" customFormat="false" ht="15" hidden="false" customHeight="false" outlineLevel="0" collapsed="false">
      <c r="A1138" s="7" t="n">
        <f aca="false">ROW()-1</f>
        <v>1137</v>
      </c>
      <c r="B1138" s="7" t="str">
        <f aca="false">IF(Raw_Nigeria!B1138="",TRIM(Raw_Nigeria!C1138),TRIM(Raw_Nigeria!B1138))</f>
        <v>Nigeria Demographic and Health Survey 2024</v>
      </c>
      <c r="C1138" s="7" t="str">
        <f aca="false">IF(ISNUMBER(SEARCH("Demographic and Health",B1138)),"DHS",IF(OR(ISNUMBER(SEARCH("Multiple Indicator Cluster",B1138)),ISNUMBER(SEARCH("MICS",B1138))),"MICS",IF(ISNUMBER(SEARCH("Immunization Coverage Survey",B1138)),"Coverage survey",IF(ISNUMBER(SEARCH("Nutrition",B1138)),"Nutrition survey","Other"))))</f>
        <v>DHS</v>
      </c>
      <c r="D1138" s="7" t="n">
        <f aca="false">VALUE(LEFT(Raw_Nigeria!D1138,4))</f>
        <v>2023</v>
      </c>
      <c r="E1138" s="7" t="n">
        <f aca="false">IF(VALUE(RIGHT(Raw_Nigeria!D1138,2))&gt;12,"",VALUE(RIGHT(Raw_Nigeria!D1138,2)))</f>
        <v>12</v>
      </c>
      <c r="F1138" s="7" t="n">
        <f aca="false">VALUE(LEFT(Raw_Nigeria!E1138,4))</f>
        <v>2024</v>
      </c>
      <c r="G1138" s="7" t="n">
        <f aca="false">IF(VALUE(RIGHT(Raw_Nigeria!E1138,2))&gt;12,"",VALUE(RIGHT(Raw_Nigeria!E1138,2)))</f>
        <v>5</v>
      </c>
      <c r="H1138" s="7" t="n">
        <f aca="false">Raw_Nigeria!F1138</f>
        <v>2022</v>
      </c>
      <c r="I1138" s="7" t="str">
        <f aca="false">UPPER(TRIM(Raw_Nigeria!G1138))</f>
        <v>YFV</v>
      </c>
      <c r="J1138" s="7" t="str">
        <f aca="false">Raw_Nigeria!H1138</f>
        <v>Recall</v>
      </c>
      <c r="K1138" s="7" t="str">
        <f aca="false">Raw_Nigeria!L1138</f>
        <v>12-23 m</v>
      </c>
      <c r="L1138" s="7" t="str">
        <f aca="false">IF(Raw_Nigeria!K1138="","n/a",Raw_Nigeria!K1138)</f>
        <v>0-23 m</v>
      </c>
      <c r="M1138" s="7" t="n">
        <f aca="false">IF(Raw_Nigeria!I1138="","",Raw_Nigeria!I1138)</f>
        <v>50.2</v>
      </c>
      <c r="N1138" s="7" t="n">
        <f aca="false">Raw_Nigeria!M1138</f>
        <v>11.6</v>
      </c>
      <c r="O1138" s="7" t="n">
        <f aca="false">IF(Raw_Nigeria!N1138="","",Raw_Nigeria!N1138)</f>
        <v>2549</v>
      </c>
      <c r="P1138" s="7" t="str">
        <f aca="false">IF(K1138="CBAW","Women of child-bearing age","Children")</f>
        <v>Children</v>
      </c>
      <c r="Q1138" s="7" t="n">
        <f aca="false">IF(J1138="NOT USED",1,0)</f>
        <v>0</v>
      </c>
      <c r="R1138" s="7" t="n">
        <f aca="false">IF(AND(P1138="Children",Q1138=0),1,0)</f>
        <v>1</v>
      </c>
      <c r="S1138" s="7" t="n">
        <f aca="false">IF(AND(R1138=1,J1138="Record or Recall",K1138="12-23 m"),1,0)</f>
        <v>0</v>
      </c>
      <c r="T1138" s="7" t="n">
        <f aca="false">IF(OR(I1138="BCG",I1138="DTP1",I1138="DTP3",I1138="POL3",I1138="MCV1",I1138="FULL"),1,0)</f>
        <v>0</v>
      </c>
      <c r="U1138" s="7" t="n">
        <f aca="false">IF(OR(C1138="DHS",C1138="MICS"),1,0)</f>
        <v>1</v>
      </c>
      <c r="V1138" s="7" t="n">
        <f aca="false">IF(O1138="",1,0)</f>
        <v>0</v>
      </c>
      <c r="W1138" s="7" t="n">
        <f aca="false">IF(M1138="",1,0)</f>
        <v>0</v>
      </c>
      <c r="X1138" s="7" t="n">
        <f aca="false">COUNTIFS($B$2:$B$1141,B1138,$H$2:$H$1141,H1138,$I$2:$I$1141,I1138,$J$2:$J$1141,J1138,$K$2:$K$1141,K1138,$L$2:$L$1141,L1138)</f>
        <v>1</v>
      </c>
    </row>
    <row r="1139" customFormat="false" ht="15" hidden="false" customHeight="false" outlineLevel="0" collapsed="false">
      <c r="A1139" s="7" t="n">
        <f aca="false">ROW()-1</f>
        <v>1138</v>
      </c>
      <c r="B1139" s="7" t="str">
        <f aca="false">IF(Raw_Nigeria!B1139="",TRIM(Raw_Nigeria!C1139),TRIM(Raw_Nigeria!B1139))</f>
        <v>Nigeria Demographic and Health Survey 2024</v>
      </c>
      <c r="C1139" s="7" t="str">
        <f aca="false">IF(ISNUMBER(SEARCH("Demographic and Health",B1139)),"DHS",IF(OR(ISNUMBER(SEARCH("Multiple Indicator Cluster",B1139)),ISNUMBER(SEARCH("MICS",B1139))),"MICS",IF(ISNUMBER(SEARCH("Immunization Coverage Survey",B1139)),"Coverage survey",IF(ISNUMBER(SEARCH("Nutrition",B1139)),"Nutrition survey","Other"))))</f>
        <v>DHS</v>
      </c>
      <c r="D1139" s="7" t="n">
        <f aca="false">VALUE(LEFT(Raw_Nigeria!D1139,4))</f>
        <v>2023</v>
      </c>
      <c r="E1139" s="7" t="n">
        <f aca="false">IF(VALUE(RIGHT(Raw_Nigeria!D1139,2))&gt;12,"",VALUE(RIGHT(Raw_Nigeria!D1139,2)))</f>
        <v>12</v>
      </c>
      <c r="F1139" s="7" t="n">
        <f aca="false">VALUE(LEFT(Raw_Nigeria!E1139,4))</f>
        <v>2024</v>
      </c>
      <c r="G1139" s="7" t="n">
        <f aca="false">IF(VALUE(RIGHT(Raw_Nigeria!E1139,2))&gt;12,"",VALUE(RIGHT(Raw_Nigeria!E1139,2)))</f>
        <v>5</v>
      </c>
      <c r="H1139" s="7" t="n">
        <f aca="false">Raw_Nigeria!F1139</f>
        <v>2022</v>
      </c>
      <c r="I1139" s="7" t="str">
        <f aca="false">UPPER(TRIM(Raw_Nigeria!G1139))</f>
        <v>YFV</v>
      </c>
      <c r="J1139" s="7" t="str">
        <f aca="false">Raw_Nigeria!H1139</f>
        <v>Record</v>
      </c>
      <c r="K1139" s="7" t="str">
        <f aca="false">Raw_Nigeria!L1139</f>
        <v>12-23 m</v>
      </c>
      <c r="L1139" s="7" t="str">
        <f aca="false">IF(Raw_Nigeria!K1139="","n/a",Raw_Nigeria!K1139)</f>
        <v>0-23 m</v>
      </c>
      <c r="M1139" s="7" t="n">
        <f aca="false">IF(Raw_Nigeria!I1139="","",Raw_Nigeria!I1139)</f>
        <v>50.2</v>
      </c>
      <c r="N1139" s="7" t="n">
        <f aca="false">Raw_Nigeria!M1139</f>
        <v>37.8</v>
      </c>
      <c r="O1139" s="7" t="n">
        <f aca="false">IF(Raw_Nigeria!N1139="","",Raw_Nigeria!N1139)</f>
        <v>2572</v>
      </c>
      <c r="P1139" s="7" t="str">
        <f aca="false">IF(K1139="CBAW","Women of child-bearing age","Children")</f>
        <v>Children</v>
      </c>
      <c r="Q1139" s="7" t="n">
        <f aca="false">IF(J1139="NOT USED",1,0)</f>
        <v>0</v>
      </c>
      <c r="R1139" s="7" t="n">
        <f aca="false">IF(AND(P1139="Children",Q1139=0),1,0)</f>
        <v>1</v>
      </c>
      <c r="S1139" s="7" t="n">
        <f aca="false">IF(AND(R1139=1,J1139="Record or Recall",K1139="12-23 m"),1,0)</f>
        <v>0</v>
      </c>
      <c r="T1139" s="7" t="n">
        <f aca="false">IF(OR(I1139="BCG",I1139="DTP1",I1139="DTP3",I1139="POL3",I1139="MCV1",I1139="FULL"),1,0)</f>
        <v>0</v>
      </c>
      <c r="U1139" s="7" t="n">
        <f aca="false">IF(OR(C1139="DHS",C1139="MICS"),1,0)</f>
        <v>1</v>
      </c>
      <c r="V1139" s="7" t="n">
        <f aca="false">IF(O1139="",1,0)</f>
        <v>0</v>
      </c>
      <c r="W1139" s="7" t="n">
        <f aca="false">IF(M1139="",1,0)</f>
        <v>0</v>
      </c>
      <c r="X1139" s="7" t="n">
        <f aca="false">COUNTIFS($B$2:$B$1141,B1139,$H$2:$H$1141,H1139,$I$2:$I$1141,I1139,$J$2:$J$1141,J1139,$K$2:$K$1141,K1139,$L$2:$L$1141,L1139)</f>
        <v>1</v>
      </c>
    </row>
    <row r="1140" customFormat="false" ht="15" hidden="false" customHeight="false" outlineLevel="0" collapsed="false">
      <c r="A1140" s="7" t="n">
        <f aca="false">ROW()-1</f>
        <v>1139</v>
      </c>
      <c r="B1140" s="7" t="str">
        <f aca="false">IF(Raw_Nigeria!B1140="",TRIM(Raw_Nigeria!C1140),TRIM(Raw_Nigeria!B1140))</f>
        <v>Nigeria Demographic and Health Survey 2024</v>
      </c>
      <c r="C1140" s="7" t="str">
        <f aca="false">IF(ISNUMBER(SEARCH("Demographic and Health",B1140)),"DHS",IF(OR(ISNUMBER(SEARCH("Multiple Indicator Cluster",B1140)),ISNUMBER(SEARCH("MICS",B1140))),"MICS",IF(ISNUMBER(SEARCH("Immunization Coverage Survey",B1140)),"Coverage survey",IF(ISNUMBER(SEARCH("Nutrition",B1140)),"Nutrition survey","Other"))))</f>
        <v>DHS</v>
      </c>
      <c r="D1140" s="7" t="n">
        <f aca="false">VALUE(LEFT(Raw_Nigeria!D1140,4))</f>
        <v>2023</v>
      </c>
      <c r="E1140" s="7" t="n">
        <f aca="false">IF(VALUE(RIGHT(Raw_Nigeria!D1140,2))&gt;12,"",VALUE(RIGHT(Raw_Nigeria!D1140,2)))</f>
        <v>12</v>
      </c>
      <c r="F1140" s="7" t="n">
        <f aca="false">VALUE(LEFT(Raw_Nigeria!E1140,4))</f>
        <v>2024</v>
      </c>
      <c r="G1140" s="7" t="n">
        <f aca="false">IF(VALUE(RIGHT(Raw_Nigeria!E1140,2))&gt;12,"",VALUE(RIGHT(Raw_Nigeria!E1140,2)))</f>
        <v>5</v>
      </c>
      <c r="H1140" s="7" t="n">
        <f aca="false">Raw_Nigeria!F1140</f>
        <v>2022</v>
      </c>
      <c r="I1140" s="7" t="str">
        <f aca="false">UPPER(TRIM(Raw_Nigeria!G1140))</f>
        <v>YFV</v>
      </c>
      <c r="J1140" s="7" t="str">
        <f aca="false">Raw_Nigeria!H1140</f>
        <v>Record or Recall</v>
      </c>
      <c r="K1140" s="7" t="str">
        <f aca="false">Raw_Nigeria!L1140</f>
        <v>12-23 m</v>
      </c>
      <c r="L1140" s="7" t="str">
        <f aca="false">IF(Raw_Nigeria!K1140="","n/a",Raw_Nigeria!K1140)</f>
        <v>0-23 m</v>
      </c>
      <c r="M1140" s="7" t="n">
        <f aca="false">IF(Raw_Nigeria!I1140="","",Raw_Nigeria!I1140)</f>
        <v>50.2</v>
      </c>
      <c r="N1140" s="7" t="n">
        <f aca="false">Raw_Nigeria!M1140</f>
        <v>49.4</v>
      </c>
      <c r="O1140" s="7" t="n">
        <f aca="false">IF(Raw_Nigeria!N1140="","",Raw_Nigeria!N1140)</f>
        <v>5121</v>
      </c>
      <c r="P1140" s="7" t="str">
        <f aca="false">IF(K1140="CBAW","Women of child-bearing age","Children")</f>
        <v>Children</v>
      </c>
      <c r="Q1140" s="7" t="n">
        <f aca="false">IF(J1140="NOT USED",1,0)</f>
        <v>0</v>
      </c>
      <c r="R1140" s="7" t="n">
        <f aca="false">IF(AND(P1140="Children",Q1140=0),1,0)</f>
        <v>1</v>
      </c>
      <c r="S1140" s="7" t="n">
        <f aca="false">IF(AND(R1140=1,J1140="Record or Recall",K1140="12-23 m"),1,0)</f>
        <v>1</v>
      </c>
      <c r="T1140" s="7" t="n">
        <f aca="false">IF(OR(I1140="BCG",I1140="DTP1",I1140="DTP3",I1140="POL3",I1140="MCV1",I1140="FULL"),1,0)</f>
        <v>0</v>
      </c>
      <c r="U1140" s="7" t="n">
        <f aca="false">IF(OR(C1140="DHS",C1140="MICS"),1,0)</f>
        <v>1</v>
      </c>
      <c r="V1140" s="7" t="n">
        <f aca="false">IF(O1140="",1,0)</f>
        <v>0</v>
      </c>
      <c r="W1140" s="7" t="n">
        <f aca="false">IF(M1140="",1,0)</f>
        <v>0</v>
      </c>
      <c r="X1140" s="7" t="n">
        <f aca="false">COUNTIFS($B$2:$B$1141,B1140,$H$2:$H$1141,H1140,$I$2:$I$1141,I1140,$J$2:$J$1141,J1140,$K$2:$K$1141,K1140,$L$2:$L$1141,L1140)</f>
        <v>1</v>
      </c>
    </row>
    <row r="1141" customFormat="false" ht="15" hidden="false" customHeight="false" outlineLevel="0" collapsed="false">
      <c r="A1141" s="7" t="n">
        <f aca="false">ROW()-1</f>
        <v>1140</v>
      </c>
      <c r="B1141" s="7" t="str">
        <f aca="false">IF(Raw_Nigeria!B1141="",TRIM(Raw_Nigeria!C1141),TRIM(Raw_Nigeria!B1141))</f>
        <v>Nigeria Demographic and Health Survey 2024</v>
      </c>
      <c r="C1141" s="7" t="str">
        <f aca="false">IF(ISNUMBER(SEARCH("Demographic and Health",B1141)),"DHS",IF(OR(ISNUMBER(SEARCH("Multiple Indicator Cluster",B1141)),ISNUMBER(SEARCH("MICS",B1141))),"MICS",IF(ISNUMBER(SEARCH("Immunization Coverage Survey",B1141)),"Coverage survey",IF(ISNUMBER(SEARCH("Nutrition",B1141)),"Nutrition survey","Other"))))</f>
        <v>DHS</v>
      </c>
      <c r="D1141" s="7" t="n">
        <f aca="false">VALUE(LEFT(Raw_Nigeria!D1141,4))</f>
        <v>2023</v>
      </c>
      <c r="E1141" s="7" t="n">
        <f aca="false">IF(VALUE(RIGHT(Raw_Nigeria!D1141,2))&gt;12,"",VALUE(RIGHT(Raw_Nigeria!D1141,2)))</f>
        <v>12</v>
      </c>
      <c r="F1141" s="7" t="n">
        <f aca="false">VALUE(LEFT(Raw_Nigeria!E1141,4))</f>
        <v>2024</v>
      </c>
      <c r="G1141" s="7" t="n">
        <f aca="false">IF(VALUE(RIGHT(Raw_Nigeria!E1141,2))&gt;12,"",VALUE(RIGHT(Raw_Nigeria!E1141,2)))</f>
        <v>5</v>
      </c>
      <c r="H1141" s="7" t="n">
        <f aca="false">Raw_Nigeria!F1141</f>
        <v>2022</v>
      </c>
      <c r="I1141" s="7" t="str">
        <f aca="false">UPPER(TRIM(Raw_Nigeria!G1141))</f>
        <v>YFV</v>
      </c>
      <c r="J1141" s="7" t="str">
        <f aca="false">Raw_Nigeria!H1141</f>
        <v>Record or Recall&lt;12m</v>
      </c>
      <c r="K1141" s="7" t="str">
        <f aca="false">Raw_Nigeria!L1141</f>
        <v>12-23 m</v>
      </c>
      <c r="L1141" s="7" t="str">
        <f aca="false">IF(Raw_Nigeria!K1141="","n/a",Raw_Nigeria!K1141)</f>
        <v>0-12 m</v>
      </c>
      <c r="M1141" s="7" t="n">
        <f aca="false">IF(Raw_Nigeria!I1141="","",Raw_Nigeria!I1141)</f>
        <v>50.2</v>
      </c>
      <c r="N1141" s="7" t="n">
        <f aca="false">Raw_Nigeria!M1141</f>
        <v>45.5</v>
      </c>
      <c r="O1141" s="7" t="n">
        <f aca="false">IF(Raw_Nigeria!N1141="","",Raw_Nigeria!N1141)</f>
        <v>5121</v>
      </c>
      <c r="P1141" s="7" t="str">
        <f aca="false">IF(K1141="CBAW","Women of child-bearing age","Children")</f>
        <v>Children</v>
      </c>
      <c r="Q1141" s="7" t="n">
        <f aca="false">IF(J1141="NOT USED",1,0)</f>
        <v>0</v>
      </c>
      <c r="R1141" s="7" t="n">
        <f aca="false">IF(AND(P1141="Children",Q1141=0),1,0)</f>
        <v>1</v>
      </c>
      <c r="S1141" s="7" t="n">
        <f aca="false">IF(AND(R1141=1,J1141="Record or Recall",K1141="12-23 m"),1,0)</f>
        <v>0</v>
      </c>
      <c r="T1141" s="7" t="n">
        <f aca="false">IF(OR(I1141="BCG",I1141="DTP1",I1141="DTP3",I1141="POL3",I1141="MCV1",I1141="FULL"),1,0)</f>
        <v>0</v>
      </c>
      <c r="U1141" s="7" t="n">
        <f aca="false">IF(OR(C1141="DHS",C1141="MICS"),1,0)</f>
        <v>1</v>
      </c>
      <c r="V1141" s="7" t="n">
        <f aca="false">IF(O1141="",1,0)</f>
        <v>0</v>
      </c>
      <c r="W1141" s="7" t="n">
        <f aca="false">IF(M1141="",1,0)</f>
        <v>0</v>
      </c>
      <c r="X1141" s="7" t="n">
        <f aca="false">COUNTIFS($B$2:$B$1141,B1141,$H$2:$H$1141,H1141,$I$2:$I$1141,I1141,$J$2:$J$1141,J1141,$K$2:$K$1141,K1141,$L$2:$L$1141,L1141)</f>
        <v>1</v>
      </c>
    </row>
  </sheetData>
  <autoFilter ref="A1:X1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</row>
    <row r="5" customFormat="false" ht="23.85" hidden="false" customHeight="false" outlineLevel="0" collapsed="false">
      <c r="A5" s="8" t="n">
        <v>1</v>
      </c>
      <c r="B5" s="8" t="s">
        <v>203</v>
      </c>
      <c r="C5" s="8" t="s">
        <v>46</v>
      </c>
      <c r="D5" s="8" t="n">
        <f aca="false">COUNTBLANK(Raw_Nigeria!$B$2:$B$1141)</f>
        <v>122</v>
      </c>
      <c r="E5" s="8" t="s">
        <v>204</v>
      </c>
      <c r="F5" s="8" t="s">
        <v>205</v>
      </c>
    </row>
    <row r="6" customFormat="false" ht="23.85" hidden="false" customHeight="false" outlineLevel="0" collapsed="false">
      <c r="A6" s="8" t="n">
        <v>2</v>
      </c>
      <c r="B6" s="8" t="s">
        <v>206</v>
      </c>
      <c r="C6" s="8" t="s">
        <v>207</v>
      </c>
      <c r="D6" s="8" t="n">
        <f aca="false">SUMPRODUCT(--(((Clean_Data!$E$2:$E$1141="")+(Clean_Data!$G$2:$G$1141=""))&gt;0))</f>
        <v>58</v>
      </c>
      <c r="E6" s="8" t="s">
        <v>208</v>
      </c>
      <c r="F6" s="8" t="s">
        <v>209</v>
      </c>
    </row>
    <row r="7" customFormat="false" ht="23.85" hidden="false" customHeight="false" outlineLevel="0" collapsed="false">
      <c r="A7" s="8" t="n">
        <v>3</v>
      </c>
      <c r="B7" s="8" t="s">
        <v>210</v>
      </c>
      <c r="C7" s="8" t="s">
        <v>58</v>
      </c>
      <c r="D7" s="8" t="n">
        <f aca="false">SUM(Clean_Data!$V$2:$V$1141)</f>
        <v>94</v>
      </c>
      <c r="E7" s="8" t="s">
        <v>211</v>
      </c>
      <c r="F7" s="8" t="s">
        <v>212</v>
      </c>
    </row>
    <row r="8" customFormat="false" ht="15" hidden="false" customHeight="false" outlineLevel="0" collapsed="false">
      <c r="A8" s="8" t="n">
        <v>4</v>
      </c>
      <c r="B8" s="8" t="s">
        <v>213</v>
      </c>
      <c r="C8" s="8" t="s">
        <v>53</v>
      </c>
      <c r="D8" s="8" t="n">
        <f aca="false">SUM(Clean_Data!$W$2:$W$1141)</f>
        <v>373</v>
      </c>
      <c r="E8" s="8" t="s">
        <v>214</v>
      </c>
      <c r="F8" s="8" t="s">
        <v>215</v>
      </c>
    </row>
    <row r="9" customFormat="false" ht="23.85" hidden="false" customHeight="false" outlineLevel="0" collapsed="false">
      <c r="A9" s="8" t="n">
        <v>5</v>
      </c>
      <c r="B9" s="8" t="s">
        <v>216</v>
      </c>
      <c r="C9" s="8" t="s">
        <v>217</v>
      </c>
      <c r="D9" s="8" t="n">
        <f aca="false">COUNTIF(Clean_Data!$P$2:$P$1141,"Women of child-bearing age")</f>
        <v>33</v>
      </c>
      <c r="E9" s="8" t="s">
        <v>218</v>
      </c>
      <c r="F9" s="8" t="s">
        <v>219</v>
      </c>
    </row>
    <row r="10" customFormat="false" ht="23.85" hidden="false" customHeight="false" outlineLevel="0" collapsed="false">
      <c r="A10" s="8" t="n">
        <v>6</v>
      </c>
      <c r="B10" s="8" t="s">
        <v>220</v>
      </c>
      <c r="C10" s="8" t="s">
        <v>55</v>
      </c>
      <c r="D10" s="8" t="n">
        <f aca="false">COUNTIF(Clean_Data!$L$2:$L$1141,"n/a")</f>
        <v>33</v>
      </c>
      <c r="E10" s="8" t="s">
        <v>221</v>
      </c>
      <c r="F10" s="8" t="s">
        <v>222</v>
      </c>
    </row>
    <row r="11" customFormat="false" ht="15" hidden="false" customHeight="false" outlineLevel="0" collapsed="false">
      <c r="A11" s="8" t="n">
        <v>7</v>
      </c>
      <c r="B11" s="8" t="s">
        <v>223</v>
      </c>
      <c r="C11" s="8" t="s">
        <v>52</v>
      </c>
      <c r="D11" s="8" t="n">
        <f aca="false">COUNTIF(Raw_Nigeria!$H$2:$H$1141,"NOT USED")</f>
        <v>7</v>
      </c>
      <c r="E11" s="8" t="s">
        <v>224</v>
      </c>
      <c r="F11" s="8" t="s">
        <v>225</v>
      </c>
    </row>
    <row r="12" customFormat="false" ht="23.85" hidden="false" customHeight="false" outlineLevel="0" collapsed="false">
      <c r="A12" s="8" t="n">
        <v>8</v>
      </c>
      <c r="B12" s="8" t="s">
        <v>226</v>
      </c>
      <c r="C12" s="8" t="s">
        <v>51</v>
      </c>
      <c r="D12" s="8" t="n">
        <f aca="false">SUMPRODUCT(--NOT(EXACT(Raw_Nigeria!$G$2:$G$1141,UPPER(Raw_Nigeria!$G$2:$G$1141))))</f>
        <v>8</v>
      </c>
      <c r="E12" s="8" t="s">
        <v>227</v>
      </c>
      <c r="F12" s="8" t="s">
        <v>228</v>
      </c>
    </row>
    <row r="13" customFormat="false" ht="23.85" hidden="false" customHeight="false" outlineLevel="0" collapsed="false">
      <c r="A13" s="8" t="n">
        <v>9</v>
      </c>
      <c r="B13" s="8" t="s">
        <v>229</v>
      </c>
      <c r="C13" s="8" t="s">
        <v>230</v>
      </c>
      <c r="D13" s="8" t="n">
        <f aca="false">COUNTIF(Clean_Data!$X$2:$X$1141,"&gt;1")</f>
        <v>0</v>
      </c>
      <c r="E13" s="8" t="s">
        <v>231</v>
      </c>
      <c r="F13" s="8" t="s">
        <v>232</v>
      </c>
    </row>
    <row r="14" customFormat="false" ht="15" hidden="false" customHeight="false" outlineLevel="0" collapsed="false">
      <c r="A14" s="8" t="n">
        <v>10</v>
      </c>
      <c r="B14" s="8" t="s">
        <v>233</v>
      </c>
      <c r="C14" s="8" t="s">
        <v>57</v>
      </c>
      <c r="D14" s="8" t="n">
        <f aca="false">COUNTIF(Clean_Data!$N$2:$N$1141,"&lt;0")+COUNTIF(Clean_Data!$N$2:$N$1141,"&gt;100")</f>
        <v>0</v>
      </c>
      <c r="E14" s="8" t="s">
        <v>234</v>
      </c>
      <c r="F14" s="8" t="s">
        <v>235</v>
      </c>
    </row>
    <row r="15" customFormat="false" ht="23.85" hidden="false" customHeight="false" outlineLevel="0" collapsed="false">
      <c r="A15" s="8" t="n">
        <v>11</v>
      </c>
      <c r="B15" s="8" t="s">
        <v>236</v>
      </c>
      <c r="C15" s="8" t="s">
        <v>54</v>
      </c>
      <c r="D15" s="8" t="n">
        <f aca="false">COUNTIF(Raw_Nigeria!$J$2:$J$1141,"CRUDE")</f>
        <v>1140</v>
      </c>
      <c r="E15" s="8" t="s">
        <v>237</v>
      </c>
      <c r="F15" s="8" t="s">
        <v>238</v>
      </c>
    </row>
    <row r="16" customFormat="false" ht="35.05" hidden="false" customHeight="false" outlineLevel="0" collapsed="false">
      <c r="A16" s="8" t="n">
        <v>12</v>
      </c>
      <c r="B16" s="8" t="s">
        <v>239</v>
      </c>
      <c r="C16" s="8" t="s">
        <v>240</v>
      </c>
      <c r="D16" s="8" t="s">
        <v>241</v>
      </c>
      <c r="E16" s="8" t="s">
        <v>242</v>
      </c>
      <c r="F16" s="8" t="s">
        <v>243</v>
      </c>
    </row>
    <row r="18" customFormat="false" ht="15" hidden="false" customHeight="false" outlineLevel="0" collapsed="false">
      <c r="A18" s="6" t="s">
        <v>244</v>
      </c>
    </row>
    <row r="19" customFormat="false" ht="15" hidden="false" customHeight="false" outlineLevel="0" collapsed="false">
      <c r="B19" s="7" t="s">
        <v>245</v>
      </c>
      <c r="D19" s="7" t="n">
        <f aca="false">COUNTA(Raw_Nigeria!$A$2:$A$1141)</f>
        <v>1140</v>
      </c>
    </row>
    <row r="20" customFormat="false" ht="15" hidden="false" customHeight="false" outlineLevel="0" collapsed="false">
      <c r="B20" s="7" t="s">
        <v>246</v>
      </c>
      <c r="D20" s="7" t="n">
        <f aca="false">COUNTA(Surveys!A5:A100)</f>
        <v>22</v>
      </c>
    </row>
    <row r="21" customFormat="false" ht="15" hidden="false" customHeight="false" outlineLevel="0" collapsed="false">
      <c r="B21" s="7" t="s">
        <v>247</v>
      </c>
      <c r="D21" s="7" t="n">
        <f aca="false">SUM(Clean_Data!$S$2:$S$1141)</f>
        <v>217</v>
      </c>
    </row>
    <row r="22" customFormat="false" ht="15" hidden="false" customHeight="false" outlineLevel="0" collapsed="false">
      <c r="B22" s="7" t="s">
        <v>248</v>
      </c>
      <c r="D22" s="7" t="n">
        <f aca="false">SUMPRODUCT(Clean_Data!$S$2:$S$1141,Clean_Data!$T$2:$T$1141)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23.85" hidden="false" customHeight="false" outlineLevel="0" collapsed="false">
      <c r="A4" s="3" t="s">
        <v>174</v>
      </c>
      <c r="B4" s="3" t="s">
        <v>251</v>
      </c>
      <c r="C4" s="3" t="s">
        <v>178</v>
      </c>
      <c r="D4" s="3" t="s">
        <v>252</v>
      </c>
      <c r="E4" s="3" t="s">
        <v>253</v>
      </c>
      <c r="F4" s="3" t="s">
        <v>254</v>
      </c>
      <c r="G4" s="3" t="s">
        <v>255</v>
      </c>
    </row>
    <row r="5" customFormat="false" ht="15" hidden="false" customHeight="false" outlineLevel="0" collapsed="false">
      <c r="A5" s="7" t="s">
        <v>60</v>
      </c>
      <c r="B5" s="7" t="str">
        <f aca="false">INDEX(Clean_Data!$C$2:$C$1141,MATCH(A5,Clean_Data!$B$2:$B$1141,0))</f>
        <v>Other</v>
      </c>
      <c r="C5" s="7" t="n">
        <f aca="false">INDEX(Clean_Data!$F$2:$F$1141,MATCH(A5,Clean_Data!$B$2:$B$1141,0))</f>
        <v>1985</v>
      </c>
      <c r="D5" s="7" t="n">
        <f aca="false">COUNTIF(Clean_Data!$B$2:$B$1141,A5)</f>
        <v>18</v>
      </c>
      <c r="E5" s="7" t="n">
        <f aca="false">COUNTIFS(Clean_Data!$B$2:$B$1141,A5,Clean_Data!$R$2:$R$1141,1)</f>
        <v>12</v>
      </c>
      <c r="F5" s="7" t="n">
        <f aca="false">COUNTIFS(Clean_Data!$B$2:$B$1141,A5,Clean_Data!$S$2:$S$1141,1)</f>
        <v>12</v>
      </c>
      <c r="G5" s="7" t="str">
        <f aca="false">IF(COUNTIFS(Clean_Data!$B$2:$B$1141,A5,Clean_Data!$S$2:$S$1141,1,Clean_Data!$T$2:$T$1141,1)&gt;0,"Yes","No")</f>
        <v>Yes</v>
      </c>
    </row>
    <row r="6" customFormat="false" ht="15" hidden="false" customHeight="false" outlineLevel="0" collapsed="false">
      <c r="A6" s="7" t="s">
        <v>75</v>
      </c>
      <c r="B6" s="7" t="str">
        <f aca="false">INDEX(Clean_Data!$C$2:$C$1141,MATCH(A6,Clean_Data!$B$2:$B$1141,0))</f>
        <v>DHS</v>
      </c>
      <c r="C6" s="7" t="n">
        <f aca="false">INDEX(Clean_Data!$F$2:$F$1141,MATCH(A6,Clean_Data!$B$2:$B$1141,0))</f>
        <v>1990</v>
      </c>
      <c r="D6" s="7" t="n">
        <f aca="false">COUNTIF(Clean_Data!$B$2:$B$1141,A6)</f>
        <v>57</v>
      </c>
      <c r="E6" s="7" t="n">
        <f aca="false">COUNTIFS(Clean_Data!$B$2:$B$1141,A6,Clean_Data!$R$2:$R$1141,1)</f>
        <v>56</v>
      </c>
      <c r="F6" s="7" t="n">
        <f aca="false">COUNTIFS(Clean_Data!$B$2:$B$1141,A6,Clean_Data!$S$2:$S$1141,1)</f>
        <v>7</v>
      </c>
      <c r="G6" s="7" t="str">
        <f aca="false">IF(COUNTIFS(Clean_Data!$B$2:$B$1141,A6,Clean_Data!$S$2:$S$1141,1,Clean_Data!$T$2:$T$1141,1)&gt;0,"Yes","No")</f>
        <v>Yes</v>
      </c>
    </row>
    <row r="7" customFormat="false" ht="15" hidden="false" customHeight="false" outlineLevel="0" collapsed="false">
      <c r="A7" s="7" t="s">
        <v>84</v>
      </c>
      <c r="B7" s="7" t="str">
        <f aca="false">INDEX(Clean_Data!$C$2:$C$1141,MATCH(A7,Clean_Data!$B$2:$B$1141,0))</f>
        <v>Coverage survey</v>
      </c>
      <c r="C7" s="7" t="n">
        <f aca="false">INDEX(Clean_Data!$F$2:$F$1141,MATCH(A7,Clean_Data!$B$2:$B$1141,0))</f>
        <v>1988</v>
      </c>
      <c r="D7" s="7" t="n">
        <f aca="false">COUNTIF(Clean_Data!$B$2:$B$1141,A7)</f>
        <v>15</v>
      </c>
      <c r="E7" s="7" t="n">
        <f aca="false">COUNTIFS(Clean_Data!$B$2:$B$1141,A7,Clean_Data!$R$2:$R$1141,1)</f>
        <v>15</v>
      </c>
      <c r="F7" s="7" t="n">
        <f aca="false">COUNTIFS(Clean_Data!$B$2:$B$1141,A7,Clean_Data!$S$2:$S$1141,1)</f>
        <v>5</v>
      </c>
      <c r="G7" s="7" t="str">
        <f aca="false">IF(COUNTIFS(Clean_Data!$B$2:$B$1141,A7,Clean_Data!$S$2:$S$1141,1,Clean_Data!$T$2:$T$1141,1)&gt;0,"Yes","No")</f>
        <v>Yes</v>
      </c>
    </row>
    <row r="8" customFormat="false" ht="15" hidden="false" customHeight="false" outlineLevel="0" collapsed="false">
      <c r="A8" s="7" t="s">
        <v>89</v>
      </c>
      <c r="B8" s="7" t="str">
        <f aca="false">INDEX(Clean_Data!$C$2:$C$1141,MATCH(A8,Clean_Data!$B$2:$B$1141,0))</f>
        <v>Other</v>
      </c>
      <c r="C8" s="7" t="n">
        <f aca="false">INDEX(Clean_Data!$F$2:$F$1141,MATCH(A8,Clean_Data!$B$2:$B$1141,0))</f>
        <v>1988</v>
      </c>
      <c r="D8" s="7" t="n">
        <f aca="false">COUNTIF(Clean_Data!$B$2:$B$1141,A8)</f>
        <v>1</v>
      </c>
      <c r="E8" s="7" t="n">
        <f aca="false">COUNTIFS(Clean_Data!$B$2:$B$1141,A8,Clean_Data!$R$2:$R$1141,1)</f>
        <v>0</v>
      </c>
      <c r="F8" s="7" t="n">
        <f aca="false">COUNTIFS(Clean_Data!$B$2:$B$1141,A8,Clean_Data!$S$2:$S$1141,1)</f>
        <v>0</v>
      </c>
      <c r="G8" s="7" t="str">
        <f aca="false">IF(COUNTIFS(Clean_Data!$B$2:$B$1141,A8,Clean_Data!$S$2:$S$1141,1,Clean_Data!$T$2:$T$1141,1)&gt;0,"Yes","No")</f>
        <v>No</v>
      </c>
    </row>
    <row r="9" customFormat="false" ht="15" hidden="false" customHeight="false" outlineLevel="0" collapsed="false">
      <c r="A9" s="7" t="s">
        <v>93</v>
      </c>
      <c r="B9" s="7" t="str">
        <f aca="false">INDEX(Clean_Data!$C$2:$C$1141,MATCH(A9,Clean_Data!$B$2:$B$1141,0))</f>
        <v>MICS</v>
      </c>
      <c r="C9" s="7" t="n">
        <f aca="false">INDEX(Clean_Data!$F$2:$F$1141,MATCH(A9,Clean_Data!$B$2:$B$1141,0))</f>
        <v>1995</v>
      </c>
      <c r="D9" s="7" t="n">
        <f aca="false">COUNTIF(Clean_Data!$B$2:$B$1141,A9)</f>
        <v>15</v>
      </c>
      <c r="E9" s="7" t="n">
        <f aca="false">COUNTIFS(Clean_Data!$B$2:$B$1141,A9,Clean_Data!$R$2:$R$1141,1)</f>
        <v>14</v>
      </c>
      <c r="F9" s="7" t="n">
        <f aca="false">COUNTIFS(Clean_Data!$B$2:$B$1141,A9,Clean_Data!$S$2:$S$1141,1)</f>
        <v>5</v>
      </c>
      <c r="G9" s="7" t="str">
        <f aca="false">IF(COUNTIFS(Clean_Data!$B$2:$B$1141,A9,Clean_Data!$S$2:$S$1141,1,Clean_Data!$T$2:$T$1141,1)&gt;0,"Yes","No")</f>
        <v>Yes</v>
      </c>
    </row>
    <row r="10" customFormat="false" ht="15" hidden="false" customHeight="false" outlineLevel="0" collapsed="false">
      <c r="A10" s="7" t="s">
        <v>99</v>
      </c>
      <c r="B10" s="7" t="str">
        <f aca="false">INDEX(Clean_Data!$C$2:$C$1141,MATCH(A10,Clean_Data!$B$2:$B$1141,0))</f>
        <v>MICS</v>
      </c>
      <c r="C10" s="7" t="n">
        <f aca="false">INDEX(Clean_Data!$F$2:$F$1141,MATCH(A10,Clean_Data!$B$2:$B$1141,0))</f>
        <v>1999</v>
      </c>
      <c r="D10" s="7" t="n">
        <f aca="false">COUNTIF(Clean_Data!$B$2:$B$1141,A10)</f>
        <v>16</v>
      </c>
      <c r="E10" s="7" t="n">
        <f aca="false">COUNTIFS(Clean_Data!$B$2:$B$1141,A10,Clean_Data!$R$2:$R$1141,1)</f>
        <v>16</v>
      </c>
      <c r="F10" s="7" t="n">
        <f aca="false">COUNTIFS(Clean_Data!$B$2:$B$1141,A10,Clean_Data!$S$2:$S$1141,1)</f>
        <v>7</v>
      </c>
      <c r="G10" s="7" t="str">
        <f aca="false">IF(COUNTIFS(Clean_Data!$B$2:$B$1141,A10,Clean_Data!$S$2:$S$1141,1,Clean_Data!$T$2:$T$1141,1)&gt;0,"Yes","No")</f>
        <v>Yes</v>
      </c>
    </row>
    <row r="11" customFormat="false" ht="15" hidden="false" customHeight="false" outlineLevel="0" collapsed="false">
      <c r="A11" s="7" t="s">
        <v>256</v>
      </c>
      <c r="B11" s="7" t="str">
        <f aca="false">INDEX(Clean_Data!$C$2:$C$1141,MATCH(A11,Clean_Data!$B$2:$B$1141,0))</f>
        <v>DHS</v>
      </c>
      <c r="C11" s="7" t="n">
        <f aca="false">INDEX(Clean_Data!$F$2:$F$1141,MATCH(A11,Clean_Data!$B$2:$B$1141,0))</f>
        <v>1999</v>
      </c>
      <c r="D11" s="7" t="n">
        <f aca="false">COUNTIF(Clean_Data!$B$2:$B$1141,A11)</f>
        <v>29</v>
      </c>
      <c r="E11" s="7" t="n">
        <f aca="false">COUNTIFS(Clean_Data!$B$2:$B$1141,A11,Clean_Data!$R$2:$R$1141,1)</f>
        <v>28</v>
      </c>
      <c r="F11" s="7" t="n">
        <f aca="false">COUNTIFS(Clean_Data!$B$2:$B$1141,A11,Clean_Data!$S$2:$S$1141,1)</f>
        <v>7</v>
      </c>
      <c r="G11" s="7" t="str">
        <f aca="false">IF(COUNTIFS(Clean_Data!$B$2:$B$1141,A11,Clean_Data!$S$2:$S$1141,1,Clean_Data!$T$2:$T$1141,1)&gt;0,"Yes","No")</f>
        <v>Yes</v>
      </c>
    </row>
    <row r="12" customFormat="false" ht="15" hidden="false" customHeight="false" outlineLevel="0" collapsed="false">
      <c r="A12" s="7" t="s">
        <v>101</v>
      </c>
      <c r="B12" s="7" t="str">
        <f aca="false">INDEX(Clean_Data!$C$2:$C$1141,MATCH(A12,Clean_Data!$B$2:$B$1141,0))</f>
        <v>DHS</v>
      </c>
      <c r="C12" s="7" t="n">
        <f aca="false">INDEX(Clean_Data!$F$2:$F$1141,MATCH(A12,Clean_Data!$B$2:$B$1141,0))</f>
        <v>2003</v>
      </c>
      <c r="D12" s="7" t="n">
        <f aca="false">COUNTIF(Clean_Data!$B$2:$B$1141,A12)</f>
        <v>29</v>
      </c>
      <c r="E12" s="7" t="n">
        <f aca="false">COUNTIFS(Clean_Data!$B$2:$B$1141,A12,Clean_Data!$R$2:$R$1141,1)</f>
        <v>28</v>
      </c>
      <c r="F12" s="7" t="n">
        <f aca="false">COUNTIFS(Clean_Data!$B$2:$B$1141,A12,Clean_Data!$S$2:$S$1141,1)</f>
        <v>7</v>
      </c>
      <c r="G12" s="7" t="str">
        <f aca="false">IF(COUNTIFS(Clean_Data!$B$2:$B$1141,A12,Clean_Data!$S$2:$S$1141,1,Clean_Data!$T$2:$T$1141,1)&gt;0,"Yes","No")</f>
        <v>Yes</v>
      </c>
    </row>
    <row r="13" customFormat="false" ht="15" hidden="false" customHeight="false" outlineLevel="0" collapsed="false">
      <c r="A13" s="7" t="s">
        <v>104</v>
      </c>
      <c r="B13" s="7" t="str">
        <f aca="false">INDEX(Clean_Data!$C$2:$C$1141,MATCH(A13,Clean_Data!$B$2:$B$1141,0))</f>
        <v>Coverage survey</v>
      </c>
      <c r="C13" s="7" t="n">
        <f aca="false">INDEX(Clean_Data!$F$2:$F$1141,MATCH(A13,Clean_Data!$B$2:$B$1141,0))</f>
        <v>2003</v>
      </c>
      <c r="D13" s="7" t="n">
        <f aca="false">COUNTIF(Clean_Data!$B$2:$B$1141,A13)</f>
        <v>8</v>
      </c>
      <c r="E13" s="7" t="n">
        <f aca="false">COUNTIFS(Clean_Data!$B$2:$B$1141,A13,Clean_Data!$R$2:$R$1141,1)</f>
        <v>7</v>
      </c>
      <c r="F13" s="7" t="n">
        <f aca="false">COUNTIFS(Clean_Data!$B$2:$B$1141,A13,Clean_Data!$S$2:$S$1141,1)</f>
        <v>7</v>
      </c>
      <c r="G13" s="7" t="str">
        <f aca="false">IF(COUNTIFS(Clean_Data!$B$2:$B$1141,A13,Clean_Data!$S$2:$S$1141,1,Clean_Data!$T$2:$T$1141,1)&gt;0,"Yes","No")</f>
        <v>Yes</v>
      </c>
    </row>
    <row r="14" customFormat="false" ht="15" hidden="false" customHeight="false" outlineLevel="0" collapsed="false">
      <c r="A14" s="7" t="s">
        <v>107</v>
      </c>
      <c r="B14" s="7" t="str">
        <f aca="false">INDEX(Clean_Data!$C$2:$C$1141,MATCH(A14,Clean_Data!$B$2:$B$1141,0))</f>
        <v>Coverage survey</v>
      </c>
      <c r="C14" s="7" t="n">
        <f aca="false">INDEX(Clean_Data!$F$2:$F$1141,MATCH(A14,Clean_Data!$B$2:$B$1141,0))</f>
        <v>2006</v>
      </c>
      <c r="D14" s="7" t="n">
        <f aca="false">COUNTIF(Clean_Data!$B$2:$B$1141,A14)</f>
        <v>21</v>
      </c>
      <c r="E14" s="7" t="n">
        <f aca="false">COUNTIFS(Clean_Data!$B$2:$B$1141,A14,Clean_Data!$R$2:$R$1141,1)</f>
        <v>21</v>
      </c>
      <c r="F14" s="7" t="n">
        <f aca="false">COUNTIFS(Clean_Data!$B$2:$B$1141,A14,Clean_Data!$S$2:$S$1141,1)</f>
        <v>11</v>
      </c>
      <c r="G14" s="7" t="str">
        <f aca="false">IF(COUNTIFS(Clean_Data!$B$2:$B$1141,A14,Clean_Data!$S$2:$S$1141,1,Clean_Data!$T$2:$T$1141,1)&gt;0,"Yes","No")</f>
        <v>Yes</v>
      </c>
    </row>
    <row r="15" customFormat="false" ht="15" hidden="false" customHeight="false" outlineLevel="0" collapsed="false">
      <c r="A15" s="7" t="s">
        <v>112</v>
      </c>
      <c r="B15" s="7" t="str">
        <f aca="false">INDEX(Clean_Data!$C$2:$C$1141,MATCH(A15,Clean_Data!$B$2:$B$1141,0))</f>
        <v>MICS</v>
      </c>
      <c r="C15" s="7" t="n">
        <f aca="false">INDEX(Clean_Data!$F$2:$F$1141,MATCH(A15,Clean_Data!$B$2:$B$1141,0))</f>
        <v>2007</v>
      </c>
      <c r="D15" s="7" t="n">
        <f aca="false">COUNTIF(Clean_Data!$B$2:$B$1141,A15)</f>
        <v>30</v>
      </c>
      <c r="E15" s="7" t="n">
        <f aca="false">COUNTIFS(Clean_Data!$B$2:$B$1141,A15,Clean_Data!$R$2:$R$1141,1)</f>
        <v>28</v>
      </c>
      <c r="F15" s="7" t="n">
        <f aca="false">COUNTIFS(Clean_Data!$B$2:$B$1141,A15,Clean_Data!$S$2:$S$1141,1)</f>
        <v>7</v>
      </c>
      <c r="G15" s="7" t="str">
        <f aca="false">IF(COUNTIFS(Clean_Data!$B$2:$B$1141,A15,Clean_Data!$S$2:$S$1141,1,Clean_Data!$T$2:$T$1141,1)&gt;0,"Yes","No")</f>
        <v>Yes</v>
      </c>
    </row>
    <row r="16" customFormat="false" ht="15" hidden="false" customHeight="false" outlineLevel="0" collapsed="false">
      <c r="A16" s="7" t="s">
        <v>115</v>
      </c>
      <c r="B16" s="7" t="str">
        <f aca="false">INDEX(Clean_Data!$C$2:$C$1141,MATCH(A16,Clean_Data!$B$2:$B$1141,0))</f>
        <v>DHS</v>
      </c>
      <c r="C16" s="7" t="n">
        <f aca="false">INDEX(Clean_Data!$F$2:$F$1141,MATCH(A16,Clean_Data!$B$2:$B$1141,0))</f>
        <v>2008</v>
      </c>
      <c r="D16" s="7" t="n">
        <f aca="false">COUNTIF(Clean_Data!$B$2:$B$1141,A16)</f>
        <v>30</v>
      </c>
      <c r="E16" s="7" t="n">
        <f aca="false">COUNTIFS(Clean_Data!$B$2:$B$1141,A16,Clean_Data!$R$2:$R$1141,1)</f>
        <v>28</v>
      </c>
      <c r="F16" s="7" t="n">
        <f aca="false">COUNTIFS(Clean_Data!$B$2:$B$1141,A16,Clean_Data!$S$2:$S$1141,1)</f>
        <v>7</v>
      </c>
      <c r="G16" s="7" t="str">
        <f aca="false">IF(COUNTIFS(Clean_Data!$B$2:$B$1141,A16,Clean_Data!$S$2:$S$1141,1,Clean_Data!$T$2:$T$1141,1)&gt;0,"Yes","No")</f>
        <v>Yes</v>
      </c>
    </row>
    <row r="17" customFormat="false" ht="15" hidden="false" customHeight="false" outlineLevel="0" collapsed="false">
      <c r="A17" s="7" t="s">
        <v>118</v>
      </c>
      <c r="B17" s="7" t="str">
        <f aca="false">INDEX(Clean_Data!$C$2:$C$1141,MATCH(A17,Clean_Data!$B$2:$B$1141,0))</f>
        <v>Coverage survey</v>
      </c>
      <c r="C17" s="7" t="n">
        <f aca="false">INDEX(Clean_Data!$F$2:$F$1141,MATCH(A17,Clean_Data!$B$2:$B$1141,0))</f>
        <v>2010</v>
      </c>
      <c r="D17" s="7" t="n">
        <f aca="false">COUNTIF(Clean_Data!$B$2:$B$1141,A17)</f>
        <v>15</v>
      </c>
      <c r="E17" s="7" t="n">
        <f aca="false">COUNTIFS(Clean_Data!$B$2:$B$1141,A17,Clean_Data!$R$2:$R$1141,1)</f>
        <v>14</v>
      </c>
      <c r="F17" s="7" t="n">
        <f aca="false">COUNTIFS(Clean_Data!$B$2:$B$1141,A17,Clean_Data!$S$2:$S$1141,1)</f>
        <v>7</v>
      </c>
      <c r="G17" s="7" t="str">
        <f aca="false">IF(COUNTIFS(Clean_Data!$B$2:$B$1141,A17,Clean_Data!$S$2:$S$1141,1,Clean_Data!$T$2:$T$1141,1)&gt;0,"Yes","No")</f>
        <v>Yes</v>
      </c>
    </row>
    <row r="18" customFormat="false" ht="15" hidden="false" customHeight="false" outlineLevel="0" collapsed="false">
      <c r="A18" s="7" t="s">
        <v>120</v>
      </c>
      <c r="B18" s="7" t="str">
        <f aca="false">INDEX(Clean_Data!$C$2:$C$1141,MATCH(A18,Clean_Data!$B$2:$B$1141,0))</f>
        <v>MICS</v>
      </c>
      <c r="C18" s="7" t="n">
        <f aca="false">INDEX(Clean_Data!$F$2:$F$1141,MATCH(A18,Clean_Data!$B$2:$B$1141,0))</f>
        <v>2011</v>
      </c>
      <c r="D18" s="7" t="n">
        <f aca="false">COUNTIF(Clean_Data!$B$2:$B$1141,A18)</f>
        <v>46</v>
      </c>
      <c r="E18" s="7" t="n">
        <f aca="false">COUNTIFS(Clean_Data!$B$2:$B$1141,A18,Clean_Data!$R$2:$R$1141,1)</f>
        <v>44</v>
      </c>
      <c r="F18" s="7" t="n">
        <f aca="false">COUNTIFS(Clean_Data!$B$2:$B$1141,A18,Clean_Data!$S$2:$S$1141,1)</f>
        <v>11</v>
      </c>
      <c r="G18" s="7" t="str">
        <f aca="false">IF(COUNTIFS(Clean_Data!$B$2:$B$1141,A18,Clean_Data!$S$2:$S$1141,1,Clean_Data!$T$2:$T$1141,1)&gt;0,"Yes","No")</f>
        <v>Yes</v>
      </c>
    </row>
    <row r="19" customFormat="false" ht="15" hidden="false" customHeight="false" outlineLevel="0" collapsed="false">
      <c r="A19" s="7" t="s">
        <v>124</v>
      </c>
      <c r="B19" s="7" t="str">
        <f aca="false">INDEX(Clean_Data!$C$2:$C$1141,MATCH(A19,Clean_Data!$B$2:$B$1141,0))</f>
        <v>DHS</v>
      </c>
      <c r="C19" s="7" t="n">
        <f aca="false">INDEX(Clean_Data!$F$2:$F$1141,MATCH(A19,Clean_Data!$B$2:$B$1141,0))</f>
        <v>2013</v>
      </c>
      <c r="D19" s="7" t="n">
        <f aca="false">COUNTIF(Clean_Data!$B$2:$B$1141,A19)</f>
        <v>30</v>
      </c>
      <c r="E19" s="7" t="n">
        <f aca="false">COUNTIFS(Clean_Data!$B$2:$B$1141,A19,Clean_Data!$R$2:$R$1141,1)</f>
        <v>28</v>
      </c>
      <c r="F19" s="7" t="n">
        <f aca="false">COUNTIFS(Clean_Data!$B$2:$B$1141,A19,Clean_Data!$S$2:$S$1141,1)</f>
        <v>7</v>
      </c>
      <c r="G19" s="7" t="str">
        <f aca="false">IF(COUNTIFS(Clean_Data!$B$2:$B$1141,A19,Clean_Data!$S$2:$S$1141,1,Clean_Data!$T$2:$T$1141,1)&gt;0,"Yes","No")</f>
        <v>Yes</v>
      </c>
    </row>
    <row r="20" customFormat="false" ht="15" hidden="false" customHeight="false" outlineLevel="0" collapsed="false">
      <c r="A20" s="7" t="s">
        <v>127</v>
      </c>
      <c r="B20" s="7" t="str">
        <f aca="false">INDEX(Clean_Data!$C$2:$C$1141,MATCH(A20,Clean_Data!$B$2:$B$1141,0))</f>
        <v>Nutrition survey</v>
      </c>
      <c r="C20" s="7" t="n">
        <f aca="false">INDEX(Clean_Data!$F$2:$F$1141,MATCH(A20,Clean_Data!$B$2:$B$1141,0))</f>
        <v>2013</v>
      </c>
      <c r="D20" s="7" t="n">
        <f aca="false">COUNTIF(Clean_Data!$B$2:$B$1141,A20)</f>
        <v>3</v>
      </c>
      <c r="E20" s="7" t="n">
        <f aca="false">COUNTIFS(Clean_Data!$B$2:$B$1141,A20,Clean_Data!$R$2:$R$1141,1)</f>
        <v>3</v>
      </c>
      <c r="F20" s="7" t="n">
        <f aca="false">COUNTIFS(Clean_Data!$B$2:$B$1141,A20,Clean_Data!$S$2:$S$1141,1)</f>
        <v>3</v>
      </c>
      <c r="G20" s="7" t="str">
        <f aca="false">IF(COUNTIFS(Clean_Data!$B$2:$B$1141,A20,Clean_Data!$S$2:$S$1141,1,Clean_Data!$T$2:$T$1141,1)&gt;0,"Yes","No")</f>
        <v>Yes</v>
      </c>
    </row>
    <row r="21" customFormat="false" ht="15" hidden="false" customHeight="false" outlineLevel="0" collapsed="false">
      <c r="A21" s="7" t="s">
        <v>130</v>
      </c>
      <c r="B21" s="7" t="str">
        <f aca="false">INDEX(Clean_Data!$C$2:$C$1141,MATCH(A21,Clean_Data!$B$2:$B$1141,0))</f>
        <v>MICS</v>
      </c>
      <c r="C21" s="7" t="n">
        <f aca="false">INDEX(Clean_Data!$F$2:$F$1141,MATCH(A21,Clean_Data!$B$2:$B$1141,0))</f>
        <v>2017</v>
      </c>
      <c r="D21" s="7" t="n">
        <f aca="false">COUNTIF(Clean_Data!$B$2:$B$1141,A21)</f>
        <v>152</v>
      </c>
      <c r="E21" s="7" t="n">
        <f aca="false">COUNTIFS(Clean_Data!$B$2:$B$1141,A21,Clean_Data!$R$2:$R$1141,1)</f>
        <v>150</v>
      </c>
      <c r="F21" s="7" t="n">
        <f aca="false">COUNTIFS(Clean_Data!$B$2:$B$1141,A21,Clean_Data!$S$2:$S$1141,1)</f>
        <v>19</v>
      </c>
      <c r="G21" s="7" t="str">
        <f aca="false">IF(COUNTIFS(Clean_Data!$B$2:$B$1141,A21,Clean_Data!$S$2:$S$1141,1,Clean_Data!$T$2:$T$1141,1)&gt;0,"Yes","No")</f>
        <v>Yes</v>
      </c>
    </row>
    <row r="22" customFormat="false" ht="15" hidden="false" customHeight="false" outlineLevel="0" collapsed="false">
      <c r="A22" s="7" t="s">
        <v>142</v>
      </c>
      <c r="B22" s="7" t="str">
        <f aca="false">INDEX(Clean_Data!$C$2:$C$1141,MATCH(A22,Clean_Data!$B$2:$B$1141,0))</f>
        <v>Nutrition survey</v>
      </c>
      <c r="C22" s="7" t="n">
        <f aca="false">INDEX(Clean_Data!$F$2:$F$1141,MATCH(A22,Clean_Data!$B$2:$B$1141,0))</f>
        <v>2015</v>
      </c>
      <c r="D22" s="7" t="n">
        <f aca="false">COUNTIF(Clean_Data!$B$2:$B$1141,A22)</f>
        <v>3</v>
      </c>
      <c r="E22" s="7" t="n">
        <f aca="false">COUNTIFS(Clean_Data!$B$2:$B$1141,A22,Clean_Data!$R$2:$R$1141,1)</f>
        <v>3</v>
      </c>
      <c r="F22" s="7" t="n">
        <f aca="false">COUNTIFS(Clean_Data!$B$2:$B$1141,A22,Clean_Data!$S$2:$S$1141,1)</f>
        <v>3</v>
      </c>
      <c r="G22" s="7" t="str">
        <f aca="false">IF(COUNTIFS(Clean_Data!$B$2:$B$1141,A22,Clean_Data!$S$2:$S$1141,1,Clean_Data!$T$2:$T$1141,1)&gt;0,"Yes","No")</f>
        <v>Yes</v>
      </c>
    </row>
    <row r="23" customFormat="false" ht="15" hidden="false" customHeight="false" outlineLevel="0" collapsed="false">
      <c r="A23" s="7" t="s">
        <v>145</v>
      </c>
      <c r="B23" s="7" t="str">
        <f aca="false">INDEX(Clean_Data!$C$2:$C$1141,MATCH(A23,Clean_Data!$B$2:$B$1141,0))</f>
        <v>DHS</v>
      </c>
      <c r="C23" s="7" t="n">
        <f aca="false">INDEX(Clean_Data!$F$2:$F$1141,MATCH(A23,Clean_Data!$B$2:$B$1141,0))</f>
        <v>2018</v>
      </c>
      <c r="D23" s="7" t="n">
        <f aca="false">COUNTIF(Clean_Data!$B$2:$B$1141,A23)</f>
        <v>178</v>
      </c>
      <c r="E23" s="7" t="n">
        <f aca="false">COUNTIFS(Clean_Data!$B$2:$B$1141,A23,Clean_Data!$R$2:$R$1141,1)</f>
        <v>176</v>
      </c>
      <c r="F23" s="7" t="n">
        <f aca="false">COUNTIFS(Clean_Data!$B$2:$B$1141,A23,Clean_Data!$S$2:$S$1141,1)</f>
        <v>22</v>
      </c>
      <c r="G23" s="7" t="str">
        <f aca="false">IF(COUNTIFS(Clean_Data!$B$2:$B$1141,A23,Clean_Data!$S$2:$S$1141,1,Clean_Data!$T$2:$T$1141,1)&gt;0,"Yes","No")</f>
        <v>Yes</v>
      </c>
    </row>
    <row r="24" customFormat="false" ht="15" hidden="false" customHeight="false" outlineLevel="0" collapsed="false">
      <c r="A24" s="7" t="s">
        <v>152</v>
      </c>
      <c r="B24" s="7" t="str">
        <f aca="false">INDEX(Clean_Data!$C$2:$C$1141,MATCH(A24,Clean_Data!$B$2:$B$1141,0))</f>
        <v>Nutrition survey</v>
      </c>
      <c r="C24" s="7" t="n">
        <f aca="false">INDEX(Clean_Data!$F$2:$F$1141,MATCH(A24,Clean_Data!$B$2:$B$1141,0))</f>
        <v>2018</v>
      </c>
      <c r="D24" s="7" t="n">
        <f aca="false">COUNTIF(Clean_Data!$B$2:$B$1141,A24)</f>
        <v>10</v>
      </c>
      <c r="E24" s="7" t="n">
        <f aca="false">COUNTIFS(Clean_Data!$B$2:$B$1141,A24,Clean_Data!$R$2:$R$1141,1)</f>
        <v>10</v>
      </c>
      <c r="F24" s="7" t="n">
        <f aca="false">COUNTIFS(Clean_Data!$B$2:$B$1141,A24,Clean_Data!$S$2:$S$1141,1)</f>
        <v>10</v>
      </c>
      <c r="G24" s="7" t="str">
        <f aca="false">IF(COUNTIFS(Clean_Data!$B$2:$B$1141,A24,Clean_Data!$S$2:$S$1141,1,Clean_Data!$T$2:$T$1141,1)&gt;0,"Yes","No")</f>
        <v>Yes</v>
      </c>
    </row>
    <row r="25" customFormat="false" ht="15" hidden="false" customHeight="false" outlineLevel="0" collapsed="false">
      <c r="A25" s="7" t="s">
        <v>155</v>
      </c>
      <c r="B25" s="7" t="str">
        <f aca="false">INDEX(Clean_Data!$C$2:$C$1141,MATCH(A25,Clean_Data!$B$2:$B$1141,0))</f>
        <v>MICS</v>
      </c>
      <c r="C25" s="7" t="n">
        <f aca="false">INDEX(Clean_Data!$F$2:$F$1141,MATCH(A25,Clean_Data!$B$2:$B$1141,0))</f>
        <v>2021</v>
      </c>
      <c r="D25" s="7" t="n">
        <f aca="false">COUNTIF(Clean_Data!$B$2:$B$1141,A25)</f>
        <v>200</v>
      </c>
      <c r="E25" s="7" t="n">
        <f aca="false">COUNTIFS(Clean_Data!$B$2:$B$1141,A25,Clean_Data!$R$2:$R$1141,1)</f>
        <v>194</v>
      </c>
      <c r="F25" s="7" t="n">
        <f aca="false">COUNTIFS(Clean_Data!$B$2:$B$1141,A25,Clean_Data!$S$2:$S$1141,1)</f>
        <v>24</v>
      </c>
      <c r="G25" s="7" t="str">
        <f aca="false">IF(COUNTIFS(Clean_Data!$B$2:$B$1141,A25,Clean_Data!$S$2:$S$1141,1,Clean_Data!$T$2:$T$1141,1)&gt;0,"Yes","No")</f>
        <v>Yes</v>
      </c>
    </row>
    <row r="26" customFormat="false" ht="15" hidden="false" customHeight="false" outlineLevel="0" collapsed="false">
      <c r="A26" s="7" t="s">
        <v>165</v>
      </c>
      <c r="B26" s="7" t="str">
        <f aca="false">INDEX(Clean_Data!$C$2:$C$1141,MATCH(A26,Clean_Data!$B$2:$B$1141,0))</f>
        <v>DHS</v>
      </c>
      <c r="C26" s="7" t="n">
        <f aca="false">INDEX(Clean_Data!$F$2:$F$1141,MATCH(A26,Clean_Data!$B$2:$B$1141,0))</f>
        <v>2024</v>
      </c>
      <c r="D26" s="7" t="n">
        <f aca="false">COUNTIF(Clean_Data!$B$2:$B$1141,A26)</f>
        <v>234</v>
      </c>
      <c r="E26" s="7" t="n">
        <f aca="false">COUNTIFS(Clean_Data!$B$2:$B$1141,A26,Clean_Data!$R$2:$R$1141,1)</f>
        <v>232</v>
      </c>
      <c r="F26" s="7" t="n">
        <f aca="false">COUNTIFS(Clean_Data!$B$2:$B$1141,A26,Clean_Data!$S$2:$S$1141,1)</f>
        <v>29</v>
      </c>
      <c r="G26" s="7" t="str">
        <f aca="false">IF(COUNTIFS(Clean_Data!$B$2:$B$1141,A26,Clean_Data!$S$2:$S$1141,1,Clean_Data!$T$2:$T$1141,1)&gt;0,"Yes","No")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10" min="5" style="0" width="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3" customFormat="false" ht="15" hidden="false" customHeight="false" outlineLevel="0" collapsed="false">
      <c r="A3" s="6" t="s">
        <v>259</v>
      </c>
      <c r="B3" s="9" t="n">
        <v>2</v>
      </c>
      <c r="C3" s="2" t="s">
        <v>260</v>
      </c>
    </row>
    <row r="5" customFormat="false" ht="45" hidden="false" customHeight="true" outlineLevel="0" collapsed="false">
      <c r="A5" s="3" t="s">
        <v>174</v>
      </c>
      <c r="B5" s="3" t="s">
        <v>251</v>
      </c>
      <c r="C5" s="3" t="s">
        <v>37</v>
      </c>
      <c r="D5" s="3" t="s">
        <v>178</v>
      </c>
      <c r="E5" s="3" t="s">
        <v>62</v>
      </c>
      <c r="F5" s="3" t="s">
        <v>81</v>
      </c>
      <c r="G5" s="3" t="s">
        <v>67</v>
      </c>
      <c r="H5" s="3" t="s">
        <v>69</v>
      </c>
      <c r="I5" s="3" t="s">
        <v>68</v>
      </c>
      <c r="J5" s="3" t="s">
        <v>82</v>
      </c>
      <c r="K5" s="3" t="s">
        <v>261</v>
      </c>
      <c r="L5" s="3" t="s">
        <v>262</v>
      </c>
      <c r="M5" s="3" t="s">
        <v>263</v>
      </c>
      <c r="N5" s="3" t="s">
        <v>264</v>
      </c>
      <c r="O5" s="3" t="s">
        <v>265</v>
      </c>
      <c r="P5" s="3" t="s">
        <v>266</v>
      </c>
      <c r="Q5" s="3" t="s">
        <v>267</v>
      </c>
    </row>
    <row r="6" customFormat="false" ht="15" hidden="false" customHeight="false" outlineLevel="0" collapsed="false">
      <c r="A6" s="7" t="s">
        <v>60</v>
      </c>
      <c r="B6" s="7" t="str">
        <f aca="false">INDEX(Clean_Data!$C$2:$C$1141,MATCH(A6,Clean_Data!$B$2:$B$1141,0))</f>
        <v>Other</v>
      </c>
      <c r="C6" s="7" t="n">
        <v>1984</v>
      </c>
      <c r="D6" s="7" t="n">
        <f aca="false">INDEX(Clean_Data!$F$2:$F$1141,MATCH(A6,Clean_Data!$B$2:$B$1141,0))</f>
        <v>1985</v>
      </c>
      <c r="E6" s="10" t="n">
        <f aca="false">IFERROR(AVERAGEIFS(Clean_Data!$N$2:$N$1141,Clean_Data!$B$2:$B$1141,$A6,Clean_Data!$H$2:$H$1141,$C6,Clean_Data!$I$2:$I$1141,E$5,Clean_Data!$S$2:$S$1141,1),"")</f>
        <v>16.5</v>
      </c>
      <c r="F6" s="10" t="str">
        <f aca="false">IFERROR(AVERAGEIFS(Clean_Data!$N$2:$N$1141,Clean_Data!$B$2:$B$1141,$A6,Clean_Data!$H$2:$H$1141,$C6,Clean_Data!$I$2:$I$1141,F$5,Clean_Data!$S$2:$S$1141,1),"")</f>
        <v/>
      </c>
      <c r="G6" s="10" t="n">
        <f aca="false">IFERROR(AVERAGEIFS(Clean_Data!$N$2:$N$1141,Clean_Data!$B$2:$B$1141,$A6,Clean_Data!$H$2:$H$1141,$C6,Clean_Data!$I$2:$I$1141,G$5,Clean_Data!$S$2:$S$1141,1),"")</f>
        <v>8.9</v>
      </c>
      <c r="H6" s="10" t="n">
        <f aca="false">IFERROR(AVERAGEIFS(Clean_Data!$N$2:$N$1141,Clean_Data!$B$2:$B$1141,$A6,Clean_Data!$H$2:$H$1141,$C6,Clean_Data!$I$2:$I$1141,H$5,Clean_Data!$S$2:$S$1141,1),"")</f>
        <v>8.1</v>
      </c>
      <c r="I6" s="10" t="n">
        <f aca="false">IFERROR(AVERAGEIFS(Clean_Data!$N$2:$N$1141,Clean_Data!$B$2:$B$1141,$A6,Clean_Data!$H$2:$H$1141,$C6,Clean_Data!$I$2:$I$1141,I$5,Clean_Data!$S$2:$S$1141,1),"")</f>
        <v>9.1</v>
      </c>
      <c r="J6" s="10" t="str">
        <f aca="false">IFERROR(AVERAGEIFS(Clean_Data!$N$2:$N$1141,Clean_Data!$B$2:$B$1141,$A6,Clean_Data!$H$2:$H$1141,$C6,Clean_Data!$I$2:$I$1141,J$5,Clean_Data!$S$2:$S$1141,1),"")</f>
        <v/>
      </c>
      <c r="K6" s="10" t="str">
        <f aca="false">IFERROR(AVERAGEIFS(Clean_Data!$O$2:$O$1141,Clean_Data!$B$2:$B$1141,$A6,Clean_Data!$H$2:$H$1141,$C6,Clean_Data!$I$2:$I$1141,"DTP3",Clean_Data!$S$2:$S$1141,1),"")</f>
        <v/>
      </c>
      <c r="L6" s="10" t="str">
        <f aca="false">IF(AND(ISNUMBER(G6),ISNUMBER(K6)),1.96*SQRT((G6/100)*(1-G6/100)/(K6/$B$3))*100,"")</f>
        <v/>
      </c>
      <c r="M6" s="10" t="str">
        <f aca="false">IF(AND(ISNUMBER(F6),ISNUMBER(G6)),IF(F6&gt;0,(F6-G6)/F6*100,""),"")</f>
        <v/>
      </c>
      <c r="N6" s="10" t="n">
        <f aca="false">IF(AND(ISNUMBER(E6),ISNUMBER(I6)),IF(E6&gt;0,(E6-I6)/E6*100,""),"")</f>
        <v>44.8484848484849</v>
      </c>
      <c r="O6" s="10" t="str">
        <f aca="false">IF(ISNUMBER(F6),100-F6,"")</f>
        <v/>
      </c>
      <c r="P6" s="10" t="str">
        <f aca="false">IF(ISNUMBER(J6),100-J6,"")</f>
        <v/>
      </c>
      <c r="Q6" s="7" t="n">
        <f aca="false">COUNTIFS(Clean_Data!$B$2:$B$1141,$A6,Clean_Data!$H$2:$H$1141,$C6,Clean_Data!$I$2:$I$1141,"DTP3",Clean_Data!$S$2:$S$1141,1)</f>
        <v>1</v>
      </c>
    </row>
    <row r="7" customFormat="false" ht="15" hidden="false" customHeight="false" outlineLevel="0" collapsed="false">
      <c r="A7" s="7" t="s">
        <v>60</v>
      </c>
      <c r="B7" s="7" t="str">
        <f aca="false">INDEX(Clean_Data!$C$2:$C$1141,MATCH(A7,Clean_Data!$B$2:$B$1141,0))</f>
        <v>Other</v>
      </c>
      <c r="C7" s="7" t="n">
        <v>1985</v>
      </c>
      <c r="D7" s="7" t="n">
        <f aca="false">INDEX(Clean_Data!$F$2:$F$1141,MATCH(A7,Clean_Data!$B$2:$B$1141,0))</f>
        <v>1985</v>
      </c>
      <c r="E7" s="10" t="n">
        <f aca="false">IFERROR(AVERAGEIFS(Clean_Data!$N$2:$N$1141,Clean_Data!$B$2:$B$1141,$A7,Clean_Data!$H$2:$H$1141,$C7,Clean_Data!$I$2:$I$1141,E$5,Clean_Data!$S$2:$S$1141,1),"")</f>
        <v>28.3</v>
      </c>
      <c r="F7" s="10" t="str">
        <f aca="false">IFERROR(AVERAGEIFS(Clean_Data!$N$2:$N$1141,Clean_Data!$B$2:$B$1141,$A7,Clean_Data!$H$2:$H$1141,$C7,Clean_Data!$I$2:$I$1141,F$5,Clean_Data!$S$2:$S$1141,1),"")</f>
        <v/>
      </c>
      <c r="G7" s="10" t="n">
        <f aca="false">IFERROR(AVERAGEIFS(Clean_Data!$N$2:$N$1141,Clean_Data!$B$2:$B$1141,$A7,Clean_Data!$H$2:$H$1141,$C7,Clean_Data!$I$2:$I$1141,G$5,Clean_Data!$S$2:$S$1141,1),"")</f>
        <v>15.9</v>
      </c>
      <c r="H7" s="10" t="n">
        <f aca="false">IFERROR(AVERAGEIFS(Clean_Data!$N$2:$N$1141,Clean_Data!$B$2:$B$1141,$A7,Clean_Data!$H$2:$H$1141,$C7,Clean_Data!$I$2:$I$1141,H$5,Clean_Data!$S$2:$S$1141,1),"")</f>
        <v>16.3</v>
      </c>
      <c r="I7" s="10" t="n">
        <f aca="false">IFERROR(AVERAGEIFS(Clean_Data!$N$2:$N$1141,Clean_Data!$B$2:$B$1141,$A7,Clean_Data!$H$2:$H$1141,$C7,Clean_Data!$I$2:$I$1141,I$5,Clean_Data!$S$2:$S$1141,1),"")</f>
        <v>17.2</v>
      </c>
      <c r="J7" s="10" t="str">
        <f aca="false">IFERROR(AVERAGEIFS(Clean_Data!$N$2:$N$1141,Clean_Data!$B$2:$B$1141,$A7,Clean_Data!$H$2:$H$1141,$C7,Clean_Data!$I$2:$I$1141,J$5,Clean_Data!$S$2:$S$1141,1),"")</f>
        <v/>
      </c>
      <c r="K7" s="10" t="str">
        <f aca="false">IFERROR(AVERAGEIFS(Clean_Data!$O$2:$O$1141,Clean_Data!$B$2:$B$1141,$A7,Clean_Data!$H$2:$H$1141,$C7,Clean_Data!$I$2:$I$1141,"DTP3",Clean_Data!$S$2:$S$1141,1),"")</f>
        <v/>
      </c>
      <c r="L7" s="10" t="str">
        <f aca="false">IF(AND(ISNUMBER(G7),ISNUMBER(K7)),1.96*SQRT((G7/100)*(1-G7/100)/(K7/$B$3))*100,"")</f>
        <v/>
      </c>
      <c r="M7" s="10" t="str">
        <f aca="false">IF(AND(ISNUMBER(F7),ISNUMBER(G7)),IF(F7&gt;0,(F7-G7)/F7*100,""),"")</f>
        <v/>
      </c>
      <c r="N7" s="10" t="n">
        <f aca="false">IF(AND(ISNUMBER(E7),ISNUMBER(I7)),IF(E7&gt;0,(E7-I7)/E7*100,""),"")</f>
        <v>39.2226148409894</v>
      </c>
      <c r="O7" s="10" t="str">
        <f aca="false">IF(ISNUMBER(F7),100-F7,"")</f>
        <v/>
      </c>
      <c r="P7" s="10" t="str">
        <f aca="false">IF(ISNUMBER(J7),100-J7,"")</f>
        <v/>
      </c>
      <c r="Q7" s="7" t="n">
        <f aca="false">COUNTIFS(Clean_Data!$B$2:$B$1141,$A7,Clean_Data!$H$2:$H$1141,$C7,Clean_Data!$I$2:$I$1141,"DTP3",Clean_Data!$S$2:$S$1141,1)</f>
        <v>1</v>
      </c>
    </row>
    <row r="8" customFormat="false" ht="15" hidden="false" customHeight="false" outlineLevel="0" collapsed="false">
      <c r="A8" s="7" t="s">
        <v>60</v>
      </c>
      <c r="B8" s="7" t="str">
        <f aca="false">INDEX(Clean_Data!$C$2:$C$1141,MATCH(A8,Clean_Data!$B$2:$B$1141,0))</f>
        <v>Other</v>
      </c>
      <c r="C8" s="7" t="n">
        <v>1986</v>
      </c>
      <c r="D8" s="7" t="n">
        <f aca="false">INDEX(Clean_Data!$F$2:$F$1141,MATCH(A8,Clean_Data!$B$2:$B$1141,0))</f>
        <v>1985</v>
      </c>
      <c r="E8" s="10" t="n">
        <f aca="false">IFERROR(AVERAGEIFS(Clean_Data!$N$2:$N$1141,Clean_Data!$B$2:$B$1141,$A8,Clean_Data!$H$2:$H$1141,$C8,Clean_Data!$I$2:$I$1141,E$5,Clean_Data!$S$2:$S$1141,1),"")</f>
        <v>40</v>
      </c>
      <c r="F8" s="10" t="str">
        <f aca="false">IFERROR(AVERAGEIFS(Clean_Data!$N$2:$N$1141,Clean_Data!$B$2:$B$1141,$A8,Clean_Data!$H$2:$H$1141,$C8,Clean_Data!$I$2:$I$1141,F$5,Clean_Data!$S$2:$S$1141,1),"")</f>
        <v/>
      </c>
      <c r="G8" s="10" t="n">
        <f aca="false">IFERROR(AVERAGEIFS(Clean_Data!$N$2:$N$1141,Clean_Data!$B$2:$B$1141,$A8,Clean_Data!$H$2:$H$1141,$C8,Clean_Data!$I$2:$I$1141,G$5,Clean_Data!$S$2:$S$1141,1),"")</f>
        <v>21.5</v>
      </c>
      <c r="H8" s="10" t="n">
        <f aca="false">IFERROR(AVERAGEIFS(Clean_Data!$N$2:$N$1141,Clean_Data!$B$2:$B$1141,$A8,Clean_Data!$H$2:$H$1141,$C8,Clean_Data!$I$2:$I$1141,H$5,Clean_Data!$S$2:$S$1141,1),"")</f>
        <v>20.7</v>
      </c>
      <c r="I8" s="10" t="n">
        <f aca="false">IFERROR(AVERAGEIFS(Clean_Data!$N$2:$N$1141,Clean_Data!$B$2:$B$1141,$A8,Clean_Data!$H$2:$H$1141,$C8,Clean_Data!$I$2:$I$1141,I$5,Clean_Data!$S$2:$S$1141,1),"")</f>
        <v>28</v>
      </c>
      <c r="J8" s="10" t="str">
        <f aca="false">IFERROR(AVERAGEIFS(Clean_Data!$N$2:$N$1141,Clean_Data!$B$2:$B$1141,$A8,Clean_Data!$H$2:$H$1141,$C8,Clean_Data!$I$2:$I$1141,J$5,Clean_Data!$S$2:$S$1141,1),"")</f>
        <v/>
      </c>
      <c r="K8" s="10" t="str">
        <f aca="false">IFERROR(AVERAGEIFS(Clean_Data!$O$2:$O$1141,Clean_Data!$B$2:$B$1141,$A8,Clean_Data!$H$2:$H$1141,$C8,Clean_Data!$I$2:$I$1141,"DTP3",Clean_Data!$S$2:$S$1141,1),"")</f>
        <v/>
      </c>
      <c r="L8" s="10" t="str">
        <f aca="false">IF(AND(ISNUMBER(G8),ISNUMBER(K8)),1.96*SQRT((G8/100)*(1-G8/100)/(K8/$B$3))*100,"")</f>
        <v/>
      </c>
      <c r="M8" s="10" t="str">
        <f aca="false">IF(AND(ISNUMBER(F8),ISNUMBER(G8)),IF(F8&gt;0,(F8-G8)/F8*100,""),"")</f>
        <v/>
      </c>
      <c r="N8" s="10" t="n">
        <f aca="false">IF(AND(ISNUMBER(E8),ISNUMBER(I8)),IF(E8&gt;0,(E8-I8)/E8*100,""),"")</f>
        <v>30</v>
      </c>
      <c r="O8" s="10" t="str">
        <f aca="false">IF(ISNUMBER(F8),100-F8,"")</f>
        <v/>
      </c>
      <c r="P8" s="10" t="str">
        <f aca="false">IF(ISNUMBER(J8),100-J8,"")</f>
        <v/>
      </c>
      <c r="Q8" s="7" t="n">
        <f aca="false">COUNTIFS(Clean_Data!$B$2:$B$1141,$A8,Clean_Data!$H$2:$H$1141,$C8,Clean_Data!$I$2:$I$1141,"DTP3",Clean_Data!$S$2:$S$1141,1)</f>
        <v>1</v>
      </c>
    </row>
    <row r="9" customFormat="false" ht="15" hidden="false" customHeight="false" outlineLevel="0" collapsed="false">
      <c r="A9" s="7" t="s">
        <v>84</v>
      </c>
      <c r="B9" s="7" t="str">
        <f aca="false">INDEX(Clean_Data!$C$2:$C$1141,MATCH(A9,Clean_Data!$B$2:$B$1141,0))</f>
        <v>Coverage survey</v>
      </c>
      <c r="C9" s="7" t="n">
        <v>1987</v>
      </c>
      <c r="D9" s="7" t="n">
        <f aca="false">INDEX(Clean_Data!$F$2:$F$1141,MATCH(A9,Clean_Data!$B$2:$B$1141,0))</f>
        <v>1988</v>
      </c>
      <c r="E9" s="10" t="n">
        <f aca="false">IFERROR(AVERAGEIFS(Clean_Data!$N$2:$N$1141,Clean_Data!$B$2:$B$1141,$A9,Clean_Data!$H$2:$H$1141,$C9,Clean_Data!$I$2:$I$1141,E$5,Clean_Data!$S$2:$S$1141,1),"")</f>
        <v>72.2</v>
      </c>
      <c r="F9" s="10" t="str">
        <f aca="false">IFERROR(AVERAGEIFS(Clean_Data!$N$2:$N$1141,Clean_Data!$B$2:$B$1141,$A9,Clean_Data!$H$2:$H$1141,$C9,Clean_Data!$I$2:$I$1141,F$5,Clean_Data!$S$2:$S$1141,1),"")</f>
        <v/>
      </c>
      <c r="G9" s="10" t="n">
        <f aca="false">IFERROR(AVERAGEIFS(Clean_Data!$N$2:$N$1141,Clean_Data!$B$2:$B$1141,$A9,Clean_Data!$H$2:$H$1141,$C9,Clean_Data!$I$2:$I$1141,G$5,Clean_Data!$S$2:$S$1141,1),"")</f>
        <v>57.8</v>
      </c>
      <c r="H9" s="10" t="n">
        <f aca="false">IFERROR(AVERAGEIFS(Clean_Data!$N$2:$N$1141,Clean_Data!$B$2:$B$1141,$A9,Clean_Data!$H$2:$H$1141,$C9,Clean_Data!$I$2:$I$1141,H$5,Clean_Data!$S$2:$S$1141,1),"")</f>
        <v>57</v>
      </c>
      <c r="I9" s="10" t="n">
        <f aca="false">IFERROR(AVERAGEIFS(Clean_Data!$N$2:$N$1141,Clean_Data!$B$2:$B$1141,$A9,Clean_Data!$H$2:$H$1141,$C9,Clean_Data!$I$2:$I$1141,I$5,Clean_Data!$S$2:$S$1141,1),"")</f>
        <v>59.2</v>
      </c>
      <c r="J9" s="10" t="n">
        <f aca="false">IFERROR(AVERAGEIFS(Clean_Data!$N$2:$N$1141,Clean_Data!$B$2:$B$1141,$A9,Clean_Data!$H$2:$H$1141,$C9,Clean_Data!$I$2:$I$1141,J$5,Clean_Data!$S$2:$S$1141,1),"")</f>
        <v>37.5</v>
      </c>
      <c r="K9" s="10" t="n">
        <f aca="false">IFERROR(AVERAGEIFS(Clean_Data!$O$2:$O$1141,Clean_Data!$B$2:$B$1141,$A9,Clean_Data!$H$2:$H$1141,$C9,Clean_Data!$I$2:$I$1141,"DTP3",Clean_Data!$S$2:$S$1141,1),"")</f>
        <v>9240</v>
      </c>
      <c r="L9" s="10" t="n">
        <f aca="false">IF(AND(ISNUMBER(G9),ISNUMBER(K9)),1.96*SQRT((G9/100)*(1-G9/100)/(K9/$B$3))*100,"")</f>
        <v>1.4241483409286</v>
      </c>
      <c r="M9" s="10" t="str">
        <f aca="false">IF(AND(ISNUMBER(F9),ISNUMBER(G9)),IF(F9&gt;0,(F9-G9)/F9*100,""),"")</f>
        <v/>
      </c>
      <c r="N9" s="10" t="n">
        <f aca="false">IF(AND(ISNUMBER(E9),ISNUMBER(I9)),IF(E9&gt;0,(E9-I9)/E9*100,""),"")</f>
        <v>18.005540166205</v>
      </c>
      <c r="O9" s="10" t="str">
        <f aca="false">IF(ISNUMBER(F9),100-F9,"")</f>
        <v/>
      </c>
      <c r="P9" s="10" t="n">
        <f aca="false">IF(ISNUMBER(J9),100-J9,"")</f>
        <v>62.5</v>
      </c>
      <c r="Q9" s="7" t="n">
        <f aca="false">COUNTIFS(Clean_Data!$B$2:$B$1141,$A9,Clean_Data!$H$2:$H$1141,$C9,Clean_Data!$I$2:$I$1141,"DTP3",Clean_Data!$S$2:$S$1141,1)</f>
        <v>1</v>
      </c>
    </row>
    <row r="10" customFormat="false" ht="15" hidden="false" customHeight="false" outlineLevel="0" collapsed="false">
      <c r="A10" s="7" t="s">
        <v>75</v>
      </c>
      <c r="B10" s="7" t="str">
        <f aca="false">INDEX(Clean_Data!$C$2:$C$1141,MATCH(A10,Clean_Data!$B$2:$B$1141,0))</f>
        <v>DHS</v>
      </c>
      <c r="C10" s="7" t="n">
        <v>1989</v>
      </c>
      <c r="D10" s="7" t="n">
        <f aca="false">INDEX(Clean_Data!$F$2:$F$1141,MATCH(A10,Clean_Data!$B$2:$B$1141,0))</f>
        <v>1990</v>
      </c>
      <c r="E10" s="10" t="n">
        <f aca="false">IFERROR(AVERAGEIFS(Clean_Data!$N$2:$N$1141,Clean_Data!$B$2:$B$1141,$A10,Clean_Data!$H$2:$H$1141,$C10,Clean_Data!$I$2:$I$1141,E$5,Clean_Data!$S$2:$S$1141,1),"")</f>
        <v>60.7</v>
      </c>
      <c r="F10" s="10" t="n">
        <f aca="false">IFERROR(AVERAGEIFS(Clean_Data!$N$2:$N$1141,Clean_Data!$B$2:$B$1141,$A10,Clean_Data!$H$2:$H$1141,$C10,Clean_Data!$I$2:$I$1141,F$5,Clean_Data!$S$2:$S$1141,1),"")</f>
        <v>59.2</v>
      </c>
      <c r="G10" s="10" t="n">
        <f aca="false">IFERROR(AVERAGEIFS(Clean_Data!$N$2:$N$1141,Clean_Data!$B$2:$B$1141,$A10,Clean_Data!$H$2:$H$1141,$C10,Clean_Data!$I$2:$I$1141,G$5,Clean_Data!$S$2:$S$1141,1),"")</f>
        <v>33.3</v>
      </c>
      <c r="H10" s="10" t="n">
        <f aca="false">IFERROR(AVERAGEIFS(Clean_Data!$N$2:$N$1141,Clean_Data!$B$2:$B$1141,$A10,Clean_Data!$H$2:$H$1141,$C10,Clean_Data!$I$2:$I$1141,H$5,Clean_Data!$S$2:$S$1141,1),"")</f>
        <v>33.4</v>
      </c>
      <c r="I10" s="10" t="n">
        <f aca="false">IFERROR(AVERAGEIFS(Clean_Data!$N$2:$N$1141,Clean_Data!$B$2:$B$1141,$A10,Clean_Data!$H$2:$H$1141,$C10,Clean_Data!$I$2:$I$1141,I$5,Clean_Data!$S$2:$S$1141,1),"")</f>
        <v>46</v>
      </c>
      <c r="J10" s="10" t="n">
        <f aca="false">IFERROR(AVERAGEIFS(Clean_Data!$N$2:$N$1141,Clean_Data!$B$2:$B$1141,$A10,Clean_Data!$H$2:$H$1141,$C10,Clean_Data!$I$2:$I$1141,J$5,Clean_Data!$S$2:$S$1141,1),"")</f>
        <v>29.6</v>
      </c>
      <c r="K10" s="10" t="n">
        <f aca="false">IFERROR(AVERAGEIFS(Clean_Data!$O$2:$O$1141,Clean_Data!$B$2:$B$1141,$A10,Clean_Data!$H$2:$H$1141,$C10,Clean_Data!$I$2:$I$1141,"DTP3",Clean_Data!$S$2:$S$1141,1),"")</f>
        <v>1380</v>
      </c>
      <c r="L10" s="10" t="n">
        <f aca="false">IF(AND(ISNUMBER(G10),ISNUMBER(K10)),1.96*SQRT((G10/100)*(1-G10/100)/(K10/$B$3))*100,"")</f>
        <v>3.51654808014905</v>
      </c>
      <c r="M10" s="10" t="n">
        <f aca="false">IF(AND(ISNUMBER(F10),ISNUMBER(G10)),IF(F10&gt;0,(F10-G10)/F10*100,""),"")</f>
        <v>43.75</v>
      </c>
      <c r="N10" s="10" t="n">
        <f aca="false">IF(AND(ISNUMBER(E10),ISNUMBER(I10)),IF(E10&gt;0,(E10-I10)/E10*100,""),"")</f>
        <v>24.2174629324547</v>
      </c>
      <c r="O10" s="10" t="n">
        <f aca="false">IF(ISNUMBER(F10),100-F10,"")</f>
        <v>40.8</v>
      </c>
      <c r="P10" s="10" t="n">
        <f aca="false">IF(ISNUMBER(J10),100-J10,"")</f>
        <v>70.4</v>
      </c>
      <c r="Q10" s="7" t="n">
        <f aca="false">COUNTIFS(Clean_Data!$B$2:$B$1141,$A10,Clean_Data!$H$2:$H$1141,$C10,Clean_Data!$I$2:$I$1141,"DTP3",Clean_Data!$S$2:$S$1141,1)</f>
        <v>1</v>
      </c>
    </row>
    <row r="11" customFormat="false" ht="15" hidden="false" customHeight="false" outlineLevel="0" collapsed="false">
      <c r="A11" s="7" t="s">
        <v>93</v>
      </c>
      <c r="B11" s="7" t="str">
        <f aca="false">INDEX(Clean_Data!$C$2:$C$1141,MATCH(A11,Clean_Data!$B$2:$B$1141,0))</f>
        <v>MICS</v>
      </c>
      <c r="C11" s="7" t="n">
        <v>1994</v>
      </c>
      <c r="D11" s="7" t="n">
        <f aca="false">INDEX(Clean_Data!$F$2:$F$1141,MATCH(A11,Clean_Data!$B$2:$B$1141,0))</f>
        <v>1995</v>
      </c>
      <c r="E11" s="10" t="n">
        <f aca="false">IFERROR(AVERAGEIFS(Clean_Data!$N$2:$N$1141,Clean_Data!$B$2:$B$1141,$A11,Clean_Data!$H$2:$H$1141,$C11,Clean_Data!$I$2:$I$1141,E$5,Clean_Data!$S$2:$S$1141,1),"")</f>
        <v>52</v>
      </c>
      <c r="F11" s="10" t="str">
        <f aca="false">IFERROR(AVERAGEIFS(Clean_Data!$N$2:$N$1141,Clean_Data!$B$2:$B$1141,$A11,Clean_Data!$H$2:$H$1141,$C11,Clean_Data!$I$2:$I$1141,F$5,Clean_Data!$S$2:$S$1141,1),"")</f>
        <v/>
      </c>
      <c r="G11" s="10" t="n">
        <f aca="false">IFERROR(AVERAGEIFS(Clean_Data!$N$2:$N$1141,Clean_Data!$B$2:$B$1141,$A11,Clean_Data!$H$2:$H$1141,$C11,Clean_Data!$I$2:$I$1141,G$5,Clean_Data!$S$2:$S$1141,1),"")</f>
        <v>27.5</v>
      </c>
      <c r="H11" s="10" t="n">
        <f aca="false">IFERROR(AVERAGEIFS(Clean_Data!$N$2:$N$1141,Clean_Data!$B$2:$B$1141,$A11,Clean_Data!$H$2:$H$1141,$C11,Clean_Data!$I$2:$I$1141,H$5,Clean_Data!$S$2:$S$1141,1),"")</f>
        <v>27.5</v>
      </c>
      <c r="I11" s="10" t="n">
        <f aca="false">IFERROR(AVERAGEIFS(Clean_Data!$N$2:$N$1141,Clean_Data!$B$2:$B$1141,$A11,Clean_Data!$H$2:$H$1141,$C11,Clean_Data!$I$2:$I$1141,I$5,Clean_Data!$S$2:$S$1141,1),"")</f>
        <v>39.9</v>
      </c>
      <c r="J11" s="10" t="n">
        <f aca="false">IFERROR(AVERAGEIFS(Clean_Data!$N$2:$N$1141,Clean_Data!$B$2:$B$1141,$A11,Clean_Data!$H$2:$H$1141,$C11,Clean_Data!$I$2:$I$1141,J$5,Clean_Data!$S$2:$S$1141,1),"")</f>
        <v>22</v>
      </c>
      <c r="K11" s="10" t="n">
        <f aca="false">IFERROR(AVERAGEIFS(Clean_Data!$O$2:$O$1141,Clean_Data!$B$2:$B$1141,$A11,Clean_Data!$H$2:$H$1141,$C11,Clean_Data!$I$2:$I$1141,"DTP3",Clean_Data!$S$2:$S$1141,1),"")</f>
        <v>1743</v>
      </c>
      <c r="L11" s="10" t="n">
        <f aca="false">IF(AND(ISNUMBER(G11),ISNUMBER(K11)),1.96*SQRT((G11/100)*(1-G11/100)/(K11/$B$3))*100,"")</f>
        <v>2.96454280728494</v>
      </c>
      <c r="M11" s="10" t="str">
        <f aca="false">IF(AND(ISNUMBER(F11),ISNUMBER(G11)),IF(F11&gt;0,(F11-G11)/F11*100,""),"")</f>
        <v/>
      </c>
      <c r="N11" s="10" t="n">
        <f aca="false">IF(AND(ISNUMBER(E11),ISNUMBER(I11)),IF(E11&gt;0,(E11-I11)/E11*100,""),"")</f>
        <v>23.2692307692308</v>
      </c>
      <c r="O11" s="10" t="str">
        <f aca="false">IF(ISNUMBER(F11),100-F11,"")</f>
        <v/>
      </c>
      <c r="P11" s="10" t="n">
        <f aca="false">IF(ISNUMBER(J11),100-J11,"")</f>
        <v>78</v>
      </c>
      <c r="Q11" s="7" t="n">
        <f aca="false">COUNTIFS(Clean_Data!$B$2:$B$1141,$A11,Clean_Data!$H$2:$H$1141,$C11,Clean_Data!$I$2:$I$1141,"DTP3",Clean_Data!$S$2:$S$1141,1)</f>
        <v>1</v>
      </c>
    </row>
    <row r="12" customFormat="false" ht="15" hidden="false" customHeight="false" outlineLevel="0" collapsed="false">
      <c r="A12" s="7" t="s">
        <v>99</v>
      </c>
      <c r="B12" s="7" t="str">
        <f aca="false">INDEX(Clean_Data!$C$2:$C$1141,MATCH(A12,Clean_Data!$B$2:$B$1141,0))</f>
        <v>MICS</v>
      </c>
      <c r="C12" s="7" t="n">
        <v>1998</v>
      </c>
      <c r="D12" s="7" t="n">
        <f aca="false">INDEX(Clean_Data!$F$2:$F$1141,MATCH(A12,Clean_Data!$B$2:$B$1141,0))</f>
        <v>1999</v>
      </c>
      <c r="E12" s="10" t="n">
        <f aca="false">IFERROR(AVERAGEIFS(Clean_Data!$N$2:$N$1141,Clean_Data!$B$2:$B$1141,$A12,Clean_Data!$H$2:$H$1141,$C12,Clean_Data!$I$2:$I$1141,E$5,Clean_Data!$S$2:$S$1141,1),"")</f>
        <v>43</v>
      </c>
      <c r="F12" s="10" t="n">
        <f aca="false">IFERROR(AVERAGEIFS(Clean_Data!$N$2:$N$1141,Clean_Data!$B$2:$B$1141,$A12,Clean_Data!$H$2:$H$1141,$C12,Clean_Data!$I$2:$I$1141,F$5,Clean_Data!$S$2:$S$1141,1),"")</f>
        <v>41.1</v>
      </c>
      <c r="G12" s="10" t="n">
        <f aca="false">IFERROR(AVERAGEIFS(Clean_Data!$N$2:$N$1141,Clean_Data!$B$2:$B$1141,$A12,Clean_Data!$H$2:$H$1141,$C12,Clean_Data!$I$2:$I$1141,G$5,Clean_Data!$S$2:$S$1141,1),"")</f>
        <v>23.4</v>
      </c>
      <c r="H12" s="10" t="n">
        <f aca="false">IFERROR(AVERAGEIFS(Clean_Data!$N$2:$N$1141,Clean_Data!$B$2:$B$1141,$A12,Clean_Data!$H$2:$H$1141,$C12,Clean_Data!$I$2:$I$1141,H$5,Clean_Data!$S$2:$S$1141,1),"")</f>
        <v>18.8</v>
      </c>
      <c r="I12" s="10" t="n">
        <f aca="false">IFERROR(AVERAGEIFS(Clean_Data!$N$2:$N$1141,Clean_Data!$B$2:$B$1141,$A12,Clean_Data!$H$2:$H$1141,$C12,Clean_Data!$I$2:$I$1141,I$5,Clean_Data!$S$2:$S$1141,1),"")</f>
        <v>35</v>
      </c>
      <c r="J12" s="10" t="n">
        <f aca="false">IFERROR(AVERAGEIFS(Clean_Data!$N$2:$N$1141,Clean_Data!$B$2:$B$1141,$A12,Clean_Data!$H$2:$H$1141,$C12,Clean_Data!$I$2:$I$1141,J$5,Clean_Data!$S$2:$S$1141,1),"")</f>
        <v>13.3</v>
      </c>
      <c r="K12" s="10" t="n">
        <f aca="false">IFERROR(AVERAGEIFS(Clean_Data!$O$2:$O$1141,Clean_Data!$B$2:$B$1141,$A12,Clean_Data!$H$2:$H$1141,$C12,Clean_Data!$I$2:$I$1141,"DTP3",Clean_Data!$S$2:$S$1141,1),"")</f>
        <v>2841</v>
      </c>
      <c r="L12" s="10" t="n">
        <f aca="false">IF(AND(ISNUMBER(G12),ISNUMBER(K12)),1.96*SQRT((G12/100)*(1-G12/100)/(K12/$B$3))*100,"")</f>
        <v>2.20169809093629</v>
      </c>
      <c r="M12" s="10" t="n">
        <f aca="false">IF(AND(ISNUMBER(F12),ISNUMBER(G12)),IF(F12&gt;0,(F12-G12)/F12*100,""),"")</f>
        <v>43.0656934306569</v>
      </c>
      <c r="N12" s="10" t="n">
        <f aca="false">IF(AND(ISNUMBER(E12),ISNUMBER(I12)),IF(E12&gt;0,(E12-I12)/E12*100,""),"")</f>
        <v>18.6046511627907</v>
      </c>
      <c r="O12" s="10" t="n">
        <f aca="false">IF(ISNUMBER(F12),100-F12,"")</f>
        <v>58.9</v>
      </c>
      <c r="P12" s="10" t="n">
        <f aca="false">IF(ISNUMBER(J12),100-J12,"")</f>
        <v>86.7</v>
      </c>
      <c r="Q12" s="7" t="n">
        <f aca="false">COUNTIFS(Clean_Data!$B$2:$B$1141,$A12,Clean_Data!$H$2:$H$1141,$C12,Clean_Data!$I$2:$I$1141,"DTP3",Clean_Data!$S$2:$S$1141,1)</f>
        <v>1</v>
      </c>
    </row>
    <row r="13" customFormat="false" ht="15" hidden="false" customHeight="false" outlineLevel="0" collapsed="false">
      <c r="A13" s="7" t="s">
        <v>256</v>
      </c>
      <c r="B13" s="7" t="str">
        <f aca="false">INDEX(Clean_Data!$C$2:$C$1141,MATCH(A13,Clean_Data!$B$2:$B$1141,0))</f>
        <v>DHS</v>
      </c>
      <c r="C13" s="7" t="n">
        <v>1998</v>
      </c>
      <c r="D13" s="7" t="n">
        <f aca="false">INDEX(Clean_Data!$F$2:$F$1141,MATCH(A13,Clean_Data!$B$2:$B$1141,0))</f>
        <v>1999</v>
      </c>
      <c r="E13" s="10" t="n">
        <f aca="false">IFERROR(AVERAGEIFS(Clean_Data!$N$2:$N$1141,Clean_Data!$B$2:$B$1141,$A13,Clean_Data!$H$2:$H$1141,$C13,Clean_Data!$I$2:$I$1141,E$5,Clean_Data!$S$2:$S$1141,1),"")</f>
        <v>53.8</v>
      </c>
      <c r="F13" s="10" t="n">
        <f aca="false">IFERROR(AVERAGEIFS(Clean_Data!$N$2:$N$1141,Clean_Data!$B$2:$B$1141,$A13,Clean_Data!$H$2:$H$1141,$C13,Clean_Data!$I$2:$I$1141,F$5,Clean_Data!$S$2:$S$1141,1),"")</f>
        <v>47.4</v>
      </c>
      <c r="G13" s="10" t="n">
        <f aca="false">IFERROR(AVERAGEIFS(Clean_Data!$N$2:$N$1141,Clean_Data!$B$2:$B$1141,$A13,Clean_Data!$H$2:$H$1141,$C13,Clean_Data!$I$2:$I$1141,G$5,Clean_Data!$S$2:$S$1141,1),"")</f>
        <v>26.3</v>
      </c>
      <c r="H13" s="10" t="n">
        <f aca="false">IFERROR(AVERAGEIFS(Clean_Data!$N$2:$N$1141,Clean_Data!$B$2:$B$1141,$A13,Clean_Data!$H$2:$H$1141,$C13,Clean_Data!$I$2:$I$1141,H$5,Clean_Data!$S$2:$S$1141,1),"")</f>
        <v>24.8</v>
      </c>
      <c r="I13" s="10" t="n">
        <f aca="false">IFERROR(AVERAGEIFS(Clean_Data!$N$2:$N$1141,Clean_Data!$B$2:$B$1141,$A13,Clean_Data!$H$2:$H$1141,$C13,Clean_Data!$I$2:$I$1141,I$5,Clean_Data!$S$2:$S$1141,1),"")</f>
        <v>40.5</v>
      </c>
      <c r="J13" s="10" t="n">
        <f aca="false">IFERROR(AVERAGEIFS(Clean_Data!$N$2:$N$1141,Clean_Data!$B$2:$B$1141,$A13,Clean_Data!$H$2:$H$1141,$C13,Clean_Data!$I$2:$I$1141,J$5,Clean_Data!$S$2:$S$1141,1),"")</f>
        <v>16.8</v>
      </c>
      <c r="K13" s="10" t="n">
        <f aca="false">IFERROR(AVERAGEIFS(Clean_Data!$O$2:$O$1141,Clean_Data!$B$2:$B$1141,$A13,Clean_Data!$H$2:$H$1141,$C13,Clean_Data!$I$2:$I$1141,"DTP3",Clean_Data!$S$2:$S$1141,1),"")</f>
        <v>1161</v>
      </c>
      <c r="L13" s="10" t="n">
        <f aca="false">IF(AND(ISNUMBER(G13),ISNUMBER(K13)),1.96*SQRT((G13/100)*(1-G13/100)/(K13/$B$3))*100,"")</f>
        <v>3.58151337617747</v>
      </c>
      <c r="M13" s="10" t="n">
        <f aca="false">IF(AND(ISNUMBER(F13),ISNUMBER(G13)),IF(F13&gt;0,(F13-G13)/F13*100,""),"")</f>
        <v>44.5147679324895</v>
      </c>
      <c r="N13" s="10" t="n">
        <f aca="false">IF(AND(ISNUMBER(E13),ISNUMBER(I13)),IF(E13&gt;0,(E13-I13)/E13*100,""),"")</f>
        <v>24.7211895910781</v>
      </c>
      <c r="O13" s="10" t="n">
        <f aca="false">IF(ISNUMBER(F13),100-F13,"")</f>
        <v>52.6</v>
      </c>
      <c r="P13" s="10" t="n">
        <f aca="false">IF(ISNUMBER(J13),100-J13,"")</f>
        <v>83.2</v>
      </c>
      <c r="Q13" s="7" t="n">
        <f aca="false">COUNTIFS(Clean_Data!$B$2:$B$1141,$A13,Clean_Data!$H$2:$H$1141,$C13,Clean_Data!$I$2:$I$1141,"DTP3",Clean_Data!$S$2:$S$1141,1)</f>
        <v>1</v>
      </c>
    </row>
    <row r="14" customFormat="false" ht="15" hidden="false" customHeight="false" outlineLevel="0" collapsed="false">
      <c r="A14" s="7" t="s">
        <v>101</v>
      </c>
      <c r="B14" s="7" t="str">
        <f aca="false">INDEX(Clean_Data!$C$2:$C$1141,MATCH(A14,Clean_Data!$B$2:$B$1141,0))</f>
        <v>DHS</v>
      </c>
      <c r="C14" s="7" t="n">
        <v>2002</v>
      </c>
      <c r="D14" s="7" t="n">
        <f aca="false">INDEX(Clean_Data!$F$2:$F$1141,MATCH(A14,Clean_Data!$B$2:$B$1141,0))</f>
        <v>2003</v>
      </c>
      <c r="E14" s="10" t="n">
        <f aca="false">IFERROR(AVERAGEIFS(Clean_Data!$N$2:$N$1141,Clean_Data!$B$2:$B$1141,$A14,Clean_Data!$H$2:$H$1141,$C14,Clean_Data!$I$2:$I$1141,E$5,Clean_Data!$S$2:$S$1141,1),"")</f>
        <v>48.3</v>
      </c>
      <c r="F14" s="10" t="n">
        <f aca="false">IFERROR(AVERAGEIFS(Clean_Data!$N$2:$N$1141,Clean_Data!$B$2:$B$1141,$A14,Clean_Data!$H$2:$H$1141,$C14,Clean_Data!$I$2:$I$1141,F$5,Clean_Data!$S$2:$S$1141,1),"")</f>
        <v>42.6</v>
      </c>
      <c r="G14" s="10" t="n">
        <f aca="false">IFERROR(AVERAGEIFS(Clean_Data!$N$2:$N$1141,Clean_Data!$B$2:$B$1141,$A14,Clean_Data!$H$2:$H$1141,$C14,Clean_Data!$I$2:$I$1141,G$5,Clean_Data!$S$2:$S$1141,1),"")</f>
        <v>21.4</v>
      </c>
      <c r="H14" s="10" t="n">
        <f aca="false">IFERROR(AVERAGEIFS(Clean_Data!$N$2:$N$1141,Clean_Data!$B$2:$B$1141,$A14,Clean_Data!$H$2:$H$1141,$C14,Clean_Data!$I$2:$I$1141,H$5,Clean_Data!$S$2:$S$1141,1),"")</f>
        <v>29.4</v>
      </c>
      <c r="I14" s="10" t="n">
        <f aca="false">IFERROR(AVERAGEIFS(Clean_Data!$N$2:$N$1141,Clean_Data!$B$2:$B$1141,$A14,Clean_Data!$H$2:$H$1141,$C14,Clean_Data!$I$2:$I$1141,I$5,Clean_Data!$S$2:$S$1141,1),"")</f>
        <v>35.9</v>
      </c>
      <c r="J14" s="10" t="n">
        <f aca="false">IFERROR(AVERAGEIFS(Clean_Data!$N$2:$N$1141,Clean_Data!$B$2:$B$1141,$A14,Clean_Data!$H$2:$H$1141,$C14,Clean_Data!$I$2:$I$1141,J$5,Clean_Data!$S$2:$S$1141,1),"")</f>
        <v>12.9</v>
      </c>
      <c r="K14" s="10" t="n">
        <f aca="false">IFERROR(AVERAGEIFS(Clean_Data!$O$2:$O$1141,Clean_Data!$B$2:$B$1141,$A14,Clean_Data!$H$2:$H$1141,$C14,Clean_Data!$I$2:$I$1141,"DTP3",Clean_Data!$S$2:$S$1141,1),"")</f>
        <v>999</v>
      </c>
      <c r="L14" s="10" t="n">
        <f aca="false">IF(AND(ISNUMBER(G14),ISNUMBER(K14)),1.96*SQRT((G14/100)*(1-G14/100)/(K14/$B$3))*100,"")</f>
        <v>3.59671879830966</v>
      </c>
      <c r="M14" s="10" t="n">
        <f aca="false">IF(AND(ISNUMBER(F14),ISNUMBER(G14)),IF(F14&gt;0,(F14-G14)/F14*100,""),"")</f>
        <v>49.7652582159625</v>
      </c>
      <c r="N14" s="10" t="n">
        <f aca="false">IF(AND(ISNUMBER(E14),ISNUMBER(I14)),IF(E14&gt;0,(E14-I14)/E14*100,""),"")</f>
        <v>25.6728778467909</v>
      </c>
      <c r="O14" s="10" t="n">
        <f aca="false">IF(ISNUMBER(F14),100-F14,"")</f>
        <v>57.4</v>
      </c>
      <c r="P14" s="10" t="n">
        <f aca="false">IF(ISNUMBER(J14),100-J14,"")</f>
        <v>87.1</v>
      </c>
      <c r="Q14" s="7" t="n">
        <f aca="false">COUNTIFS(Clean_Data!$B$2:$B$1141,$A14,Clean_Data!$H$2:$H$1141,$C14,Clean_Data!$I$2:$I$1141,"DTP3",Clean_Data!$S$2:$S$1141,1)</f>
        <v>1</v>
      </c>
    </row>
    <row r="15" customFormat="false" ht="15" hidden="false" customHeight="false" outlineLevel="0" collapsed="false">
      <c r="A15" s="7" t="s">
        <v>104</v>
      </c>
      <c r="B15" s="7" t="str">
        <f aca="false">INDEX(Clean_Data!$C$2:$C$1141,MATCH(A15,Clean_Data!$B$2:$B$1141,0))</f>
        <v>Coverage survey</v>
      </c>
      <c r="C15" s="7" t="n">
        <v>2002</v>
      </c>
      <c r="D15" s="7" t="n">
        <f aca="false">INDEX(Clean_Data!$F$2:$F$1141,MATCH(A15,Clean_Data!$B$2:$B$1141,0))</f>
        <v>2003</v>
      </c>
      <c r="E15" s="10" t="n">
        <f aca="false">IFERROR(AVERAGEIFS(Clean_Data!$N$2:$N$1141,Clean_Data!$B$2:$B$1141,$A15,Clean_Data!$H$2:$H$1141,$C15,Clean_Data!$I$2:$I$1141,E$5,Clean_Data!$S$2:$S$1141,1),"")</f>
        <v>29.3</v>
      </c>
      <c r="F15" s="10" t="n">
        <f aca="false">IFERROR(AVERAGEIFS(Clean_Data!$N$2:$N$1141,Clean_Data!$B$2:$B$1141,$A15,Clean_Data!$H$2:$H$1141,$C15,Clean_Data!$I$2:$I$1141,F$5,Clean_Data!$S$2:$S$1141,1),"")</f>
        <v>43.2</v>
      </c>
      <c r="G15" s="10" t="n">
        <f aca="false">IFERROR(AVERAGEIFS(Clean_Data!$N$2:$N$1141,Clean_Data!$B$2:$B$1141,$A15,Clean_Data!$H$2:$H$1141,$C15,Clean_Data!$I$2:$I$1141,G$5,Clean_Data!$S$2:$S$1141,1),"")</f>
        <v>24.8</v>
      </c>
      <c r="H15" s="10" t="n">
        <f aca="false">IFERROR(AVERAGEIFS(Clean_Data!$N$2:$N$1141,Clean_Data!$B$2:$B$1141,$A15,Clean_Data!$H$2:$H$1141,$C15,Clean_Data!$I$2:$I$1141,H$5,Clean_Data!$S$2:$S$1141,1),"")</f>
        <v>38.6</v>
      </c>
      <c r="I15" s="10" t="n">
        <f aca="false">IFERROR(AVERAGEIFS(Clean_Data!$N$2:$N$1141,Clean_Data!$B$2:$B$1141,$A15,Clean_Data!$H$2:$H$1141,$C15,Clean_Data!$I$2:$I$1141,I$5,Clean_Data!$S$2:$S$1141,1),"")</f>
        <v>25.3</v>
      </c>
      <c r="J15" s="10" t="n">
        <f aca="false">IFERROR(AVERAGEIFS(Clean_Data!$N$2:$N$1141,Clean_Data!$B$2:$B$1141,$A15,Clean_Data!$H$2:$H$1141,$C15,Clean_Data!$I$2:$I$1141,J$5,Clean_Data!$S$2:$S$1141,1),"")</f>
        <v>16.2</v>
      </c>
      <c r="K15" s="10" t="n">
        <f aca="false">IFERROR(AVERAGEIFS(Clean_Data!$O$2:$O$1141,Clean_Data!$B$2:$B$1141,$A15,Clean_Data!$H$2:$H$1141,$C15,Clean_Data!$I$2:$I$1141,"DTP3",Clean_Data!$S$2:$S$1141,1),"")</f>
        <v>40777</v>
      </c>
      <c r="L15" s="10" t="n">
        <f aca="false">IF(AND(ISNUMBER(G15),ISNUMBER(K15)),1.96*SQRT((G15/100)*(1-G15/100)/(K15/$B$3))*100,"")</f>
        <v>0.592786349521249</v>
      </c>
      <c r="M15" s="10" t="n">
        <f aca="false">IF(AND(ISNUMBER(F15),ISNUMBER(G15)),IF(F15&gt;0,(F15-G15)/F15*100,""),"")</f>
        <v>42.5925925925926</v>
      </c>
      <c r="N15" s="10" t="n">
        <f aca="false">IF(AND(ISNUMBER(E15),ISNUMBER(I15)),IF(E15&gt;0,(E15-I15)/E15*100,""),"")</f>
        <v>13.6518771331058</v>
      </c>
      <c r="O15" s="10" t="n">
        <f aca="false">IF(ISNUMBER(F15),100-F15,"")</f>
        <v>56.8</v>
      </c>
      <c r="P15" s="10" t="n">
        <f aca="false">IF(ISNUMBER(J15),100-J15,"")</f>
        <v>83.8</v>
      </c>
      <c r="Q15" s="7" t="n">
        <f aca="false">COUNTIFS(Clean_Data!$B$2:$B$1141,$A15,Clean_Data!$H$2:$H$1141,$C15,Clean_Data!$I$2:$I$1141,"DTP3",Clean_Data!$S$2:$S$1141,1)</f>
        <v>1</v>
      </c>
    </row>
    <row r="16" customFormat="false" ht="15" hidden="false" customHeight="false" outlineLevel="0" collapsed="false">
      <c r="A16" s="7" t="s">
        <v>107</v>
      </c>
      <c r="B16" s="7" t="str">
        <f aca="false">INDEX(Clean_Data!$C$2:$C$1141,MATCH(A16,Clean_Data!$B$2:$B$1141,0))</f>
        <v>Coverage survey</v>
      </c>
      <c r="C16" s="7" t="n">
        <v>2005</v>
      </c>
      <c r="D16" s="7" t="n">
        <f aca="false">INDEX(Clean_Data!$F$2:$F$1141,MATCH(A16,Clean_Data!$B$2:$B$1141,0))</f>
        <v>2006</v>
      </c>
      <c r="E16" s="10" t="n">
        <f aca="false">IFERROR(AVERAGEIFS(Clean_Data!$N$2:$N$1141,Clean_Data!$B$2:$B$1141,$A16,Clean_Data!$H$2:$H$1141,$C16,Clean_Data!$I$2:$I$1141,E$5,Clean_Data!$S$2:$S$1141,1),"")</f>
        <v>68.6</v>
      </c>
      <c r="F16" s="10" t="n">
        <f aca="false">IFERROR(AVERAGEIFS(Clean_Data!$N$2:$N$1141,Clean_Data!$B$2:$B$1141,$A16,Clean_Data!$H$2:$H$1141,$C16,Clean_Data!$I$2:$I$1141,F$5,Clean_Data!$S$2:$S$1141,1),"")</f>
        <v>71.7</v>
      </c>
      <c r="G16" s="10" t="n">
        <f aca="false">IFERROR(AVERAGEIFS(Clean_Data!$N$2:$N$1141,Clean_Data!$B$2:$B$1141,$A16,Clean_Data!$H$2:$H$1141,$C16,Clean_Data!$I$2:$I$1141,G$5,Clean_Data!$S$2:$S$1141,1),"")</f>
        <v>53.5</v>
      </c>
      <c r="H16" s="10" t="n">
        <f aca="false">IFERROR(AVERAGEIFS(Clean_Data!$N$2:$N$1141,Clean_Data!$B$2:$B$1141,$A16,Clean_Data!$H$2:$H$1141,$C16,Clean_Data!$I$2:$I$1141,H$5,Clean_Data!$S$2:$S$1141,1),"")</f>
        <v>60.7</v>
      </c>
      <c r="I16" s="10" t="n">
        <f aca="false">IFERROR(AVERAGEIFS(Clean_Data!$N$2:$N$1141,Clean_Data!$B$2:$B$1141,$A16,Clean_Data!$H$2:$H$1141,$C16,Clean_Data!$I$2:$I$1141,I$5,Clean_Data!$S$2:$S$1141,1),"")</f>
        <v>62.4</v>
      </c>
      <c r="J16" s="10" t="n">
        <f aca="false">IFERROR(AVERAGEIFS(Clean_Data!$N$2:$N$1141,Clean_Data!$B$2:$B$1141,$A16,Clean_Data!$H$2:$H$1141,$C16,Clean_Data!$I$2:$I$1141,J$5,Clean_Data!$S$2:$S$1141,1),"")</f>
        <v>42.2</v>
      </c>
      <c r="K16" s="10" t="n">
        <f aca="false">IFERROR(AVERAGEIFS(Clean_Data!$O$2:$O$1141,Clean_Data!$B$2:$B$1141,$A16,Clean_Data!$H$2:$H$1141,$C16,Clean_Data!$I$2:$I$1141,"DTP3",Clean_Data!$S$2:$S$1141,1),"")</f>
        <v>23414</v>
      </c>
      <c r="L16" s="10" t="n">
        <f aca="false">IF(AND(ISNUMBER(G16),ISNUMBER(K16)),1.96*SQRT((G16/100)*(1-G16/100)/(K16/$B$3))*100,"")</f>
        <v>0.903517626734213</v>
      </c>
      <c r="M16" s="10" t="n">
        <f aca="false">IF(AND(ISNUMBER(F16),ISNUMBER(G16)),IF(F16&gt;0,(F16-G16)/F16*100,""),"")</f>
        <v>25.3835425383543</v>
      </c>
      <c r="N16" s="10" t="n">
        <f aca="false">IF(AND(ISNUMBER(E16),ISNUMBER(I16)),IF(E16&gt;0,(E16-I16)/E16*100,""),"")</f>
        <v>9.03790087463556</v>
      </c>
      <c r="O16" s="10" t="n">
        <f aca="false">IF(ISNUMBER(F16),100-F16,"")</f>
        <v>28.3</v>
      </c>
      <c r="P16" s="10" t="n">
        <f aca="false">IF(ISNUMBER(J16),100-J16,"")</f>
        <v>57.8</v>
      </c>
      <c r="Q16" s="7" t="n">
        <f aca="false">COUNTIFS(Clean_Data!$B$2:$B$1141,$A16,Clean_Data!$H$2:$H$1141,$C16,Clean_Data!$I$2:$I$1141,"DTP3",Clean_Data!$S$2:$S$1141,1)</f>
        <v>1</v>
      </c>
    </row>
    <row r="17" customFormat="false" ht="15" hidden="false" customHeight="false" outlineLevel="0" collapsed="false">
      <c r="A17" s="7" t="s">
        <v>112</v>
      </c>
      <c r="B17" s="7" t="str">
        <f aca="false">INDEX(Clean_Data!$C$2:$C$1141,MATCH(A17,Clean_Data!$B$2:$B$1141,0))</f>
        <v>MICS</v>
      </c>
      <c r="C17" s="7" t="n">
        <v>2006</v>
      </c>
      <c r="D17" s="7" t="n">
        <f aca="false">INDEX(Clean_Data!$F$2:$F$1141,MATCH(A17,Clean_Data!$B$2:$B$1141,0))</f>
        <v>2007</v>
      </c>
      <c r="E17" s="10" t="n">
        <f aca="false">IFERROR(AVERAGEIFS(Clean_Data!$N$2:$N$1141,Clean_Data!$B$2:$B$1141,$A17,Clean_Data!$H$2:$H$1141,$C17,Clean_Data!$I$2:$I$1141,E$5,Clean_Data!$S$2:$S$1141,1),"")</f>
        <v>51.5</v>
      </c>
      <c r="F17" s="10" t="n">
        <f aca="false">IFERROR(AVERAGEIFS(Clean_Data!$N$2:$N$1141,Clean_Data!$B$2:$B$1141,$A17,Clean_Data!$H$2:$H$1141,$C17,Clean_Data!$I$2:$I$1141,F$5,Clean_Data!$S$2:$S$1141,1),"")</f>
        <v>48.6</v>
      </c>
      <c r="G17" s="10" t="n">
        <f aca="false">IFERROR(AVERAGEIFS(Clean_Data!$N$2:$N$1141,Clean_Data!$B$2:$B$1141,$A17,Clean_Data!$H$2:$H$1141,$C17,Clean_Data!$I$2:$I$1141,G$5,Clean_Data!$S$2:$S$1141,1),"")</f>
        <v>29.6</v>
      </c>
      <c r="H17" s="10" t="n">
        <f aca="false">IFERROR(AVERAGEIFS(Clean_Data!$N$2:$N$1141,Clean_Data!$B$2:$B$1141,$A17,Clean_Data!$H$2:$H$1141,$C17,Clean_Data!$I$2:$I$1141,H$5,Clean_Data!$S$2:$S$1141,1),"")</f>
        <v>29.4</v>
      </c>
      <c r="I17" s="10" t="n">
        <f aca="false">IFERROR(AVERAGEIFS(Clean_Data!$N$2:$N$1141,Clean_Data!$B$2:$B$1141,$A17,Clean_Data!$H$2:$H$1141,$C17,Clean_Data!$I$2:$I$1141,I$5,Clean_Data!$S$2:$S$1141,1),"")</f>
        <v>44</v>
      </c>
      <c r="J17" s="10" t="n">
        <f aca="false">IFERROR(AVERAGEIFS(Clean_Data!$N$2:$N$1141,Clean_Data!$B$2:$B$1141,$A17,Clean_Data!$H$2:$H$1141,$C17,Clean_Data!$I$2:$I$1141,J$5,Clean_Data!$S$2:$S$1141,1),"")</f>
        <v>16.4</v>
      </c>
      <c r="K17" s="10" t="n">
        <f aca="false">IFERROR(AVERAGEIFS(Clean_Data!$O$2:$O$1141,Clean_Data!$B$2:$B$1141,$A17,Clean_Data!$H$2:$H$1141,$C17,Clean_Data!$I$2:$I$1141,"DTP3",Clean_Data!$S$2:$S$1141,1),"")</f>
        <v>3187</v>
      </c>
      <c r="L17" s="10" t="n">
        <f aca="false">IF(AND(ISNUMBER(G17),ISNUMBER(K17)),1.96*SQRT((G17/100)*(1-G17/100)/(K17/$B$3))*100,"")</f>
        <v>2.24136312462231</v>
      </c>
      <c r="M17" s="10" t="n">
        <f aca="false">IF(AND(ISNUMBER(F17),ISNUMBER(G17)),IF(F17&gt;0,(F17-G17)/F17*100,""),"")</f>
        <v>39.0946502057613</v>
      </c>
      <c r="N17" s="10" t="n">
        <f aca="false">IF(AND(ISNUMBER(E17),ISNUMBER(I17)),IF(E17&gt;0,(E17-I17)/E17*100,""),"")</f>
        <v>14.5631067961165</v>
      </c>
      <c r="O17" s="10" t="n">
        <f aca="false">IF(ISNUMBER(F17),100-F17,"")</f>
        <v>51.4</v>
      </c>
      <c r="P17" s="10" t="n">
        <f aca="false">IF(ISNUMBER(J17),100-J17,"")</f>
        <v>83.6</v>
      </c>
      <c r="Q17" s="7" t="n">
        <f aca="false">COUNTIFS(Clean_Data!$B$2:$B$1141,$A17,Clean_Data!$H$2:$H$1141,$C17,Clean_Data!$I$2:$I$1141,"DTP3",Clean_Data!$S$2:$S$1141,1)</f>
        <v>1</v>
      </c>
    </row>
    <row r="18" customFormat="false" ht="15" hidden="false" customHeight="false" outlineLevel="0" collapsed="false">
      <c r="A18" s="7" t="s">
        <v>115</v>
      </c>
      <c r="B18" s="7" t="str">
        <f aca="false">INDEX(Clean_Data!$C$2:$C$1141,MATCH(A18,Clean_Data!$B$2:$B$1141,0))</f>
        <v>DHS</v>
      </c>
      <c r="C18" s="7" t="n">
        <v>2007</v>
      </c>
      <c r="D18" s="7" t="n">
        <f aca="false">INDEX(Clean_Data!$F$2:$F$1141,MATCH(A18,Clean_Data!$B$2:$B$1141,0))</f>
        <v>2008</v>
      </c>
      <c r="E18" s="10" t="n">
        <f aca="false">IFERROR(AVERAGEIFS(Clean_Data!$N$2:$N$1141,Clean_Data!$B$2:$B$1141,$A18,Clean_Data!$H$2:$H$1141,$C18,Clean_Data!$I$2:$I$1141,E$5,Clean_Data!$S$2:$S$1141,1),"")</f>
        <v>49.7</v>
      </c>
      <c r="F18" s="10" t="n">
        <f aca="false">IFERROR(AVERAGEIFS(Clean_Data!$N$2:$N$1141,Clean_Data!$B$2:$B$1141,$A18,Clean_Data!$H$2:$H$1141,$C18,Clean_Data!$I$2:$I$1141,F$5,Clean_Data!$S$2:$S$1141,1),"")</f>
        <v>52</v>
      </c>
      <c r="G18" s="10" t="n">
        <f aca="false">IFERROR(AVERAGEIFS(Clean_Data!$N$2:$N$1141,Clean_Data!$B$2:$B$1141,$A18,Clean_Data!$H$2:$H$1141,$C18,Clean_Data!$I$2:$I$1141,G$5,Clean_Data!$S$2:$S$1141,1),"")</f>
        <v>35.4</v>
      </c>
      <c r="H18" s="10" t="n">
        <f aca="false">IFERROR(AVERAGEIFS(Clean_Data!$N$2:$N$1141,Clean_Data!$B$2:$B$1141,$A18,Clean_Data!$H$2:$H$1141,$C18,Clean_Data!$I$2:$I$1141,H$5,Clean_Data!$S$2:$S$1141,1),"")</f>
        <v>38.7</v>
      </c>
      <c r="I18" s="10" t="n">
        <f aca="false">IFERROR(AVERAGEIFS(Clean_Data!$N$2:$N$1141,Clean_Data!$B$2:$B$1141,$A18,Clean_Data!$H$2:$H$1141,$C18,Clean_Data!$I$2:$I$1141,I$5,Clean_Data!$S$2:$S$1141,1),"")</f>
        <v>41.4</v>
      </c>
      <c r="J18" s="10" t="n">
        <f aca="false">IFERROR(AVERAGEIFS(Clean_Data!$N$2:$N$1141,Clean_Data!$B$2:$B$1141,$A18,Clean_Data!$H$2:$H$1141,$C18,Clean_Data!$I$2:$I$1141,J$5,Clean_Data!$S$2:$S$1141,1),"")</f>
        <v>22.7</v>
      </c>
      <c r="K18" s="10" t="n">
        <f aca="false">IFERROR(AVERAGEIFS(Clean_Data!$O$2:$O$1141,Clean_Data!$B$2:$B$1141,$A18,Clean_Data!$H$2:$H$1141,$C18,Clean_Data!$I$2:$I$1141,"DTP3",Clean_Data!$S$2:$S$1141,1),"")</f>
        <v>4945</v>
      </c>
      <c r="L18" s="10" t="n">
        <f aca="false">IF(AND(ISNUMBER(G18),ISNUMBER(K18)),1.96*SQRT((G18/100)*(1-G18/100)/(K18/$B$3))*100,"")</f>
        <v>1.88497594012318</v>
      </c>
      <c r="M18" s="10" t="n">
        <f aca="false">IF(AND(ISNUMBER(F18),ISNUMBER(G18)),IF(F18&gt;0,(F18-G18)/F18*100,""),"")</f>
        <v>31.9230769230769</v>
      </c>
      <c r="N18" s="10" t="n">
        <f aca="false">IF(AND(ISNUMBER(E18),ISNUMBER(I18)),IF(E18&gt;0,(E18-I18)/E18*100,""),"")</f>
        <v>16.7002012072435</v>
      </c>
      <c r="O18" s="10" t="n">
        <f aca="false">IF(ISNUMBER(F18),100-F18,"")</f>
        <v>48</v>
      </c>
      <c r="P18" s="10" t="n">
        <f aca="false">IF(ISNUMBER(J18),100-J18,"")</f>
        <v>77.3</v>
      </c>
      <c r="Q18" s="7" t="n">
        <f aca="false">COUNTIFS(Clean_Data!$B$2:$B$1141,$A18,Clean_Data!$H$2:$H$1141,$C18,Clean_Data!$I$2:$I$1141,"DTP3",Clean_Data!$S$2:$S$1141,1)</f>
        <v>1</v>
      </c>
    </row>
    <row r="19" customFormat="false" ht="15" hidden="false" customHeight="false" outlineLevel="0" collapsed="false">
      <c r="A19" s="7" t="s">
        <v>118</v>
      </c>
      <c r="B19" s="7" t="str">
        <f aca="false">INDEX(Clean_Data!$C$2:$C$1141,MATCH(A19,Clean_Data!$B$2:$B$1141,0))</f>
        <v>Coverage survey</v>
      </c>
      <c r="C19" s="7" t="n">
        <v>2009</v>
      </c>
      <c r="D19" s="7" t="n">
        <f aca="false">INDEX(Clean_Data!$F$2:$F$1141,MATCH(A19,Clean_Data!$B$2:$B$1141,0))</f>
        <v>2010</v>
      </c>
      <c r="E19" s="10" t="n">
        <f aca="false">IFERROR(AVERAGEIFS(Clean_Data!$N$2:$N$1141,Clean_Data!$B$2:$B$1141,$A19,Clean_Data!$H$2:$H$1141,$C19,Clean_Data!$I$2:$I$1141,E$5,Clean_Data!$S$2:$S$1141,1),"")</f>
        <v>76.4</v>
      </c>
      <c r="F19" s="10" t="n">
        <f aca="false">IFERROR(AVERAGEIFS(Clean_Data!$N$2:$N$1141,Clean_Data!$B$2:$B$1141,$A19,Clean_Data!$H$2:$H$1141,$C19,Clean_Data!$I$2:$I$1141,F$5,Clean_Data!$S$2:$S$1141,1),"")</f>
        <v>73.4</v>
      </c>
      <c r="G19" s="10" t="n">
        <f aca="false">IFERROR(AVERAGEIFS(Clean_Data!$N$2:$N$1141,Clean_Data!$B$2:$B$1141,$A19,Clean_Data!$H$2:$H$1141,$C19,Clean_Data!$I$2:$I$1141,G$5,Clean_Data!$S$2:$S$1141,1),"")</f>
        <v>67.7</v>
      </c>
      <c r="H19" s="10" t="n">
        <f aca="false">IFERROR(AVERAGEIFS(Clean_Data!$N$2:$N$1141,Clean_Data!$B$2:$B$1141,$A19,Clean_Data!$H$2:$H$1141,$C19,Clean_Data!$I$2:$I$1141,H$5,Clean_Data!$S$2:$S$1141,1),"")</f>
        <v>74</v>
      </c>
      <c r="I19" s="10" t="n">
        <f aca="false">IFERROR(AVERAGEIFS(Clean_Data!$N$2:$N$1141,Clean_Data!$B$2:$B$1141,$A19,Clean_Data!$H$2:$H$1141,$C19,Clean_Data!$I$2:$I$1141,I$5,Clean_Data!$S$2:$S$1141,1),"")</f>
        <v>63.6</v>
      </c>
      <c r="J19" s="10" t="str">
        <f aca="false">IFERROR(AVERAGEIFS(Clean_Data!$N$2:$N$1141,Clean_Data!$B$2:$B$1141,$A19,Clean_Data!$H$2:$H$1141,$C19,Clean_Data!$I$2:$I$1141,J$5,Clean_Data!$S$2:$S$1141,1),"")</f>
        <v/>
      </c>
      <c r="K19" s="10" t="n">
        <f aca="false">IFERROR(AVERAGEIFS(Clean_Data!$O$2:$O$1141,Clean_Data!$B$2:$B$1141,$A19,Clean_Data!$H$2:$H$1141,$C19,Clean_Data!$I$2:$I$1141,"DTP3",Clean_Data!$S$2:$S$1141,1),"")</f>
        <v>19551</v>
      </c>
      <c r="L19" s="10" t="n">
        <f aca="false">IF(AND(ISNUMBER(G19),ISNUMBER(K19)),1.96*SQRT((G19/100)*(1-G19/100)/(K19/$B$3))*100,"")</f>
        <v>0.927005213937153</v>
      </c>
      <c r="M19" s="10" t="n">
        <f aca="false">IF(AND(ISNUMBER(F19),ISNUMBER(G19)),IF(F19&gt;0,(F19-G19)/F19*100,""),"")</f>
        <v>7.76566757493188</v>
      </c>
      <c r="N19" s="10" t="n">
        <f aca="false">IF(AND(ISNUMBER(E19),ISNUMBER(I19)),IF(E19&gt;0,(E19-I19)/E19*100,""),"")</f>
        <v>16.7539267015707</v>
      </c>
      <c r="O19" s="10" t="n">
        <f aca="false">IF(ISNUMBER(F19),100-F19,"")</f>
        <v>26.6</v>
      </c>
      <c r="P19" s="10" t="str">
        <f aca="false">IF(ISNUMBER(J19),100-J19,"")</f>
        <v/>
      </c>
      <c r="Q19" s="7" t="n">
        <f aca="false">COUNTIFS(Clean_Data!$B$2:$B$1141,$A19,Clean_Data!$H$2:$H$1141,$C19,Clean_Data!$I$2:$I$1141,"DTP3",Clean_Data!$S$2:$S$1141,1)</f>
        <v>1</v>
      </c>
    </row>
    <row r="20" customFormat="false" ht="15" hidden="false" customHeight="false" outlineLevel="0" collapsed="false">
      <c r="A20" s="7" t="s">
        <v>120</v>
      </c>
      <c r="B20" s="7" t="str">
        <f aca="false">INDEX(Clean_Data!$C$2:$C$1141,MATCH(A20,Clean_Data!$B$2:$B$1141,0))</f>
        <v>MICS</v>
      </c>
      <c r="C20" s="7" t="n">
        <v>2010</v>
      </c>
      <c r="D20" s="7" t="n">
        <f aca="false">INDEX(Clean_Data!$F$2:$F$1141,MATCH(A20,Clean_Data!$B$2:$B$1141,0))</f>
        <v>2011</v>
      </c>
      <c r="E20" s="10" t="n">
        <f aca="false">IFERROR(AVERAGEIFS(Clean_Data!$N$2:$N$1141,Clean_Data!$B$2:$B$1141,$A20,Clean_Data!$H$2:$H$1141,$C20,Clean_Data!$I$2:$I$1141,E$5,Clean_Data!$S$2:$S$1141,1),"")</f>
        <v>62.4</v>
      </c>
      <c r="F20" s="10" t="n">
        <f aca="false">IFERROR(AVERAGEIFS(Clean_Data!$N$2:$N$1141,Clean_Data!$B$2:$B$1141,$A20,Clean_Data!$H$2:$H$1141,$C20,Clean_Data!$I$2:$I$1141,F$5,Clean_Data!$S$2:$S$1141,1),"")</f>
        <v>60.4</v>
      </c>
      <c r="G20" s="10" t="n">
        <f aca="false">IFERROR(AVERAGEIFS(Clean_Data!$N$2:$N$1141,Clean_Data!$B$2:$B$1141,$A20,Clean_Data!$H$2:$H$1141,$C20,Clean_Data!$I$2:$I$1141,G$5,Clean_Data!$S$2:$S$1141,1),"")</f>
        <v>44.7</v>
      </c>
      <c r="H20" s="10" t="n">
        <f aca="false">IFERROR(AVERAGEIFS(Clean_Data!$N$2:$N$1141,Clean_Data!$B$2:$B$1141,$A20,Clean_Data!$H$2:$H$1141,$C20,Clean_Data!$I$2:$I$1141,H$5,Clean_Data!$S$2:$S$1141,1),"")</f>
        <v>48.8</v>
      </c>
      <c r="I20" s="10" t="n">
        <f aca="false">IFERROR(AVERAGEIFS(Clean_Data!$N$2:$N$1141,Clean_Data!$B$2:$B$1141,$A20,Clean_Data!$H$2:$H$1141,$C20,Clean_Data!$I$2:$I$1141,I$5,Clean_Data!$S$2:$S$1141,1),"")</f>
        <v>55.6</v>
      </c>
      <c r="J20" s="10" t="n">
        <f aca="false">IFERROR(AVERAGEIFS(Clean_Data!$N$2:$N$1141,Clean_Data!$B$2:$B$1141,$A20,Clean_Data!$H$2:$H$1141,$C20,Clean_Data!$I$2:$I$1141,J$5,Clean_Data!$S$2:$S$1141,1),"")</f>
        <v>27.6</v>
      </c>
      <c r="K20" s="10" t="n">
        <f aca="false">IFERROR(AVERAGEIFS(Clean_Data!$O$2:$O$1141,Clean_Data!$B$2:$B$1141,$A20,Clean_Data!$H$2:$H$1141,$C20,Clean_Data!$I$2:$I$1141,"DTP3",Clean_Data!$S$2:$S$1141,1),"")</f>
        <v>4986</v>
      </c>
      <c r="L20" s="10" t="n">
        <f aca="false">IF(AND(ISNUMBER(G20),ISNUMBER(K20)),1.96*SQRT((G20/100)*(1-G20/100)/(K20/$B$3))*100,"")</f>
        <v>1.95169189831404</v>
      </c>
      <c r="M20" s="10" t="n">
        <f aca="false">IF(AND(ISNUMBER(F20),ISNUMBER(G20)),IF(F20&gt;0,(F20-G20)/F20*100,""),"")</f>
        <v>25.9933774834437</v>
      </c>
      <c r="N20" s="10" t="n">
        <f aca="false">IF(AND(ISNUMBER(E20),ISNUMBER(I20)),IF(E20&gt;0,(E20-I20)/E20*100,""),"")</f>
        <v>10.8974358974359</v>
      </c>
      <c r="O20" s="10" t="n">
        <f aca="false">IF(ISNUMBER(F20),100-F20,"")</f>
        <v>39.6</v>
      </c>
      <c r="P20" s="10" t="n">
        <f aca="false">IF(ISNUMBER(J20),100-J20,"")</f>
        <v>72.4</v>
      </c>
      <c r="Q20" s="7" t="n">
        <f aca="false">COUNTIFS(Clean_Data!$B$2:$B$1141,$A20,Clean_Data!$H$2:$H$1141,$C20,Clean_Data!$I$2:$I$1141,"DTP3",Clean_Data!$S$2:$S$1141,1)</f>
        <v>1</v>
      </c>
    </row>
    <row r="21" customFormat="false" ht="15" hidden="false" customHeight="false" outlineLevel="0" collapsed="false">
      <c r="A21" s="7" t="s">
        <v>124</v>
      </c>
      <c r="B21" s="7" t="str">
        <f aca="false">INDEX(Clean_Data!$C$2:$C$1141,MATCH(A21,Clean_Data!$B$2:$B$1141,0))</f>
        <v>DHS</v>
      </c>
      <c r="C21" s="7" t="n">
        <v>2012</v>
      </c>
      <c r="D21" s="7" t="n">
        <f aca="false">INDEX(Clean_Data!$F$2:$F$1141,MATCH(A21,Clean_Data!$B$2:$B$1141,0))</f>
        <v>2013</v>
      </c>
      <c r="E21" s="10" t="n">
        <f aca="false">IFERROR(AVERAGEIFS(Clean_Data!$N$2:$N$1141,Clean_Data!$B$2:$B$1141,$A21,Clean_Data!$H$2:$H$1141,$C21,Clean_Data!$I$2:$I$1141,E$5,Clean_Data!$S$2:$S$1141,1),"")</f>
        <v>51.2</v>
      </c>
      <c r="F21" s="10" t="n">
        <f aca="false">IFERROR(AVERAGEIFS(Clean_Data!$N$2:$N$1141,Clean_Data!$B$2:$B$1141,$A21,Clean_Data!$H$2:$H$1141,$C21,Clean_Data!$I$2:$I$1141,F$5,Clean_Data!$S$2:$S$1141,1),"")</f>
        <v>50.6</v>
      </c>
      <c r="G21" s="10" t="n">
        <f aca="false">IFERROR(AVERAGEIFS(Clean_Data!$N$2:$N$1141,Clean_Data!$B$2:$B$1141,$A21,Clean_Data!$H$2:$H$1141,$C21,Clean_Data!$I$2:$I$1141,G$5,Clean_Data!$S$2:$S$1141,1),"")</f>
        <v>38.2</v>
      </c>
      <c r="H21" s="10" t="n">
        <f aca="false">IFERROR(AVERAGEIFS(Clean_Data!$N$2:$N$1141,Clean_Data!$B$2:$B$1141,$A21,Clean_Data!$H$2:$H$1141,$C21,Clean_Data!$I$2:$I$1141,H$5,Clean_Data!$S$2:$S$1141,1),"")</f>
        <v>53.6</v>
      </c>
      <c r="I21" s="10" t="n">
        <f aca="false">IFERROR(AVERAGEIFS(Clean_Data!$N$2:$N$1141,Clean_Data!$B$2:$B$1141,$A21,Clean_Data!$H$2:$H$1141,$C21,Clean_Data!$I$2:$I$1141,I$5,Clean_Data!$S$2:$S$1141,1),"")</f>
        <v>42.1</v>
      </c>
      <c r="J21" s="10" t="n">
        <f aca="false">IFERROR(AVERAGEIFS(Clean_Data!$N$2:$N$1141,Clean_Data!$B$2:$B$1141,$A21,Clean_Data!$H$2:$H$1141,$C21,Clean_Data!$I$2:$I$1141,J$5,Clean_Data!$S$2:$S$1141,1),"")</f>
        <v>25.3</v>
      </c>
      <c r="K21" s="10" t="n">
        <f aca="false">IFERROR(AVERAGEIFS(Clean_Data!$O$2:$O$1141,Clean_Data!$B$2:$B$1141,$A21,Clean_Data!$H$2:$H$1141,$C21,Clean_Data!$I$2:$I$1141,"DTP3",Clean_Data!$S$2:$S$1141,1),"")</f>
        <v>5900</v>
      </c>
      <c r="L21" s="10" t="n">
        <f aca="false">IF(AND(ISNUMBER(G21),ISNUMBER(K21)),1.96*SQRT((G21/100)*(1-G21/100)/(K21/$B$3))*100,"")</f>
        <v>1.75335954679552</v>
      </c>
      <c r="M21" s="10" t="n">
        <f aca="false">IF(AND(ISNUMBER(F21),ISNUMBER(G21)),IF(F21&gt;0,(F21-G21)/F21*100,""),"")</f>
        <v>24.5059288537549</v>
      </c>
      <c r="N21" s="10" t="n">
        <f aca="false">IF(AND(ISNUMBER(E21),ISNUMBER(I21)),IF(E21&gt;0,(E21-I21)/E21*100,""),"")</f>
        <v>17.7734375</v>
      </c>
      <c r="O21" s="10" t="n">
        <f aca="false">IF(ISNUMBER(F21),100-F21,"")</f>
        <v>49.4</v>
      </c>
      <c r="P21" s="10" t="n">
        <f aca="false">IF(ISNUMBER(J21),100-J21,"")</f>
        <v>74.7</v>
      </c>
      <c r="Q21" s="7" t="n">
        <f aca="false">COUNTIFS(Clean_Data!$B$2:$B$1141,$A21,Clean_Data!$H$2:$H$1141,$C21,Clean_Data!$I$2:$I$1141,"DTP3",Clean_Data!$S$2:$S$1141,1)</f>
        <v>1</v>
      </c>
    </row>
    <row r="22" customFormat="false" ht="15" hidden="false" customHeight="false" outlineLevel="0" collapsed="false">
      <c r="A22" s="7" t="s">
        <v>127</v>
      </c>
      <c r="B22" s="7" t="str">
        <f aca="false">INDEX(Clean_Data!$C$2:$C$1141,MATCH(A22,Clean_Data!$B$2:$B$1141,0))</f>
        <v>Nutrition survey</v>
      </c>
      <c r="C22" s="7" t="n">
        <v>2012</v>
      </c>
      <c r="D22" s="7" t="n">
        <f aca="false">INDEX(Clean_Data!$F$2:$F$1141,MATCH(A22,Clean_Data!$B$2:$B$1141,0))</f>
        <v>2013</v>
      </c>
      <c r="E22" s="10" t="str">
        <f aca="false">IFERROR(AVERAGEIFS(Clean_Data!$N$2:$N$1141,Clean_Data!$B$2:$B$1141,$A22,Clean_Data!$H$2:$H$1141,$C22,Clean_Data!$I$2:$I$1141,E$5,Clean_Data!$S$2:$S$1141,1),"")</f>
        <v/>
      </c>
      <c r="F22" s="10" t="n">
        <f aca="false">IFERROR(AVERAGEIFS(Clean_Data!$N$2:$N$1141,Clean_Data!$B$2:$B$1141,$A22,Clean_Data!$H$2:$H$1141,$C22,Clean_Data!$I$2:$I$1141,F$5,Clean_Data!$S$2:$S$1141,1),"")</f>
        <v>33.7</v>
      </c>
      <c r="G22" s="10" t="n">
        <f aca="false">IFERROR(AVERAGEIFS(Clean_Data!$N$2:$N$1141,Clean_Data!$B$2:$B$1141,$A22,Clean_Data!$H$2:$H$1141,$C22,Clean_Data!$I$2:$I$1141,G$5,Clean_Data!$S$2:$S$1141,1),"")</f>
        <v>25</v>
      </c>
      <c r="H22" s="10" t="str">
        <f aca="false">IFERROR(AVERAGEIFS(Clean_Data!$N$2:$N$1141,Clean_Data!$B$2:$B$1141,$A22,Clean_Data!$H$2:$H$1141,$C22,Clean_Data!$I$2:$I$1141,H$5,Clean_Data!$S$2:$S$1141,1),"")</f>
        <v/>
      </c>
      <c r="I22" s="10" t="n">
        <f aca="false">IFERROR(AVERAGEIFS(Clean_Data!$N$2:$N$1141,Clean_Data!$B$2:$B$1141,$A22,Clean_Data!$H$2:$H$1141,$C22,Clean_Data!$I$2:$I$1141,I$5,Clean_Data!$S$2:$S$1141,1),"")</f>
        <v>26.9</v>
      </c>
      <c r="J22" s="10" t="str">
        <f aca="false">IFERROR(AVERAGEIFS(Clean_Data!$N$2:$N$1141,Clean_Data!$B$2:$B$1141,$A22,Clean_Data!$H$2:$H$1141,$C22,Clean_Data!$I$2:$I$1141,J$5,Clean_Data!$S$2:$S$1141,1),"")</f>
        <v/>
      </c>
      <c r="K22" s="10" t="n">
        <f aca="false">IFERROR(AVERAGEIFS(Clean_Data!$O$2:$O$1141,Clean_Data!$B$2:$B$1141,$A22,Clean_Data!$H$2:$H$1141,$C22,Clean_Data!$I$2:$I$1141,"DTP3",Clean_Data!$S$2:$S$1141,1),"")</f>
        <v>3625</v>
      </c>
      <c r="L22" s="10" t="n">
        <f aca="false">IF(AND(ISNUMBER(G22),ISNUMBER(K22)),1.96*SQRT((G22/100)*(1-G22/100)/(K22/$B$3))*100,"")</f>
        <v>1.99350670064518</v>
      </c>
      <c r="M22" s="10" t="n">
        <f aca="false">IF(AND(ISNUMBER(F22),ISNUMBER(G22)),IF(F22&gt;0,(F22-G22)/F22*100,""),"")</f>
        <v>25.8160237388724</v>
      </c>
      <c r="N22" s="10" t="str">
        <f aca="false">IF(AND(ISNUMBER(E22),ISNUMBER(I22)),IF(E22&gt;0,(E22-I22)/E22*100,""),"")</f>
        <v/>
      </c>
      <c r="O22" s="10" t="n">
        <f aca="false">IF(ISNUMBER(F22),100-F22,"")</f>
        <v>66.3</v>
      </c>
      <c r="P22" s="10" t="str">
        <f aca="false">IF(ISNUMBER(J22),100-J22,"")</f>
        <v/>
      </c>
      <c r="Q22" s="7" t="n">
        <f aca="false">COUNTIFS(Clean_Data!$B$2:$B$1141,$A22,Clean_Data!$H$2:$H$1141,$C22,Clean_Data!$I$2:$I$1141,"DTP3",Clean_Data!$S$2:$S$1141,1)</f>
        <v>1</v>
      </c>
    </row>
    <row r="23" customFormat="false" ht="15" hidden="false" customHeight="false" outlineLevel="0" collapsed="false">
      <c r="A23" s="7" t="s">
        <v>142</v>
      </c>
      <c r="B23" s="7" t="str">
        <f aca="false">INDEX(Clean_Data!$C$2:$C$1141,MATCH(A23,Clean_Data!$B$2:$B$1141,0))</f>
        <v>Nutrition survey</v>
      </c>
      <c r="C23" s="7" t="n">
        <v>2014</v>
      </c>
      <c r="D23" s="7" t="n">
        <f aca="false">INDEX(Clean_Data!$F$2:$F$1141,MATCH(A23,Clean_Data!$B$2:$B$1141,0))</f>
        <v>2015</v>
      </c>
      <c r="E23" s="10" t="str">
        <f aca="false">IFERROR(AVERAGEIFS(Clean_Data!$N$2:$N$1141,Clean_Data!$B$2:$B$1141,$A23,Clean_Data!$H$2:$H$1141,$C23,Clean_Data!$I$2:$I$1141,E$5,Clean_Data!$S$2:$S$1141,1),"")</f>
        <v/>
      </c>
      <c r="F23" s="10" t="n">
        <f aca="false">IFERROR(AVERAGEIFS(Clean_Data!$N$2:$N$1141,Clean_Data!$B$2:$B$1141,$A23,Clean_Data!$H$2:$H$1141,$C23,Clean_Data!$I$2:$I$1141,F$5,Clean_Data!$S$2:$S$1141,1),"")</f>
        <v>63.5</v>
      </c>
      <c r="G23" s="10" t="n">
        <f aca="false">IFERROR(AVERAGEIFS(Clean_Data!$N$2:$N$1141,Clean_Data!$B$2:$B$1141,$A23,Clean_Data!$H$2:$H$1141,$C23,Clean_Data!$I$2:$I$1141,G$5,Clean_Data!$S$2:$S$1141,1),"")</f>
        <v>48.8</v>
      </c>
      <c r="H23" s="10" t="str">
        <f aca="false">IFERROR(AVERAGEIFS(Clean_Data!$N$2:$N$1141,Clean_Data!$B$2:$B$1141,$A23,Clean_Data!$H$2:$H$1141,$C23,Clean_Data!$I$2:$I$1141,H$5,Clean_Data!$S$2:$S$1141,1),"")</f>
        <v/>
      </c>
      <c r="I23" s="10" t="n">
        <f aca="false">IFERROR(AVERAGEIFS(Clean_Data!$N$2:$N$1141,Clean_Data!$B$2:$B$1141,$A23,Clean_Data!$H$2:$H$1141,$C23,Clean_Data!$I$2:$I$1141,I$5,Clean_Data!$S$2:$S$1141,1),"")</f>
        <v>50.6</v>
      </c>
      <c r="J23" s="10" t="str">
        <f aca="false">IFERROR(AVERAGEIFS(Clean_Data!$N$2:$N$1141,Clean_Data!$B$2:$B$1141,$A23,Clean_Data!$H$2:$H$1141,$C23,Clean_Data!$I$2:$I$1141,J$5,Clean_Data!$S$2:$S$1141,1),"")</f>
        <v/>
      </c>
      <c r="K23" s="10" t="n">
        <f aca="false">IFERROR(AVERAGEIFS(Clean_Data!$O$2:$O$1141,Clean_Data!$B$2:$B$1141,$A23,Clean_Data!$H$2:$H$1141,$C23,Clean_Data!$I$2:$I$1141,"DTP3",Clean_Data!$S$2:$S$1141,1),"")</f>
        <v>4205</v>
      </c>
      <c r="L23" s="10" t="n">
        <f aca="false">IF(AND(ISNUMBER(G23),ISNUMBER(K23)),1.96*SQRT((G23/100)*(1-G23/100)/(K23/$B$3))*100,"")</f>
        <v>2.13664790148836</v>
      </c>
      <c r="M23" s="10" t="n">
        <f aca="false">IF(AND(ISNUMBER(F23),ISNUMBER(G23)),IF(F23&gt;0,(F23-G23)/F23*100,""),"")</f>
        <v>23.1496062992126</v>
      </c>
      <c r="N23" s="10" t="str">
        <f aca="false">IF(AND(ISNUMBER(E23),ISNUMBER(I23)),IF(E23&gt;0,(E23-I23)/E23*100,""),"")</f>
        <v/>
      </c>
      <c r="O23" s="10" t="n">
        <f aca="false">IF(ISNUMBER(F23),100-F23,"")</f>
        <v>36.5</v>
      </c>
      <c r="P23" s="10" t="str">
        <f aca="false">IF(ISNUMBER(J23),100-J23,"")</f>
        <v/>
      </c>
      <c r="Q23" s="7" t="n">
        <f aca="false">COUNTIFS(Clean_Data!$B$2:$B$1141,$A23,Clean_Data!$H$2:$H$1141,$C23,Clean_Data!$I$2:$I$1141,"DTP3",Clean_Data!$S$2:$S$1141,1)</f>
        <v>1</v>
      </c>
    </row>
    <row r="24" customFormat="false" ht="15" hidden="false" customHeight="false" outlineLevel="0" collapsed="false">
      <c r="A24" s="7" t="s">
        <v>130</v>
      </c>
      <c r="B24" s="7" t="str">
        <f aca="false">INDEX(Clean_Data!$C$2:$C$1141,MATCH(A24,Clean_Data!$B$2:$B$1141,0))</f>
        <v>MICS</v>
      </c>
      <c r="C24" s="7" t="n">
        <v>2015</v>
      </c>
      <c r="D24" s="7" t="n">
        <f aca="false">INDEX(Clean_Data!$F$2:$F$1141,MATCH(A24,Clean_Data!$B$2:$B$1141,0))</f>
        <v>2017</v>
      </c>
      <c r="E24" s="10" t="n">
        <f aca="false">IFERROR(AVERAGEIFS(Clean_Data!$N$2:$N$1141,Clean_Data!$B$2:$B$1141,$A24,Clean_Data!$H$2:$H$1141,$C24,Clean_Data!$I$2:$I$1141,E$5,Clean_Data!$S$2:$S$1141,1),"")</f>
        <v>53.1</v>
      </c>
      <c r="F24" s="10" t="n">
        <f aca="false">IFERROR(AVERAGEIFS(Clean_Data!$N$2:$N$1141,Clean_Data!$B$2:$B$1141,$A24,Clean_Data!$H$2:$H$1141,$C24,Clean_Data!$I$2:$I$1141,F$5,Clean_Data!$S$2:$S$1141,1),"")</f>
        <v>49.3</v>
      </c>
      <c r="G24" s="10" t="n">
        <f aca="false">IFERROR(AVERAGEIFS(Clean_Data!$N$2:$N$1141,Clean_Data!$B$2:$B$1141,$A24,Clean_Data!$H$2:$H$1141,$C24,Clean_Data!$I$2:$I$1141,G$5,Clean_Data!$S$2:$S$1141,1),"")</f>
        <v>34.4</v>
      </c>
      <c r="H24" s="10" t="n">
        <f aca="false">IFERROR(AVERAGEIFS(Clean_Data!$N$2:$N$1141,Clean_Data!$B$2:$B$1141,$A24,Clean_Data!$H$2:$H$1141,$C24,Clean_Data!$I$2:$I$1141,H$5,Clean_Data!$S$2:$S$1141,1),"")</f>
        <v>34.7</v>
      </c>
      <c r="I24" s="10" t="n">
        <f aca="false">IFERROR(AVERAGEIFS(Clean_Data!$N$2:$N$1141,Clean_Data!$B$2:$B$1141,$A24,Clean_Data!$H$2:$H$1141,$C24,Clean_Data!$I$2:$I$1141,I$5,Clean_Data!$S$2:$S$1141,1),"")</f>
        <v>41.8</v>
      </c>
      <c r="J24" s="10" t="n">
        <f aca="false">IFERROR(AVERAGEIFS(Clean_Data!$N$2:$N$1141,Clean_Data!$B$2:$B$1141,$A24,Clean_Data!$H$2:$H$1141,$C24,Clean_Data!$I$2:$I$1141,J$5,Clean_Data!$S$2:$S$1141,1),"")</f>
        <v>21</v>
      </c>
      <c r="K24" s="10" t="n">
        <f aca="false">IFERROR(AVERAGEIFS(Clean_Data!$O$2:$O$1141,Clean_Data!$B$2:$B$1141,$A24,Clean_Data!$H$2:$H$1141,$C24,Clean_Data!$I$2:$I$1141,"DTP3",Clean_Data!$S$2:$S$1141,1),"")</f>
        <v>5535</v>
      </c>
      <c r="L24" s="10" t="n">
        <f aca="false">IF(AND(ISNUMBER(G24),ISNUMBER(K24)),1.96*SQRT((G24/100)*(1-G24/100)/(K24/$B$3))*100,"")</f>
        <v>1.76987827160409</v>
      </c>
      <c r="M24" s="10" t="n">
        <f aca="false">IF(AND(ISNUMBER(F24),ISNUMBER(G24)),IF(F24&gt;0,(F24-G24)/F24*100,""),"")</f>
        <v>30.2231237322515</v>
      </c>
      <c r="N24" s="10" t="n">
        <f aca="false">IF(AND(ISNUMBER(E24),ISNUMBER(I24)),IF(E24&gt;0,(E24-I24)/E24*100,""),"")</f>
        <v>21.2806026365348</v>
      </c>
      <c r="O24" s="10" t="n">
        <f aca="false">IF(ISNUMBER(F24),100-F24,"")</f>
        <v>50.7</v>
      </c>
      <c r="P24" s="10" t="n">
        <f aca="false">IF(ISNUMBER(J24),100-J24,"")</f>
        <v>79</v>
      </c>
      <c r="Q24" s="7" t="n">
        <f aca="false">COUNTIFS(Clean_Data!$B$2:$B$1141,$A24,Clean_Data!$H$2:$H$1141,$C24,Clean_Data!$I$2:$I$1141,"DTP3",Clean_Data!$S$2:$S$1141,1)</f>
        <v>1</v>
      </c>
    </row>
    <row r="25" customFormat="false" ht="15" hidden="false" customHeight="false" outlineLevel="0" collapsed="false">
      <c r="A25" s="7" t="s">
        <v>152</v>
      </c>
      <c r="B25" s="7" t="str">
        <f aca="false">INDEX(Clean_Data!$C$2:$C$1141,MATCH(A25,Clean_Data!$B$2:$B$1141,0))</f>
        <v>Nutrition survey</v>
      </c>
      <c r="C25" s="7" t="n">
        <v>2016</v>
      </c>
      <c r="D25" s="7" t="n">
        <f aca="false">INDEX(Clean_Data!$F$2:$F$1141,MATCH(A25,Clean_Data!$B$2:$B$1141,0))</f>
        <v>2018</v>
      </c>
      <c r="E25" s="10" t="str">
        <f aca="false">IFERROR(AVERAGEIFS(Clean_Data!$N$2:$N$1141,Clean_Data!$B$2:$B$1141,$A25,Clean_Data!$H$2:$H$1141,$C25,Clean_Data!$I$2:$I$1141,E$5,Clean_Data!$S$2:$S$1141,1),"")</f>
        <v/>
      </c>
      <c r="F25" s="10" t="n">
        <f aca="false">IFERROR(AVERAGEIFS(Clean_Data!$N$2:$N$1141,Clean_Data!$B$2:$B$1141,$A25,Clean_Data!$H$2:$H$1141,$C25,Clean_Data!$I$2:$I$1141,F$5,Clean_Data!$S$2:$S$1141,1),"")</f>
        <v>69.9</v>
      </c>
      <c r="G25" s="10" t="n">
        <f aca="false">IFERROR(AVERAGEIFS(Clean_Data!$N$2:$N$1141,Clean_Data!$B$2:$B$1141,$A25,Clean_Data!$H$2:$H$1141,$C25,Clean_Data!$I$2:$I$1141,G$5,Clean_Data!$S$2:$S$1141,1),"")</f>
        <v>57.2</v>
      </c>
      <c r="H25" s="10" t="str">
        <f aca="false">IFERROR(AVERAGEIFS(Clean_Data!$N$2:$N$1141,Clean_Data!$B$2:$B$1141,$A25,Clean_Data!$H$2:$H$1141,$C25,Clean_Data!$I$2:$I$1141,H$5,Clean_Data!$S$2:$S$1141,1),"")</f>
        <v/>
      </c>
      <c r="I25" s="10" t="n">
        <f aca="false">IFERROR(AVERAGEIFS(Clean_Data!$N$2:$N$1141,Clean_Data!$B$2:$B$1141,$A25,Clean_Data!$H$2:$H$1141,$C25,Clean_Data!$I$2:$I$1141,I$5,Clean_Data!$S$2:$S$1141,1),"")</f>
        <v>64.7</v>
      </c>
      <c r="J25" s="10" t="str">
        <f aca="false">IFERROR(AVERAGEIFS(Clean_Data!$N$2:$N$1141,Clean_Data!$B$2:$B$1141,$A25,Clean_Data!$H$2:$H$1141,$C25,Clean_Data!$I$2:$I$1141,J$5,Clean_Data!$S$2:$S$1141,1),"")</f>
        <v/>
      </c>
      <c r="K25" s="10" t="n">
        <f aca="false">IFERROR(AVERAGEIFS(Clean_Data!$O$2:$O$1141,Clean_Data!$B$2:$B$1141,$A25,Clean_Data!$H$2:$H$1141,$C25,Clean_Data!$I$2:$I$1141,"DTP3",Clean_Data!$S$2:$S$1141,1),"")</f>
        <v>3976</v>
      </c>
      <c r="L25" s="10" t="n">
        <f aca="false">IF(AND(ISNUMBER(G25),ISNUMBER(K25)),1.96*SQRT((G25/100)*(1-G25/100)/(K25/$B$3))*100,"")</f>
        <v>2.17504266430553</v>
      </c>
      <c r="M25" s="10" t="n">
        <f aca="false">IF(AND(ISNUMBER(F25),ISNUMBER(G25)),IF(F25&gt;0,(F25-G25)/F25*100,""),"")</f>
        <v>18.1688125894135</v>
      </c>
      <c r="N25" s="10" t="str">
        <f aca="false">IF(AND(ISNUMBER(E25),ISNUMBER(I25)),IF(E25&gt;0,(E25-I25)/E25*100,""),"")</f>
        <v/>
      </c>
      <c r="O25" s="10" t="n">
        <f aca="false">IF(ISNUMBER(F25),100-F25,"")</f>
        <v>30.1</v>
      </c>
      <c r="P25" s="10" t="str">
        <f aca="false">IF(ISNUMBER(J25),100-J25,"")</f>
        <v/>
      </c>
      <c r="Q25" s="7" t="n">
        <f aca="false">COUNTIFS(Clean_Data!$B$2:$B$1141,$A25,Clean_Data!$H$2:$H$1141,$C25,Clean_Data!$I$2:$I$1141,"DTP3",Clean_Data!$S$2:$S$1141,1)</f>
        <v>1</v>
      </c>
    </row>
    <row r="26" customFormat="false" ht="15" hidden="false" customHeight="false" outlineLevel="0" collapsed="false">
      <c r="A26" s="7" t="s">
        <v>145</v>
      </c>
      <c r="B26" s="7" t="str">
        <f aca="false">INDEX(Clean_Data!$C$2:$C$1141,MATCH(A26,Clean_Data!$B$2:$B$1141,0))</f>
        <v>DHS</v>
      </c>
      <c r="C26" s="7" t="n">
        <v>2017</v>
      </c>
      <c r="D26" s="7" t="n">
        <f aca="false">INDEX(Clean_Data!$F$2:$F$1141,MATCH(A26,Clean_Data!$B$2:$B$1141,0))</f>
        <v>2018</v>
      </c>
      <c r="E26" s="10" t="n">
        <f aca="false">IFERROR(AVERAGEIFS(Clean_Data!$N$2:$N$1141,Clean_Data!$B$2:$B$1141,$A26,Clean_Data!$H$2:$H$1141,$C26,Clean_Data!$I$2:$I$1141,E$5,Clean_Data!$S$2:$S$1141,1),"")</f>
        <v>66.7</v>
      </c>
      <c r="F26" s="10" t="n">
        <f aca="false">IFERROR(AVERAGEIFS(Clean_Data!$N$2:$N$1141,Clean_Data!$B$2:$B$1141,$A26,Clean_Data!$H$2:$H$1141,$C26,Clean_Data!$I$2:$I$1141,F$5,Clean_Data!$S$2:$S$1141,1),"")</f>
        <v>65.3</v>
      </c>
      <c r="G26" s="10" t="n">
        <f aca="false">IFERROR(AVERAGEIFS(Clean_Data!$N$2:$N$1141,Clean_Data!$B$2:$B$1141,$A26,Clean_Data!$H$2:$H$1141,$C26,Clean_Data!$I$2:$I$1141,G$5,Clean_Data!$S$2:$S$1141,1),"")</f>
        <v>50.1</v>
      </c>
      <c r="H26" s="10" t="n">
        <f aca="false">IFERROR(AVERAGEIFS(Clean_Data!$N$2:$N$1141,Clean_Data!$B$2:$B$1141,$A26,Clean_Data!$H$2:$H$1141,$C26,Clean_Data!$I$2:$I$1141,H$5,Clean_Data!$S$2:$S$1141,1),"")</f>
        <v>47.2</v>
      </c>
      <c r="I26" s="10" t="n">
        <f aca="false">IFERROR(AVERAGEIFS(Clean_Data!$N$2:$N$1141,Clean_Data!$B$2:$B$1141,$A26,Clean_Data!$H$2:$H$1141,$C26,Clean_Data!$I$2:$I$1141,I$5,Clean_Data!$S$2:$S$1141,1),"")</f>
        <v>54</v>
      </c>
      <c r="J26" s="10" t="n">
        <f aca="false">IFERROR(AVERAGEIFS(Clean_Data!$N$2:$N$1141,Clean_Data!$B$2:$B$1141,$A26,Clean_Data!$H$2:$H$1141,$C26,Clean_Data!$I$2:$I$1141,J$5,Clean_Data!$S$2:$S$1141,1),"")</f>
        <v>31.3</v>
      </c>
      <c r="K26" s="10" t="n">
        <f aca="false">IFERROR(AVERAGEIFS(Clean_Data!$O$2:$O$1141,Clean_Data!$B$2:$B$1141,$A26,Clean_Data!$H$2:$H$1141,$C26,Clean_Data!$I$2:$I$1141,"DTP3",Clean_Data!$S$2:$S$1141,1),"")</f>
        <v>6143</v>
      </c>
      <c r="L26" s="10" t="n">
        <f aca="false">IF(AND(ISNUMBER(G26),ISNUMBER(K26)),1.96*SQRT((G26/100)*(1-G26/100)/(K26/$B$3))*100,"")</f>
        <v>1.76827557160959</v>
      </c>
      <c r="M26" s="10" t="n">
        <f aca="false">IF(AND(ISNUMBER(F26),ISNUMBER(G26)),IF(F26&gt;0,(F26-G26)/F26*100,""),"")</f>
        <v>23.2771822358346</v>
      </c>
      <c r="N26" s="10" t="n">
        <f aca="false">IF(AND(ISNUMBER(E26),ISNUMBER(I26)),IF(E26&gt;0,(E26-I26)/E26*100,""),"")</f>
        <v>19.0404797601199</v>
      </c>
      <c r="O26" s="10" t="n">
        <f aca="false">IF(ISNUMBER(F26),100-F26,"")</f>
        <v>34.7</v>
      </c>
      <c r="P26" s="10" t="n">
        <f aca="false">IF(ISNUMBER(J26),100-J26,"")</f>
        <v>68.7</v>
      </c>
      <c r="Q26" s="7" t="n">
        <f aca="false">COUNTIFS(Clean_Data!$B$2:$B$1141,$A26,Clean_Data!$H$2:$H$1141,$C26,Clean_Data!$I$2:$I$1141,"DTP3",Clean_Data!$S$2:$S$1141,1)</f>
        <v>1</v>
      </c>
    </row>
    <row r="27" customFormat="false" ht="15" hidden="false" customHeight="false" outlineLevel="0" collapsed="false">
      <c r="A27" s="7" t="s">
        <v>155</v>
      </c>
      <c r="B27" s="7" t="str">
        <f aca="false">INDEX(Clean_Data!$C$2:$C$1141,MATCH(A27,Clean_Data!$B$2:$B$1141,0))</f>
        <v>MICS</v>
      </c>
      <c r="C27" s="7" t="n">
        <v>2020</v>
      </c>
      <c r="D27" s="7" t="n">
        <f aca="false">INDEX(Clean_Data!$F$2:$F$1141,MATCH(A27,Clean_Data!$B$2:$B$1141,0))</f>
        <v>2021</v>
      </c>
      <c r="E27" s="10" t="n">
        <f aca="false">IFERROR(AVERAGEIFS(Clean_Data!$N$2:$N$1141,Clean_Data!$B$2:$B$1141,$A27,Clean_Data!$H$2:$H$1141,$C27,Clean_Data!$I$2:$I$1141,E$5,Clean_Data!$S$2:$S$1141,1),"")</f>
        <v>74.1</v>
      </c>
      <c r="F27" s="10" t="n">
        <f aca="false">IFERROR(AVERAGEIFS(Clean_Data!$N$2:$N$1141,Clean_Data!$B$2:$B$1141,$A27,Clean_Data!$H$2:$H$1141,$C27,Clean_Data!$I$2:$I$1141,F$5,Clean_Data!$S$2:$S$1141,1),"")</f>
        <v>70.3</v>
      </c>
      <c r="G27" s="10" t="n">
        <f aca="false">IFERROR(AVERAGEIFS(Clean_Data!$N$2:$N$1141,Clean_Data!$B$2:$B$1141,$A27,Clean_Data!$H$2:$H$1141,$C27,Clean_Data!$I$2:$I$1141,G$5,Clean_Data!$S$2:$S$1141,1),"")</f>
        <v>56.6</v>
      </c>
      <c r="H27" s="10" t="n">
        <f aca="false">IFERROR(AVERAGEIFS(Clean_Data!$N$2:$N$1141,Clean_Data!$B$2:$B$1141,$A27,Clean_Data!$H$2:$H$1141,$C27,Clean_Data!$I$2:$I$1141,H$5,Clean_Data!$S$2:$S$1141,1),"")</f>
        <v>56.2</v>
      </c>
      <c r="I27" s="10" t="n">
        <f aca="false">IFERROR(AVERAGEIFS(Clean_Data!$N$2:$N$1141,Clean_Data!$B$2:$B$1141,$A27,Clean_Data!$H$2:$H$1141,$C27,Clean_Data!$I$2:$I$1141,I$5,Clean_Data!$S$2:$S$1141,1),"")</f>
        <v>60.3</v>
      </c>
      <c r="J27" s="10" t="n">
        <f aca="false">IFERROR(AVERAGEIFS(Clean_Data!$N$2:$N$1141,Clean_Data!$B$2:$B$1141,$A27,Clean_Data!$H$2:$H$1141,$C27,Clean_Data!$I$2:$I$1141,J$5,Clean_Data!$S$2:$S$1141,1),"")</f>
        <v>44.2</v>
      </c>
      <c r="K27" s="10" t="n">
        <f aca="false">IFERROR(AVERAGEIFS(Clean_Data!$O$2:$O$1141,Clean_Data!$B$2:$B$1141,$A27,Clean_Data!$H$2:$H$1141,$C27,Clean_Data!$I$2:$I$1141,"DTP3",Clean_Data!$S$2:$S$1141,1),"")</f>
        <v>5652</v>
      </c>
      <c r="L27" s="10" t="n">
        <f aca="false">IF(AND(ISNUMBER(G27),ISNUMBER(K27)),1.96*SQRT((G27/100)*(1-G27/100)/(K27/$B$3))*100,"")</f>
        <v>1.8273556188325</v>
      </c>
      <c r="M27" s="10" t="n">
        <f aca="false">IF(AND(ISNUMBER(F27),ISNUMBER(G27)),IF(F27&gt;0,(F27-G27)/F27*100,""),"")</f>
        <v>19.4879089615932</v>
      </c>
      <c r="N27" s="10" t="n">
        <f aca="false">IF(AND(ISNUMBER(E27),ISNUMBER(I27)),IF(E27&gt;0,(E27-I27)/E27*100,""),"")</f>
        <v>18.6234817813765</v>
      </c>
      <c r="O27" s="10" t="n">
        <f aca="false">IF(ISNUMBER(F27),100-F27,"")</f>
        <v>29.7</v>
      </c>
      <c r="P27" s="10" t="n">
        <f aca="false">IF(ISNUMBER(J27),100-J27,"")</f>
        <v>55.8</v>
      </c>
      <c r="Q27" s="7" t="n">
        <f aca="false">COUNTIFS(Clean_Data!$B$2:$B$1141,$A27,Clean_Data!$H$2:$H$1141,$C27,Clean_Data!$I$2:$I$1141,"DTP3",Clean_Data!$S$2:$S$1141,1)</f>
        <v>1</v>
      </c>
    </row>
    <row r="28" customFormat="false" ht="15" hidden="false" customHeight="false" outlineLevel="0" collapsed="false">
      <c r="A28" s="7" t="s">
        <v>165</v>
      </c>
      <c r="B28" s="7" t="str">
        <f aca="false">INDEX(Clean_Data!$C$2:$C$1141,MATCH(A28,Clean_Data!$B$2:$B$1141,0))</f>
        <v>DHS</v>
      </c>
      <c r="C28" s="7" t="n">
        <v>2022</v>
      </c>
      <c r="D28" s="7" t="n">
        <f aca="false">INDEX(Clean_Data!$F$2:$F$1141,MATCH(A28,Clean_Data!$B$2:$B$1141,0))</f>
        <v>2024</v>
      </c>
      <c r="E28" s="10" t="n">
        <f aca="false">IFERROR(AVERAGEIFS(Clean_Data!$N$2:$N$1141,Clean_Data!$B$2:$B$1141,$A28,Clean_Data!$H$2:$H$1141,$C28,Clean_Data!$I$2:$I$1141,E$5,Clean_Data!$S$2:$S$1141,1),"")</f>
        <v>66.7</v>
      </c>
      <c r="F28" s="10" t="n">
        <f aca="false">IFERROR(AVERAGEIFS(Clean_Data!$N$2:$N$1141,Clean_Data!$B$2:$B$1141,$A28,Clean_Data!$H$2:$H$1141,$C28,Clean_Data!$I$2:$I$1141,F$5,Clean_Data!$S$2:$S$1141,1),"")</f>
        <v>62.9</v>
      </c>
      <c r="G28" s="10" t="n">
        <f aca="false">IFERROR(AVERAGEIFS(Clean_Data!$N$2:$N$1141,Clean_Data!$B$2:$B$1141,$A28,Clean_Data!$H$2:$H$1141,$C28,Clean_Data!$I$2:$I$1141,G$5,Clean_Data!$S$2:$S$1141,1),"")</f>
        <v>53.4</v>
      </c>
      <c r="H28" s="10" t="n">
        <f aca="false">IFERROR(AVERAGEIFS(Clean_Data!$N$2:$N$1141,Clean_Data!$B$2:$B$1141,$A28,Clean_Data!$H$2:$H$1141,$C28,Clean_Data!$I$2:$I$1141,H$5,Clean_Data!$S$2:$S$1141,1),"")</f>
        <v>45.6</v>
      </c>
      <c r="I28" s="10" t="n">
        <f aca="false">IFERROR(AVERAGEIFS(Clean_Data!$N$2:$N$1141,Clean_Data!$B$2:$B$1141,$A28,Clean_Data!$H$2:$H$1141,$C28,Clean_Data!$I$2:$I$1141,I$5,Clean_Data!$S$2:$S$1141,1),"")</f>
        <v>51.4</v>
      </c>
      <c r="J28" s="10" t="n">
        <f aca="false">IFERROR(AVERAGEIFS(Clean_Data!$N$2:$N$1141,Clean_Data!$B$2:$B$1141,$A28,Clean_Data!$H$2:$H$1141,$C28,Clean_Data!$I$2:$I$1141,J$5,Clean_Data!$S$2:$S$1141,1),"")</f>
        <v>39.4</v>
      </c>
      <c r="K28" s="10" t="n">
        <f aca="false">IFERROR(AVERAGEIFS(Clean_Data!$O$2:$O$1141,Clean_Data!$B$2:$B$1141,$A28,Clean_Data!$H$2:$H$1141,$C28,Clean_Data!$I$2:$I$1141,"DTP3",Clean_Data!$S$2:$S$1141,1),"")</f>
        <v>5121</v>
      </c>
      <c r="L28" s="10" t="n">
        <f aca="false">IF(AND(ISNUMBER(G28),ISNUMBER(K28)),1.96*SQRT((G28/100)*(1-G28/100)/(K28/$B$3))*100,"")</f>
        <v>1.93222309232146</v>
      </c>
      <c r="M28" s="10" t="n">
        <f aca="false">IF(AND(ISNUMBER(F28),ISNUMBER(G28)),IF(F28&gt;0,(F28-G28)/F28*100,""),"")</f>
        <v>15.1033386327504</v>
      </c>
      <c r="N28" s="10" t="n">
        <f aca="false">IF(AND(ISNUMBER(E28),ISNUMBER(I28)),IF(E28&gt;0,(E28-I28)/E28*100,""),"")</f>
        <v>22.9385307346327</v>
      </c>
      <c r="O28" s="10" t="n">
        <f aca="false">IF(ISNUMBER(F28),100-F28,"")</f>
        <v>37.1</v>
      </c>
      <c r="P28" s="10" t="n">
        <f aca="false">IF(ISNUMBER(J28),100-J28,"")</f>
        <v>60.6</v>
      </c>
      <c r="Q28" s="7" t="n">
        <f aca="false">COUNTIFS(Clean_Data!$B$2:$B$1141,$A28,Clean_Data!$H$2:$H$1141,$C28,Clean_Data!$I$2:$I$1141,"DTP3",Clean_Data!$S$2:$S$1141,1)</f>
        <v>1</v>
      </c>
    </row>
    <row r="30" customFormat="false" ht="15" hidden="false" customHeight="false" outlineLevel="0" collapsed="false">
      <c r="A30" s="6" t="s">
        <v>268</v>
      </c>
      <c r="E30" s="7" t="n">
        <f aca="false">COUNTIF(Q6:Q28,"&gt;1")</f>
        <v>0</v>
      </c>
    </row>
    <row r="32" customFormat="false" ht="15" hidden="false" customHeight="false" outlineLevel="0" collapsed="false">
      <c r="A32" s="2" t="s">
        <v>269</v>
      </c>
    </row>
    <row r="33" customFormat="false" ht="15" hidden="false" customHeight="false" outlineLevel="0" collapsed="false">
      <c r="A33" s="2" t="s">
        <v>270</v>
      </c>
    </row>
    <row r="34" customFormat="false" ht="15" hidden="false" customHeight="false" outlineLevel="0" collapsed="false">
      <c r="A34" s="2" t="s">
        <v>271</v>
      </c>
    </row>
    <row r="35" customFormat="false" ht="15" hidden="false" customHeight="false" outlineLevel="0" collapsed="false">
      <c r="A35" s="2" t="s">
        <v>272</v>
      </c>
    </row>
    <row r="36" customFormat="false" ht="15" hidden="false" customHeight="false" outlineLevel="0" collapsed="false">
      <c r="A36" s="2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3" customFormat="false" ht="15" hidden="false" customHeight="false" outlineLevel="0" collapsed="false">
      <c r="A3" s="3" t="s">
        <v>276</v>
      </c>
      <c r="B3" s="3" t="s">
        <v>251</v>
      </c>
      <c r="C3" s="3" t="s">
        <v>174</v>
      </c>
      <c r="D3" s="3" t="s">
        <v>37</v>
      </c>
      <c r="E3" s="3" t="s">
        <v>277</v>
      </c>
    </row>
    <row r="4" customFormat="false" ht="15" hidden="false" customHeight="false" outlineLevel="0" collapsed="false">
      <c r="A4" s="7" t="s">
        <v>67</v>
      </c>
      <c r="B4" s="7" t="s">
        <v>278</v>
      </c>
      <c r="C4" s="7" t="str">
        <f aca="false">Coverage!A10</f>
        <v>Nigeria Demographic and Health Survey 1990, 1992</v>
      </c>
      <c r="D4" s="7" t="n">
        <f aca="false">Coverage!C10</f>
        <v>1989</v>
      </c>
      <c r="E4" s="10" t="n">
        <f aca="false">Coverage!G10</f>
        <v>33.3</v>
      </c>
    </row>
    <row r="5" customFormat="false" ht="15" hidden="false" customHeight="false" outlineLevel="0" collapsed="false">
      <c r="A5" s="7" t="s">
        <v>67</v>
      </c>
      <c r="B5" s="7" t="s">
        <v>278</v>
      </c>
      <c r="C5" s="7" t="str">
        <f aca="false">Coverage!A13</f>
        <v>Nigeria Demographic and Health Survey 1999, 2000</v>
      </c>
      <c r="D5" s="7" t="n">
        <f aca="false">Coverage!C13</f>
        <v>1998</v>
      </c>
      <c r="E5" s="10" t="n">
        <f aca="false">Coverage!G13</f>
        <v>26.3</v>
      </c>
    </row>
    <row r="6" customFormat="false" ht="15" hidden="false" customHeight="false" outlineLevel="0" collapsed="false">
      <c r="A6" s="7" t="s">
        <v>67</v>
      </c>
      <c r="B6" s="7" t="s">
        <v>278</v>
      </c>
      <c r="C6" s="7" t="str">
        <f aca="false">Coverage!A14</f>
        <v>Nigeria Demographic and Health Survey 2003</v>
      </c>
      <c r="D6" s="7" t="n">
        <f aca="false">Coverage!C14</f>
        <v>2002</v>
      </c>
      <c r="E6" s="10" t="n">
        <f aca="false">Coverage!G14</f>
        <v>21.4</v>
      </c>
    </row>
    <row r="7" customFormat="false" ht="15" hidden="false" customHeight="false" outlineLevel="0" collapsed="false">
      <c r="A7" s="7" t="s">
        <v>67</v>
      </c>
      <c r="B7" s="7" t="s">
        <v>278</v>
      </c>
      <c r="C7" s="7" t="str">
        <f aca="false">Coverage!A18</f>
        <v>Nigeria Demographic and Health Survey 2008</v>
      </c>
      <c r="D7" s="7" t="n">
        <f aca="false">Coverage!C18</f>
        <v>2007</v>
      </c>
      <c r="E7" s="10" t="n">
        <f aca="false">Coverage!G18</f>
        <v>35.4</v>
      </c>
    </row>
    <row r="8" customFormat="false" ht="15" hidden="false" customHeight="false" outlineLevel="0" collapsed="false">
      <c r="A8" s="7" t="s">
        <v>67</v>
      </c>
      <c r="B8" s="7" t="s">
        <v>278</v>
      </c>
      <c r="C8" s="7" t="str">
        <f aca="false">Coverage!A21</f>
        <v>Nigeria Demographic and Health Survey 2013</v>
      </c>
      <c r="D8" s="7" t="n">
        <f aca="false">Coverage!C21</f>
        <v>2012</v>
      </c>
      <c r="E8" s="10" t="n">
        <f aca="false">Coverage!G21</f>
        <v>38.2</v>
      </c>
    </row>
    <row r="9" customFormat="false" ht="15" hidden="false" customHeight="false" outlineLevel="0" collapsed="false">
      <c r="A9" s="7" t="s">
        <v>67</v>
      </c>
      <c r="B9" s="7" t="s">
        <v>278</v>
      </c>
      <c r="C9" s="7" t="str">
        <f aca="false">Coverage!A26</f>
        <v>Nigeria Demographic and Health Survey 2018</v>
      </c>
      <c r="D9" s="7" t="n">
        <f aca="false">Coverage!C26</f>
        <v>2017</v>
      </c>
      <c r="E9" s="10" t="n">
        <f aca="false">Coverage!G26</f>
        <v>50.1</v>
      </c>
    </row>
    <row r="10" customFormat="false" ht="15" hidden="false" customHeight="false" outlineLevel="0" collapsed="false">
      <c r="A10" s="7" t="s">
        <v>67</v>
      </c>
      <c r="B10" s="7" t="s">
        <v>278</v>
      </c>
      <c r="C10" s="7" t="str">
        <f aca="false">Coverage!A28</f>
        <v>Nigeria Demographic and Health Survey 2024</v>
      </c>
      <c r="D10" s="7" t="n">
        <f aca="false">Coverage!C28</f>
        <v>2022</v>
      </c>
      <c r="E10" s="10" t="n">
        <f aca="false">Coverage!G28</f>
        <v>53.4</v>
      </c>
    </row>
    <row r="11" customFormat="false" ht="15" hidden="false" customHeight="false" outlineLevel="0" collapsed="false">
      <c r="A11" s="7" t="s">
        <v>67</v>
      </c>
      <c r="B11" s="7" t="s">
        <v>279</v>
      </c>
      <c r="C11" s="7" t="str">
        <f aca="false">Coverage!A11</f>
        <v>FR of Nigeria Multiple Indicator Cluster Survey 1995</v>
      </c>
      <c r="D11" s="7" t="n">
        <f aca="false">Coverage!C11</f>
        <v>1994</v>
      </c>
      <c r="E11" s="10" t="n">
        <f aca="false">Coverage!G11</f>
        <v>27.5</v>
      </c>
    </row>
    <row r="12" customFormat="false" ht="15" hidden="false" customHeight="false" outlineLevel="0" collapsed="false">
      <c r="A12" s="7" t="s">
        <v>67</v>
      </c>
      <c r="B12" s="7" t="s">
        <v>279</v>
      </c>
      <c r="C12" s="7" t="str">
        <f aca="false">Coverage!A12</f>
        <v>MICS Nigeria, 1999</v>
      </c>
      <c r="D12" s="7" t="n">
        <f aca="false">Coverage!C12</f>
        <v>1998</v>
      </c>
      <c r="E12" s="10" t="n">
        <f aca="false">Coverage!G12</f>
        <v>23.4</v>
      </c>
    </row>
    <row r="13" customFormat="false" ht="15" hidden="false" customHeight="false" outlineLevel="0" collapsed="false">
      <c r="A13" s="7" t="s">
        <v>67</v>
      </c>
      <c r="B13" s="7" t="s">
        <v>279</v>
      </c>
      <c r="C13" s="7" t="str">
        <f aca="false">Coverage!A17</f>
        <v>Nigeria Multiple Indicator Cluster Survey 2007</v>
      </c>
      <c r="D13" s="7" t="n">
        <f aca="false">Coverage!C17</f>
        <v>2006</v>
      </c>
      <c r="E13" s="10" t="n">
        <f aca="false">Coverage!G17</f>
        <v>29.6</v>
      </c>
    </row>
    <row r="14" customFormat="false" ht="15" hidden="false" customHeight="false" outlineLevel="0" collapsed="false">
      <c r="A14" s="7" t="s">
        <v>67</v>
      </c>
      <c r="B14" s="7" t="s">
        <v>279</v>
      </c>
      <c r="C14" s="7" t="str">
        <f aca="false">Coverage!A20</f>
        <v>Nigeria Multiple Indicator Cluster Survey 2011</v>
      </c>
      <c r="D14" s="7" t="n">
        <f aca="false">Coverage!C20</f>
        <v>2010</v>
      </c>
      <c r="E14" s="10" t="n">
        <f aca="false">Coverage!G20</f>
        <v>44.7</v>
      </c>
    </row>
    <row r="15" customFormat="false" ht="15" hidden="false" customHeight="false" outlineLevel="0" collapsed="false">
      <c r="A15" s="7" t="s">
        <v>67</v>
      </c>
      <c r="B15" s="7" t="s">
        <v>279</v>
      </c>
      <c r="C15" s="7" t="str">
        <f aca="false">Coverage!A24</f>
        <v>Nigeria Multiple Indicator Cluster Survey 2016-2017</v>
      </c>
      <c r="D15" s="7" t="n">
        <f aca="false">Coverage!C24</f>
        <v>2015</v>
      </c>
      <c r="E15" s="10" t="n">
        <f aca="false">Coverage!G24</f>
        <v>34.4</v>
      </c>
    </row>
    <row r="16" customFormat="false" ht="15" hidden="false" customHeight="false" outlineLevel="0" collapsed="false">
      <c r="A16" s="7" t="s">
        <v>67</v>
      </c>
      <c r="B16" s="7" t="s">
        <v>279</v>
      </c>
      <c r="C16" s="7" t="str">
        <f aca="false">Coverage!A27</f>
        <v>Nigeria Multiple Indicator Cluster Survey 2021</v>
      </c>
      <c r="D16" s="7" t="n">
        <f aca="false">Coverage!C27</f>
        <v>2020</v>
      </c>
      <c r="E16" s="10" t="n">
        <f aca="false">Coverage!G27</f>
        <v>56.6</v>
      </c>
    </row>
    <row r="17" customFormat="false" ht="15" hidden="false" customHeight="false" outlineLevel="0" collapsed="false">
      <c r="A17" s="7" t="s">
        <v>67</v>
      </c>
      <c r="B17" s="7" t="s">
        <v>280</v>
      </c>
      <c r="C17" s="7" t="str">
        <f aca="false">Coverage!A9</f>
        <v>EPI, Immunization Coverage Survey, 1988</v>
      </c>
      <c r="D17" s="7" t="n">
        <f aca="false">Coverage!C9</f>
        <v>1987</v>
      </c>
      <c r="E17" s="10" t="n">
        <f aca="false">Coverage!G9</f>
        <v>57.8</v>
      </c>
    </row>
    <row r="18" customFormat="false" ht="15" hidden="false" customHeight="false" outlineLevel="0" collapsed="false">
      <c r="A18" s="7" t="s">
        <v>67</v>
      </c>
      <c r="B18" s="7" t="s">
        <v>280</v>
      </c>
      <c r="C18" s="7" t="str">
        <f aca="false">Coverage!A15</f>
        <v>Nigeria National Immunization Coverage Survey 2003</v>
      </c>
      <c r="D18" s="7" t="n">
        <f aca="false">Coverage!C15</f>
        <v>2002</v>
      </c>
      <c r="E18" s="10" t="n">
        <f aca="false">Coverage!G15</f>
        <v>24.8</v>
      </c>
    </row>
    <row r="19" customFormat="false" ht="15" hidden="false" customHeight="false" outlineLevel="0" collapsed="false">
      <c r="A19" s="7" t="s">
        <v>67</v>
      </c>
      <c r="B19" s="7" t="s">
        <v>280</v>
      </c>
      <c r="C19" s="7" t="str">
        <f aca="false">Coverage!A16</f>
        <v>Nigeria National Immunization Coverage Survey (2006)</v>
      </c>
      <c r="D19" s="7" t="n">
        <f aca="false">Coverage!C16</f>
        <v>2005</v>
      </c>
      <c r="E19" s="10" t="n">
        <f aca="false">Coverage!G16</f>
        <v>53.5</v>
      </c>
    </row>
    <row r="20" customFormat="false" ht="15" hidden="false" customHeight="false" outlineLevel="0" collapsed="false">
      <c r="A20" s="7" t="s">
        <v>67</v>
      </c>
      <c r="B20" s="7" t="s">
        <v>280</v>
      </c>
      <c r="C20" s="7" t="str">
        <f aca="false">Coverage!A19</f>
        <v>Nigeria 2010 National Immunization Coverage Survey</v>
      </c>
      <c r="D20" s="7" t="n">
        <f aca="false">Coverage!C19</f>
        <v>2009</v>
      </c>
      <c r="E20" s="10" t="n">
        <f aca="false">Coverage!G19</f>
        <v>67.7</v>
      </c>
    </row>
    <row r="21" customFormat="false" ht="15" hidden="false" customHeight="false" outlineLevel="0" collapsed="false">
      <c r="A21" s="7" t="s">
        <v>67</v>
      </c>
      <c r="B21" s="7" t="s">
        <v>281</v>
      </c>
      <c r="C21" s="7" t="str">
        <f aca="false">Coverage!A22</f>
        <v>Summary Findings of Cross-Sectional Health and Nutrition Survey, Nigeria 2013</v>
      </c>
      <c r="D21" s="7" t="n">
        <f aca="false">Coverage!C22</f>
        <v>2012</v>
      </c>
      <c r="E21" s="10" t="n">
        <f aca="false">Coverage!G22</f>
        <v>25</v>
      </c>
    </row>
    <row r="22" customFormat="false" ht="15" hidden="false" customHeight="false" outlineLevel="0" collapsed="false">
      <c r="A22" s="7" t="s">
        <v>67</v>
      </c>
      <c r="B22" s="7" t="s">
        <v>281</v>
      </c>
      <c r="C22" s="7" t="str">
        <f aca="false">Coverage!A23</f>
        <v>Nigeria National Nutrition and Health Survey, 2015</v>
      </c>
      <c r="D22" s="7" t="n">
        <f aca="false">Coverage!C23</f>
        <v>2014</v>
      </c>
      <c r="E22" s="10" t="n">
        <f aca="false">Coverage!G23</f>
        <v>48.8</v>
      </c>
    </row>
    <row r="23" customFormat="false" ht="15" hidden="false" customHeight="false" outlineLevel="0" collapsed="false">
      <c r="A23" s="7" t="s">
        <v>67</v>
      </c>
      <c r="B23" s="7" t="s">
        <v>281</v>
      </c>
      <c r="C23" s="7" t="str">
        <f aca="false">Coverage!A25</f>
        <v>Nigeria National Nutrition and Health Survey (NNHS) 2018</v>
      </c>
      <c r="D23" s="7" t="n">
        <f aca="false">Coverage!C25</f>
        <v>2016</v>
      </c>
      <c r="E23" s="10" t="n">
        <f aca="false">Coverage!G25</f>
        <v>57.2</v>
      </c>
    </row>
    <row r="24" customFormat="false" ht="15" hidden="false" customHeight="false" outlineLevel="0" collapsed="false">
      <c r="A24" s="7" t="s">
        <v>67</v>
      </c>
      <c r="B24" s="7" t="s">
        <v>282</v>
      </c>
      <c r="C24" s="7" t="str">
        <f aca="false">Coverage!A6</f>
        <v>Status report on revised EPI programme from 1985 to 1989</v>
      </c>
      <c r="D24" s="7" t="n">
        <f aca="false">Coverage!C6</f>
        <v>1984</v>
      </c>
      <c r="E24" s="10" t="n">
        <f aca="false">Coverage!G6</f>
        <v>8.9</v>
      </c>
    </row>
    <row r="25" customFormat="false" ht="15" hidden="false" customHeight="false" outlineLevel="0" collapsed="false">
      <c r="A25" s="7" t="s">
        <v>67</v>
      </c>
      <c r="B25" s="7" t="s">
        <v>282</v>
      </c>
      <c r="C25" s="7" t="str">
        <f aca="false">Coverage!A7</f>
        <v>Status report on revised EPI programme from 1985 to 1989</v>
      </c>
      <c r="D25" s="7" t="n">
        <f aca="false">Coverage!C7</f>
        <v>1985</v>
      </c>
      <c r="E25" s="10" t="n">
        <f aca="false">Coverage!G7</f>
        <v>15.9</v>
      </c>
    </row>
    <row r="26" customFormat="false" ht="15" hidden="false" customHeight="false" outlineLevel="0" collapsed="false">
      <c r="A26" s="7" t="s">
        <v>67</v>
      </c>
      <c r="B26" s="7" t="s">
        <v>282</v>
      </c>
      <c r="C26" s="7" t="str">
        <f aca="false">Coverage!A8</f>
        <v>Status report on revised EPI programme from 1985 to 1989</v>
      </c>
      <c r="D26" s="7" t="n">
        <f aca="false">Coverage!C8</f>
        <v>1986</v>
      </c>
      <c r="E26" s="10" t="n">
        <f aca="false">Coverage!G8</f>
        <v>21.5</v>
      </c>
    </row>
    <row r="27" customFormat="false" ht="15" hidden="false" customHeight="false" outlineLevel="0" collapsed="false">
      <c r="A27" s="7" t="s">
        <v>68</v>
      </c>
      <c r="B27" s="7" t="s">
        <v>278</v>
      </c>
      <c r="C27" s="7" t="str">
        <f aca="false">Coverage!A10</f>
        <v>Nigeria Demographic and Health Survey 1990, 1992</v>
      </c>
      <c r="D27" s="7" t="n">
        <f aca="false">Coverage!C10</f>
        <v>1989</v>
      </c>
      <c r="E27" s="10" t="n">
        <f aca="false">Coverage!I10</f>
        <v>46</v>
      </c>
    </row>
    <row r="28" customFormat="false" ht="15" hidden="false" customHeight="false" outlineLevel="0" collapsed="false">
      <c r="A28" s="7" t="s">
        <v>68</v>
      </c>
      <c r="B28" s="7" t="s">
        <v>278</v>
      </c>
      <c r="C28" s="7" t="str">
        <f aca="false">Coverage!A13</f>
        <v>Nigeria Demographic and Health Survey 1999, 2000</v>
      </c>
      <c r="D28" s="7" t="n">
        <f aca="false">Coverage!C13</f>
        <v>1998</v>
      </c>
      <c r="E28" s="10" t="n">
        <f aca="false">Coverage!I13</f>
        <v>40.5</v>
      </c>
    </row>
    <row r="29" customFormat="false" ht="15" hidden="false" customHeight="false" outlineLevel="0" collapsed="false">
      <c r="A29" s="7" t="s">
        <v>68</v>
      </c>
      <c r="B29" s="7" t="s">
        <v>278</v>
      </c>
      <c r="C29" s="7" t="str">
        <f aca="false">Coverage!A14</f>
        <v>Nigeria Demographic and Health Survey 2003</v>
      </c>
      <c r="D29" s="7" t="n">
        <f aca="false">Coverage!C14</f>
        <v>2002</v>
      </c>
      <c r="E29" s="10" t="n">
        <f aca="false">Coverage!I14</f>
        <v>35.9</v>
      </c>
    </row>
    <row r="30" customFormat="false" ht="15" hidden="false" customHeight="false" outlineLevel="0" collapsed="false">
      <c r="A30" s="7" t="s">
        <v>68</v>
      </c>
      <c r="B30" s="7" t="s">
        <v>278</v>
      </c>
      <c r="C30" s="7" t="str">
        <f aca="false">Coverage!A18</f>
        <v>Nigeria Demographic and Health Survey 2008</v>
      </c>
      <c r="D30" s="7" t="n">
        <f aca="false">Coverage!C18</f>
        <v>2007</v>
      </c>
      <c r="E30" s="10" t="n">
        <f aca="false">Coverage!I18</f>
        <v>41.4</v>
      </c>
    </row>
    <row r="31" customFormat="false" ht="15" hidden="false" customHeight="false" outlineLevel="0" collapsed="false">
      <c r="A31" s="7" t="s">
        <v>68</v>
      </c>
      <c r="B31" s="7" t="s">
        <v>278</v>
      </c>
      <c r="C31" s="7" t="str">
        <f aca="false">Coverage!A21</f>
        <v>Nigeria Demographic and Health Survey 2013</v>
      </c>
      <c r="D31" s="7" t="n">
        <f aca="false">Coverage!C21</f>
        <v>2012</v>
      </c>
      <c r="E31" s="10" t="n">
        <f aca="false">Coverage!I21</f>
        <v>42.1</v>
      </c>
    </row>
    <row r="32" customFormat="false" ht="15" hidden="false" customHeight="false" outlineLevel="0" collapsed="false">
      <c r="A32" s="7" t="s">
        <v>68</v>
      </c>
      <c r="B32" s="7" t="s">
        <v>278</v>
      </c>
      <c r="C32" s="7" t="str">
        <f aca="false">Coverage!A26</f>
        <v>Nigeria Demographic and Health Survey 2018</v>
      </c>
      <c r="D32" s="7" t="n">
        <f aca="false">Coverage!C26</f>
        <v>2017</v>
      </c>
      <c r="E32" s="10" t="n">
        <f aca="false">Coverage!I26</f>
        <v>54</v>
      </c>
    </row>
    <row r="33" customFormat="false" ht="15" hidden="false" customHeight="false" outlineLevel="0" collapsed="false">
      <c r="A33" s="7" t="s">
        <v>68</v>
      </c>
      <c r="B33" s="7" t="s">
        <v>278</v>
      </c>
      <c r="C33" s="7" t="str">
        <f aca="false">Coverage!A28</f>
        <v>Nigeria Demographic and Health Survey 2024</v>
      </c>
      <c r="D33" s="7" t="n">
        <f aca="false">Coverage!C28</f>
        <v>2022</v>
      </c>
      <c r="E33" s="10" t="n">
        <f aca="false">Coverage!I28</f>
        <v>51.4</v>
      </c>
    </row>
    <row r="34" customFormat="false" ht="15" hidden="false" customHeight="false" outlineLevel="0" collapsed="false">
      <c r="A34" s="7" t="s">
        <v>68</v>
      </c>
      <c r="B34" s="7" t="s">
        <v>279</v>
      </c>
      <c r="C34" s="7" t="str">
        <f aca="false">Coverage!A11</f>
        <v>FR of Nigeria Multiple Indicator Cluster Survey 1995</v>
      </c>
      <c r="D34" s="7" t="n">
        <f aca="false">Coverage!C11</f>
        <v>1994</v>
      </c>
      <c r="E34" s="10" t="n">
        <f aca="false">Coverage!I11</f>
        <v>39.9</v>
      </c>
    </row>
    <row r="35" customFormat="false" ht="15" hidden="false" customHeight="false" outlineLevel="0" collapsed="false">
      <c r="A35" s="7" t="s">
        <v>68</v>
      </c>
      <c r="B35" s="7" t="s">
        <v>279</v>
      </c>
      <c r="C35" s="7" t="str">
        <f aca="false">Coverage!A12</f>
        <v>MICS Nigeria, 1999</v>
      </c>
      <c r="D35" s="7" t="n">
        <f aca="false">Coverage!C12</f>
        <v>1998</v>
      </c>
      <c r="E35" s="10" t="n">
        <f aca="false">Coverage!I12</f>
        <v>35</v>
      </c>
    </row>
    <row r="36" customFormat="false" ht="15" hidden="false" customHeight="false" outlineLevel="0" collapsed="false">
      <c r="A36" s="7" t="s">
        <v>68</v>
      </c>
      <c r="B36" s="7" t="s">
        <v>279</v>
      </c>
      <c r="C36" s="7" t="str">
        <f aca="false">Coverage!A17</f>
        <v>Nigeria Multiple Indicator Cluster Survey 2007</v>
      </c>
      <c r="D36" s="7" t="n">
        <f aca="false">Coverage!C17</f>
        <v>2006</v>
      </c>
      <c r="E36" s="10" t="n">
        <f aca="false">Coverage!I17</f>
        <v>44</v>
      </c>
    </row>
    <row r="37" customFormat="false" ht="15" hidden="false" customHeight="false" outlineLevel="0" collapsed="false">
      <c r="A37" s="7" t="s">
        <v>68</v>
      </c>
      <c r="B37" s="7" t="s">
        <v>279</v>
      </c>
      <c r="C37" s="7" t="str">
        <f aca="false">Coverage!A20</f>
        <v>Nigeria Multiple Indicator Cluster Survey 2011</v>
      </c>
      <c r="D37" s="7" t="n">
        <f aca="false">Coverage!C20</f>
        <v>2010</v>
      </c>
      <c r="E37" s="10" t="n">
        <f aca="false">Coverage!I20</f>
        <v>55.6</v>
      </c>
    </row>
    <row r="38" customFormat="false" ht="15" hidden="false" customHeight="false" outlineLevel="0" collapsed="false">
      <c r="A38" s="7" t="s">
        <v>68</v>
      </c>
      <c r="B38" s="7" t="s">
        <v>279</v>
      </c>
      <c r="C38" s="7" t="str">
        <f aca="false">Coverage!A24</f>
        <v>Nigeria Multiple Indicator Cluster Survey 2016-2017</v>
      </c>
      <c r="D38" s="7" t="n">
        <f aca="false">Coverage!C24</f>
        <v>2015</v>
      </c>
      <c r="E38" s="10" t="n">
        <f aca="false">Coverage!I24</f>
        <v>41.8</v>
      </c>
    </row>
    <row r="39" customFormat="false" ht="15" hidden="false" customHeight="false" outlineLevel="0" collapsed="false">
      <c r="A39" s="7" t="s">
        <v>68</v>
      </c>
      <c r="B39" s="7" t="s">
        <v>279</v>
      </c>
      <c r="C39" s="7" t="str">
        <f aca="false">Coverage!A27</f>
        <v>Nigeria Multiple Indicator Cluster Survey 2021</v>
      </c>
      <c r="D39" s="7" t="n">
        <f aca="false">Coverage!C27</f>
        <v>2020</v>
      </c>
      <c r="E39" s="10" t="n">
        <f aca="false">Coverage!I27</f>
        <v>60.3</v>
      </c>
    </row>
    <row r="40" customFormat="false" ht="15" hidden="false" customHeight="false" outlineLevel="0" collapsed="false">
      <c r="A40" s="7" t="s">
        <v>68</v>
      </c>
      <c r="B40" s="7" t="s">
        <v>280</v>
      </c>
      <c r="C40" s="7" t="str">
        <f aca="false">Coverage!A9</f>
        <v>EPI, Immunization Coverage Survey, 1988</v>
      </c>
      <c r="D40" s="7" t="n">
        <f aca="false">Coverage!C9</f>
        <v>1987</v>
      </c>
      <c r="E40" s="10" t="n">
        <f aca="false">Coverage!I9</f>
        <v>59.2</v>
      </c>
    </row>
    <row r="41" customFormat="false" ht="15" hidden="false" customHeight="false" outlineLevel="0" collapsed="false">
      <c r="A41" s="7" t="s">
        <v>68</v>
      </c>
      <c r="B41" s="7" t="s">
        <v>280</v>
      </c>
      <c r="C41" s="7" t="str">
        <f aca="false">Coverage!A15</f>
        <v>Nigeria National Immunization Coverage Survey 2003</v>
      </c>
      <c r="D41" s="7" t="n">
        <f aca="false">Coverage!C15</f>
        <v>2002</v>
      </c>
      <c r="E41" s="10" t="n">
        <f aca="false">Coverage!I15</f>
        <v>25.3</v>
      </c>
    </row>
    <row r="42" customFormat="false" ht="15" hidden="false" customHeight="false" outlineLevel="0" collapsed="false">
      <c r="A42" s="7" t="s">
        <v>68</v>
      </c>
      <c r="B42" s="7" t="s">
        <v>280</v>
      </c>
      <c r="C42" s="7" t="str">
        <f aca="false">Coverage!A16</f>
        <v>Nigeria National Immunization Coverage Survey (2006)</v>
      </c>
      <c r="D42" s="7" t="n">
        <f aca="false">Coverage!C16</f>
        <v>2005</v>
      </c>
      <c r="E42" s="10" t="n">
        <f aca="false">Coverage!I16</f>
        <v>62.4</v>
      </c>
    </row>
    <row r="43" customFormat="false" ht="15" hidden="false" customHeight="false" outlineLevel="0" collapsed="false">
      <c r="A43" s="7" t="s">
        <v>68</v>
      </c>
      <c r="B43" s="7" t="s">
        <v>280</v>
      </c>
      <c r="C43" s="7" t="str">
        <f aca="false">Coverage!A19</f>
        <v>Nigeria 2010 National Immunization Coverage Survey</v>
      </c>
      <c r="D43" s="7" t="n">
        <f aca="false">Coverage!C19</f>
        <v>2009</v>
      </c>
      <c r="E43" s="10" t="n">
        <f aca="false">Coverage!I19</f>
        <v>63.6</v>
      </c>
    </row>
    <row r="44" customFormat="false" ht="15" hidden="false" customHeight="false" outlineLevel="0" collapsed="false">
      <c r="A44" s="7" t="s">
        <v>68</v>
      </c>
      <c r="B44" s="7" t="s">
        <v>281</v>
      </c>
      <c r="C44" s="7" t="str">
        <f aca="false">Coverage!A22</f>
        <v>Summary Findings of Cross-Sectional Health and Nutrition Survey, Nigeria 2013</v>
      </c>
      <c r="D44" s="7" t="n">
        <f aca="false">Coverage!C22</f>
        <v>2012</v>
      </c>
      <c r="E44" s="10" t="n">
        <f aca="false">Coverage!I22</f>
        <v>26.9</v>
      </c>
    </row>
    <row r="45" customFormat="false" ht="15" hidden="false" customHeight="false" outlineLevel="0" collapsed="false">
      <c r="A45" s="7" t="s">
        <v>68</v>
      </c>
      <c r="B45" s="7" t="s">
        <v>281</v>
      </c>
      <c r="C45" s="7" t="str">
        <f aca="false">Coverage!A23</f>
        <v>Nigeria National Nutrition and Health Survey, 2015</v>
      </c>
      <c r="D45" s="7" t="n">
        <f aca="false">Coverage!C23</f>
        <v>2014</v>
      </c>
      <c r="E45" s="10" t="n">
        <f aca="false">Coverage!I23</f>
        <v>50.6</v>
      </c>
    </row>
    <row r="46" customFormat="false" ht="15" hidden="false" customHeight="false" outlineLevel="0" collapsed="false">
      <c r="A46" s="7" t="s">
        <v>68</v>
      </c>
      <c r="B46" s="7" t="s">
        <v>281</v>
      </c>
      <c r="C46" s="7" t="str">
        <f aca="false">Coverage!A25</f>
        <v>Nigeria National Nutrition and Health Survey (NNHS) 2018</v>
      </c>
      <c r="D46" s="7" t="n">
        <f aca="false">Coverage!C25</f>
        <v>2016</v>
      </c>
      <c r="E46" s="10" t="n">
        <f aca="false">Coverage!I25</f>
        <v>64.7</v>
      </c>
    </row>
    <row r="47" customFormat="false" ht="15" hidden="false" customHeight="false" outlineLevel="0" collapsed="false">
      <c r="A47" s="7" t="s">
        <v>68</v>
      </c>
      <c r="B47" s="7" t="s">
        <v>282</v>
      </c>
      <c r="C47" s="7" t="str">
        <f aca="false">Coverage!A6</f>
        <v>Status report on revised EPI programme from 1985 to 1989</v>
      </c>
      <c r="D47" s="7" t="n">
        <f aca="false">Coverage!C6</f>
        <v>1984</v>
      </c>
      <c r="E47" s="10" t="n">
        <f aca="false">Coverage!I6</f>
        <v>9.1</v>
      </c>
    </row>
    <row r="48" customFormat="false" ht="15" hidden="false" customHeight="false" outlineLevel="0" collapsed="false">
      <c r="A48" s="7" t="s">
        <v>68</v>
      </c>
      <c r="B48" s="7" t="s">
        <v>282</v>
      </c>
      <c r="C48" s="7" t="str">
        <f aca="false">Coverage!A7</f>
        <v>Status report on revised EPI programme from 1985 to 1989</v>
      </c>
      <c r="D48" s="7" t="n">
        <f aca="false">Coverage!C7</f>
        <v>1985</v>
      </c>
      <c r="E48" s="10" t="n">
        <f aca="false">Coverage!I7</f>
        <v>17.2</v>
      </c>
    </row>
    <row r="49" customFormat="false" ht="15" hidden="false" customHeight="false" outlineLevel="0" collapsed="false">
      <c r="A49" s="7" t="s">
        <v>68</v>
      </c>
      <c r="B49" s="7" t="s">
        <v>282</v>
      </c>
      <c r="C49" s="7" t="str">
        <f aca="false">Coverage!A8</f>
        <v>Status report on revised EPI programme from 1985 to 1989</v>
      </c>
      <c r="D49" s="7" t="n">
        <f aca="false">Coverage!C8</f>
        <v>1986</v>
      </c>
      <c r="E49" s="10" t="n">
        <f aca="false">Coverage!I8</f>
        <v>28</v>
      </c>
    </row>
    <row r="50" customFormat="false" ht="15" hidden="false" customHeight="false" outlineLevel="0" collapsed="false">
      <c r="A50" s="7" t="s">
        <v>82</v>
      </c>
      <c r="B50" s="7" t="s">
        <v>278</v>
      </c>
      <c r="C50" s="7" t="str">
        <f aca="false">Coverage!A10</f>
        <v>Nigeria Demographic and Health Survey 1990, 1992</v>
      </c>
      <c r="D50" s="7" t="n">
        <f aca="false">Coverage!C10</f>
        <v>1989</v>
      </c>
      <c r="E50" s="10" t="n">
        <f aca="false">Coverage!J10</f>
        <v>29.6</v>
      </c>
    </row>
    <row r="51" customFormat="false" ht="15" hidden="false" customHeight="false" outlineLevel="0" collapsed="false">
      <c r="A51" s="7" t="s">
        <v>82</v>
      </c>
      <c r="B51" s="7" t="s">
        <v>278</v>
      </c>
      <c r="C51" s="7" t="str">
        <f aca="false">Coverage!A13</f>
        <v>Nigeria Demographic and Health Survey 1999, 2000</v>
      </c>
      <c r="D51" s="7" t="n">
        <f aca="false">Coverage!C13</f>
        <v>1998</v>
      </c>
      <c r="E51" s="10" t="n">
        <f aca="false">Coverage!J13</f>
        <v>16.8</v>
      </c>
    </row>
    <row r="52" customFormat="false" ht="15" hidden="false" customHeight="false" outlineLevel="0" collapsed="false">
      <c r="A52" s="7" t="s">
        <v>82</v>
      </c>
      <c r="B52" s="7" t="s">
        <v>278</v>
      </c>
      <c r="C52" s="7" t="str">
        <f aca="false">Coverage!A14</f>
        <v>Nigeria Demographic and Health Survey 2003</v>
      </c>
      <c r="D52" s="7" t="n">
        <f aca="false">Coverage!C14</f>
        <v>2002</v>
      </c>
      <c r="E52" s="10" t="n">
        <f aca="false">Coverage!J14</f>
        <v>12.9</v>
      </c>
    </row>
    <row r="53" customFormat="false" ht="15" hidden="false" customHeight="false" outlineLevel="0" collapsed="false">
      <c r="A53" s="7" t="s">
        <v>82</v>
      </c>
      <c r="B53" s="7" t="s">
        <v>278</v>
      </c>
      <c r="C53" s="7" t="str">
        <f aca="false">Coverage!A18</f>
        <v>Nigeria Demographic and Health Survey 2008</v>
      </c>
      <c r="D53" s="7" t="n">
        <f aca="false">Coverage!C18</f>
        <v>2007</v>
      </c>
      <c r="E53" s="10" t="n">
        <f aca="false">Coverage!J18</f>
        <v>22.7</v>
      </c>
    </row>
    <row r="54" customFormat="false" ht="15" hidden="false" customHeight="false" outlineLevel="0" collapsed="false">
      <c r="A54" s="7" t="s">
        <v>82</v>
      </c>
      <c r="B54" s="7" t="s">
        <v>278</v>
      </c>
      <c r="C54" s="7" t="str">
        <f aca="false">Coverage!A21</f>
        <v>Nigeria Demographic and Health Survey 2013</v>
      </c>
      <c r="D54" s="7" t="n">
        <f aca="false">Coverage!C21</f>
        <v>2012</v>
      </c>
      <c r="E54" s="10" t="n">
        <f aca="false">Coverage!J21</f>
        <v>25.3</v>
      </c>
    </row>
    <row r="55" customFormat="false" ht="15" hidden="false" customHeight="false" outlineLevel="0" collapsed="false">
      <c r="A55" s="7" t="s">
        <v>82</v>
      </c>
      <c r="B55" s="7" t="s">
        <v>278</v>
      </c>
      <c r="C55" s="7" t="str">
        <f aca="false">Coverage!A26</f>
        <v>Nigeria Demographic and Health Survey 2018</v>
      </c>
      <c r="D55" s="7" t="n">
        <f aca="false">Coverage!C26</f>
        <v>2017</v>
      </c>
      <c r="E55" s="10" t="n">
        <f aca="false">Coverage!J26</f>
        <v>31.3</v>
      </c>
    </row>
    <row r="56" customFormat="false" ht="15" hidden="false" customHeight="false" outlineLevel="0" collapsed="false">
      <c r="A56" s="7" t="s">
        <v>82</v>
      </c>
      <c r="B56" s="7" t="s">
        <v>278</v>
      </c>
      <c r="C56" s="7" t="str">
        <f aca="false">Coverage!A28</f>
        <v>Nigeria Demographic and Health Survey 2024</v>
      </c>
      <c r="D56" s="7" t="n">
        <f aca="false">Coverage!C28</f>
        <v>2022</v>
      </c>
      <c r="E56" s="10" t="n">
        <f aca="false">Coverage!J28</f>
        <v>39.4</v>
      </c>
    </row>
    <row r="57" customFormat="false" ht="15" hidden="false" customHeight="false" outlineLevel="0" collapsed="false">
      <c r="A57" s="7" t="s">
        <v>82</v>
      </c>
      <c r="B57" s="7" t="s">
        <v>279</v>
      </c>
      <c r="C57" s="7" t="str">
        <f aca="false">Coverage!A11</f>
        <v>FR of Nigeria Multiple Indicator Cluster Survey 1995</v>
      </c>
      <c r="D57" s="7" t="n">
        <f aca="false">Coverage!C11</f>
        <v>1994</v>
      </c>
      <c r="E57" s="10" t="n">
        <f aca="false">Coverage!J11</f>
        <v>22</v>
      </c>
    </row>
    <row r="58" customFormat="false" ht="15" hidden="false" customHeight="false" outlineLevel="0" collapsed="false">
      <c r="A58" s="7" t="s">
        <v>82</v>
      </c>
      <c r="B58" s="7" t="s">
        <v>279</v>
      </c>
      <c r="C58" s="7" t="str">
        <f aca="false">Coverage!A12</f>
        <v>MICS Nigeria, 1999</v>
      </c>
      <c r="D58" s="7" t="n">
        <f aca="false">Coverage!C12</f>
        <v>1998</v>
      </c>
      <c r="E58" s="10" t="n">
        <f aca="false">Coverage!J12</f>
        <v>13.3</v>
      </c>
    </row>
    <row r="59" customFormat="false" ht="15" hidden="false" customHeight="false" outlineLevel="0" collapsed="false">
      <c r="A59" s="7" t="s">
        <v>82</v>
      </c>
      <c r="B59" s="7" t="s">
        <v>279</v>
      </c>
      <c r="C59" s="7" t="str">
        <f aca="false">Coverage!A17</f>
        <v>Nigeria Multiple Indicator Cluster Survey 2007</v>
      </c>
      <c r="D59" s="7" t="n">
        <f aca="false">Coverage!C17</f>
        <v>2006</v>
      </c>
      <c r="E59" s="10" t="n">
        <f aca="false">Coverage!J17</f>
        <v>16.4</v>
      </c>
    </row>
    <row r="60" customFormat="false" ht="15" hidden="false" customHeight="false" outlineLevel="0" collapsed="false">
      <c r="A60" s="7" t="s">
        <v>82</v>
      </c>
      <c r="B60" s="7" t="s">
        <v>279</v>
      </c>
      <c r="C60" s="7" t="str">
        <f aca="false">Coverage!A20</f>
        <v>Nigeria Multiple Indicator Cluster Survey 2011</v>
      </c>
      <c r="D60" s="7" t="n">
        <f aca="false">Coverage!C20</f>
        <v>2010</v>
      </c>
      <c r="E60" s="10" t="n">
        <f aca="false">Coverage!J20</f>
        <v>27.6</v>
      </c>
    </row>
    <row r="61" customFormat="false" ht="15" hidden="false" customHeight="false" outlineLevel="0" collapsed="false">
      <c r="A61" s="7" t="s">
        <v>82</v>
      </c>
      <c r="B61" s="7" t="s">
        <v>279</v>
      </c>
      <c r="C61" s="7" t="str">
        <f aca="false">Coverage!A24</f>
        <v>Nigeria Multiple Indicator Cluster Survey 2016-2017</v>
      </c>
      <c r="D61" s="7" t="n">
        <f aca="false">Coverage!C24</f>
        <v>2015</v>
      </c>
      <c r="E61" s="10" t="n">
        <f aca="false">Coverage!J24</f>
        <v>21</v>
      </c>
    </row>
    <row r="62" customFormat="false" ht="15" hidden="false" customHeight="false" outlineLevel="0" collapsed="false">
      <c r="A62" s="7" t="s">
        <v>82</v>
      </c>
      <c r="B62" s="7" t="s">
        <v>279</v>
      </c>
      <c r="C62" s="7" t="str">
        <f aca="false">Coverage!A27</f>
        <v>Nigeria Multiple Indicator Cluster Survey 2021</v>
      </c>
      <c r="D62" s="7" t="n">
        <f aca="false">Coverage!C27</f>
        <v>2020</v>
      </c>
      <c r="E62" s="10" t="n">
        <f aca="false">Coverage!J27</f>
        <v>44.2</v>
      </c>
    </row>
    <row r="63" customFormat="false" ht="15" hidden="false" customHeight="false" outlineLevel="0" collapsed="false">
      <c r="A63" s="7" t="s">
        <v>82</v>
      </c>
      <c r="B63" s="7" t="s">
        <v>280</v>
      </c>
      <c r="C63" s="7" t="str">
        <f aca="false">Coverage!A9</f>
        <v>EPI, Immunization Coverage Survey, 1988</v>
      </c>
      <c r="D63" s="7" t="n">
        <f aca="false">Coverage!C9</f>
        <v>1987</v>
      </c>
      <c r="E63" s="10" t="n">
        <f aca="false">Coverage!J9</f>
        <v>37.5</v>
      </c>
    </row>
    <row r="64" customFormat="false" ht="15" hidden="false" customHeight="false" outlineLevel="0" collapsed="false">
      <c r="A64" s="7" t="s">
        <v>82</v>
      </c>
      <c r="B64" s="7" t="s">
        <v>280</v>
      </c>
      <c r="C64" s="7" t="str">
        <f aca="false">Coverage!A15</f>
        <v>Nigeria National Immunization Coverage Survey 2003</v>
      </c>
      <c r="D64" s="7" t="n">
        <f aca="false">Coverage!C15</f>
        <v>2002</v>
      </c>
      <c r="E64" s="10" t="n">
        <f aca="false">Coverage!J15</f>
        <v>16.2</v>
      </c>
    </row>
    <row r="65" customFormat="false" ht="15" hidden="false" customHeight="false" outlineLevel="0" collapsed="false">
      <c r="A65" s="7" t="s">
        <v>82</v>
      </c>
      <c r="B65" s="7" t="s">
        <v>280</v>
      </c>
      <c r="C65" s="7" t="str">
        <f aca="false">Coverage!A16</f>
        <v>Nigeria National Immunization Coverage Survey (2006)</v>
      </c>
      <c r="D65" s="7" t="n">
        <f aca="false">Coverage!C16</f>
        <v>2005</v>
      </c>
      <c r="E65" s="10" t="n">
        <f aca="false">Coverage!J16</f>
        <v>42.2</v>
      </c>
    </row>
    <row r="66" customFormat="false" ht="15" hidden="false" customHeight="false" outlineLevel="0" collapsed="false">
      <c r="A66" s="7" t="s">
        <v>283</v>
      </c>
      <c r="B66" s="7" t="s">
        <v>278</v>
      </c>
      <c r="C66" s="7" t="str">
        <f aca="false">Coverage!A10</f>
        <v>Nigeria Demographic and Health Survey 1990, 1992</v>
      </c>
      <c r="D66" s="7" t="n">
        <f aca="false">Coverage!C10</f>
        <v>1989</v>
      </c>
      <c r="E66" s="10" t="n">
        <f aca="false">Coverage!O10</f>
        <v>40.8</v>
      </c>
    </row>
    <row r="67" customFormat="false" ht="15" hidden="false" customHeight="false" outlineLevel="0" collapsed="false">
      <c r="A67" s="7" t="s">
        <v>283</v>
      </c>
      <c r="B67" s="7" t="s">
        <v>278</v>
      </c>
      <c r="C67" s="7" t="str">
        <f aca="false">Coverage!A13</f>
        <v>Nigeria Demographic and Health Survey 1999, 2000</v>
      </c>
      <c r="D67" s="7" t="n">
        <f aca="false">Coverage!C13</f>
        <v>1998</v>
      </c>
      <c r="E67" s="10" t="n">
        <f aca="false">Coverage!O13</f>
        <v>52.6</v>
      </c>
    </row>
    <row r="68" customFormat="false" ht="15" hidden="false" customHeight="false" outlineLevel="0" collapsed="false">
      <c r="A68" s="7" t="s">
        <v>283</v>
      </c>
      <c r="B68" s="7" t="s">
        <v>278</v>
      </c>
      <c r="C68" s="7" t="str">
        <f aca="false">Coverage!A14</f>
        <v>Nigeria Demographic and Health Survey 2003</v>
      </c>
      <c r="D68" s="7" t="n">
        <f aca="false">Coverage!C14</f>
        <v>2002</v>
      </c>
      <c r="E68" s="10" t="n">
        <f aca="false">Coverage!O14</f>
        <v>57.4</v>
      </c>
    </row>
    <row r="69" customFormat="false" ht="15" hidden="false" customHeight="false" outlineLevel="0" collapsed="false">
      <c r="A69" s="7" t="s">
        <v>283</v>
      </c>
      <c r="B69" s="7" t="s">
        <v>278</v>
      </c>
      <c r="C69" s="7" t="str">
        <f aca="false">Coverage!A18</f>
        <v>Nigeria Demographic and Health Survey 2008</v>
      </c>
      <c r="D69" s="7" t="n">
        <f aca="false">Coverage!C18</f>
        <v>2007</v>
      </c>
      <c r="E69" s="10" t="n">
        <f aca="false">Coverage!O18</f>
        <v>48</v>
      </c>
    </row>
    <row r="70" customFormat="false" ht="15" hidden="false" customHeight="false" outlineLevel="0" collapsed="false">
      <c r="A70" s="7" t="s">
        <v>283</v>
      </c>
      <c r="B70" s="7" t="s">
        <v>278</v>
      </c>
      <c r="C70" s="7" t="str">
        <f aca="false">Coverage!A21</f>
        <v>Nigeria Demographic and Health Survey 2013</v>
      </c>
      <c r="D70" s="7" t="n">
        <f aca="false">Coverage!C21</f>
        <v>2012</v>
      </c>
      <c r="E70" s="10" t="n">
        <f aca="false">Coverage!O21</f>
        <v>49.4</v>
      </c>
    </row>
    <row r="71" customFormat="false" ht="15" hidden="false" customHeight="false" outlineLevel="0" collapsed="false">
      <c r="A71" s="7" t="s">
        <v>283</v>
      </c>
      <c r="B71" s="7" t="s">
        <v>278</v>
      </c>
      <c r="C71" s="7" t="str">
        <f aca="false">Coverage!A26</f>
        <v>Nigeria Demographic and Health Survey 2018</v>
      </c>
      <c r="D71" s="7" t="n">
        <f aca="false">Coverage!C26</f>
        <v>2017</v>
      </c>
      <c r="E71" s="10" t="n">
        <f aca="false">Coverage!O26</f>
        <v>34.7</v>
      </c>
    </row>
    <row r="72" customFormat="false" ht="15" hidden="false" customHeight="false" outlineLevel="0" collapsed="false">
      <c r="A72" s="7" t="s">
        <v>283</v>
      </c>
      <c r="B72" s="7" t="s">
        <v>278</v>
      </c>
      <c r="C72" s="7" t="str">
        <f aca="false">Coverage!A28</f>
        <v>Nigeria Demographic and Health Survey 2024</v>
      </c>
      <c r="D72" s="7" t="n">
        <f aca="false">Coverage!C28</f>
        <v>2022</v>
      </c>
      <c r="E72" s="10" t="n">
        <f aca="false">Coverage!O28</f>
        <v>37.1</v>
      </c>
    </row>
    <row r="73" customFormat="false" ht="15" hidden="false" customHeight="false" outlineLevel="0" collapsed="false">
      <c r="A73" s="7" t="s">
        <v>283</v>
      </c>
      <c r="B73" s="7" t="s">
        <v>279</v>
      </c>
      <c r="C73" s="7" t="str">
        <f aca="false">Coverage!A12</f>
        <v>MICS Nigeria, 1999</v>
      </c>
      <c r="D73" s="7" t="n">
        <f aca="false">Coverage!C12</f>
        <v>1998</v>
      </c>
      <c r="E73" s="10" t="n">
        <f aca="false">Coverage!O12</f>
        <v>58.9</v>
      </c>
    </row>
    <row r="74" customFormat="false" ht="15" hidden="false" customHeight="false" outlineLevel="0" collapsed="false">
      <c r="A74" s="7" t="s">
        <v>283</v>
      </c>
      <c r="B74" s="7" t="s">
        <v>279</v>
      </c>
      <c r="C74" s="7" t="str">
        <f aca="false">Coverage!A17</f>
        <v>Nigeria Multiple Indicator Cluster Survey 2007</v>
      </c>
      <c r="D74" s="7" t="n">
        <f aca="false">Coverage!C17</f>
        <v>2006</v>
      </c>
      <c r="E74" s="10" t="n">
        <f aca="false">Coverage!O17</f>
        <v>51.4</v>
      </c>
    </row>
    <row r="75" customFormat="false" ht="15" hidden="false" customHeight="false" outlineLevel="0" collapsed="false">
      <c r="A75" s="7" t="s">
        <v>283</v>
      </c>
      <c r="B75" s="7" t="s">
        <v>279</v>
      </c>
      <c r="C75" s="7" t="str">
        <f aca="false">Coverage!A20</f>
        <v>Nigeria Multiple Indicator Cluster Survey 2011</v>
      </c>
      <c r="D75" s="7" t="n">
        <f aca="false">Coverage!C20</f>
        <v>2010</v>
      </c>
      <c r="E75" s="10" t="n">
        <f aca="false">Coverage!O20</f>
        <v>39.6</v>
      </c>
    </row>
    <row r="76" customFormat="false" ht="15" hidden="false" customHeight="false" outlineLevel="0" collapsed="false">
      <c r="A76" s="7" t="s">
        <v>283</v>
      </c>
      <c r="B76" s="7" t="s">
        <v>279</v>
      </c>
      <c r="C76" s="7" t="str">
        <f aca="false">Coverage!A24</f>
        <v>Nigeria Multiple Indicator Cluster Survey 2016-2017</v>
      </c>
      <c r="D76" s="7" t="n">
        <f aca="false">Coverage!C24</f>
        <v>2015</v>
      </c>
      <c r="E76" s="10" t="n">
        <f aca="false">Coverage!O24</f>
        <v>50.7</v>
      </c>
    </row>
    <row r="77" customFormat="false" ht="15" hidden="false" customHeight="false" outlineLevel="0" collapsed="false">
      <c r="A77" s="7" t="s">
        <v>283</v>
      </c>
      <c r="B77" s="7" t="s">
        <v>279</v>
      </c>
      <c r="C77" s="7" t="str">
        <f aca="false">Coverage!A27</f>
        <v>Nigeria Multiple Indicator Cluster Survey 2021</v>
      </c>
      <c r="D77" s="7" t="n">
        <f aca="false">Coverage!C27</f>
        <v>2020</v>
      </c>
      <c r="E77" s="10" t="n">
        <f aca="false">Coverage!O27</f>
        <v>29.7</v>
      </c>
    </row>
    <row r="78" customFormat="false" ht="15" hidden="false" customHeight="false" outlineLevel="0" collapsed="false">
      <c r="A78" s="7" t="s">
        <v>283</v>
      </c>
      <c r="B78" s="7" t="s">
        <v>280</v>
      </c>
      <c r="C78" s="7" t="str">
        <f aca="false">Coverage!A15</f>
        <v>Nigeria National Immunization Coverage Survey 2003</v>
      </c>
      <c r="D78" s="7" t="n">
        <f aca="false">Coverage!C15</f>
        <v>2002</v>
      </c>
      <c r="E78" s="10" t="n">
        <f aca="false">Coverage!O15</f>
        <v>56.8</v>
      </c>
    </row>
    <row r="79" customFormat="false" ht="15" hidden="false" customHeight="false" outlineLevel="0" collapsed="false">
      <c r="A79" s="7" t="s">
        <v>283</v>
      </c>
      <c r="B79" s="7" t="s">
        <v>280</v>
      </c>
      <c r="C79" s="7" t="str">
        <f aca="false">Coverage!A16</f>
        <v>Nigeria National Immunization Coverage Survey (2006)</v>
      </c>
      <c r="D79" s="7" t="n">
        <f aca="false">Coverage!C16</f>
        <v>2005</v>
      </c>
      <c r="E79" s="10" t="n">
        <f aca="false">Coverage!O16</f>
        <v>28.3</v>
      </c>
    </row>
    <row r="80" customFormat="false" ht="15" hidden="false" customHeight="false" outlineLevel="0" collapsed="false">
      <c r="A80" s="7" t="s">
        <v>283</v>
      </c>
      <c r="B80" s="7" t="s">
        <v>280</v>
      </c>
      <c r="C80" s="7" t="str">
        <f aca="false">Coverage!A19</f>
        <v>Nigeria 2010 National Immunization Coverage Survey</v>
      </c>
      <c r="D80" s="7" t="n">
        <f aca="false">Coverage!C19</f>
        <v>2009</v>
      </c>
      <c r="E80" s="10" t="n">
        <f aca="false">Coverage!O19</f>
        <v>26.6</v>
      </c>
    </row>
    <row r="81" customFormat="false" ht="15" hidden="false" customHeight="false" outlineLevel="0" collapsed="false">
      <c r="A81" s="7" t="s">
        <v>283</v>
      </c>
      <c r="B81" s="7" t="s">
        <v>281</v>
      </c>
      <c r="C81" s="7" t="str">
        <f aca="false">Coverage!A22</f>
        <v>Summary Findings of Cross-Sectional Health and Nutrition Survey, Nigeria 2013</v>
      </c>
      <c r="D81" s="7" t="n">
        <f aca="false">Coverage!C22</f>
        <v>2012</v>
      </c>
      <c r="E81" s="10" t="n">
        <f aca="false">Coverage!O22</f>
        <v>66.3</v>
      </c>
    </row>
    <row r="82" customFormat="false" ht="15" hidden="false" customHeight="false" outlineLevel="0" collapsed="false">
      <c r="A82" s="7" t="s">
        <v>283</v>
      </c>
      <c r="B82" s="7" t="s">
        <v>281</v>
      </c>
      <c r="C82" s="7" t="str">
        <f aca="false">Coverage!A23</f>
        <v>Nigeria National Nutrition and Health Survey, 2015</v>
      </c>
      <c r="D82" s="7" t="n">
        <f aca="false">Coverage!C23</f>
        <v>2014</v>
      </c>
      <c r="E82" s="10" t="n">
        <f aca="false">Coverage!O23</f>
        <v>36.5</v>
      </c>
    </row>
    <row r="83" customFormat="false" ht="15" hidden="false" customHeight="false" outlineLevel="0" collapsed="false">
      <c r="A83" s="7" t="s">
        <v>283</v>
      </c>
      <c r="B83" s="7" t="s">
        <v>281</v>
      </c>
      <c r="C83" s="7" t="str">
        <f aca="false">Coverage!A25</f>
        <v>Nigeria National Nutrition and Health Survey (NNHS) 2018</v>
      </c>
      <c r="D83" s="7" t="n">
        <f aca="false">Coverage!C25</f>
        <v>2016</v>
      </c>
      <c r="E83" s="10" t="n">
        <f aca="false">Coverage!O25</f>
        <v>30.1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6" t="s">
        <v>286</v>
      </c>
    </row>
    <row r="5" customFormat="false" ht="15" hidden="false" customHeight="false" outlineLevel="0" collapsed="false">
      <c r="A5" s="7" t="s">
        <v>287</v>
      </c>
      <c r="B5" s="7" t="n">
        <f aca="false">_xlfn.MINIFS(Coverage!$C$6:$C$28,Coverage!$B$6:$B$28,"DHS")</f>
        <v>1989</v>
      </c>
    </row>
    <row r="6" customFormat="false" ht="15" hidden="false" customHeight="false" outlineLevel="0" collapsed="false">
      <c r="A6" s="7" t="s">
        <v>288</v>
      </c>
      <c r="B6" s="7" t="n">
        <f aca="false">_xlfn.MAXIFS(Coverage!$C$6:$C$28,Coverage!$B$6:$B$28,"DHS")</f>
        <v>2022</v>
      </c>
    </row>
    <row r="7" customFormat="false" ht="15" hidden="false" customHeight="false" outlineLevel="0" collapsed="false">
      <c r="A7" s="7" t="s">
        <v>289</v>
      </c>
      <c r="B7" s="7" t="n">
        <f aca="false">_xlfn.MAXIFS(Coverage!$C$6:$C$28,Coverage!$B$6:$B$28,"DHS",Coverage!$C$6:$C$28,"&lt;"&amp;B6)</f>
        <v>2017</v>
      </c>
    </row>
    <row r="8" customFormat="false" ht="15" hidden="false" customHeight="false" outlineLevel="0" collapsed="false">
      <c r="A8" s="7" t="s">
        <v>290</v>
      </c>
      <c r="B8" s="7" t="n">
        <f aca="false">_xlfn.MAXIFS(Coverage!$C$6:$C$28,Coverage!$B$6:$B$28,"MICS")</f>
        <v>2020</v>
      </c>
    </row>
    <row r="10" customFormat="false" ht="15" hidden="false" customHeight="false" outlineLevel="0" collapsed="false">
      <c r="A10" s="6" t="s">
        <v>291</v>
      </c>
    </row>
    <row r="11" customFormat="false" ht="15" hidden="false" customHeight="false" outlineLevel="0" collapsed="false">
      <c r="A11" s="3" t="s">
        <v>180</v>
      </c>
      <c r="B11" s="3" t="s">
        <v>292</v>
      </c>
      <c r="C11" s="3" t="s">
        <v>293</v>
      </c>
      <c r="D11" s="3" t="s">
        <v>294</v>
      </c>
      <c r="E11" s="3" t="s">
        <v>295</v>
      </c>
    </row>
    <row r="12" customFormat="false" ht="15" hidden="false" customHeight="false" outlineLevel="0" collapsed="false">
      <c r="A12" s="7" t="s">
        <v>62</v>
      </c>
      <c r="B12" s="10" t="n">
        <f aca="false">IFERROR(AVERAGEIFS(INDEX(Coverage!$E$6:$J$28,0,MATCH($A12,Coverage!$E$5:$J$5,0)),Coverage!$B$6:$B$28,"DHS",Coverage!$C$6:$C$28,$B$5),"")</f>
        <v>60.7</v>
      </c>
      <c r="C12" s="10" t="n">
        <f aca="false">IFERROR(AVERAGEIFS(INDEX(Coverage!$E$6:$J$28,0,MATCH($A12,Coverage!$E$5:$J$5,0)),Coverage!$B$6:$B$28,"DHS",Coverage!$C$6:$C$28,$B$6),"")</f>
        <v>66.7</v>
      </c>
      <c r="D12" s="10" t="n">
        <f aca="false">IF(AND(ISNUMBER(B12),ISNUMBER(C12)),C12-B12,"")</f>
        <v>6</v>
      </c>
      <c r="E12" s="10" t="n">
        <f aca="false">IFERROR(AVERAGEIFS(INDEX(Coverage!$E$6:$J$28,0,MATCH($A12,Coverage!$E$5:$J$5,0)),Coverage!$B$6:$B$28,"MICS",Coverage!$C$6:$C$28,$B$8),"")</f>
        <v>74.1</v>
      </c>
    </row>
    <row r="13" customFormat="false" ht="15" hidden="false" customHeight="false" outlineLevel="0" collapsed="false">
      <c r="A13" s="7" t="s">
        <v>81</v>
      </c>
      <c r="B13" s="10" t="n">
        <f aca="false">IFERROR(AVERAGEIFS(INDEX(Coverage!$E$6:$J$28,0,MATCH($A13,Coverage!$E$5:$J$5,0)),Coverage!$B$6:$B$28,"DHS",Coverage!$C$6:$C$28,$B$5),"")</f>
        <v>59.2</v>
      </c>
      <c r="C13" s="10" t="n">
        <f aca="false">IFERROR(AVERAGEIFS(INDEX(Coverage!$E$6:$J$28,0,MATCH($A13,Coverage!$E$5:$J$5,0)),Coverage!$B$6:$B$28,"DHS",Coverage!$C$6:$C$28,$B$6),"")</f>
        <v>62.9</v>
      </c>
      <c r="D13" s="10" t="n">
        <f aca="false">IF(AND(ISNUMBER(B13),ISNUMBER(C13)),C13-B13,"")</f>
        <v>3.7</v>
      </c>
      <c r="E13" s="10" t="n">
        <f aca="false">IFERROR(AVERAGEIFS(INDEX(Coverage!$E$6:$J$28,0,MATCH($A13,Coverage!$E$5:$J$5,0)),Coverage!$B$6:$B$28,"MICS",Coverage!$C$6:$C$28,$B$8),"")</f>
        <v>70.3</v>
      </c>
    </row>
    <row r="14" customFormat="false" ht="15" hidden="false" customHeight="false" outlineLevel="0" collapsed="false">
      <c r="A14" s="7" t="s">
        <v>67</v>
      </c>
      <c r="B14" s="10" t="n">
        <f aca="false">IFERROR(AVERAGEIFS(INDEX(Coverage!$E$6:$J$28,0,MATCH($A14,Coverage!$E$5:$J$5,0)),Coverage!$B$6:$B$28,"DHS",Coverage!$C$6:$C$28,$B$5),"")</f>
        <v>33.3</v>
      </c>
      <c r="C14" s="10" t="n">
        <f aca="false">IFERROR(AVERAGEIFS(INDEX(Coverage!$E$6:$J$28,0,MATCH($A14,Coverage!$E$5:$J$5,0)),Coverage!$B$6:$B$28,"DHS",Coverage!$C$6:$C$28,$B$6),"")</f>
        <v>53.4</v>
      </c>
      <c r="D14" s="10" t="n">
        <f aca="false">IF(AND(ISNUMBER(B14),ISNUMBER(C14)),C14-B14,"")</f>
        <v>20.1</v>
      </c>
      <c r="E14" s="10" t="n">
        <f aca="false">IFERROR(AVERAGEIFS(INDEX(Coverage!$E$6:$J$28,0,MATCH($A14,Coverage!$E$5:$J$5,0)),Coverage!$B$6:$B$28,"MICS",Coverage!$C$6:$C$28,$B$8),"")</f>
        <v>56.6</v>
      </c>
    </row>
    <row r="15" customFormat="false" ht="15" hidden="false" customHeight="false" outlineLevel="0" collapsed="false">
      <c r="A15" s="7" t="s">
        <v>69</v>
      </c>
      <c r="B15" s="10" t="n">
        <f aca="false">IFERROR(AVERAGEIFS(INDEX(Coverage!$E$6:$J$28,0,MATCH($A15,Coverage!$E$5:$J$5,0)),Coverage!$B$6:$B$28,"DHS",Coverage!$C$6:$C$28,$B$5),"")</f>
        <v>33.4</v>
      </c>
      <c r="C15" s="10" t="n">
        <f aca="false">IFERROR(AVERAGEIFS(INDEX(Coverage!$E$6:$J$28,0,MATCH($A15,Coverage!$E$5:$J$5,0)),Coverage!$B$6:$B$28,"DHS",Coverage!$C$6:$C$28,$B$6),"")</f>
        <v>45.6</v>
      </c>
      <c r="D15" s="10" t="n">
        <f aca="false">IF(AND(ISNUMBER(B15),ISNUMBER(C15)),C15-B15,"")</f>
        <v>12.2</v>
      </c>
      <c r="E15" s="10" t="n">
        <f aca="false">IFERROR(AVERAGEIFS(INDEX(Coverage!$E$6:$J$28,0,MATCH($A15,Coverage!$E$5:$J$5,0)),Coverage!$B$6:$B$28,"MICS",Coverage!$C$6:$C$28,$B$8),"")</f>
        <v>56.2</v>
      </c>
    </row>
    <row r="16" customFormat="false" ht="15" hidden="false" customHeight="false" outlineLevel="0" collapsed="false">
      <c r="A16" s="7" t="s">
        <v>68</v>
      </c>
      <c r="B16" s="10" t="n">
        <f aca="false">IFERROR(AVERAGEIFS(INDEX(Coverage!$E$6:$J$28,0,MATCH($A16,Coverage!$E$5:$J$5,0)),Coverage!$B$6:$B$28,"DHS",Coverage!$C$6:$C$28,$B$5),"")</f>
        <v>46</v>
      </c>
      <c r="C16" s="10" t="n">
        <f aca="false">IFERROR(AVERAGEIFS(INDEX(Coverage!$E$6:$J$28,0,MATCH($A16,Coverage!$E$5:$J$5,0)),Coverage!$B$6:$B$28,"DHS",Coverage!$C$6:$C$28,$B$6),"")</f>
        <v>51.4</v>
      </c>
      <c r="D16" s="10" t="n">
        <f aca="false">IF(AND(ISNUMBER(B16),ISNUMBER(C16)),C16-B16,"")</f>
        <v>5.4</v>
      </c>
      <c r="E16" s="10" t="n">
        <f aca="false">IFERROR(AVERAGEIFS(INDEX(Coverage!$E$6:$J$28,0,MATCH($A16,Coverage!$E$5:$J$5,0)),Coverage!$B$6:$B$28,"MICS",Coverage!$C$6:$C$28,$B$8),"")</f>
        <v>60.3</v>
      </c>
    </row>
    <row r="17" customFormat="false" ht="15" hidden="false" customHeight="false" outlineLevel="0" collapsed="false">
      <c r="A17" s="7" t="s">
        <v>82</v>
      </c>
      <c r="B17" s="10" t="n">
        <f aca="false">IFERROR(AVERAGEIFS(INDEX(Coverage!$E$6:$J$28,0,MATCH($A17,Coverage!$E$5:$J$5,0)),Coverage!$B$6:$B$28,"DHS",Coverage!$C$6:$C$28,$B$5),"")</f>
        <v>29.6</v>
      </c>
      <c r="C17" s="10" t="n">
        <f aca="false">IFERROR(AVERAGEIFS(INDEX(Coverage!$E$6:$J$28,0,MATCH($A17,Coverage!$E$5:$J$5,0)),Coverage!$B$6:$B$28,"DHS",Coverage!$C$6:$C$28,$B$6),"")</f>
        <v>39.4</v>
      </c>
      <c r="D17" s="10" t="n">
        <f aca="false">IF(AND(ISNUMBER(B17),ISNUMBER(C17)),C17-B17,"")</f>
        <v>9.8</v>
      </c>
      <c r="E17" s="10" t="n">
        <f aca="false">IFERROR(AVERAGEIFS(INDEX(Coverage!$E$6:$J$28,0,MATCH($A17,Coverage!$E$5:$J$5,0)),Coverage!$B$6:$B$28,"MICS",Coverage!$C$6:$C$28,$B$8),"")</f>
        <v>44.2</v>
      </c>
    </row>
    <row r="19" customFormat="false" ht="15" hidden="false" customHeight="false" outlineLevel="0" collapsed="false">
      <c r="A19" s="6" t="s">
        <v>296</v>
      </c>
    </row>
    <row r="20" customFormat="false" ht="15" hidden="false" customHeight="false" outlineLevel="0" collapsed="false">
      <c r="A20" s="3" t="s">
        <v>297</v>
      </c>
      <c r="B20" s="3" t="s">
        <v>278</v>
      </c>
      <c r="C20" s="3" t="s">
        <v>279</v>
      </c>
    </row>
    <row r="21" customFormat="false" ht="15" hidden="false" customHeight="false" outlineLevel="0" collapsed="false">
      <c r="A21" s="7" t="s">
        <v>67</v>
      </c>
      <c r="B21" s="11" t="n">
        <f aca="false">SLOPE(Trend_Data!$E$4:$E$10,Trend_Data!$D$4:$D$10)</f>
        <v>0.800128299120235</v>
      </c>
      <c r="C21" s="11" t="n">
        <f aca="false">SLOPE(Trend_Data!$E$11:$E$16,Trend_Data!$D$11:$D$16)</f>
        <v>1.03760568143389</v>
      </c>
    </row>
    <row r="22" customFormat="false" ht="15" hidden="false" customHeight="false" outlineLevel="0" collapsed="false">
      <c r="A22" s="7" t="s">
        <v>68</v>
      </c>
      <c r="B22" s="11" t="n">
        <f aca="false">SLOPE(Trend_Data!$E$27:$E$33,Trend_Data!$D$27:$D$33)</f>
        <v>0.30592008797654</v>
      </c>
      <c r="C22" s="11" t="n">
        <f aca="false">SLOPE(Trend_Data!$E$34:$E$39,Trend_Data!$D$34:$D$39)</f>
        <v>0.73310787960771</v>
      </c>
    </row>
    <row r="23" customFormat="false" ht="15" hidden="false" customHeight="false" outlineLevel="0" collapsed="false">
      <c r="A23" s="7" t="s">
        <v>82</v>
      </c>
      <c r="B23" s="11" t="n">
        <f aca="false">SLOPE(Trend_Data!$E$50:$E$56,Trend_Data!$D$50:$D$56)</f>
        <v>0.427052785923754</v>
      </c>
      <c r="C23" s="11" t="n">
        <f aca="false">SLOPE(Trend_Data!$E$57:$E$62,Trend_Data!$D$57:$D$62)</f>
        <v>0.76946229286439</v>
      </c>
    </row>
    <row r="24" customFormat="false" ht="15" hidden="false" customHeight="false" outlineLevel="0" collapsed="false">
      <c r="A24" s="2" t="s">
        <v>298</v>
      </c>
    </row>
    <row r="26" customFormat="false" ht="15" hidden="false" customHeight="false" outlineLevel="0" collapsed="false">
      <c r="A26" s="6" t="s">
        <v>299</v>
      </c>
    </row>
    <row r="27" customFormat="false" ht="15" hidden="false" customHeight="false" outlineLevel="0" collapsed="false">
      <c r="A27" s="3" t="s">
        <v>300</v>
      </c>
      <c r="B27" s="3" t="s">
        <v>301</v>
      </c>
      <c r="C27" s="3" t="s">
        <v>293</v>
      </c>
      <c r="D27" s="3" t="s">
        <v>294</v>
      </c>
    </row>
    <row r="28" customFormat="false" ht="15" hidden="false" customHeight="false" outlineLevel="0" collapsed="false">
      <c r="A28" s="7" t="s">
        <v>302</v>
      </c>
      <c r="B28" s="7" t="n">
        <f aca="false">B7</f>
        <v>2017</v>
      </c>
      <c r="C28" s="7" t="n">
        <f aca="false">B6</f>
        <v>2022</v>
      </c>
    </row>
    <row r="29" customFormat="false" ht="15" hidden="false" customHeight="false" outlineLevel="0" collapsed="false">
      <c r="A29" s="7" t="s">
        <v>303</v>
      </c>
      <c r="B29" s="10" t="n">
        <f aca="false">IFERROR(AVERAGEIFS(Coverage!$F$6:$F$28,Coverage!$B$6:$B$28,"DHS",Coverage!$C$6:$C$28,$B$7),"")</f>
        <v>65.3</v>
      </c>
      <c r="C29" s="10" t="n">
        <f aca="false">IFERROR(AVERAGEIFS(Coverage!$F$6:$F$28,Coverage!$B$6:$B$28,"DHS",Coverage!$C$6:$C$28,$B$6),"")</f>
        <v>62.9</v>
      </c>
      <c r="D29" s="10" t="n">
        <f aca="false">IF(AND(ISNUMBER(B29),ISNUMBER(C29)),C29-B29,"")</f>
        <v>-2.4</v>
      </c>
    </row>
    <row r="30" customFormat="false" ht="15" hidden="false" customHeight="false" outlineLevel="0" collapsed="false">
      <c r="A30" s="7" t="s">
        <v>304</v>
      </c>
      <c r="B30" s="10" t="n">
        <f aca="false">IFERROR(AVERAGEIFS(Coverage!$G$6:$G$28,Coverage!$B$6:$B$28,"DHS",Coverage!$C$6:$C$28,$B$7),"")</f>
        <v>50.1</v>
      </c>
      <c r="C30" s="10" t="n">
        <f aca="false">IFERROR(AVERAGEIFS(Coverage!$G$6:$G$28,Coverage!$B$6:$B$28,"DHS",Coverage!$C$6:$C$28,$B$6),"")</f>
        <v>53.4</v>
      </c>
      <c r="D30" s="10" t="n">
        <f aca="false">IF(AND(ISNUMBER(B30),ISNUMBER(C30)),C30-B30,"")</f>
        <v>3.3</v>
      </c>
    </row>
    <row r="31" customFormat="false" ht="15" hidden="false" customHeight="false" outlineLevel="0" collapsed="false">
      <c r="A31" s="7" t="s">
        <v>305</v>
      </c>
      <c r="B31" s="10" t="n">
        <f aca="false">IFERROR(AVERAGEIFS(Coverage!$J$6:$J$28,Coverage!$B$6:$B$28,"DHS",Coverage!$C$6:$C$28,$B$7),"")</f>
        <v>31.3</v>
      </c>
      <c r="C31" s="10" t="n">
        <f aca="false">IFERROR(AVERAGEIFS(Coverage!$J$6:$J$28,Coverage!$B$6:$B$28,"DHS",Coverage!$C$6:$C$28,$B$6),"")</f>
        <v>39.4</v>
      </c>
      <c r="D31" s="10" t="n">
        <f aca="false">IF(AND(ISNUMBER(B31),ISNUMBER(C31)),C31-B31,"")</f>
        <v>8.1</v>
      </c>
    </row>
    <row r="32" customFormat="false" ht="15" hidden="false" customHeight="false" outlineLevel="0" collapsed="false">
      <c r="A32" s="7" t="s">
        <v>306</v>
      </c>
      <c r="B32" s="10" t="n">
        <f aca="false">IFERROR(AVERAGEIFS(Coverage!$O$6:$O$28,Coverage!$B$6:$B$28,"DHS",Coverage!$C$6:$C$28,$B$7),"")</f>
        <v>34.7</v>
      </c>
      <c r="C32" s="10" t="n">
        <f aca="false">IFERROR(AVERAGEIFS(Coverage!$O$6:$O$28,Coverage!$B$6:$B$28,"DHS",Coverage!$C$6:$C$28,$B$6),"")</f>
        <v>37.1</v>
      </c>
      <c r="D32" s="10" t="n">
        <f aca="false">IF(AND(ISNUMBER(B32),ISNUMBER(C32)),C32-B32,"")</f>
        <v>2.4</v>
      </c>
    </row>
    <row r="33" customFormat="false" ht="15" hidden="false" customHeight="false" outlineLevel="0" collapsed="false">
      <c r="A33" s="7" t="s">
        <v>307</v>
      </c>
      <c r="B33" s="10" t="n">
        <f aca="false">IFERROR(AVERAGEIFS(Coverage!$M$6:$M$28,Coverage!$B$6:$B$28,"DHS",Coverage!$C$6:$C$28,$B$7),"")</f>
        <v>23.2771822358346</v>
      </c>
      <c r="C33" s="10" t="n">
        <f aca="false">IFERROR(AVERAGEIFS(Coverage!$M$6:$M$28,Coverage!$B$6:$B$28,"DHS",Coverage!$C$6:$C$28,$B$6),"")</f>
        <v>15.1033386327504</v>
      </c>
      <c r="D33" s="10" t="n">
        <f aca="false">IF(AND(ISNUMBER(B33),ISNUMBER(C33)),C33-B33,"")</f>
        <v>-8.17384360308421</v>
      </c>
    </row>
    <row r="34" customFormat="false" ht="15" hidden="false" customHeight="false" outlineLevel="0" collapsed="false">
      <c r="A34" s="7" t="s">
        <v>308</v>
      </c>
      <c r="B34" s="10" t="n">
        <f aca="false">IFERROR(AVERAGEIFS(Coverage!$L$6:$L$28,Coverage!$B$6:$B$28,"DHS",Coverage!$C$6:$C$28,$B$7),"")</f>
        <v>1.76827557160959</v>
      </c>
      <c r="C34" s="10" t="n">
        <f aca="false">IFERROR(AVERAGEIFS(Coverage!$L$6:$L$28,Coverage!$B$6:$B$28,"DHS",Coverage!$C$6:$C$28,$B$6),"")</f>
        <v>1.93222309232146</v>
      </c>
      <c r="D34" s="10" t="n">
        <f aca="false">IF(AND(ISNUMBER(B34),ISNUMBER(C34)),C34-B34,"")</f>
        <v>0.163947520711865</v>
      </c>
    </row>
    <row r="35" customFormat="false" ht="15" hidden="false" customHeight="false" outlineLevel="0" collapsed="false">
      <c r="A35" s="7" t="s">
        <v>309</v>
      </c>
      <c r="D35" s="10" t="n">
        <f aca="false">IF(AND(ISNUMBER(B34),ISNUMBER(C34)),SQRT(B34^2+C34^2),"")</f>
        <v>2.61921449592268</v>
      </c>
    </row>
    <row r="36" customFormat="false" ht="15" hidden="false" customHeight="false" outlineLevel="0" collapsed="false">
      <c r="A36" s="7" t="s">
        <v>310</v>
      </c>
      <c r="D36" s="7" t="str">
        <f aca="false">IF(D35="","n/a",IF(ABS(D30)&gt;1.5*D35,"Clearly larger than assumed sampling noise",IF(ABS(D30)&gt;D35,"Only modestly larger than assumed sampling noise: treat as suggestive","Within assumed sampling noise: do not claim a real change")))</f>
        <v>Only modestly larger than assumed sampling noise: treat as suggestive</v>
      </c>
    </row>
    <row r="38" customFormat="false" ht="15" hidden="false" customHeight="false" outlineLevel="0" collapsed="false">
      <c r="A38" s="6" t="s">
        <v>311</v>
      </c>
    </row>
    <row r="39" customFormat="false" ht="23.85" hidden="false" customHeight="false" outlineLevel="0" collapsed="false">
      <c r="A39" s="3" t="s">
        <v>312</v>
      </c>
      <c r="B39" s="3" t="s">
        <v>313</v>
      </c>
      <c r="C39" s="3" t="s">
        <v>314</v>
      </c>
      <c r="D39" s="3" t="s">
        <v>315</v>
      </c>
    </row>
    <row r="40" customFormat="false" ht="15" hidden="false" customHeight="false" outlineLevel="0" collapsed="false">
      <c r="A40" s="7" t="s">
        <v>316</v>
      </c>
      <c r="B40" s="10" t="n">
        <f aca="false">IFERROR(INDEX(Coverage!$G$6:$G$28,MATCH(1,INDEX((Coverage!$A$6:$A$28="Nigeria National Immunization Coverage Survey (2006)")*(Coverage!$C$6:$C$28=2005),0),0)),"")</f>
        <v>53.5</v>
      </c>
      <c r="C40" s="10" t="n">
        <f aca="false">IFERROR(INDEX(Coverage!$G$6:$G$28,MATCH(1,INDEX((Coverage!$A$6:$A$28="Nigeria Multiple Indicator Cluster Survey 2007")*(Coverage!$C$6:$C$28=2006),0),0)),"")</f>
        <v>29.6</v>
      </c>
      <c r="D40" s="10" t="n">
        <f aca="false">IF(AND(ISNUMBER(B40),ISNUMBER(C40)),B40-C40,"")</f>
        <v>23.9</v>
      </c>
    </row>
    <row r="41" customFormat="false" ht="15" hidden="false" customHeight="false" outlineLevel="0" collapsed="false">
      <c r="A41" s="7" t="s">
        <v>317</v>
      </c>
      <c r="B41" s="10" t="n">
        <f aca="false">IFERROR(INDEX(Coverage!$G$6:$G$28,MATCH(1,INDEX((Coverage!$A$6:$A$28="Nigeria 2010 National Immunization Coverage Survey")*(Coverage!$C$6:$C$28=2009),0),0)),"")</f>
        <v>67.7</v>
      </c>
      <c r="C41" s="10" t="n">
        <f aca="false">IFERROR(INDEX(Coverage!$G$6:$G$28,MATCH(1,INDEX((Coverage!$A$6:$A$28="Nigeria Multiple Indicator Cluster Survey 2011")*(Coverage!$C$6:$C$28=2010),0),0)),"")</f>
        <v>44.7</v>
      </c>
      <c r="D41" s="10" t="n">
        <f aca="false">IF(AND(ISNUMBER(B41),ISNUMBER(C41)),B41-C41,"")</f>
        <v>23</v>
      </c>
    </row>
    <row r="42" customFormat="false" ht="15" hidden="false" customHeight="false" outlineLevel="0" collapsed="false">
      <c r="A42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5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50"/>
    <col collapsed="false" customWidth="true" hidden="false" outlineLevel="0" max="10" min="10" style="0" width="9"/>
    <col collapsed="false" customWidth="true" hidden="false" outlineLevel="0" max="12" min="11" style="0" width="12"/>
  </cols>
  <sheetData>
    <row r="1" customFormat="false" ht="23.85" hidden="false" customHeight="false" outlineLevel="0" collapsed="false">
      <c r="A1" s="3" t="s">
        <v>45</v>
      </c>
      <c r="B1" s="3" t="s">
        <v>46</v>
      </c>
      <c r="C1" s="3" t="s">
        <v>47</v>
      </c>
      <c r="D1" s="3" t="s">
        <v>50</v>
      </c>
      <c r="E1" s="3" t="s">
        <v>51</v>
      </c>
      <c r="F1" s="3" t="s">
        <v>52</v>
      </c>
      <c r="G1" s="3" t="s">
        <v>56</v>
      </c>
      <c r="H1" s="3" t="s">
        <v>57</v>
      </c>
      <c r="I1" s="3" t="s">
        <v>319</v>
      </c>
      <c r="J1" s="3" t="s">
        <v>251</v>
      </c>
      <c r="K1" s="3" t="s">
        <v>190</v>
      </c>
      <c r="L1" s="3" t="s">
        <v>192</v>
      </c>
    </row>
    <row r="2" customFormat="false" ht="15" hidden="false" customHeight="false" outlineLevel="0" collapsed="false">
      <c r="A2" s="7" t="s">
        <v>320</v>
      </c>
      <c r="B2" s="7" t="s">
        <v>321</v>
      </c>
      <c r="C2" s="7" t="s">
        <v>322</v>
      </c>
      <c r="D2" s="7" t="n">
        <v>1990</v>
      </c>
      <c r="E2" s="7" t="s">
        <v>62</v>
      </c>
      <c r="F2" s="7" t="s">
        <v>63</v>
      </c>
      <c r="G2" s="7" t="s">
        <v>323</v>
      </c>
      <c r="H2" s="7" t="n">
        <v>94</v>
      </c>
      <c r="I2" s="7" t="str">
        <f aca="false">IF(B2="",TRIM(C2),TRIM(B2))</f>
        <v>EPI Evaluation of Immunisation Coverage and Social Mobilisation, 1991</v>
      </c>
      <c r="J2" s="7" t="str">
        <f aca="false">IF(ISNUMBER(SEARCH("Demographic and Health",I2)),"DHS",IF(OR(ISNUMBER(SEARCH("Multiple Indicator Cluster",I2)),ISNUMBER(SEARCH("MICS",I2))),"MICS","Other"))</f>
        <v>Other</v>
      </c>
      <c r="K2" s="7" t="n">
        <f aca="false">IF(AND(F2="Record or Recall",G2="12-23 m"),1,0)</f>
        <v>0</v>
      </c>
      <c r="L2" s="7" t="n">
        <f aca="false">IF(OR(J2="DHS",J2="MICS"),1,0)</f>
        <v>0</v>
      </c>
    </row>
    <row r="3" customFormat="false" ht="15" hidden="false" customHeight="false" outlineLevel="0" collapsed="false">
      <c r="A3" s="7" t="s">
        <v>320</v>
      </c>
      <c r="B3" s="7" t="s">
        <v>321</v>
      </c>
      <c r="C3" s="7" t="s">
        <v>322</v>
      </c>
      <c r="D3" s="7" t="n">
        <v>1990</v>
      </c>
      <c r="E3" s="7" t="s">
        <v>67</v>
      </c>
      <c r="F3" s="7" t="s">
        <v>63</v>
      </c>
      <c r="G3" s="7" t="s">
        <v>323</v>
      </c>
      <c r="H3" s="7" t="n">
        <v>73</v>
      </c>
      <c r="I3" s="7" t="str">
        <f aca="false">IF(B3="",TRIM(C3),TRIM(B3))</f>
        <v>EPI Evaluation of Immunisation Coverage and Social Mobilisation, 1991</v>
      </c>
      <c r="J3" s="7" t="str">
        <f aca="false">IF(ISNUMBER(SEARCH("Demographic and Health",I3)),"DHS",IF(OR(ISNUMBER(SEARCH("Multiple Indicator Cluster",I3)),ISNUMBER(SEARCH("MICS",I3))),"MICS","Other"))</f>
        <v>Other</v>
      </c>
      <c r="K3" s="7" t="n">
        <f aca="false">IF(AND(F3="Record or Recall",G3="12-23 m"),1,0)</f>
        <v>0</v>
      </c>
      <c r="L3" s="7" t="n">
        <f aca="false">IF(OR(J3="DHS",J3="MICS"),1,0)</f>
        <v>0</v>
      </c>
    </row>
    <row r="4" customFormat="false" ht="15" hidden="false" customHeight="false" outlineLevel="0" collapsed="false">
      <c r="A4" s="7" t="s">
        <v>320</v>
      </c>
      <c r="B4" s="7" t="s">
        <v>321</v>
      </c>
      <c r="C4" s="7" t="s">
        <v>322</v>
      </c>
      <c r="D4" s="7" t="n">
        <v>1990</v>
      </c>
      <c r="E4" s="7" t="s">
        <v>68</v>
      </c>
      <c r="F4" s="7" t="s">
        <v>63</v>
      </c>
      <c r="G4" s="7" t="s">
        <v>323</v>
      </c>
      <c r="H4" s="7" t="n">
        <v>79</v>
      </c>
      <c r="I4" s="7" t="str">
        <f aca="false">IF(B4="",TRIM(C4),TRIM(B4))</f>
        <v>EPI Evaluation of Immunisation Coverage and Social Mobilisation, 1991</v>
      </c>
      <c r="J4" s="7" t="str">
        <f aca="false">IF(ISNUMBER(SEARCH("Demographic and Health",I4)),"DHS",IF(OR(ISNUMBER(SEARCH("Multiple Indicator Cluster",I4)),ISNUMBER(SEARCH("MICS",I4))),"MICS","Other"))</f>
        <v>Other</v>
      </c>
      <c r="K4" s="7" t="n">
        <f aca="false">IF(AND(F4="Record or Recall",G4="12-23 m"),1,0)</f>
        <v>0</v>
      </c>
      <c r="L4" s="7" t="n">
        <f aca="false">IF(OR(J4="DHS",J4="MICS"),1,0)</f>
        <v>0</v>
      </c>
    </row>
    <row r="5" customFormat="false" ht="15" hidden="false" customHeight="false" outlineLevel="0" collapsed="false">
      <c r="A5" s="7" t="s">
        <v>320</v>
      </c>
      <c r="B5" s="7" t="s">
        <v>324</v>
      </c>
      <c r="C5" s="7" t="s">
        <v>325</v>
      </c>
      <c r="D5" s="7" t="n">
        <v>1994</v>
      </c>
      <c r="E5" s="7" t="s">
        <v>62</v>
      </c>
      <c r="F5" s="7" t="s">
        <v>63</v>
      </c>
      <c r="G5" s="7" t="s">
        <v>323</v>
      </c>
      <c r="H5" s="7" t="n">
        <v>91</v>
      </c>
      <c r="I5" s="7" t="str">
        <f aca="false">IF(B5="",TRIM(C5),TRIM(B5))</f>
        <v>National EPI Immunisation Coverage Survey 1995</v>
      </c>
      <c r="J5" s="7" t="str">
        <f aca="false">IF(ISNUMBER(SEARCH("Demographic and Health",I5)),"DHS",IF(OR(ISNUMBER(SEARCH("Multiple Indicator Cluster",I5)),ISNUMBER(SEARCH("MICS",I5))),"MICS","Other"))</f>
        <v>Other</v>
      </c>
      <c r="K5" s="7" t="n">
        <f aca="false">IF(AND(F5="Record or Recall",G5="12-23 m"),1,0)</f>
        <v>0</v>
      </c>
      <c r="L5" s="7" t="n">
        <f aca="false">IF(OR(J5="DHS",J5="MICS"),1,0)</f>
        <v>0</v>
      </c>
    </row>
    <row r="6" customFormat="false" ht="15" hidden="false" customHeight="false" outlineLevel="0" collapsed="false">
      <c r="A6" s="7" t="s">
        <v>320</v>
      </c>
      <c r="B6" s="7" t="s">
        <v>324</v>
      </c>
      <c r="C6" s="7" t="s">
        <v>325</v>
      </c>
      <c r="D6" s="7" t="n">
        <v>1994</v>
      </c>
      <c r="E6" s="7" t="s">
        <v>81</v>
      </c>
      <c r="F6" s="7" t="s">
        <v>63</v>
      </c>
      <c r="G6" s="7" t="s">
        <v>66</v>
      </c>
      <c r="H6" s="7" t="n">
        <v>89</v>
      </c>
      <c r="I6" s="7" t="str">
        <f aca="false">IF(B6="",TRIM(C6),TRIM(B6))</f>
        <v>National EPI Immunisation Coverage Survey 1995</v>
      </c>
      <c r="J6" s="7" t="str">
        <f aca="false">IF(ISNUMBER(SEARCH("Demographic and Health",I6)),"DHS",IF(OR(ISNUMBER(SEARCH("Multiple Indicator Cluster",I6)),ISNUMBER(SEARCH("MICS",I6))),"MICS","Other"))</f>
        <v>Other</v>
      </c>
      <c r="K6" s="7" t="n">
        <f aca="false">IF(AND(F6="Record or Recall",G6="12-23 m"),1,0)</f>
        <v>1</v>
      </c>
      <c r="L6" s="7" t="n">
        <f aca="false">IF(OR(J6="DHS",J6="MICS"),1,0)</f>
        <v>0</v>
      </c>
    </row>
    <row r="7" customFormat="false" ht="15" hidden="false" customHeight="false" outlineLevel="0" collapsed="false">
      <c r="A7" s="7" t="s">
        <v>320</v>
      </c>
      <c r="B7" s="7" t="s">
        <v>324</v>
      </c>
      <c r="C7" s="7" t="s">
        <v>325</v>
      </c>
      <c r="D7" s="7" t="n">
        <v>1994</v>
      </c>
      <c r="E7" s="7" t="s">
        <v>67</v>
      </c>
      <c r="F7" s="7" t="s">
        <v>78</v>
      </c>
      <c r="G7" s="7" t="s">
        <v>323</v>
      </c>
      <c r="H7" s="7" t="n">
        <v>79</v>
      </c>
      <c r="I7" s="7" t="str">
        <f aca="false">IF(B7="",TRIM(C7),TRIM(B7))</f>
        <v>National EPI Immunisation Coverage Survey 1995</v>
      </c>
      <c r="J7" s="7" t="str">
        <f aca="false">IF(ISNUMBER(SEARCH("Demographic and Health",I7)),"DHS",IF(OR(ISNUMBER(SEARCH("Multiple Indicator Cluster",I7)),ISNUMBER(SEARCH("MICS",I7))),"MICS","Other"))</f>
        <v>Other</v>
      </c>
      <c r="K7" s="7" t="n">
        <f aca="false">IF(AND(F7="Record or Recall",G7="12-23 m"),1,0)</f>
        <v>0</v>
      </c>
      <c r="L7" s="7" t="n">
        <f aca="false">IF(OR(J7="DHS",J7="MICS"),1,0)</f>
        <v>0</v>
      </c>
    </row>
    <row r="8" customFormat="false" ht="15" hidden="false" customHeight="false" outlineLevel="0" collapsed="false">
      <c r="A8" s="7" t="s">
        <v>320</v>
      </c>
      <c r="B8" s="7" t="s">
        <v>324</v>
      </c>
      <c r="C8" s="7" t="s">
        <v>325</v>
      </c>
      <c r="D8" s="7" t="n">
        <v>1994</v>
      </c>
      <c r="E8" s="7" t="s">
        <v>67</v>
      </c>
      <c r="F8" s="7" t="s">
        <v>63</v>
      </c>
      <c r="G8" s="7" t="s">
        <v>323</v>
      </c>
      <c r="H8" s="7" t="n">
        <v>82</v>
      </c>
      <c r="I8" s="7" t="str">
        <f aca="false">IF(B8="",TRIM(C8),TRIM(B8))</f>
        <v>National EPI Immunisation Coverage Survey 1995</v>
      </c>
      <c r="J8" s="7" t="str">
        <f aca="false">IF(ISNUMBER(SEARCH("Demographic and Health",I8)),"DHS",IF(OR(ISNUMBER(SEARCH("Multiple Indicator Cluster",I8)),ISNUMBER(SEARCH("MICS",I8))),"MICS","Other"))</f>
        <v>Other</v>
      </c>
      <c r="K8" s="7" t="n">
        <f aca="false">IF(AND(F8="Record or Recall",G8="12-23 m"),1,0)</f>
        <v>0</v>
      </c>
      <c r="L8" s="7" t="n">
        <f aca="false">IF(OR(J8="DHS",J8="MICS"),1,0)</f>
        <v>0</v>
      </c>
    </row>
    <row r="9" customFormat="false" ht="15" hidden="false" customHeight="false" outlineLevel="0" collapsed="false">
      <c r="A9" s="7" t="s">
        <v>320</v>
      </c>
      <c r="B9" s="7" t="s">
        <v>324</v>
      </c>
      <c r="C9" s="7" t="s">
        <v>325</v>
      </c>
      <c r="D9" s="7" t="n">
        <v>1994</v>
      </c>
      <c r="E9" s="7" t="s">
        <v>68</v>
      </c>
      <c r="F9" s="7" t="s">
        <v>78</v>
      </c>
      <c r="G9" s="7" t="s">
        <v>323</v>
      </c>
      <c r="H9" s="7" t="n">
        <v>72</v>
      </c>
      <c r="I9" s="7" t="str">
        <f aca="false">IF(B9="",TRIM(C9),TRIM(B9))</f>
        <v>National EPI Immunisation Coverage Survey 1995</v>
      </c>
      <c r="J9" s="7" t="str">
        <f aca="false">IF(ISNUMBER(SEARCH("Demographic and Health",I9)),"DHS",IF(OR(ISNUMBER(SEARCH("Multiple Indicator Cluster",I9)),ISNUMBER(SEARCH("MICS",I9))),"MICS","Other"))</f>
        <v>Other</v>
      </c>
      <c r="K9" s="7" t="n">
        <f aca="false">IF(AND(F9="Record or Recall",G9="12-23 m"),1,0)</f>
        <v>0</v>
      </c>
      <c r="L9" s="7" t="n">
        <f aca="false">IF(OR(J9="DHS",J9="MICS"),1,0)</f>
        <v>0</v>
      </c>
    </row>
    <row r="10" customFormat="false" ht="15" hidden="false" customHeight="false" outlineLevel="0" collapsed="false">
      <c r="A10" s="7" t="s">
        <v>320</v>
      </c>
      <c r="B10" s="7" t="s">
        <v>324</v>
      </c>
      <c r="C10" s="7" t="s">
        <v>325</v>
      </c>
      <c r="D10" s="7" t="n">
        <v>1994</v>
      </c>
      <c r="E10" s="7" t="s">
        <v>68</v>
      </c>
      <c r="F10" s="7" t="s">
        <v>63</v>
      </c>
      <c r="G10" s="7" t="s">
        <v>323</v>
      </c>
      <c r="H10" s="7" t="n">
        <v>77</v>
      </c>
      <c r="I10" s="7" t="str">
        <f aca="false">IF(B10="",TRIM(C10),TRIM(B10))</f>
        <v>National EPI Immunisation Coverage Survey 1995</v>
      </c>
      <c r="J10" s="7" t="str">
        <f aca="false">IF(ISNUMBER(SEARCH("Demographic and Health",I10)),"DHS",IF(OR(ISNUMBER(SEARCH("Multiple Indicator Cluster",I10)),ISNUMBER(SEARCH("MICS",I10))),"MICS","Other"))</f>
        <v>Other</v>
      </c>
      <c r="K10" s="7" t="n">
        <f aca="false">IF(AND(F10="Record or Recall",G10="12-23 m"),1,0)</f>
        <v>0</v>
      </c>
      <c r="L10" s="7" t="n">
        <f aca="false">IF(OR(J10="DHS",J10="MICS"),1,0)</f>
        <v>0</v>
      </c>
    </row>
    <row r="11" customFormat="false" ht="15" hidden="false" customHeight="false" outlineLevel="0" collapsed="false">
      <c r="A11" s="7" t="s">
        <v>320</v>
      </c>
      <c r="B11" s="7" t="s">
        <v>324</v>
      </c>
      <c r="C11" s="7" t="s">
        <v>325</v>
      </c>
      <c r="D11" s="7" t="n">
        <v>1994</v>
      </c>
      <c r="E11" s="7" t="s">
        <v>69</v>
      </c>
      <c r="F11" s="7" t="s">
        <v>63</v>
      </c>
      <c r="G11" s="7" t="s">
        <v>66</v>
      </c>
      <c r="H11" s="7" t="n">
        <v>82</v>
      </c>
      <c r="I11" s="7" t="str">
        <f aca="false">IF(B11="",TRIM(C11),TRIM(B11))</f>
        <v>National EPI Immunisation Coverage Survey 1995</v>
      </c>
      <c r="J11" s="7" t="str">
        <f aca="false">IF(ISNUMBER(SEARCH("Demographic and Health",I11)),"DHS",IF(OR(ISNUMBER(SEARCH("Multiple Indicator Cluster",I11)),ISNUMBER(SEARCH("MICS",I11))),"MICS","Other"))</f>
        <v>Other</v>
      </c>
      <c r="K11" s="7" t="n">
        <f aca="false">IF(AND(F11="Record or Recall",G11="12-23 m"),1,0)</f>
        <v>1</v>
      </c>
      <c r="L11" s="7" t="n">
        <f aca="false">IF(OR(J11="DHS",J11="MICS"),1,0)</f>
        <v>0</v>
      </c>
    </row>
    <row r="12" customFormat="false" ht="15" hidden="false" customHeight="false" outlineLevel="0" collapsed="false">
      <c r="A12" s="7" t="s">
        <v>320</v>
      </c>
      <c r="B12" s="7" t="s">
        <v>326</v>
      </c>
      <c r="C12" s="7" t="s">
        <v>327</v>
      </c>
      <c r="D12" s="7" t="n">
        <v>1995</v>
      </c>
      <c r="E12" s="7" t="s">
        <v>62</v>
      </c>
      <c r="F12" s="7" t="s">
        <v>92</v>
      </c>
      <c r="G12" s="7" t="s">
        <v>66</v>
      </c>
      <c r="H12" s="7" t="n">
        <v>71.5</v>
      </c>
      <c r="I12" s="7" t="str">
        <f aca="false">IF(B12="",TRIM(C12),TRIM(B12))</f>
        <v>Benin Demographic and Health Survey 1996, 1997</v>
      </c>
      <c r="J12" s="7" t="str">
        <f aca="false">IF(ISNUMBER(SEARCH("Demographic and Health",I12)),"DHS",IF(OR(ISNUMBER(SEARCH("Multiple Indicator Cluster",I12)),ISNUMBER(SEARCH("MICS",I12))),"MICS","Other"))</f>
        <v>DHS</v>
      </c>
      <c r="K12" s="7" t="n">
        <f aca="false">IF(AND(F12="Record or Recall",G12="12-23 m"),1,0)</f>
        <v>0</v>
      </c>
      <c r="L12" s="7" t="n">
        <f aca="false">IF(OR(J12="DHS",J12="MICS"),1,0)</f>
        <v>1</v>
      </c>
    </row>
    <row r="13" customFormat="false" ht="15" hidden="false" customHeight="false" outlineLevel="0" collapsed="false">
      <c r="A13" s="7" t="s">
        <v>320</v>
      </c>
      <c r="B13" s="7" t="s">
        <v>326</v>
      </c>
      <c r="C13" s="7" t="s">
        <v>327</v>
      </c>
      <c r="D13" s="7" t="n">
        <v>1995</v>
      </c>
      <c r="E13" s="7" t="s">
        <v>62</v>
      </c>
      <c r="F13" s="7" t="s">
        <v>63</v>
      </c>
      <c r="G13" s="7" t="s">
        <v>66</v>
      </c>
      <c r="H13" s="7" t="n">
        <v>85.4</v>
      </c>
      <c r="I13" s="7" t="str">
        <f aca="false">IF(B13="",TRIM(C13),TRIM(B13))</f>
        <v>Benin Demographic and Health Survey 1996, 1997</v>
      </c>
      <c r="J13" s="7" t="str">
        <f aca="false">IF(ISNUMBER(SEARCH("Demographic and Health",I13)),"DHS",IF(OR(ISNUMBER(SEARCH("Multiple Indicator Cluster",I13)),ISNUMBER(SEARCH("MICS",I13))),"MICS","Other"))</f>
        <v>DHS</v>
      </c>
      <c r="K13" s="7" t="n">
        <f aca="false">IF(AND(F13="Record or Recall",G13="12-23 m"),1,0)</f>
        <v>1</v>
      </c>
      <c r="L13" s="7" t="n">
        <f aca="false">IF(OR(J13="DHS",J13="MICS"),1,0)</f>
        <v>1</v>
      </c>
    </row>
    <row r="14" customFormat="false" ht="15" hidden="false" customHeight="false" outlineLevel="0" collapsed="false">
      <c r="A14" s="7" t="s">
        <v>320</v>
      </c>
      <c r="B14" s="7" t="s">
        <v>326</v>
      </c>
      <c r="C14" s="7" t="s">
        <v>327</v>
      </c>
      <c r="D14" s="7" t="n">
        <v>1995</v>
      </c>
      <c r="E14" s="7" t="s">
        <v>62</v>
      </c>
      <c r="F14" s="7" t="s">
        <v>87</v>
      </c>
      <c r="G14" s="7" t="s">
        <v>66</v>
      </c>
      <c r="H14" s="7" t="n">
        <v>13.5</v>
      </c>
      <c r="I14" s="7" t="str">
        <f aca="false">IF(B14="",TRIM(C14),TRIM(B14))</f>
        <v>Benin Demographic and Health Survey 1996, 1997</v>
      </c>
      <c r="J14" s="7" t="str">
        <f aca="false">IF(ISNUMBER(SEARCH("Demographic and Health",I14)),"DHS",IF(OR(ISNUMBER(SEARCH("Multiple Indicator Cluster",I14)),ISNUMBER(SEARCH("MICS",I14))),"MICS","Other"))</f>
        <v>DHS</v>
      </c>
      <c r="K14" s="7" t="n">
        <f aca="false">IF(AND(F14="Record or Recall",G14="12-23 m"),1,0)</f>
        <v>0</v>
      </c>
      <c r="L14" s="7" t="n">
        <f aca="false">IF(OR(J14="DHS",J14="MICS"),1,0)</f>
        <v>1</v>
      </c>
    </row>
    <row r="15" customFormat="false" ht="15" hidden="false" customHeight="false" outlineLevel="0" collapsed="false">
      <c r="A15" s="7" t="s">
        <v>320</v>
      </c>
      <c r="B15" s="7" t="s">
        <v>326</v>
      </c>
      <c r="C15" s="7" t="s">
        <v>327</v>
      </c>
      <c r="D15" s="7" t="n">
        <v>1995</v>
      </c>
      <c r="E15" s="7" t="s">
        <v>62</v>
      </c>
      <c r="F15" s="7" t="s">
        <v>78</v>
      </c>
      <c r="G15" s="7" t="s">
        <v>66</v>
      </c>
      <c r="H15" s="7" t="n">
        <v>84.2</v>
      </c>
      <c r="I15" s="7" t="str">
        <f aca="false">IF(B15="",TRIM(C15),TRIM(B15))</f>
        <v>Benin Demographic and Health Survey 1996, 1997</v>
      </c>
      <c r="J15" s="7" t="str">
        <f aca="false">IF(ISNUMBER(SEARCH("Demographic and Health",I15)),"DHS",IF(OR(ISNUMBER(SEARCH("Multiple Indicator Cluster",I15)),ISNUMBER(SEARCH("MICS",I15))),"MICS","Other"))</f>
        <v>DHS</v>
      </c>
      <c r="K15" s="7" t="n">
        <f aca="false">IF(AND(F15="Record or Recall",G15="12-23 m"),1,0)</f>
        <v>0</v>
      </c>
      <c r="L15" s="7" t="n">
        <f aca="false">IF(OR(J15="DHS",J15="MICS"),1,0)</f>
        <v>1</v>
      </c>
    </row>
    <row r="16" customFormat="false" ht="15" hidden="false" customHeight="false" outlineLevel="0" collapsed="false">
      <c r="A16" s="7" t="s">
        <v>320</v>
      </c>
      <c r="B16" s="7" t="s">
        <v>326</v>
      </c>
      <c r="C16" s="7" t="s">
        <v>327</v>
      </c>
      <c r="D16" s="7" t="n">
        <v>1995</v>
      </c>
      <c r="E16" s="7" t="s">
        <v>62</v>
      </c>
      <c r="F16" s="7" t="s">
        <v>86</v>
      </c>
      <c r="G16" s="7" t="s">
        <v>66</v>
      </c>
      <c r="H16" s="7" t="n">
        <v>71.9</v>
      </c>
      <c r="I16" s="7" t="str">
        <f aca="false">IF(B16="",TRIM(C16),TRIM(B16))</f>
        <v>Benin Demographic and Health Survey 1996, 1997</v>
      </c>
      <c r="J16" s="7" t="str">
        <f aca="false">IF(ISNUMBER(SEARCH("Demographic and Health",I16)),"DHS",IF(OR(ISNUMBER(SEARCH("Multiple Indicator Cluster",I16)),ISNUMBER(SEARCH("MICS",I16))),"MICS","Other"))</f>
        <v>DHS</v>
      </c>
      <c r="K16" s="7" t="n">
        <f aca="false">IF(AND(F16="Record or Recall",G16="12-23 m"),1,0)</f>
        <v>0</v>
      </c>
      <c r="L16" s="7" t="n">
        <f aca="false">IF(OR(J16="DHS",J16="MICS"),1,0)</f>
        <v>1</v>
      </c>
    </row>
    <row r="17" customFormat="false" ht="15" hidden="false" customHeight="false" outlineLevel="0" collapsed="false">
      <c r="A17" s="7" t="s">
        <v>320</v>
      </c>
      <c r="B17" s="7" t="s">
        <v>326</v>
      </c>
      <c r="C17" s="7" t="s">
        <v>327</v>
      </c>
      <c r="D17" s="7" t="n">
        <v>1995</v>
      </c>
      <c r="E17" s="7" t="s">
        <v>81</v>
      </c>
      <c r="F17" s="7" t="s">
        <v>78</v>
      </c>
      <c r="G17" s="7" t="s">
        <v>66</v>
      </c>
      <c r="H17" s="7" t="n">
        <v>81.1</v>
      </c>
      <c r="I17" s="7" t="str">
        <f aca="false">IF(B17="",TRIM(C17),TRIM(B17))</f>
        <v>Benin Demographic and Health Survey 1996, 1997</v>
      </c>
      <c r="J17" s="7" t="str">
        <f aca="false">IF(ISNUMBER(SEARCH("Demographic and Health",I17)),"DHS",IF(OR(ISNUMBER(SEARCH("Multiple Indicator Cluster",I17)),ISNUMBER(SEARCH("MICS",I17))),"MICS","Other"))</f>
        <v>DHS</v>
      </c>
      <c r="K17" s="7" t="n">
        <f aca="false">IF(AND(F17="Record or Recall",G17="12-23 m"),1,0)</f>
        <v>0</v>
      </c>
      <c r="L17" s="7" t="n">
        <f aca="false">IF(OR(J17="DHS",J17="MICS"),1,0)</f>
        <v>1</v>
      </c>
    </row>
    <row r="18" customFormat="false" ht="15" hidden="false" customHeight="false" outlineLevel="0" collapsed="false">
      <c r="A18" s="7" t="s">
        <v>320</v>
      </c>
      <c r="B18" s="7" t="s">
        <v>326</v>
      </c>
      <c r="C18" s="7" t="s">
        <v>327</v>
      </c>
      <c r="D18" s="7" t="n">
        <v>1995</v>
      </c>
      <c r="E18" s="7" t="s">
        <v>81</v>
      </c>
      <c r="F18" s="7" t="s">
        <v>86</v>
      </c>
      <c r="G18" s="7" t="s">
        <v>66</v>
      </c>
      <c r="H18" s="7" t="n">
        <v>70.5</v>
      </c>
      <c r="I18" s="7" t="str">
        <f aca="false">IF(B18="",TRIM(C18),TRIM(B18))</f>
        <v>Benin Demographic and Health Survey 1996, 1997</v>
      </c>
      <c r="J18" s="7" t="str">
        <f aca="false">IF(ISNUMBER(SEARCH("Demographic and Health",I18)),"DHS",IF(OR(ISNUMBER(SEARCH("Multiple Indicator Cluster",I18)),ISNUMBER(SEARCH("MICS",I18))),"MICS","Other"))</f>
        <v>DHS</v>
      </c>
      <c r="K18" s="7" t="n">
        <f aca="false">IF(AND(F18="Record or Recall",G18="12-23 m"),1,0)</f>
        <v>0</v>
      </c>
      <c r="L18" s="7" t="n">
        <f aca="false">IF(OR(J18="DHS",J18="MICS"),1,0)</f>
        <v>1</v>
      </c>
    </row>
    <row r="19" customFormat="false" ht="15" hidden="false" customHeight="false" outlineLevel="0" collapsed="false">
      <c r="A19" s="7" t="s">
        <v>320</v>
      </c>
      <c r="B19" s="7" t="s">
        <v>326</v>
      </c>
      <c r="C19" s="7" t="s">
        <v>327</v>
      </c>
      <c r="D19" s="7" t="n">
        <v>1995</v>
      </c>
      <c r="E19" s="7" t="s">
        <v>81</v>
      </c>
      <c r="F19" s="7" t="s">
        <v>92</v>
      </c>
      <c r="G19" s="7" t="s">
        <v>66</v>
      </c>
      <c r="H19" s="7" t="n">
        <v>70.2</v>
      </c>
      <c r="I19" s="7" t="str">
        <f aca="false">IF(B19="",TRIM(C19),TRIM(B19))</f>
        <v>Benin Demographic and Health Survey 1996, 1997</v>
      </c>
      <c r="J19" s="7" t="str">
        <f aca="false">IF(ISNUMBER(SEARCH("Demographic and Health",I19)),"DHS",IF(OR(ISNUMBER(SEARCH("Multiple Indicator Cluster",I19)),ISNUMBER(SEARCH("MICS",I19))),"MICS","Other"))</f>
        <v>DHS</v>
      </c>
      <c r="K19" s="7" t="n">
        <f aca="false">IF(AND(F19="Record or Recall",G19="12-23 m"),1,0)</f>
        <v>0</v>
      </c>
      <c r="L19" s="7" t="n">
        <f aca="false">IF(OR(J19="DHS",J19="MICS"),1,0)</f>
        <v>1</v>
      </c>
    </row>
    <row r="20" customFormat="false" ht="15" hidden="false" customHeight="false" outlineLevel="0" collapsed="false">
      <c r="A20" s="7" t="s">
        <v>320</v>
      </c>
      <c r="B20" s="7" t="s">
        <v>326</v>
      </c>
      <c r="C20" s="7" t="s">
        <v>327</v>
      </c>
      <c r="D20" s="7" t="n">
        <v>1995</v>
      </c>
      <c r="E20" s="7" t="s">
        <v>81</v>
      </c>
      <c r="F20" s="7" t="s">
        <v>63</v>
      </c>
      <c r="G20" s="7" t="s">
        <v>66</v>
      </c>
      <c r="H20" s="7" t="n">
        <v>82.3</v>
      </c>
      <c r="I20" s="7" t="str">
        <f aca="false">IF(B20="",TRIM(C20),TRIM(B20))</f>
        <v>Benin Demographic and Health Survey 1996, 1997</v>
      </c>
      <c r="J20" s="7" t="str">
        <f aca="false">IF(ISNUMBER(SEARCH("Demographic and Health",I20)),"DHS",IF(OR(ISNUMBER(SEARCH("Multiple Indicator Cluster",I20)),ISNUMBER(SEARCH("MICS",I20))),"MICS","Other"))</f>
        <v>DHS</v>
      </c>
      <c r="K20" s="7" t="n">
        <f aca="false">IF(AND(F20="Record or Recall",G20="12-23 m"),1,0)</f>
        <v>1</v>
      </c>
      <c r="L20" s="7" t="n">
        <f aca="false">IF(OR(J20="DHS",J20="MICS"),1,0)</f>
        <v>1</v>
      </c>
    </row>
    <row r="21" customFormat="false" ht="15" hidden="false" customHeight="false" outlineLevel="0" collapsed="false">
      <c r="A21" s="7" t="s">
        <v>320</v>
      </c>
      <c r="B21" s="7" t="s">
        <v>326</v>
      </c>
      <c r="C21" s="7" t="s">
        <v>327</v>
      </c>
      <c r="D21" s="7" t="n">
        <v>1995</v>
      </c>
      <c r="E21" s="7" t="s">
        <v>81</v>
      </c>
      <c r="F21" s="7" t="s">
        <v>87</v>
      </c>
      <c r="G21" s="7" t="s">
        <v>66</v>
      </c>
      <c r="H21" s="7" t="n">
        <v>11.9</v>
      </c>
      <c r="I21" s="7" t="str">
        <f aca="false">IF(B21="",TRIM(C21),TRIM(B21))</f>
        <v>Benin Demographic and Health Survey 1996, 1997</v>
      </c>
      <c r="J21" s="7" t="str">
        <f aca="false">IF(ISNUMBER(SEARCH("Demographic and Health",I21)),"DHS",IF(OR(ISNUMBER(SEARCH("Multiple Indicator Cluster",I21)),ISNUMBER(SEARCH("MICS",I21))),"MICS","Other"))</f>
        <v>DHS</v>
      </c>
      <c r="K21" s="7" t="n">
        <f aca="false">IF(AND(F21="Record or Recall",G21="12-23 m"),1,0)</f>
        <v>0</v>
      </c>
      <c r="L21" s="7" t="n">
        <f aca="false">IF(OR(J21="DHS",J21="MICS"),1,0)</f>
        <v>1</v>
      </c>
    </row>
    <row r="22" customFormat="false" ht="15" hidden="false" customHeight="false" outlineLevel="0" collapsed="false">
      <c r="A22" s="7" t="s">
        <v>320</v>
      </c>
      <c r="B22" s="7" t="s">
        <v>326</v>
      </c>
      <c r="C22" s="7" t="s">
        <v>327</v>
      </c>
      <c r="D22" s="7" t="n">
        <v>1995</v>
      </c>
      <c r="E22" s="7" t="s">
        <v>67</v>
      </c>
      <c r="F22" s="7" t="s">
        <v>78</v>
      </c>
      <c r="G22" s="7" t="s">
        <v>66</v>
      </c>
      <c r="H22" s="7" t="n">
        <v>64.1</v>
      </c>
      <c r="I22" s="7" t="str">
        <f aca="false">IF(B22="",TRIM(C22),TRIM(B22))</f>
        <v>Benin Demographic and Health Survey 1996, 1997</v>
      </c>
      <c r="J22" s="7" t="str">
        <f aca="false">IF(ISNUMBER(SEARCH("Demographic and Health",I22)),"DHS",IF(OR(ISNUMBER(SEARCH("Multiple Indicator Cluster",I22)),ISNUMBER(SEARCH("MICS",I22))),"MICS","Other"))</f>
        <v>DHS</v>
      </c>
      <c r="K22" s="7" t="n">
        <f aca="false">IF(AND(F22="Record or Recall",G22="12-23 m"),1,0)</f>
        <v>0</v>
      </c>
      <c r="L22" s="7" t="n">
        <f aca="false">IF(OR(J22="DHS",J22="MICS"),1,0)</f>
        <v>1</v>
      </c>
    </row>
    <row r="23" customFormat="false" ht="15" hidden="false" customHeight="false" outlineLevel="0" collapsed="false">
      <c r="A23" s="7" t="s">
        <v>320</v>
      </c>
      <c r="B23" s="7" t="s">
        <v>326</v>
      </c>
      <c r="C23" s="7" t="s">
        <v>327</v>
      </c>
      <c r="D23" s="7" t="n">
        <v>1995</v>
      </c>
      <c r="E23" s="7" t="s">
        <v>67</v>
      </c>
      <c r="F23" s="7" t="s">
        <v>86</v>
      </c>
      <c r="G23" s="7" t="s">
        <v>66</v>
      </c>
      <c r="H23" s="7" t="n">
        <v>61.1</v>
      </c>
      <c r="I23" s="7" t="str">
        <f aca="false">IF(B23="",TRIM(C23),TRIM(B23))</f>
        <v>Benin Demographic and Health Survey 1996, 1997</v>
      </c>
      <c r="J23" s="7" t="str">
        <f aca="false">IF(ISNUMBER(SEARCH("Demographic and Health",I23)),"DHS",IF(OR(ISNUMBER(SEARCH("Multiple Indicator Cluster",I23)),ISNUMBER(SEARCH("MICS",I23))),"MICS","Other"))</f>
        <v>DHS</v>
      </c>
      <c r="K23" s="7" t="n">
        <f aca="false">IF(AND(F23="Record or Recall",G23="12-23 m"),1,0)</f>
        <v>0</v>
      </c>
      <c r="L23" s="7" t="n">
        <f aca="false">IF(OR(J23="DHS",J23="MICS"),1,0)</f>
        <v>1</v>
      </c>
    </row>
    <row r="24" customFormat="false" ht="15" hidden="false" customHeight="false" outlineLevel="0" collapsed="false">
      <c r="A24" s="7" t="s">
        <v>320</v>
      </c>
      <c r="B24" s="7" t="s">
        <v>326</v>
      </c>
      <c r="C24" s="7" t="s">
        <v>327</v>
      </c>
      <c r="D24" s="7" t="n">
        <v>1995</v>
      </c>
      <c r="E24" s="7" t="s">
        <v>67</v>
      </c>
      <c r="F24" s="7" t="s">
        <v>92</v>
      </c>
      <c r="G24" s="7" t="s">
        <v>66</v>
      </c>
      <c r="H24" s="7" t="n">
        <v>60.6</v>
      </c>
      <c r="I24" s="7" t="str">
        <f aca="false">IF(B24="",TRIM(C24),TRIM(B24))</f>
        <v>Benin Demographic and Health Survey 1996, 1997</v>
      </c>
      <c r="J24" s="7" t="str">
        <f aca="false">IF(ISNUMBER(SEARCH("Demographic and Health",I24)),"DHS",IF(OR(ISNUMBER(SEARCH("Multiple Indicator Cluster",I24)),ISNUMBER(SEARCH("MICS",I24))),"MICS","Other"))</f>
        <v>DHS</v>
      </c>
      <c r="K24" s="7" t="n">
        <f aca="false">IF(AND(F24="Record or Recall",G24="12-23 m"),1,0)</f>
        <v>0</v>
      </c>
      <c r="L24" s="7" t="n">
        <f aca="false">IF(OR(J24="DHS",J24="MICS"),1,0)</f>
        <v>1</v>
      </c>
    </row>
    <row r="25" customFormat="false" ht="15" hidden="false" customHeight="false" outlineLevel="0" collapsed="false">
      <c r="A25" s="7" t="s">
        <v>320</v>
      </c>
      <c r="B25" s="7" t="s">
        <v>326</v>
      </c>
      <c r="C25" s="7" t="s">
        <v>327</v>
      </c>
      <c r="D25" s="7" t="n">
        <v>1995</v>
      </c>
      <c r="E25" s="7" t="s">
        <v>67</v>
      </c>
      <c r="F25" s="7" t="s">
        <v>63</v>
      </c>
      <c r="G25" s="7" t="s">
        <v>66</v>
      </c>
      <c r="H25" s="7" t="n">
        <v>66.9</v>
      </c>
      <c r="I25" s="7" t="str">
        <f aca="false">IF(B25="",TRIM(C25),TRIM(B25))</f>
        <v>Benin Demographic and Health Survey 1996, 1997</v>
      </c>
      <c r="J25" s="7" t="str">
        <f aca="false">IF(ISNUMBER(SEARCH("Demographic and Health",I25)),"DHS",IF(OR(ISNUMBER(SEARCH("Multiple Indicator Cluster",I25)),ISNUMBER(SEARCH("MICS",I25))),"MICS","Other"))</f>
        <v>DHS</v>
      </c>
      <c r="K25" s="7" t="n">
        <f aca="false">IF(AND(F25="Record or Recall",G25="12-23 m"),1,0)</f>
        <v>1</v>
      </c>
      <c r="L25" s="7" t="n">
        <f aca="false">IF(OR(J25="DHS",J25="MICS"),1,0)</f>
        <v>1</v>
      </c>
    </row>
    <row r="26" customFormat="false" ht="15" hidden="false" customHeight="false" outlineLevel="0" collapsed="false">
      <c r="A26" s="7" t="s">
        <v>320</v>
      </c>
      <c r="B26" s="7" t="s">
        <v>326</v>
      </c>
      <c r="C26" s="7" t="s">
        <v>327</v>
      </c>
      <c r="D26" s="7" t="n">
        <v>1995</v>
      </c>
      <c r="E26" s="7" t="s">
        <v>67</v>
      </c>
      <c r="F26" s="7" t="s">
        <v>87</v>
      </c>
      <c r="G26" s="7" t="s">
        <v>66</v>
      </c>
      <c r="H26" s="7" t="n">
        <v>5.8</v>
      </c>
      <c r="I26" s="7" t="str">
        <f aca="false">IF(B26="",TRIM(C26),TRIM(B26))</f>
        <v>Benin Demographic and Health Survey 1996, 1997</v>
      </c>
      <c r="J26" s="7" t="str">
        <f aca="false">IF(ISNUMBER(SEARCH("Demographic and Health",I26)),"DHS",IF(OR(ISNUMBER(SEARCH("Multiple Indicator Cluster",I26)),ISNUMBER(SEARCH("MICS",I26))),"MICS","Other"))</f>
        <v>DHS</v>
      </c>
      <c r="K26" s="7" t="n">
        <f aca="false">IF(AND(F26="Record or Recall",G26="12-23 m"),1,0)</f>
        <v>0</v>
      </c>
      <c r="L26" s="7" t="n">
        <f aca="false">IF(OR(J26="DHS",J26="MICS"),1,0)</f>
        <v>1</v>
      </c>
    </row>
    <row r="27" customFormat="false" ht="15" hidden="false" customHeight="false" outlineLevel="0" collapsed="false">
      <c r="A27" s="7" t="s">
        <v>320</v>
      </c>
      <c r="B27" s="7" t="s">
        <v>326</v>
      </c>
      <c r="C27" s="7" t="s">
        <v>327</v>
      </c>
      <c r="D27" s="7" t="n">
        <v>1995</v>
      </c>
      <c r="E27" s="7" t="s">
        <v>82</v>
      </c>
      <c r="F27" s="7" t="s">
        <v>78</v>
      </c>
      <c r="G27" s="7" t="s">
        <v>66</v>
      </c>
      <c r="H27" s="7" t="n">
        <v>49.3</v>
      </c>
      <c r="I27" s="7" t="str">
        <f aca="false">IF(B27="",TRIM(C27),TRIM(B27))</f>
        <v>Benin Demographic and Health Survey 1996, 1997</v>
      </c>
      <c r="J27" s="7" t="str">
        <f aca="false">IF(ISNUMBER(SEARCH("Demographic and Health",I27)),"DHS",IF(OR(ISNUMBER(SEARCH("Multiple Indicator Cluster",I27)),ISNUMBER(SEARCH("MICS",I27))),"MICS","Other"))</f>
        <v>DHS</v>
      </c>
      <c r="K27" s="7" t="n">
        <f aca="false">IF(AND(F27="Record or Recall",G27="12-23 m"),1,0)</f>
        <v>0</v>
      </c>
      <c r="L27" s="7" t="n">
        <f aca="false">IF(OR(J27="DHS",J27="MICS"),1,0)</f>
        <v>1</v>
      </c>
    </row>
    <row r="28" customFormat="false" ht="15" hidden="false" customHeight="false" outlineLevel="0" collapsed="false">
      <c r="A28" s="7" t="s">
        <v>320</v>
      </c>
      <c r="B28" s="7" t="s">
        <v>326</v>
      </c>
      <c r="C28" s="7" t="s">
        <v>327</v>
      </c>
      <c r="D28" s="7" t="n">
        <v>1995</v>
      </c>
      <c r="E28" s="7" t="s">
        <v>82</v>
      </c>
      <c r="F28" s="7" t="s">
        <v>86</v>
      </c>
      <c r="G28" s="7" t="s">
        <v>66</v>
      </c>
      <c r="H28" s="7" t="n">
        <v>52.8</v>
      </c>
      <c r="I28" s="7" t="str">
        <f aca="false">IF(B28="",TRIM(C28),TRIM(B28))</f>
        <v>Benin Demographic and Health Survey 1996, 1997</v>
      </c>
      <c r="J28" s="7" t="str">
        <f aca="false">IF(ISNUMBER(SEARCH("Demographic and Health",I28)),"DHS",IF(OR(ISNUMBER(SEARCH("Multiple Indicator Cluster",I28)),ISNUMBER(SEARCH("MICS",I28))),"MICS","Other"))</f>
        <v>DHS</v>
      </c>
      <c r="K28" s="7" t="n">
        <f aca="false">IF(AND(F28="Record or Recall",G28="12-23 m"),1,0)</f>
        <v>0</v>
      </c>
      <c r="L28" s="7" t="n">
        <f aca="false">IF(OR(J28="DHS",J28="MICS"),1,0)</f>
        <v>1</v>
      </c>
    </row>
    <row r="29" customFormat="false" ht="15" hidden="false" customHeight="false" outlineLevel="0" collapsed="false">
      <c r="A29" s="7" t="s">
        <v>320</v>
      </c>
      <c r="B29" s="7" t="s">
        <v>326</v>
      </c>
      <c r="C29" s="7" t="s">
        <v>327</v>
      </c>
      <c r="D29" s="7" t="n">
        <v>1995</v>
      </c>
      <c r="E29" s="7" t="s">
        <v>82</v>
      </c>
      <c r="F29" s="7" t="s">
        <v>92</v>
      </c>
      <c r="G29" s="7" t="s">
        <v>66</v>
      </c>
      <c r="H29" s="7" t="n">
        <v>51.5</v>
      </c>
      <c r="I29" s="7" t="str">
        <f aca="false">IF(B29="",TRIM(C29),TRIM(B29))</f>
        <v>Benin Demographic and Health Survey 1996, 1997</v>
      </c>
      <c r="J29" s="7" t="str">
        <f aca="false">IF(ISNUMBER(SEARCH("Demographic and Health",I29)),"DHS",IF(OR(ISNUMBER(SEARCH("Multiple Indicator Cluster",I29)),ISNUMBER(SEARCH("MICS",I29))),"MICS","Other"))</f>
        <v>DHS</v>
      </c>
      <c r="K29" s="7" t="n">
        <f aca="false">IF(AND(F29="Record or Recall",G29="12-23 m"),1,0)</f>
        <v>0</v>
      </c>
      <c r="L29" s="7" t="n">
        <f aca="false">IF(OR(J29="DHS",J29="MICS"),1,0)</f>
        <v>1</v>
      </c>
    </row>
    <row r="30" customFormat="false" ht="15" hidden="false" customHeight="false" outlineLevel="0" collapsed="false">
      <c r="A30" s="7" t="s">
        <v>320</v>
      </c>
      <c r="B30" s="7" t="s">
        <v>326</v>
      </c>
      <c r="C30" s="7" t="s">
        <v>327</v>
      </c>
      <c r="D30" s="7" t="n">
        <v>1995</v>
      </c>
      <c r="E30" s="7" t="s">
        <v>82</v>
      </c>
      <c r="F30" s="7" t="s">
        <v>63</v>
      </c>
      <c r="G30" s="7" t="s">
        <v>66</v>
      </c>
      <c r="H30" s="7" t="n">
        <v>55.6</v>
      </c>
      <c r="I30" s="7" t="str">
        <f aca="false">IF(B30="",TRIM(C30),TRIM(B30))</f>
        <v>Benin Demographic and Health Survey 1996, 1997</v>
      </c>
      <c r="J30" s="7" t="str">
        <f aca="false">IF(ISNUMBER(SEARCH("Demographic and Health",I30)),"DHS",IF(OR(ISNUMBER(SEARCH("Multiple Indicator Cluster",I30)),ISNUMBER(SEARCH("MICS",I30))),"MICS","Other"))</f>
        <v>DHS</v>
      </c>
      <c r="K30" s="7" t="n">
        <f aca="false">IF(AND(F30="Record or Recall",G30="12-23 m"),1,0)</f>
        <v>1</v>
      </c>
      <c r="L30" s="7" t="n">
        <f aca="false">IF(OR(J30="DHS",J30="MICS"),1,0)</f>
        <v>1</v>
      </c>
    </row>
    <row r="31" customFormat="false" ht="15" hidden="false" customHeight="false" outlineLevel="0" collapsed="false">
      <c r="A31" s="7" t="s">
        <v>320</v>
      </c>
      <c r="B31" s="7" t="s">
        <v>326</v>
      </c>
      <c r="C31" s="7" t="s">
        <v>327</v>
      </c>
      <c r="D31" s="7" t="n">
        <v>1995</v>
      </c>
      <c r="E31" s="7" t="s">
        <v>82</v>
      </c>
      <c r="F31" s="7" t="s">
        <v>87</v>
      </c>
      <c r="G31" s="7" t="s">
        <v>66</v>
      </c>
      <c r="H31" s="7" t="n">
        <v>2.8</v>
      </c>
      <c r="I31" s="7" t="str">
        <f aca="false">IF(B31="",TRIM(C31),TRIM(B31))</f>
        <v>Benin Demographic and Health Survey 1996, 1997</v>
      </c>
      <c r="J31" s="7" t="str">
        <f aca="false">IF(ISNUMBER(SEARCH("Demographic and Health",I31)),"DHS",IF(OR(ISNUMBER(SEARCH("Multiple Indicator Cluster",I31)),ISNUMBER(SEARCH("MICS",I31))),"MICS","Other"))</f>
        <v>DHS</v>
      </c>
      <c r="K31" s="7" t="n">
        <f aca="false">IF(AND(F31="Record or Recall",G31="12-23 m"),1,0)</f>
        <v>0</v>
      </c>
      <c r="L31" s="7" t="n">
        <f aca="false">IF(OR(J31="DHS",J31="MICS"),1,0)</f>
        <v>1</v>
      </c>
    </row>
    <row r="32" customFormat="false" ht="15" hidden="false" customHeight="false" outlineLevel="0" collapsed="false">
      <c r="A32" s="7" t="s">
        <v>320</v>
      </c>
      <c r="B32" s="7" t="s">
        <v>326</v>
      </c>
      <c r="C32" s="7" t="s">
        <v>327</v>
      </c>
      <c r="D32" s="7" t="n">
        <v>1995</v>
      </c>
      <c r="E32" s="7" t="s">
        <v>68</v>
      </c>
      <c r="F32" s="7" t="s">
        <v>78</v>
      </c>
      <c r="G32" s="7" t="s">
        <v>66</v>
      </c>
      <c r="H32" s="7" t="n">
        <v>56.8</v>
      </c>
      <c r="I32" s="7" t="str">
        <f aca="false">IF(B32="",TRIM(C32),TRIM(B32))</f>
        <v>Benin Demographic and Health Survey 1996, 1997</v>
      </c>
      <c r="J32" s="7" t="str">
        <f aca="false">IF(ISNUMBER(SEARCH("Demographic and Health",I32)),"DHS",IF(OR(ISNUMBER(SEARCH("Multiple Indicator Cluster",I32)),ISNUMBER(SEARCH("MICS",I32))),"MICS","Other"))</f>
        <v>DHS</v>
      </c>
      <c r="K32" s="7" t="n">
        <f aca="false">IF(AND(F32="Record or Recall",G32="12-23 m"),1,0)</f>
        <v>0</v>
      </c>
      <c r="L32" s="7" t="n">
        <f aca="false">IF(OR(J32="DHS",J32="MICS"),1,0)</f>
        <v>1</v>
      </c>
    </row>
    <row r="33" customFormat="false" ht="15" hidden="false" customHeight="false" outlineLevel="0" collapsed="false">
      <c r="A33" s="7" t="s">
        <v>320</v>
      </c>
      <c r="B33" s="7" t="s">
        <v>326</v>
      </c>
      <c r="C33" s="7" t="s">
        <v>327</v>
      </c>
      <c r="D33" s="7" t="n">
        <v>1995</v>
      </c>
      <c r="E33" s="7" t="s">
        <v>68</v>
      </c>
      <c r="F33" s="7" t="s">
        <v>86</v>
      </c>
      <c r="G33" s="7" t="s">
        <v>66</v>
      </c>
      <c r="H33" s="7" t="n">
        <v>56.4</v>
      </c>
      <c r="I33" s="7" t="str">
        <f aca="false">IF(B33="",TRIM(C33),TRIM(B33))</f>
        <v>Benin Demographic and Health Survey 1996, 1997</v>
      </c>
      <c r="J33" s="7" t="str">
        <f aca="false">IF(ISNUMBER(SEARCH("Demographic and Health",I33)),"DHS",IF(OR(ISNUMBER(SEARCH("Multiple Indicator Cluster",I33)),ISNUMBER(SEARCH("MICS",I33))),"MICS","Other"))</f>
        <v>DHS</v>
      </c>
      <c r="K33" s="7" t="n">
        <f aca="false">IF(AND(F33="Record or Recall",G33="12-23 m"),1,0)</f>
        <v>0</v>
      </c>
      <c r="L33" s="7" t="n">
        <f aca="false">IF(OR(J33="DHS",J33="MICS"),1,0)</f>
        <v>1</v>
      </c>
    </row>
    <row r="34" customFormat="false" ht="15" hidden="false" customHeight="false" outlineLevel="0" collapsed="false">
      <c r="A34" s="7" t="s">
        <v>320</v>
      </c>
      <c r="B34" s="7" t="s">
        <v>326</v>
      </c>
      <c r="C34" s="7" t="s">
        <v>327</v>
      </c>
      <c r="D34" s="7" t="n">
        <v>1995</v>
      </c>
      <c r="E34" s="7" t="s">
        <v>68</v>
      </c>
      <c r="F34" s="7" t="s">
        <v>92</v>
      </c>
      <c r="G34" s="7" t="s">
        <v>66</v>
      </c>
      <c r="H34" s="7" t="n">
        <v>55.5</v>
      </c>
      <c r="I34" s="7" t="str">
        <f aca="false">IF(B34="",TRIM(C34),TRIM(B34))</f>
        <v>Benin Demographic and Health Survey 1996, 1997</v>
      </c>
      <c r="J34" s="7" t="str">
        <f aca="false">IF(ISNUMBER(SEARCH("Demographic and Health",I34)),"DHS",IF(OR(ISNUMBER(SEARCH("Multiple Indicator Cluster",I34)),ISNUMBER(SEARCH("MICS",I34))),"MICS","Other"))</f>
        <v>DHS</v>
      </c>
      <c r="K34" s="7" t="n">
        <f aca="false">IF(AND(F34="Record or Recall",G34="12-23 m"),1,0)</f>
        <v>0</v>
      </c>
      <c r="L34" s="7" t="n">
        <f aca="false">IF(OR(J34="DHS",J34="MICS"),1,0)</f>
        <v>1</v>
      </c>
    </row>
    <row r="35" customFormat="false" ht="15" hidden="false" customHeight="false" outlineLevel="0" collapsed="false">
      <c r="A35" s="7" t="s">
        <v>320</v>
      </c>
      <c r="B35" s="7" t="s">
        <v>326</v>
      </c>
      <c r="C35" s="7" t="s">
        <v>327</v>
      </c>
      <c r="D35" s="7" t="n">
        <v>1995</v>
      </c>
      <c r="E35" s="7" t="s">
        <v>68</v>
      </c>
      <c r="F35" s="7" t="s">
        <v>63</v>
      </c>
      <c r="G35" s="7" t="s">
        <v>66</v>
      </c>
      <c r="H35" s="7" t="n">
        <v>64.3</v>
      </c>
      <c r="I35" s="7" t="str">
        <f aca="false">IF(B35="",TRIM(C35),TRIM(B35))</f>
        <v>Benin Demographic and Health Survey 1996, 1997</v>
      </c>
      <c r="J35" s="7" t="str">
        <f aca="false">IF(ISNUMBER(SEARCH("Demographic and Health",I35)),"DHS",IF(OR(ISNUMBER(SEARCH("Multiple Indicator Cluster",I35)),ISNUMBER(SEARCH("MICS",I35))),"MICS","Other"))</f>
        <v>DHS</v>
      </c>
      <c r="K35" s="7" t="n">
        <f aca="false">IF(AND(F35="Record or Recall",G35="12-23 m"),1,0)</f>
        <v>1</v>
      </c>
      <c r="L35" s="7" t="n">
        <f aca="false">IF(OR(J35="DHS",J35="MICS"),1,0)</f>
        <v>1</v>
      </c>
    </row>
    <row r="36" customFormat="false" ht="15" hidden="false" customHeight="false" outlineLevel="0" collapsed="false">
      <c r="A36" s="7" t="s">
        <v>320</v>
      </c>
      <c r="B36" s="7" t="s">
        <v>326</v>
      </c>
      <c r="C36" s="7" t="s">
        <v>327</v>
      </c>
      <c r="D36" s="7" t="n">
        <v>1995</v>
      </c>
      <c r="E36" s="7" t="s">
        <v>68</v>
      </c>
      <c r="F36" s="7" t="s">
        <v>87</v>
      </c>
      <c r="G36" s="7" t="s">
        <v>66</v>
      </c>
      <c r="H36" s="7" t="n">
        <v>8</v>
      </c>
      <c r="I36" s="7" t="str">
        <f aca="false">IF(B36="",TRIM(C36),TRIM(B36))</f>
        <v>Benin Demographic and Health Survey 1996, 1997</v>
      </c>
      <c r="J36" s="7" t="str">
        <f aca="false">IF(ISNUMBER(SEARCH("Demographic and Health",I36)),"DHS",IF(OR(ISNUMBER(SEARCH("Multiple Indicator Cluster",I36)),ISNUMBER(SEARCH("MICS",I36))),"MICS","Other"))</f>
        <v>DHS</v>
      </c>
      <c r="K36" s="7" t="n">
        <f aca="false">IF(AND(F36="Record or Recall",G36="12-23 m"),1,0)</f>
        <v>0</v>
      </c>
      <c r="L36" s="7" t="n">
        <f aca="false">IF(OR(J36="DHS",J36="MICS"),1,0)</f>
        <v>1</v>
      </c>
    </row>
    <row r="37" customFormat="false" ht="15" hidden="false" customHeight="false" outlineLevel="0" collapsed="false">
      <c r="A37" s="7" t="s">
        <v>320</v>
      </c>
      <c r="B37" s="7" t="s">
        <v>326</v>
      </c>
      <c r="C37" s="7" t="s">
        <v>327</v>
      </c>
      <c r="D37" s="7" t="n">
        <v>1995</v>
      </c>
      <c r="E37" s="7" t="s">
        <v>69</v>
      </c>
      <c r="F37" s="7" t="s">
        <v>78</v>
      </c>
      <c r="G37" s="7" t="s">
        <v>66</v>
      </c>
      <c r="H37" s="7" t="n">
        <v>62.7</v>
      </c>
      <c r="I37" s="7" t="str">
        <f aca="false">IF(B37="",TRIM(C37),TRIM(B37))</f>
        <v>Benin Demographic and Health Survey 1996, 1997</v>
      </c>
      <c r="J37" s="7" t="str">
        <f aca="false">IF(ISNUMBER(SEARCH("Demographic and Health",I37)),"DHS",IF(OR(ISNUMBER(SEARCH("Multiple Indicator Cluster",I37)),ISNUMBER(SEARCH("MICS",I37))),"MICS","Other"))</f>
        <v>DHS</v>
      </c>
      <c r="K37" s="7" t="n">
        <f aca="false">IF(AND(F37="Record or Recall",G37="12-23 m"),1,0)</f>
        <v>0</v>
      </c>
      <c r="L37" s="7" t="n">
        <f aca="false">IF(OR(J37="DHS",J37="MICS"),1,0)</f>
        <v>1</v>
      </c>
    </row>
    <row r="38" customFormat="false" ht="15" hidden="false" customHeight="false" outlineLevel="0" collapsed="false">
      <c r="A38" s="7" t="s">
        <v>320</v>
      </c>
      <c r="B38" s="7" t="s">
        <v>326</v>
      </c>
      <c r="C38" s="7" t="s">
        <v>327</v>
      </c>
      <c r="D38" s="7" t="n">
        <v>1995</v>
      </c>
      <c r="E38" s="7" t="s">
        <v>69</v>
      </c>
      <c r="F38" s="7" t="s">
        <v>86</v>
      </c>
      <c r="G38" s="7" t="s">
        <v>66</v>
      </c>
      <c r="H38" s="7" t="n">
        <v>60.8</v>
      </c>
      <c r="I38" s="7" t="str">
        <f aca="false">IF(B38="",TRIM(C38),TRIM(B38))</f>
        <v>Benin Demographic and Health Survey 1996, 1997</v>
      </c>
      <c r="J38" s="7" t="str">
        <f aca="false">IF(ISNUMBER(SEARCH("Demographic and Health",I38)),"DHS",IF(OR(ISNUMBER(SEARCH("Multiple Indicator Cluster",I38)),ISNUMBER(SEARCH("MICS",I38))),"MICS","Other"))</f>
        <v>DHS</v>
      </c>
      <c r="K38" s="7" t="n">
        <f aca="false">IF(AND(F38="Record or Recall",G38="12-23 m"),1,0)</f>
        <v>0</v>
      </c>
      <c r="L38" s="7" t="n">
        <f aca="false">IF(OR(J38="DHS",J38="MICS"),1,0)</f>
        <v>1</v>
      </c>
    </row>
    <row r="39" customFormat="false" ht="15" hidden="false" customHeight="false" outlineLevel="0" collapsed="false">
      <c r="A39" s="7" t="s">
        <v>320</v>
      </c>
      <c r="B39" s="7" t="s">
        <v>326</v>
      </c>
      <c r="C39" s="7" t="s">
        <v>327</v>
      </c>
      <c r="D39" s="7" t="n">
        <v>1995</v>
      </c>
      <c r="E39" s="7" t="s">
        <v>69</v>
      </c>
      <c r="F39" s="7" t="s">
        <v>92</v>
      </c>
      <c r="G39" s="7" t="s">
        <v>66</v>
      </c>
      <c r="H39" s="7" t="n">
        <v>60</v>
      </c>
      <c r="I39" s="7" t="str">
        <f aca="false">IF(B39="",TRIM(C39),TRIM(B39))</f>
        <v>Benin Demographic and Health Survey 1996, 1997</v>
      </c>
      <c r="J39" s="7" t="str">
        <f aca="false">IF(ISNUMBER(SEARCH("Demographic and Health",I39)),"DHS",IF(OR(ISNUMBER(SEARCH("Multiple Indicator Cluster",I39)),ISNUMBER(SEARCH("MICS",I39))),"MICS","Other"))</f>
        <v>DHS</v>
      </c>
      <c r="K39" s="7" t="n">
        <f aca="false">IF(AND(F39="Record or Recall",G39="12-23 m"),1,0)</f>
        <v>0</v>
      </c>
      <c r="L39" s="7" t="n">
        <f aca="false">IF(OR(J39="DHS",J39="MICS"),1,0)</f>
        <v>1</v>
      </c>
    </row>
    <row r="40" customFormat="false" ht="15" hidden="false" customHeight="false" outlineLevel="0" collapsed="false">
      <c r="A40" s="7" t="s">
        <v>320</v>
      </c>
      <c r="B40" s="7" t="s">
        <v>326</v>
      </c>
      <c r="C40" s="7" t="s">
        <v>327</v>
      </c>
      <c r="D40" s="7" t="n">
        <v>1995</v>
      </c>
      <c r="E40" s="7" t="s">
        <v>69</v>
      </c>
      <c r="F40" s="7" t="s">
        <v>63</v>
      </c>
      <c r="G40" s="7" t="s">
        <v>66</v>
      </c>
      <c r="H40" s="7" t="n">
        <v>65.4</v>
      </c>
      <c r="I40" s="7" t="str">
        <f aca="false">IF(B40="",TRIM(C40),TRIM(B40))</f>
        <v>Benin Demographic and Health Survey 1996, 1997</v>
      </c>
      <c r="J40" s="7" t="str">
        <f aca="false">IF(ISNUMBER(SEARCH("Demographic and Health",I40)),"DHS",IF(OR(ISNUMBER(SEARCH("Multiple Indicator Cluster",I40)),ISNUMBER(SEARCH("MICS",I40))),"MICS","Other"))</f>
        <v>DHS</v>
      </c>
      <c r="K40" s="7" t="n">
        <f aca="false">IF(AND(F40="Record or Recall",G40="12-23 m"),1,0)</f>
        <v>1</v>
      </c>
      <c r="L40" s="7" t="n">
        <f aca="false">IF(OR(J40="DHS",J40="MICS"),1,0)</f>
        <v>1</v>
      </c>
    </row>
    <row r="41" customFormat="false" ht="15" hidden="false" customHeight="false" outlineLevel="0" collapsed="false">
      <c r="A41" s="7" t="s">
        <v>320</v>
      </c>
      <c r="B41" s="7" t="s">
        <v>326</v>
      </c>
      <c r="C41" s="7" t="s">
        <v>327</v>
      </c>
      <c r="D41" s="7" t="n">
        <v>1995</v>
      </c>
      <c r="E41" s="7" t="s">
        <v>69</v>
      </c>
      <c r="F41" s="7" t="s">
        <v>87</v>
      </c>
      <c r="G41" s="7" t="s">
        <v>66</v>
      </c>
      <c r="H41" s="7" t="n">
        <v>4.6</v>
      </c>
      <c r="I41" s="7" t="str">
        <f aca="false">IF(B41="",TRIM(C41),TRIM(B41))</f>
        <v>Benin Demographic and Health Survey 1996, 1997</v>
      </c>
      <c r="J41" s="7" t="str">
        <f aca="false">IF(ISNUMBER(SEARCH("Demographic and Health",I41)),"DHS",IF(OR(ISNUMBER(SEARCH("Multiple Indicator Cluster",I41)),ISNUMBER(SEARCH("MICS",I41))),"MICS","Other"))</f>
        <v>DHS</v>
      </c>
      <c r="K41" s="7" t="n">
        <f aca="false">IF(AND(F41="Record or Recall",G41="12-23 m"),1,0)</f>
        <v>0</v>
      </c>
      <c r="L41" s="7" t="n">
        <f aca="false">IF(OR(J41="DHS",J41="MICS"),1,0)</f>
        <v>1</v>
      </c>
    </row>
    <row r="42" customFormat="false" ht="15" hidden="false" customHeight="false" outlineLevel="0" collapsed="false">
      <c r="A42" s="7" t="s">
        <v>320</v>
      </c>
      <c r="B42" s="7" t="s">
        <v>328</v>
      </c>
      <c r="C42" s="7" t="s">
        <v>329</v>
      </c>
      <c r="D42" s="7" t="n">
        <v>2000</v>
      </c>
      <c r="E42" s="7" t="s">
        <v>62</v>
      </c>
      <c r="F42" s="7" t="s">
        <v>78</v>
      </c>
      <c r="G42" s="7" t="s">
        <v>66</v>
      </c>
      <c r="H42" s="7" t="n">
        <v>89.2</v>
      </c>
      <c r="I42" s="7" t="str">
        <f aca="false">IF(B42="",TRIM(C42),TRIM(B42))</f>
        <v>Benin Demographic and Health Survey 2001, 2002</v>
      </c>
      <c r="J42" s="7" t="str">
        <f aca="false">IF(ISNUMBER(SEARCH("Demographic and Health",I42)),"DHS",IF(OR(ISNUMBER(SEARCH("Multiple Indicator Cluster",I42)),ISNUMBER(SEARCH("MICS",I42))),"MICS","Other"))</f>
        <v>DHS</v>
      </c>
      <c r="K42" s="7" t="n">
        <f aca="false">IF(AND(F42="Record or Recall",G42="12-23 m"),1,0)</f>
        <v>0</v>
      </c>
      <c r="L42" s="7" t="n">
        <f aca="false">IF(OR(J42="DHS",J42="MICS"),1,0)</f>
        <v>1</v>
      </c>
    </row>
    <row r="43" customFormat="false" ht="15" hidden="false" customHeight="false" outlineLevel="0" collapsed="false">
      <c r="A43" s="7" t="s">
        <v>320</v>
      </c>
      <c r="B43" s="7" t="s">
        <v>328</v>
      </c>
      <c r="C43" s="7" t="s">
        <v>329</v>
      </c>
      <c r="D43" s="7" t="n">
        <v>2000</v>
      </c>
      <c r="E43" s="7" t="s">
        <v>62</v>
      </c>
      <c r="F43" s="7" t="s">
        <v>86</v>
      </c>
      <c r="G43" s="7" t="s">
        <v>66</v>
      </c>
      <c r="H43" s="7" t="n">
        <v>72.4</v>
      </c>
      <c r="I43" s="7" t="str">
        <f aca="false">IF(B43="",TRIM(C43),TRIM(B43))</f>
        <v>Benin Demographic and Health Survey 2001, 2002</v>
      </c>
      <c r="J43" s="7" t="str">
        <f aca="false">IF(ISNUMBER(SEARCH("Demographic and Health",I43)),"DHS",IF(OR(ISNUMBER(SEARCH("Multiple Indicator Cluster",I43)),ISNUMBER(SEARCH("MICS",I43))),"MICS","Other"))</f>
        <v>DHS</v>
      </c>
      <c r="K43" s="7" t="n">
        <f aca="false">IF(AND(F43="Record or Recall",G43="12-23 m"),1,0)</f>
        <v>0</v>
      </c>
      <c r="L43" s="7" t="n">
        <f aca="false">IF(OR(J43="DHS",J43="MICS"),1,0)</f>
        <v>1</v>
      </c>
    </row>
    <row r="44" customFormat="false" ht="15" hidden="false" customHeight="false" outlineLevel="0" collapsed="false">
      <c r="A44" s="7" t="s">
        <v>320</v>
      </c>
      <c r="B44" s="7" t="s">
        <v>328</v>
      </c>
      <c r="C44" s="7" t="s">
        <v>329</v>
      </c>
      <c r="D44" s="7" t="n">
        <v>2000</v>
      </c>
      <c r="E44" s="7" t="s">
        <v>62</v>
      </c>
      <c r="F44" s="7" t="s">
        <v>63</v>
      </c>
      <c r="G44" s="7" t="s">
        <v>66</v>
      </c>
      <c r="H44" s="7" t="n">
        <v>89.9</v>
      </c>
      <c r="I44" s="7" t="str">
        <f aca="false">IF(B44="",TRIM(C44),TRIM(B44))</f>
        <v>Benin Demographic and Health Survey 2001, 2002</v>
      </c>
      <c r="J44" s="7" t="str">
        <f aca="false">IF(ISNUMBER(SEARCH("Demographic and Health",I44)),"DHS",IF(OR(ISNUMBER(SEARCH("Multiple Indicator Cluster",I44)),ISNUMBER(SEARCH("MICS",I44))),"MICS","Other"))</f>
        <v>DHS</v>
      </c>
      <c r="K44" s="7" t="n">
        <f aca="false">IF(AND(F44="Record or Recall",G44="12-23 m"),1,0)</f>
        <v>1</v>
      </c>
      <c r="L44" s="7" t="n">
        <f aca="false">IF(OR(J44="DHS",J44="MICS"),1,0)</f>
        <v>1</v>
      </c>
    </row>
    <row r="45" customFormat="false" ht="15" hidden="false" customHeight="false" outlineLevel="0" collapsed="false">
      <c r="A45" s="7" t="s">
        <v>320</v>
      </c>
      <c r="B45" s="7" t="s">
        <v>328</v>
      </c>
      <c r="C45" s="7" t="s">
        <v>329</v>
      </c>
      <c r="D45" s="7" t="n">
        <v>2000</v>
      </c>
      <c r="E45" s="7" t="s">
        <v>62</v>
      </c>
      <c r="F45" s="7" t="s">
        <v>87</v>
      </c>
      <c r="G45" s="7" t="s">
        <v>66</v>
      </c>
      <c r="H45" s="7" t="n">
        <v>17.5</v>
      </c>
      <c r="I45" s="7" t="str">
        <f aca="false">IF(B45="",TRIM(C45),TRIM(B45))</f>
        <v>Benin Demographic and Health Survey 2001, 2002</v>
      </c>
      <c r="J45" s="7" t="str">
        <f aca="false">IF(ISNUMBER(SEARCH("Demographic and Health",I45)),"DHS",IF(OR(ISNUMBER(SEARCH("Multiple Indicator Cluster",I45)),ISNUMBER(SEARCH("MICS",I45))),"MICS","Other"))</f>
        <v>DHS</v>
      </c>
      <c r="K45" s="7" t="n">
        <f aca="false">IF(AND(F45="Record or Recall",G45="12-23 m"),1,0)</f>
        <v>0</v>
      </c>
      <c r="L45" s="7" t="n">
        <f aca="false">IF(OR(J45="DHS",J45="MICS"),1,0)</f>
        <v>1</v>
      </c>
    </row>
    <row r="46" customFormat="false" ht="15" hidden="false" customHeight="false" outlineLevel="0" collapsed="false">
      <c r="A46" s="7" t="s">
        <v>320</v>
      </c>
      <c r="B46" s="7" t="s">
        <v>328</v>
      </c>
      <c r="C46" s="7" t="s">
        <v>329</v>
      </c>
      <c r="D46" s="7" t="n">
        <v>2000</v>
      </c>
      <c r="E46" s="7" t="s">
        <v>81</v>
      </c>
      <c r="F46" s="7" t="s">
        <v>78</v>
      </c>
      <c r="G46" s="7" t="s">
        <v>66</v>
      </c>
      <c r="H46" s="7" t="n">
        <v>86.2</v>
      </c>
      <c r="I46" s="7" t="str">
        <f aca="false">IF(B46="",TRIM(C46),TRIM(B46))</f>
        <v>Benin Demographic and Health Survey 2001, 2002</v>
      </c>
      <c r="J46" s="7" t="str">
        <f aca="false">IF(ISNUMBER(SEARCH("Demographic and Health",I46)),"DHS",IF(OR(ISNUMBER(SEARCH("Multiple Indicator Cluster",I46)),ISNUMBER(SEARCH("MICS",I46))),"MICS","Other"))</f>
        <v>DHS</v>
      </c>
      <c r="K46" s="7" t="n">
        <f aca="false">IF(AND(F46="Record or Recall",G46="12-23 m"),1,0)</f>
        <v>0</v>
      </c>
      <c r="L46" s="7" t="n">
        <f aca="false">IF(OR(J46="DHS",J46="MICS"),1,0)</f>
        <v>1</v>
      </c>
    </row>
    <row r="47" customFormat="false" ht="15" hidden="false" customHeight="false" outlineLevel="0" collapsed="false">
      <c r="A47" s="7" t="s">
        <v>320</v>
      </c>
      <c r="B47" s="7" t="s">
        <v>328</v>
      </c>
      <c r="C47" s="7" t="s">
        <v>329</v>
      </c>
      <c r="D47" s="7" t="n">
        <v>2000</v>
      </c>
      <c r="E47" s="7" t="s">
        <v>81</v>
      </c>
      <c r="F47" s="7" t="s">
        <v>86</v>
      </c>
      <c r="G47" s="7" t="s">
        <v>66</v>
      </c>
      <c r="H47" s="7" t="n">
        <v>71.3</v>
      </c>
      <c r="I47" s="7" t="str">
        <f aca="false">IF(B47="",TRIM(C47),TRIM(B47))</f>
        <v>Benin Demographic and Health Survey 2001, 2002</v>
      </c>
      <c r="J47" s="7" t="str">
        <f aca="false">IF(ISNUMBER(SEARCH("Demographic and Health",I47)),"DHS",IF(OR(ISNUMBER(SEARCH("Multiple Indicator Cluster",I47)),ISNUMBER(SEARCH("MICS",I47))),"MICS","Other"))</f>
        <v>DHS</v>
      </c>
      <c r="K47" s="7" t="n">
        <f aca="false">IF(AND(F47="Record or Recall",G47="12-23 m"),1,0)</f>
        <v>0</v>
      </c>
      <c r="L47" s="7" t="n">
        <f aca="false">IF(OR(J47="DHS",J47="MICS"),1,0)</f>
        <v>1</v>
      </c>
    </row>
    <row r="48" customFormat="false" ht="15" hidden="false" customHeight="false" outlineLevel="0" collapsed="false">
      <c r="A48" s="7" t="s">
        <v>320</v>
      </c>
      <c r="B48" s="7" t="s">
        <v>328</v>
      </c>
      <c r="C48" s="7" t="s">
        <v>329</v>
      </c>
      <c r="D48" s="7" t="n">
        <v>2000</v>
      </c>
      <c r="E48" s="7" t="s">
        <v>81</v>
      </c>
      <c r="F48" s="7" t="s">
        <v>63</v>
      </c>
      <c r="G48" s="7" t="s">
        <v>66</v>
      </c>
      <c r="H48" s="7" t="n">
        <v>87.2</v>
      </c>
      <c r="I48" s="7" t="str">
        <f aca="false">IF(B48="",TRIM(C48),TRIM(B48))</f>
        <v>Benin Demographic and Health Survey 2001, 2002</v>
      </c>
      <c r="J48" s="7" t="str">
        <f aca="false">IF(ISNUMBER(SEARCH("Demographic and Health",I48)),"DHS",IF(OR(ISNUMBER(SEARCH("Multiple Indicator Cluster",I48)),ISNUMBER(SEARCH("MICS",I48))),"MICS","Other"))</f>
        <v>DHS</v>
      </c>
      <c r="K48" s="7" t="n">
        <f aca="false">IF(AND(F48="Record or Recall",G48="12-23 m"),1,0)</f>
        <v>1</v>
      </c>
      <c r="L48" s="7" t="n">
        <f aca="false">IF(OR(J48="DHS",J48="MICS"),1,0)</f>
        <v>1</v>
      </c>
    </row>
    <row r="49" customFormat="false" ht="15" hidden="false" customHeight="false" outlineLevel="0" collapsed="false">
      <c r="A49" s="7" t="s">
        <v>320</v>
      </c>
      <c r="B49" s="7" t="s">
        <v>328</v>
      </c>
      <c r="C49" s="7" t="s">
        <v>329</v>
      </c>
      <c r="D49" s="7" t="n">
        <v>2000</v>
      </c>
      <c r="E49" s="7" t="s">
        <v>81</v>
      </c>
      <c r="F49" s="7" t="s">
        <v>87</v>
      </c>
      <c r="G49" s="7" t="s">
        <v>66</v>
      </c>
      <c r="H49" s="7" t="n">
        <v>15.9</v>
      </c>
      <c r="I49" s="7" t="str">
        <f aca="false">IF(B49="",TRIM(C49),TRIM(B49))</f>
        <v>Benin Demographic and Health Survey 2001, 2002</v>
      </c>
      <c r="J49" s="7" t="str">
        <f aca="false">IF(ISNUMBER(SEARCH("Demographic and Health",I49)),"DHS",IF(OR(ISNUMBER(SEARCH("Multiple Indicator Cluster",I49)),ISNUMBER(SEARCH("MICS",I49))),"MICS","Other"))</f>
        <v>DHS</v>
      </c>
      <c r="K49" s="7" t="n">
        <f aca="false">IF(AND(F49="Record or Recall",G49="12-23 m"),1,0)</f>
        <v>0</v>
      </c>
      <c r="L49" s="7" t="n">
        <f aca="false">IF(OR(J49="DHS",J49="MICS"),1,0)</f>
        <v>1</v>
      </c>
    </row>
    <row r="50" customFormat="false" ht="15" hidden="false" customHeight="false" outlineLevel="0" collapsed="false">
      <c r="A50" s="7" t="s">
        <v>320</v>
      </c>
      <c r="B50" s="7" t="s">
        <v>328</v>
      </c>
      <c r="C50" s="7" t="s">
        <v>329</v>
      </c>
      <c r="D50" s="7" t="n">
        <v>2000</v>
      </c>
      <c r="E50" s="7" t="s">
        <v>67</v>
      </c>
      <c r="F50" s="7" t="s">
        <v>78</v>
      </c>
      <c r="G50" s="7" t="s">
        <v>66</v>
      </c>
      <c r="H50" s="7" t="n">
        <v>68.5</v>
      </c>
      <c r="I50" s="7" t="str">
        <f aca="false">IF(B50="",TRIM(C50),TRIM(B50))</f>
        <v>Benin Demographic and Health Survey 2001, 2002</v>
      </c>
      <c r="J50" s="7" t="str">
        <f aca="false">IF(ISNUMBER(SEARCH("Demographic and Health",I50)),"DHS",IF(OR(ISNUMBER(SEARCH("Multiple Indicator Cluster",I50)),ISNUMBER(SEARCH("MICS",I50))),"MICS","Other"))</f>
        <v>DHS</v>
      </c>
      <c r="K50" s="7" t="n">
        <f aca="false">IF(AND(F50="Record or Recall",G50="12-23 m"),1,0)</f>
        <v>0</v>
      </c>
      <c r="L50" s="7" t="n">
        <f aca="false">IF(OR(J50="DHS",J50="MICS"),1,0)</f>
        <v>1</v>
      </c>
    </row>
    <row r="51" customFormat="false" ht="15" hidden="false" customHeight="false" outlineLevel="0" collapsed="false">
      <c r="A51" s="7" t="s">
        <v>320</v>
      </c>
      <c r="B51" s="7" t="s">
        <v>328</v>
      </c>
      <c r="C51" s="7" t="s">
        <v>329</v>
      </c>
      <c r="D51" s="7" t="n">
        <v>2000</v>
      </c>
      <c r="E51" s="7" t="s">
        <v>67</v>
      </c>
      <c r="F51" s="7" t="s">
        <v>86</v>
      </c>
      <c r="G51" s="7" t="s">
        <v>66</v>
      </c>
      <c r="H51" s="7" t="n">
        <v>62.4</v>
      </c>
      <c r="I51" s="7" t="str">
        <f aca="false">IF(B51="",TRIM(C51),TRIM(B51))</f>
        <v>Benin Demographic and Health Survey 2001, 2002</v>
      </c>
      <c r="J51" s="7" t="str">
        <f aca="false">IF(ISNUMBER(SEARCH("Demographic and Health",I51)),"DHS",IF(OR(ISNUMBER(SEARCH("Multiple Indicator Cluster",I51)),ISNUMBER(SEARCH("MICS",I51))),"MICS","Other"))</f>
        <v>DHS</v>
      </c>
      <c r="K51" s="7" t="n">
        <f aca="false">IF(AND(F51="Record or Recall",G51="12-23 m"),1,0)</f>
        <v>0</v>
      </c>
      <c r="L51" s="7" t="n">
        <f aca="false">IF(OR(J51="DHS",J51="MICS"),1,0)</f>
        <v>1</v>
      </c>
    </row>
    <row r="52" customFormat="false" ht="15" hidden="false" customHeight="false" outlineLevel="0" collapsed="false">
      <c r="A52" s="7" t="s">
        <v>320</v>
      </c>
      <c r="B52" s="7" t="s">
        <v>328</v>
      </c>
      <c r="C52" s="7" t="s">
        <v>329</v>
      </c>
      <c r="D52" s="7" t="n">
        <v>2000</v>
      </c>
      <c r="E52" s="7" t="s">
        <v>67</v>
      </c>
      <c r="F52" s="7" t="s">
        <v>63</v>
      </c>
      <c r="G52" s="7" t="s">
        <v>66</v>
      </c>
      <c r="H52" s="7" t="n">
        <v>72.5</v>
      </c>
      <c r="I52" s="7" t="str">
        <f aca="false">IF(B52="",TRIM(C52),TRIM(B52))</f>
        <v>Benin Demographic and Health Survey 2001, 2002</v>
      </c>
      <c r="J52" s="7" t="str">
        <f aca="false">IF(ISNUMBER(SEARCH("Demographic and Health",I52)),"DHS",IF(OR(ISNUMBER(SEARCH("Multiple Indicator Cluster",I52)),ISNUMBER(SEARCH("MICS",I52))),"MICS","Other"))</f>
        <v>DHS</v>
      </c>
      <c r="K52" s="7" t="n">
        <f aca="false">IF(AND(F52="Record or Recall",G52="12-23 m"),1,0)</f>
        <v>1</v>
      </c>
      <c r="L52" s="7" t="n">
        <f aca="false">IF(OR(J52="DHS",J52="MICS"),1,0)</f>
        <v>1</v>
      </c>
    </row>
    <row r="53" customFormat="false" ht="15" hidden="false" customHeight="false" outlineLevel="0" collapsed="false">
      <c r="A53" s="7" t="s">
        <v>320</v>
      </c>
      <c r="B53" s="7" t="s">
        <v>328</v>
      </c>
      <c r="C53" s="7" t="s">
        <v>329</v>
      </c>
      <c r="D53" s="7" t="n">
        <v>2000</v>
      </c>
      <c r="E53" s="7" t="s">
        <v>67</v>
      </c>
      <c r="F53" s="7" t="s">
        <v>87</v>
      </c>
      <c r="G53" s="7" t="s">
        <v>66</v>
      </c>
      <c r="H53" s="7" t="n">
        <v>10.1</v>
      </c>
      <c r="I53" s="7" t="str">
        <f aca="false">IF(B53="",TRIM(C53),TRIM(B53))</f>
        <v>Benin Demographic and Health Survey 2001, 2002</v>
      </c>
      <c r="J53" s="7" t="str">
        <f aca="false">IF(ISNUMBER(SEARCH("Demographic and Health",I53)),"DHS",IF(OR(ISNUMBER(SEARCH("Multiple Indicator Cluster",I53)),ISNUMBER(SEARCH("MICS",I53))),"MICS","Other"))</f>
        <v>DHS</v>
      </c>
      <c r="K53" s="7" t="n">
        <f aca="false">IF(AND(F53="Record or Recall",G53="12-23 m"),1,0)</f>
        <v>0</v>
      </c>
      <c r="L53" s="7" t="n">
        <f aca="false">IF(OR(J53="DHS",J53="MICS"),1,0)</f>
        <v>1</v>
      </c>
    </row>
    <row r="54" customFormat="false" ht="15" hidden="false" customHeight="false" outlineLevel="0" collapsed="false">
      <c r="A54" s="7" t="s">
        <v>320</v>
      </c>
      <c r="B54" s="7" t="s">
        <v>328</v>
      </c>
      <c r="C54" s="7" t="s">
        <v>329</v>
      </c>
      <c r="D54" s="7" t="n">
        <v>2000</v>
      </c>
      <c r="E54" s="7" t="s">
        <v>82</v>
      </c>
      <c r="F54" s="7" t="s">
        <v>78</v>
      </c>
      <c r="G54" s="7" t="s">
        <v>66</v>
      </c>
      <c r="H54" s="7" t="n">
        <v>49</v>
      </c>
      <c r="I54" s="7" t="str">
        <f aca="false">IF(B54="",TRIM(C54),TRIM(B54))</f>
        <v>Benin Demographic and Health Survey 2001, 2002</v>
      </c>
      <c r="J54" s="7" t="str">
        <f aca="false">IF(ISNUMBER(SEARCH("Demographic and Health",I54)),"DHS",IF(OR(ISNUMBER(SEARCH("Multiple Indicator Cluster",I54)),ISNUMBER(SEARCH("MICS",I54))),"MICS","Other"))</f>
        <v>DHS</v>
      </c>
      <c r="K54" s="7" t="n">
        <f aca="false">IF(AND(F54="Record or Recall",G54="12-23 m"),1,0)</f>
        <v>0</v>
      </c>
      <c r="L54" s="7" t="n">
        <f aca="false">IF(OR(J54="DHS",J54="MICS"),1,0)</f>
        <v>1</v>
      </c>
    </row>
    <row r="55" customFormat="false" ht="15" hidden="false" customHeight="false" outlineLevel="0" collapsed="false">
      <c r="A55" s="7" t="s">
        <v>320</v>
      </c>
      <c r="B55" s="7" t="s">
        <v>328</v>
      </c>
      <c r="C55" s="7" t="s">
        <v>329</v>
      </c>
      <c r="D55" s="7" t="n">
        <v>2000</v>
      </c>
      <c r="E55" s="7" t="s">
        <v>82</v>
      </c>
      <c r="F55" s="7" t="s">
        <v>86</v>
      </c>
      <c r="G55" s="7" t="s">
        <v>66</v>
      </c>
      <c r="H55" s="7" t="n">
        <v>54.3</v>
      </c>
      <c r="I55" s="7" t="str">
        <f aca="false">IF(B55="",TRIM(C55),TRIM(B55))</f>
        <v>Benin Demographic and Health Survey 2001, 2002</v>
      </c>
      <c r="J55" s="7" t="str">
        <f aca="false">IF(ISNUMBER(SEARCH("Demographic and Health",I55)),"DHS",IF(OR(ISNUMBER(SEARCH("Multiple Indicator Cluster",I55)),ISNUMBER(SEARCH("MICS",I55))),"MICS","Other"))</f>
        <v>DHS</v>
      </c>
      <c r="K55" s="7" t="n">
        <f aca="false">IF(AND(F55="Record or Recall",G55="12-23 m"),1,0)</f>
        <v>0</v>
      </c>
      <c r="L55" s="7" t="n">
        <f aca="false">IF(OR(J55="DHS",J55="MICS"),1,0)</f>
        <v>1</v>
      </c>
    </row>
    <row r="56" customFormat="false" ht="15" hidden="false" customHeight="false" outlineLevel="0" collapsed="false">
      <c r="A56" s="7" t="s">
        <v>320</v>
      </c>
      <c r="B56" s="7" t="s">
        <v>328</v>
      </c>
      <c r="C56" s="7" t="s">
        <v>329</v>
      </c>
      <c r="D56" s="7" t="n">
        <v>2000</v>
      </c>
      <c r="E56" s="7" t="s">
        <v>82</v>
      </c>
      <c r="F56" s="7" t="s">
        <v>63</v>
      </c>
      <c r="G56" s="7" t="s">
        <v>66</v>
      </c>
      <c r="H56" s="7" t="n">
        <v>59</v>
      </c>
      <c r="I56" s="7" t="str">
        <f aca="false">IF(B56="",TRIM(C56),TRIM(B56))</f>
        <v>Benin Demographic and Health Survey 2001, 2002</v>
      </c>
      <c r="J56" s="7" t="str">
        <f aca="false">IF(ISNUMBER(SEARCH("Demographic and Health",I56)),"DHS",IF(OR(ISNUMBER(SEARCH("Multiple Indicator Cluster",I56)),ISNUMBER(SEARCH("MICS",I56))),"MICS","Other"))</f>
        <v>DHS</v>
      </c>
      <c r="K56" s="7" t="n">
        <f aca="false">IF(AND(F56="Record or Recall",G56="12-23 m"),1,0)</f>
        <v>1</v>
      </c>
      <c r="L56" s="7" t="n">
        <f aca="false">IF(OR(J56="DHS",J56="MICS"),1,0)</f>
        <v>1</v>
      </c>
    </row>
    <row r="57" customFormat="false" ht="15" hidden="false" customHeight="false" outlineLevel="0" collapsed="false">
      <c r="A57" s="7" t="s">
        <v>320</v>
      </c>
      <c r="B57" s="7" t="s">
        <v>328</v>
      </c>
      <c r="C57" s="7" t="s">
        <v>329</v>
      </c>
      <c r="D57" s="7" t="n">
        <v>2000</v>
      </c>
      <c r="E57" s="7" t="s">
        <v>82</v>
      </c>
      <c r="F57" s="7" t="s">
        <v>87</v>
      </c>
      <c r="G57" s="7" t="s">
        <v>66</v>
      </c>
      <c r="H57" s="7" t="n">
        <v>4.7</v>
      </c>
      <c r="I57" s="7" t="str">
        <f aca="false">IF(B57="",TRIM(C57),TRIM(B57))</f>
        <v>Benin Demographic and Health Survey 2001, 2002</v>
      </c>
      <c r="J57" s="7" t="str">
        <f aca="false">IF(ISNUMBER(SEARCH("Demographic and Health",I57)),"DHS",IF(OR(ISNUMBER(SEARCH("Multiple Indicator Cluster",I57)),ISNUMBER(SEARCH("MICS",I57))),"MICS","Other"))</f>
        <v>DHS</v>
      </c>
      <c r="K57" s="7" t="n">
        <f aca="false">IF(AND(F57="Record or Recall",G57="12-23 m"),1,0)</f>
        <v>0</v>
      </c>
      <c r="L57" s="7" t="n">
        <f aca="false">IF(OR(J57="DHS",J57="MICS"),1,0)</f>
        <v>1</v>
      </c>
    </row>
    <row r="58" customFormat="false" ht="15" hidden="false" customHeight="false" outlineLevel="0" collapsed="false">
      <c r="A58" s="7" t="s">
        <v>320</v>
      </c>
      <c r="B58" s="7" t="s">
        <v>328</v>
      </c>
      <c r="C58" s="7" t="s">
        <v>329</v>
      </c>
      <c r="D58" s="7" t="n">
        <v>2000</v>
      </c>
      <c r="E58" s="7" t="s">
        <v>68</v>
      </c>
      <c r="F58" s="7" t="s">
        <v>78</v>
      </c>
      <c r="G58" s="7" t="s">
        <v>66</v>
      </c>
      <c r="H58" s="7" t="n">
        <v>55.9</v>
      </c>
      <c r="I58" s="7" t="str">
        <f aca="false">IF(B58="",TRIM(C58),TRIM(B58))</f>
        <v>Benin Demographic and Health Survey 2001, 2002</v>
      </c>
      <c r="J58" s="7" t="str">
        <f aca="false">IF(ISNUMBER(SEARCH("Demographic and Health",I58)),"DHS",IF(OR(ISNUMBER(SEARCH("Multiple Indicator Cluster",I58)),ISNUMBER(SEARCH("MICS",I58))),"MICS","Other"))</f>
        <v>DHS</v>
      </c>
      <c r="K58" s="7" t="n">
        <f aca="false">IF(AND(F58="Record or Recall",G58="12-23 m"),1,0)</f>
        <v>0</v>
      </c>
      <c r="L58" s="7" t="n">
        <f aca="false">IF(OR(J58="DHS",J58="MICS"),1,0)</f>
        <v>1</v>
      </c>
    </row>
    <row r="59" customFormat="false" ht="15" hidden="false" customHeight="false" outlineLevel="0" collapsed="false">
      <c r="A59" s="7" t="s">
        <v>320</v>
      </c>
      <c r="B59" s="7" t="s">
        <v>328</v>
      </c>
      <c r="C59" s="7" t="s">
        <v>329</v>
      </c>
      <c r="D59" s="7" t="n">
        <v>2000</v>
      </c>
      <c r="E59" s="7" t="s">
        <v>68</v>
      </c>
      <c r="F59" s="7" t="s">
        <v>86</v>
      </c>
      <c r="G59" s="7" t="s">
        <v>66</v>
      </c>
      <c r="H59" s="7" t="n">
        <v>57.8</v>
      </c>
      <c r="I59" s="7" t="str">
        <f aca="false">IF(B59="",TRIM(C59),TRIM(B59))</f>
        <v>Benin Demographic and Health Survey 2001, 2002</v>
      </c>
      <c r="J59" s="7" t="str">
        <f aca="false">IF(ISNUMBER(SEARCH("Demographic and Health",I59)),"DHS",IF(OR(ISNUMBER(SEARCH("Multiple Indicator Cluster",I59)),ISNUMBER(SEARCH("MICS",I59))),"MICS","Other"))</f>
        <v>DHS</v>
      </c>
      <c r="K59" s="7" t="n">
        <f aca="false">IF(AND(F59="Record or Recall",G59="12-23 m"),1,0)</f>
        <v>0</v>
      </c>
      <c r="L59" s="7" t="n">
        <f aca="false">IF(OR(J59="DHS",J59="MICS"),1,0)</f>
        <v>1</v>
      </c>
    </row>
    <row r="60" customFormat="false" ht="15" hidden="false" customHeight="false" outlineLevel="0" collapsed="false">
      <c r="A60" s="7" t="s">
        <v>320</v>
      </c>
      <c r="B60" s="7" t="s">
        <v>328</v>
      </c>
      <c r="C60" s="7" t="s">
        <v>329</v>
      </c>
      <c r="D60" s="7" t="n">
        <v>2000</v>
      </c>
      <c r="E60" s="7" t="s">
        <v>68</v>
      </c>
      <c r="F60" s="7" t="s">
        <v>63</v>
      </c>
      <c r="G60" s="7" t="s">
        <v>66</v>
      </c>
      <c r="H60" s="7" t="n">
        <v>68</v>
      </c>
      <c r="I60" s="7" t="str">
        <f aca="false">IF(B60="",TRIM(C60),TRIM(B60))</f>
        <v>Benin Demographic and Health Survey 2001, 2002</v>
      </c>
      <c r="J60" s="7" t="str">
        <f aca="false">IF(ISNUMBER(SEARCH("Demographic and Health",I60)),"DHS",IF(OR(ISNUMBER(SEARCH("Multiple Indicator Cluster",I60)),ISNUMBER(SEARCH("MICS",I60))),"MICS","Other"))</f>
        <v>DHS</v>
      </c>
      <c r="K60" s="7" t="n">
        <f aca="false">IF(AND(F60="Record or Recall",G60="12-23 m"),1,0)</f>
        <v>1</v>
      </c>
      <c r="L60" s="7" t="n">
        <f aca="false">IF(OR(J60="DHS",J60="MICS"),1,0)</f>
        <v>1</v>
      </c>
    </row>
    <row r="61" customFormat="false" ht="15" hidden="false" customHeight="false" outlineLevel="0" collapsed="false">
      <c r="A61" s="7" t="s">
        <v>320</v>
      </c>
      <c r="B61" s="7" t="s">
        <v>328</v>
      </c>
      <c r="C61" s="7" t="s">
        <v>329</v>
      </c>
      <c r="D61" s="7" t="n">
        <v>2000</v>
      </c>
      <c r="E61" s="7" t="s">
        <v>68</v>
      </c>
      <c r="F61" s="7" t="s">
        <v>87</v>
      </c>
      <c r="G61" s="7" t="s">
        <v>66</v>
      </c>
      <c r="H61" s="7" t="n">
        <v>10.2</v>
      </c>
      <c r="I61" s="7" t="str">
        <f aca="false">IF(B61="",TRIM(C61),TRIM(B61))</f>
        <v>Benin Demographic and Health Survey 2001, 2002</v>
      </c>
      <c r="J61" s="7" t="str">
        <f aca="false">IF(ISNUMBER(SEARCH("Demographic and Health",I61)),"DHS",IF(OR(ISNUMBER(SEARCH("Multiple Indicator Cluster",I61)),ISNUMBER(SEARCH("MICS",I61))),"MICS","Other"))</f>
        <v>DHS</v>
      </c>
      <c r="K61" s="7" t="n">
        <f aca="false">IF(AND(F61="Record or Recall",G61="12-23 m"),1,0)</f>
        <v>0</v>
      </c>
      <c r="L61" s="7" t="n">
        <f aca="false">IF(OR(J61="DHS",J61="MICS"),1,0)</f>
        <v>1</v>
      </c>
    </row>
    <row r="62" customFormat="false" ht="15" hidden="false" customHeight="false" outlineLevel="0" collapsed="false">
      <c r="A62" s="7" t="s">
        <v>320</v>
      </c>
      <c r="B62" s="7" t="s">
        <v>328</v>
      </c>
      <c r="C62" s="7" t="s">
        <v>329</v>
      </c>
      <c r="D62" s="7" t="n">
        <v>2000</v>
      </c>
      <c r="E62" s="7" t="s">
        <v>69</v>
      </c>
      <c r="F62" s="7" t="s">
        <v>78</v>
      </c>
      <c r="G62" s="7" t="s">
        <v>66</v>
      </c>
      <c r="H62" s="7" t="n">
        <v>65.9</v>
      </c>
      <c r="I62" s="7" t="str">
        <f aca="false">IF(B62="",TRIM(C62),TRIM(B62))</f>
        <v>Benin Demographic and Health Survey 2001, 2002</v>
      </c>
      <c r="J62" s="7" t="str">
        <f aca="false">IF(ISNUMBER(SEARCH("Demographic and Health",I62)),"DHS",IF(OR(ISNUMBER(SEARCH("Multiple Indicator Cluster",I62)),ISNUMBER(SEARCH("MICS",I62))),"MICS","Other"))</f>
        <v>DHS</v>
      </c>
      <c r="K62" s="7" t="n">
        <f aca="false">IF(AND(F62="Record or Recall",G62="12-23 m"),1,0)</f>
        <v>0</v>
      </c>
      <c r="L62" s="7" t="n">
        <f aca="false">IF(OR(J62="DHS",J62="MICS"),1,0)</f>
        <v>1</v>
      </c>
    </row>
    <row r="63" customFormat="false" ht="15" hidden="false" customHeight="false" outlineLevel="0" collapsed="false">
      <c r="A63" s="7" t="s">
        <v>320</v>
      </c>
      <c r="B63" s="7" t="s">
        <v>328</v>
      </c>
      <c r="C63" s="7" t="s">
        <v>329</v>
      </c>
      <c r="D63" s="7" t="n">
        <v>2000</v>
      </c>
      <c r="E63" s="7" t="s">
        <v>69</v>
      </c>
      <c r="F63" s="7" t="s">
        <v>86</v>
      </c>
      <c r="G63" s="7" t="s">
        <v>66</v>
      </c>
      <c r="H63" s="7" t="n">
        <v>61.7</v>
      </c>
      <c r="I63" s="7" t="str">
        <f aca="false">IF(B63="",TRIM(C63),TRIM(B63))</f>
        <v>Benin Demographic and Health Survey 2001, 2002</v>
      </c>
      <c r="J63" s="7" t="str">
        <f aca="false">IF(ISNUMBER(SEARCH("Demographic and Health",I63)),"DHS",IF(OR(ISNUMBER(SEARCH("Multiple Indicator Cluster",I63)),ISNUMBER(SEARCH("MICS",I63))),"MICS","Other"))</f>
        <v>DHS</v>
      </c>
      <c r="K63" s="7" t="n">
        <f aca="false">IF(AND(F63="Record or Recall",G63="12-23 m"),1,0)</f>
        <v>0</v>
      </c>
      <c r="L63" s="7" t="n">
        <f aca="false">IF(OR(J63="DHS",J63="MICS"),1,0)</f>
        <v>1</v>
      </c>
    </row>
    <row r="64" customFormat="false" ht="15" hidden="false" customHeight="false" outlineLevel="0" collapsed="false">
      <c r="A64" s="7" t="s">
        <v>320</v>
      </c>
      <c r="B64" s="7" t="s">
        <v>328</v>
      </c>
      <c r="C64" s="7" t="s">
        <v>329</v>
      </c>
      <c r="D64" s="7" t="n">
        <v>2000</v>
      </c>
      <c r="E64" s="7" t="s">
        <v>69</v>
      </c>
      <c r="F64" s="7" t="s">
        <v>63</v>
      </c>
      <c r="G64" s="7" t="s">
        <v>66</v>
      </c>
      <c r="H64" s="7" t="n">
        <v>69.3</v>
      </c>
      <c r="I64" s="7" t="str">
        <f aca="false">IF(B64="",TRIM(C64),TRIM(B64))</f>
        <v>Benin Demographic and Health Survey 2001, 2002</v>
      </c>
      <c r="J64" s="7" t="str">
        <f aca="false">IF(ISNUMBER(SEARCH("Demographic and Health",I64)),"DHS",IF(OR(ISNUMBER(SEARCH("Multiple Indicator Cluster",I64)),ISNUMBER(SEARCH("MICS",I64))),"MICS","Other"))</f>
        <v>DHS</v>
      </c>
      <c r="K64" s="7" t="n">
        <f aca="false">IF(AND(F64="Record or Recall",G64="12-23 m"),1,0)</f>
        <v>1</v>
      </c>
      <c r="L64" s="7" t="n">
        <f aca="false">IF(OR(J64="DHS",J64="MICS"),1,0)</f>
        <v>1</v>
      </c>
    </row>
    <row r="65" customFormat="false" ht="15" hidden="false" customHeight="false" outlineLevel="0" collapsed="false">
      <c r="A65" s="7" t="s">
        <v>320</v>
      </c>
      <c r="B65" s="7" t="s">
        <v>328</v>
      </c>
      <c r="C65" s="7" t="s">
        <v>329</v>
      </c>
      <c r="D65" s="7" t="n">
        <v>2000</v>
      </c>
      <c r="E65" s="7" t="s">
        <v>69</v>
      </c>
      <c r="F65" s="7" t="s">
        <v>87</v>
      </c>
      <c r="G65" s="7" t="s">
        <v>66</v>
      </c>
      <c r="H65" s="7" t="n">
        <v>7.7</v>
      </c>
      <c r="I65" s="7" t="str">
        <f aca="false">IF(B65="",TRIM(C65),TRIM(B65))</f>
        <v>Benin Demographic and Health Survey 2001, 2002</v>
      </c>
      <c r="J65" s="7" t="str">
        <f aca="false">IF(ISNUMBER(SEARCH("Demographic and Health",I65)),"DHS",IF(OR(ISNUMBER(SEARCH("Multiple Indicator Cluster",I65)),ISNUMBER(SEARCH("MICS",I65))),"MICS","Other"))</f>
        <v>DHS</v>
      </c>
      <c r="K65" s="7" t="n">
        <f aca="false">IF(AND(F65="Record or Recall",G65="12-23 m"),1,0)</f>
        <v>0</v>
      </c>
      <c r="L65" s="7" t="n">
        <f aca="false">IF(OR(J65="DHS",J65="MICS"),1,0)</f>
        <v>1</v>
      </c>
    </row>
    <row r="66" customFormat="false" ht="15" hidden="false" customHeight="false" outlineLevel="0" collapsed="false">
      <c r="A66" s="7" t="s">
        <v>320</v>
      </c>
      <c r="B66" s="7" t="s">
        <v>330</v>
      </c>
      <c r="C66" s="7" t="s">
        <v>331</v>
      </c>
      <c r="D66" s="7" t="n">
        <v>2000</v>
      </c>
      <c r="E66" s="7" t="s">
        <v>62</v>
      </c>
      <c r="F66" s="7" t="s">
        <v>63</v>
      </c>
      <c r="G66" s="7" t="s">
        <v>66</v>
      </c>
      <c r="H66" s="7" t="n">
        <v>94</v>
      </c>
      <c r="I66" s="7" t="str">
        <f aca="false">IF(B66="",TRIM(C66),TRIM(B66))</f>
        <v>Benin External EPI Review 2001</v>
      </c>
      <c r="J66" s="7" t="str">
        <f aca="false">IF(ISNUMBER(SEARCH("Demographic and Health",I66)),"DHS",IF(OR(ISNUMBER(SEARCH("Multiple Indicator Cluster",I66)),ISNUMBER(SEARCH("MICS",I66))),"MICS","Other"))</f>
        <v>Other</v>
      </c>
      <c r="K66" s="7" t="n">
        <f aca="false">IF(AND(F66="Record or Recall",G66="12-23 m"),1,0)</f>
        <v>1</v>
      </c>
      <c r="L66" s="7" t="n">
        <f aca="false">IF(OR(J66="DHS",J66="MICS"),1,0)</f>
        <v>0</v>
      </c>
    </row>
    <row r="67" customFormat="false" ht="15" hidden="false" customHeight="false" outlineLevel="0" collapsed="false">
      <c r="A67" s="7" t="s">
        <v>320</v>
      </c>
      <c r="B67" s="7" t="s">
        <v>330</v>
      </c>
      <c r="C67" s="7" t="s">
        <v>331</v>
      </c>
      <c r="D67" s="7" t="n">
        <v>2000</v>
      </c>
      <c r="E67" s="7" t="s">
        <v>81</v>
      </c>
      <c r="F67" s="7" t="s">
        <v>63</v>
      </c>
      <c r="G67" s="7" t="s">
        <v>66</v>
      </c>
      <c r="H67" s="7" t="n">
        <v>91</v>
      </c>
      <c r="I67" s="7" t="str">
        <f aca="false">IF(B67="",TRIM(C67),TRIM(B67))</f>
        <v>Benin External EPI Review 2001</v>
      </c>
      <c r="J67" s="7" t="str">
        <f aca="false">IF(ISNUMBER(SEARCH("Demographic and Health",I67)),"DHS",IF(OR(ISNUMBER(SEARCH("Multiple Indicator Cluster",I67)),ISNUMBER(SEARCH("MICS",I67))),"MICS","Other"))</f>
        <v>Other</v>
      </c>
      <c r="K67" s="7" t="n">
        <f aca="false">IF(AND(F67="Record or Recall",G67="12-23 m"),1,0)</f>
        <v>1</v>
      </c>
      <c r="L67" s="7" t="n">
        <f aca="false">IF(OR(J67="DHS",J67="MICS"),1,0)</f>
        <v>0</v>
      </c>
    </row>
    <row r="68" customFormat="false" ht="15" hidden="false" customHeight="false" outlineLevel="0" collapsed="false">
      <c r="A68" s="7" t="s">
        <v>320</v>
      </c>
      <c r="B68" s="7" t="s">
        <v>330</v>
      </c>
      <c r="C68" s="7" t="s">
        <v>331</v>
      </c>
      <c r="D68" s="7" t="n">
        <v>2000</v>
      </c>
      <c r="E68" s="7" t="s">
        <v>67</v>
      </c>
      <c r="F68" s="7" t="s">
        <v>63</v>
      </c>
      <c r="G68" s="7" t="s">
        <v>66</v>
      </c>
      <c r="H68" s="7" t="n">
        <v>79</v>
      </c>
      <c r="I68" s="7" t="str">
        <f aca="false">IF(B68="",TRIM(C68),TRIM(B68))</f>
        <v>Benin External EPI Review 2001</v>
      </c>
      <c r="J68" s="7" t="str">
        <f aca="false">IF(ISNUMBER(SEARCH("Demographic and Health",I68)),"DHS",IF(OR(ISNUMBER(SEARCH("Multiple Indicator Cluster",I68)),ISNUMBER(SEARCH("MICS",I68))),"MICS","Other"))</f>
        <v>Other</v>
      </c>
      <c r="K68" s="7" t="n">
        <f aca="false">IF(AND(F68="Record or Recall",G68="12-23 m"),1,0)</f>
        <v>1</v>
      </c>
      <c r="L68" s="7" t="n">
        <f aca="false">IF(OR(J68="DHS",J68="MICS"),1,0)</f>
        <v>0</v>
      </c>
    </row>
    <row r="69" customFormat="false" ht="15" hidden="false" customHeight="false" outlineLevel="0" collapsed="false">
      <c r="A69" s="7" t="s">
        <v>320</v>
      </c>
      <c r="B69" s="7" t="s">
        <v>330</v>
      </c>
      <c r="C69" s="7" t="s">
        <v>331</v>
      </c>
      <c r="D69" s="7" t="n">
        <v>2000</v>
      </c>
      <c r="E69" s="7" t="s">
        <v>68</v>
      </c>
      <c r="F69" s="7" t="s">
        <v>63</v>
      </c>
      <c r="G69" s="7" t="s">
        <v>66</v>
      </c>
      <c r="H69" s="7" t="n">
        <v>72</v>
      </c>
      <c r="I69" s="7" t="str">
        <f aca="false">IF(B69="",TRIM(C69),TRIM(B69))</f>
        <v>Benin External EPI Review 2001</v>
      </c>
      <c r="J69" s="7" t="str">
        <f aca="false">IF(ISNUMBER(SEARCH("Demographic and Health",I69)),"DHS",IF(OR(ISNUMBER(SEARCH("Multiple Indicator Cluster",I69)),ISNUMBER(SEARCH("MICS",I69))),"MICS","Other"))</f>
        <v>Other</v>
      </c>
      <c r="K69" s="7" t="n">
        <f aca="false">IF(AND(F69="Record or Recall",G69="12-23 m"),1,0)</f>
        <v>1</v>
      </c>
      <c r="L69" s="7" t="n">
        <f aca="false">IF(OR(J69="DHS",J69="MICS"),1,0)</f>
        <v>0</v>
      </c>
    </row>
    <row r="70" customFormat="false" ht="15" hidden="false" customHeight="false" outlineLevel="0" collapsed="false">
      <c r="A70" s="7" t="s">
        <v>320</v>
      </c>
      <c r="B70" s="7" t="s">
        <v>330</v>
      </c>
      <c r="C70" s="7" t="s">
        <v>331</v>
      </c>
      <c r="D70" s="7" t="n">
        <v>2000</v>
      </c>
      <c r="E70" s="7" t="s">
        <v>69</v>
      </c>
      <c r="F70" s="7" t="s">
        <v>63</v>
      </c>
      <c r="G70" s="7" t="s">
        <v>66</v>
      </c>
      <c r="H70" s="7" t="n">
        <v>78</v>
      </c>
      <c r="I70" s="7" t="str">
        <f aca="false">IF(B70="",TRIM(C70),TRIM(B70))</f>
        <v>Benin External EPI Review 2001</v>
      </c>
      <c r="J70" s="7" t="str">
        <f aca="false">IF(ISNUMBER(SEARCH("Demographic and Health",I70)),"DHS",IF(OR(ISNUMBER(SEARCH("Multiple Indicator Cluster",I70)),ISNUMBER(SEARCH("MICS",I70))),"MICS","Other"))</f>
        <v>Other</v>
      </c>
      <c r="K70" s="7" t="n">
        <f aca="false">IF(AND(F70="Record or Recall",G70="12-23 m"),1,0)</f>
        <v>1</v>
      </c>
      <c r="L70" s="7" t="n">
        <f aca="false">IF(OR(J70="DHS",J70="MICS"),1,0)</f>
        <v>0</v>
      </c>
    </row>
    <row r="71" customFormat="false" ht="15" hidden="false" customHeight="false" outlineLevel="0" collapsed="false">
      <c r="A71" s="7" t="s">
        <v>320</v>
      </c>
      <c r="B71" s="7" t="s">
        <v>332</v>
      </c>
      <c r="C71" s="7" t="s">
        <v>333</v>
      </c>
      <c r="D71" s="7" t="n">
        <v>2005</v>
      </c>
      <c r="E71" s="7" t="s">
        <v>62</v>
      </c>
      <c r="F71" s="7" t="s">
        <v>78</v>
      </c>
      <c r="G71" s="7" t="s">
        <v>66</v>
      </c>
      <c r="H71" s="7" t="n">
        <v>87.9</v>
      </c>
      <c r="I71" s="7" t="str">
        <f aca="false">IF(B71="",TRIM(C71),TRIM(B71))</f>
        <v>Benin Demographic and Health Survey, 2006</v>
      </c>
      <c r="J71" s="7" t="str">
        <f aca="false">IF(ISNUMBER(SEARCH("Demographic and Health",I71)),"DHS",IF(OR(ISNUMBER(SEARCH("Multiple Indicator Cluster",I71)),ISNUMBER(SEARCH("MICS",I71))),"MICS","Other"))</f>
        <v>DHS</v>
      </c>
      <c r="K71" s="7" t="n">
        <f aca="false">IF(AND(F71="Record or Recall",G71="12-23 m"),1,0)</f>
        <v>0</v>
      </c>
      <c r="L71" s="7" t="n">
        <f aca="false">IF(OR(J71="DHS",J71="MICS"),1,0)</f>
        <v>1</v>
      </c>
    </row>
    <row r="72" customFormat="false" ht="15" hidden="false" customHeight="false" outlineLevel="0" collapsed="false">
      <c r="A72" s="7" t="s">
        <v>320</v>
      </c>
      <c r="B72" s="7" t="s">
        <v>332</v>
      </c>
      <c r="C72" s="7" t="s">
        <v>333</v>
      </c>
      <c r="D72" s="7" t="n">
        <v>2005</v>
      </c>
      <c r="E72" s="7" t="s">
        <v>62</v>
      </c>
      <c r="F72" s="7" t="s">
        <v>86</v>
      </c>
      <c r="G72" s="7" t="s">
        <v>66</v>
      </c>
      <c r="H72" s="7" t="n">
        <v>65.2</v>
      </c>
      <c r="I72" s="7" t="str">
        <f aca="false">IF(B72="",TRIM(C72),TRIM(B72))</f>
        <v>Benin Demographic and Health Survey, 2006</v>
      </c>
      <c r="J72" s="7" t="str">
        <f aca="false">IF(ISNUMBER(SEARCH("Demographic and Health",I72)),"DHS",IF(OR(ISNUMBER(SEARCH("Multiple Indicator Cluster",I72)),ISNUMBER(SEARCH("MICS",I72))),"MICS","Other"))</f>
        <v>DHS</v>
      </c>
      <c r="K72" s="7" t="n">
        <f aca="false">IF(AND(F72="Record or Recall",G72="12-23 m"),1,0)</f>
        <v>0</v>
      </c>
      <c r="L72" s="7" t="n">
        <f aca="false">IF(OR(J72="DHS",J72="MICS"),1,0)</f>
        <v>1</v>
      </c>
    </row>
    <row r="73" customFormat="false" ht="15" hidden="false" customHeight="false" outlineLevel="0" collapsed="false">
      <c r="A73" s="7" t="s">
        <v>320</v>
      </c>
      <c r="B73" s="7" t="s">
        <v>332</v>
      </c>
      <c r="C73" s="7" t="s">
        <v>333</v>
      </c>
      <c r="D73" s="7" t="n">
        <v>2005</v>
      </c>
      <c r="E73" s="7" t="s">
        <v>62</v>
      </c>
      <c r="F73" s="7" t="s">
        <v>63</v>
      </c>
      <c r="G73" s="7" t="s">
        <v>66</v>
      </c>
      <c r="H73" s="7" t="n">
        <v>88.3</v>
      </c>
      <c r="I73" s="7" t="str">
        <f aca="false">IF(B73="",TRIM(C73),TRIM(B73))</f>
        <v>Benin Demographic and Health Survey, 2006</v>
      </c>
      <c r="J73" s="7" t="str">
        <f aca="false">IF(ISNUMBER(SEARCH("Demographic and Health",I73)),"DHS",IF(OR(ISNUMBER(SEARCH("Multiple Indicator Cluster",I73)),ISNUMBER(SEARCH("MICS",I73))),"MICS","Other"))</f>
        <v>DHS</v>
      </c>
      <c r="K73" s="7" t="n">
        <f aca="false">IF(AND(F73="Record or Recall",G73="12-23 m"),1,0)</f>
        <v>1</v>
      </c>
      <c r="L73" s="7" t="n">
        <f aca="false">IF(OR(J73="DHS",J73="MICS"),1,0)</f>
        <v>1</v>
      </c>
    </row>
    <row r="74" customFormat="false" ht="15" hidden="false" customHeight="false" outlineLevel="0" collapsed="false">
      <c r="A74" s="7" t="s">
        <v>320</v>
      </c>
      <c r="B74" s="7" t="s">
        <v>332</v>
      </c>
      <c r="C74" s="7" t="s">
        <v>333</v>
      </c>
      <c r="D74" s="7" t="n">
        <v>2005</v>
      </c>
      <c r="E74" s="7" t="s">
        <v>62</v>
      </c>
      <c r="F74" s="7" t="s">
        <v>87</v>
      </c>
      <c r="G74" s="7" t="s">
        <v>66</v>
      </c>
      <c r="H74" s="7" t="n">
        <v>23.1</v>
      </c>
      <c r="I74" s="7" t="str">
        <f aca="false">IF(B74="",TRIM(C74),TRIM(B74))</f>
        <v>Benin Demographic and Health Survey, 2006</v>
      </c>
      <c r="J74" s="7" t="str">
        <f aca="false">IF(ISNUMBER(SEARCH("Demographic and Health",I74)),"DHS",IF(OR(ISNUMBER(SEARCH("Multiple Indicator Cluster",I74)),ISNUMBER(SEARCH("MICS",I74))),"MICS","Other"))</f>
        <v>DHS</v>
      </c>
      <c r="K74" s="7" t="n">
        <f aca="false">IF(AND(F74="Record or Recall",G74="12-23 m"),1,0)</f>
        <v>0</v>
      </c>
      <c r="L74" s="7" t="n">
        <f aca="false">IF(OR(J74="DHS",J74="MICS"),1,0)</f>
        <v>1</v>
      </c>
    </row>
    <row r="75" customFormat="false" ht="15" hidden="false" customHeight="false" outlineLevel="0" collapsed="false">
      <c r="A75" s="7" t="s">
        <v>320</v>
      </c>
      <c r="B75" s="7" t="s">
        <v>332</v>
      </c>
      <c r="C75" s="7" t="s">
        <v>333</v>
      </c>
      <c r="D75" s="7" t="n">
        <v>2005</v>
      </c>
      <c r="E75" s="7" t="s">
        <v>81</v>
      </c>
      <c r="F75" s="7" t="s">
        <v>78</v>
      </c>
      <c r="G75" s="7" t="s">
        <v>66</v>
      </c>
      <c r="H75" s="7" t="n">
        <v>83.2</v>
      </c>
      <c r="I75" s="7" t="str">
        <f aca="false">IF(B75="",TRIM(C75),TRIM(B75))</f>
        <v>Benin Demographic and Health Survey, 2006</v>
      </c>
      <c r="J75" s="7" t="str">
        <f aca="false">IF(ISNUMBER(SEARCH("Demographic and Health",I75)),"DHS",IF(OR(ISNUMBER(SEARCH("Multiple Indicator Cluster",I75)),ISNUMBER(SEARCH("MICS",I75))),"MICS","Other"))</f>
        <v>DHS</v>
      </c>
      <c r="K75" s="7" t="n">
        <f aca="false">IF(AND(F75="Record or Recall",G75="12-23 m"),1,0)</f>
        <v>0</v>
      </c>
      <c r="L75" s="7" t="n">
        <f aca="false">IF(OR(J75="DHS",J75="MICS"),1,0)</f>
        <v>1</v>
      </c>
    </row>
    <row r="76" customFormat="false" ht="15" hidden="false" customHeight="false" outlineLevel="0" collapsed="false">
      <c r="A76" s="7" t="s">
        <v>320</v>
      </c>
      <c r="B76" s="7" t="s">
        <v>332</v>
      </c>
      <c r="C76" s="7" t="s">
        <v>333</v>
      </c>
      <c r="D76" s="7" t="n">
        <v>2005</v>
      </c>
      <c r="E76" s="7" t="s">
        <v>81</v>
      </c>
      <c r="F76" s="7" t="s">
        <v>86</v>
      </c>
      <c r="G76" s="7" t="s">
        <v>66</v>
      </c>
      <c r="H76" s="7" t="n">
        <v>62.2</v>
      </c>
      <c r="I76" s="7" t="str">
        <f aca="false">IF(B76="",TRIM(C76),TRIM(B76))</f>
        <v>Benin Demographic and Health Survey, 2006</v>
      </c>
      <c r="J76" s="7" t="str">
        <f aca="false">IF(ISNUMBER(SEARCH("Demographic and Health",I76)),"DHS",IF(OR(ISNUMBER(SEARCH("Multiple Indicator Cluster",I76)),ISNUMBER(SEARCH("MICS",I76))),"MICS","Other"))</f>
        <v>DHS</v>
      </c>
      <c r="K76" s="7" t="n">
        <f aca="false">IF(AND(F76="Record or Recall",G76="12-23 m"),1,0)</f>
        <v>0</v>
      </c>
      <c r="L76" s="7" t="n">
        <f aca="false">IF(OR(J76="DHS",J76="MICS"),1,0)</f>
        <v>1</v>
      </c>
    </row>
    <row r="77" customFormat="false" ht="15" hidden="false" customHeight="false" outlineLevel="0" collapsed="false">
      <c r="A77" s="7" t="s">
        <v>320</v>
      </c>
      <c r="B77" s="7" t="s">
        <v>332</v>
      </c>
      <c r="C77" s="7" t="s">
        <v>333</v>
      </c>
      <c r="D77" s="7" t="n">
        <v>2005</v>
      </c>
      <c r="E77" s="7" t="s">
        <v>81</v>
      </c>
      <c r="F77" s="7" t="s">
        <v>63</v>
      </c>
      <c r="G77" s="7" t="s">
        <v>66</v>
      </c>
      <c r="H77" s="7" t="n">
        <v>84</v>
      </c>
      <c r="I77" s="7" t="str">
        <f aca="false">IF(B77="",TRIM(C77),TRIM(B77))</f>
        <v>Benin Demographic and Health Survey, 2006</v>
      </c>
      <c r="J77" s="7" t="str">
        <f aca="false">IF(ISNUMBER(SEARCH("Demographic and Health",I77)),"DHS",IF(OR(ISNUMBER(SEARCH("Multiple Indicator Cluster",I77)),ISNUMBER(SEARCH("MICS",I77))),"MICS","Other"))</f>
        <v>DHS</v>
      </c>
      <c r="K77" s="7" t="n">
        <f aca="false">IF(AND(F77="Record or Recall",G77="12-23 m"),1,0)</f>
        <v>1</v>
      </c>
      <c r="L77" s="7" t="n">
        <f aca="false">IF(OR(J77="DHS",J77="MICS"),1,0)</f>
        <v>1</v>
      </c>
    </row>
    <row r="78" customFormat="false" ht="15" hidden="false" customHeight="false" outlineLevel="0" collapsed="false">
      <c r="A78" s="7" t="s">
        <v>320</v>
      </c>
      <c r="B78" s="7" t="s">
        <v>332</v>
      </c>
      <c r="C78" s="7" t="s">
        <v>333</v>
      </c>
      <c r="D78" s="7" t="n">
        <v>2005</v>
      </c>
      <c r="E78" s="7" t="s">
        <v>81</v>
      </c>
      <c r="F78" s="7" t="s">
        <v>87</v>
      </c>
      <c r="G78" s="7" t="s">
        <v>66</v>
      </c>
      <c r="H78" s="7" t="n">
        <v>21.8</v>
      </c>
      <c r="I78" s="7" t="str">
        <f aca="false">IF(B78="",TRIM(C78),TRIM(B78))</f>
        <v>Benin Demographic and Health Survey, 2006</v>
      </c>
      <c r="J78" s="7" t="str">
        <f aca="false">IF(ISNUMBER(SEARCH("Demographic and Health",I78)),"DHS",IF(OR(ISNUMBER(SEARCH("Multiple Indicator Cluster",I78)),ISNUMBER(SEARCH("MICS",I78))),"MICS","Other"))</f>
        <v>DHS</v>
      </c>
      <c r="K78" s="7" t="n">
        <f aca="false">IF(AND(F78="Record or Recall",G78="12-23 m"),1,0)</f>
        <v>0</v>
      </c>
      <c r="L78" s="7" t="n">
        <f aca="false">IF(OR(J78="DHS",J78="MICS"),1,0)</f>
        <v>1</v>
      </c>
    </row>
    <row r="79" customFormat="false" ht="15" hidden="false" customHeight="false" outlineLevel="0" collapsed="false">
      <c r="A79" s="7" t="s">
        <v>320</v>
      </c>
      <c r="B79" s="7" t="s">
        <v>332</v>
      </c>
      <c r="C79" s="7" t="s">
        <v>333</v>
      </c>
      <c r="D79" s="7" t="n">
        <v>2005</v>
      </c>
      <c r="E79" s="7" t="s">
        <v>67</v>
      </c>
      <c r="F79" s="7" t="s">
        <v>78</v>
      </c>
      <c r="G79" s="7" t="s">
        <v>66</v>
      </c>
      <c r="H79" s="7" t="n">
        <v>64.5</v>
      </c>
      <c r="I79" s="7" t="str">
        <f aca="false">IF(B79="",TRIM(C79),TRIM(B79))</f>
        <v>Benin Demographic and Health Survey, 2006</v>
      </c>
      <c r="J79" s="7" t="str">
        <f aca="false">IF(ISNUMBER(SEARCH("Demographic and Health",I79)),"DHS",IF(OR(ISNUMBER(SEARCH("Multiple Indicator Cluster",I79)),ISNUMBER(SEARCH("MICS",I79))),"MICS","Other"))</f>
        <v>DHS</v>
      </c>
      <c r="K79" s="7" t="n">
        <f aca="false">IF(AND(F79="Record or Recall",G79="12-23 m"),1,0)</f>
        <v>0</v>
      </c>
      <c r="L79" s="7" t="n">
        <f aca="false">IF(OR(J79="DHS",J79="MICS"),1,0)</f>
        <v>1</v>
      </c>
    </row>
    <row r="80" customFormat="false" ht="15" hidden="false" customHeight="false" outlineLevel="0" collapsed="false">
      <c r="A80" s="7" t="s">
        <v>320</v>
      </c>
      <c r="B80" s="7" t="s">
        <v>332</v>
      </c>
      <c r="C80" s="7" t="s">
        <v>333</v>
      </c>
      <c r="D80" s="7" t="n">
        <v>2005</v>
      </c>
      <c r="E80" s="7" t="s">
        <v>67</v>
      </c>
      <c r="F80" s="7" t="s">
        <v>86</v>
      </c>
      <c r="G80" s="7" t="s">
        <v>66</v>
      </c>
      <c r="H80" s="7" t="n">
        <v>52.1</v>
      </c>
      <c r="I80" s="7" t="str">
        <f aca="false">IF(B80="",TRIM(C80),TRIM(B80))</f>
        <v>Benin Demographic and Health Survey, 2006</v>
      </c>
      <c r="J80" s="7" t="str">
        <f aca="false">IF(ISNUMBER(SEARCH("Demographic and Health",I80)),"DHS",IF(OR(ISNUMBER(SEARCH("Multiple Indicator Cluster",I80)),ISNUMBER(SEARCH("MICS",I80))),"MICS","Other"))</f>
        <v>DHS</v>
      </c>
      <c r="K80" s="7" t="n">
        <f aca="false">IF(AND(F80="Record or Recall",G80="12-23 m"),1,0)</f>
        <v>0</v>
      </c>
      <c r="L80" s="7" t="n">
        <f aca="false">IF(OR(J80="DHS",J80="MICS"),1,0)</f>
        <v>1</v>
      </c>
    </row>
    <row r="81" customFormat="false" ht="15" hidden="false" customHeight="false" outlineLevel="0" collapsed="false">
      <c r="A81" s="7" t="s">
        <v>320</v>
      </c>
      <c r="B81" s="7" t="s">
        <v>332</v>
      </c>
      <c r="C81" s="7" t="s">
        <v>333</v>
      </c>
      <c r="D81" s="7" t="n">
        <v>2005</v>
      </c>
      <c r="E81" s="7" t="s">
        <v>67</v>
      </c>
      <c r="F81" s="7" t="s">
        <v>63</v>
      </c>
      <c r="G81" s="7" t="s">
        <v>66</v>
      </c>
      <c r="H81" s="7" t="n">
        <v>67</v>
      </c>
      <c r="I81" s="7" t="str">
        <f aca="false">IF(B81="",TRIM(C81),TRIM(B81))</f>
        <v>Benin Demographic and Health Survey, 2006</v>
      </c>
      <c r="J81" s="7" t="str">
        <f aca="false">IF(ISNUMBER(SEARCH("Demographic and Health",I81)),"DHS",IF(OR(ISNUMBER(SEARCH("Multiple Indicator Cluster",I81)),ISNUMBER(SEARCH("MICS",I81))),"MICS","Other"))</f>
        <v>DHS</v>
      </c>
      <c r="K81" s="7" t="n">
        <f aca="false">IF(AND(F81="Record or Recall",G81="12-23 m"),1,0)</f>
        <v>1</v>
      </c>
      <c r="L81" s="7" t="n">
        <f aca="false">IF(OR(J81="DHS",J81="MICS"),1,0)</f>
        <v>1</v>
      </c>
    </row>
    <row r="82" customFormat="false" ht="15" hidden="false" customHeight="false" outlineLevel="0" collapsed="false">
      <c r="A82" s="7" t="s">
        <v>320</v>
      </c>
      <c r="B82" s="7" t="s">
        <v>332</v>
      </c>
      <c r="C82" s="7" t="s">
        <v>333</v>
      </c>
      <c r="D82" s="7" t="n">
        <v>2005</v>
      </c>
      <c r="E82" s="7" t="s">
        <v>67</v>
      </c>
      <c r="F82" s="7" t="s">
        <v>87</v>
      </c>
      <c r="G82" s="7" t="s">
        <v>66</v>
      </c>
      <c r="H82" s="7" t="n">
        <v>14.9</v>
      </c>
      <c r="I82" s="7" t="str">
        <f aca="false">IF(B82="",TRIM(C82),TRIM(B82))</f>
        <v>Benin Demographic and Health Survey, 2006</v>
      </c>
      <c r="J82" s="7" t="str">
        <f aca="false">IF(ISNUMBER(SEARCH("Demographic and Health",I82)),"DHS",IF(OR(ISNUMBER(SEARCH("Multiple Indicator Cluster",I82)),ISNUMBER(SEARCH("MICS",I82))),"MICS","Other"))</f>
        <v>DHS</v>
      </c>
      <c r="K82" s="7" t="n">
        <f aca="false">IF(AND(F82="Record or Recall",G82="12-23 m"),1,0)</f>
        <v>0</v>
      </c>
      <c r="L82" s="7" t="n">
        <f aca="false">IF(OR(J82="DHS",J82="MICS"),1,0)</f>
        <v>1</v>
      </c>
    </row>
    <row r="83" customFormat="false" ht="15" hidden="false" customHeight="false" outlineLevel="0" collapsed="false">
      <c r="A83" s="7" t="s">
        <v>320</v>
      </c>
      <c r="B83" s="7" t="s">
        <v>332</v>
      </c>
      <c r="C83" s="7" t="s">
        <v>333</v>
      </c>
      <c r="D83" s="7" t="n">
        <v>2005</v>
      </c>
      <c r="E83" s="7" t="s">
        <v>82</v>
      </c>
      <c r="F83" s="7" t="s">
        <v>78</v>
      </c>
      <c r="G83" s="7" t="s">
        <v>66</v>
      </c>
      <c r="H83" s="7" t="n">
        <v>40.2</v>
      </c>
      <c r="I83" s="7" t="str">
        <f aca="false">IF(B83="",TRIM(C83),TRIM(B83))</f>
        <v>Benin Demographic and Health Survey, 2006</v>
      </c>
      <c r="J83" s="7" t="str">
        <f aca="false">IF(ISNUMBER(SEARCH("Demographic and Health",I83)),"DHS",IF(OR(ISNUMBER(SEARCH("Multiple Indicator Cluster",I83)),ISNUMBER(SEARCH("MICS",I83))),"MICS","Other"))</f>
        <v>DHS</v>
      </c>
      <c r="K83" s="7" t="n">
        <f aca="false">IF(AND(F83="Record or Recall",G83="12-23 m"),1,0)</f>
        <v>0</v>
      </c>
      <c r="L83" s="7" t="n">
        <f aca="false">IF(OR(J83="DHS",J83="MICS"),1,0)</f>
        <v>1</v>
      </c>
    </row>
    <row r="84" customFormat="false" ht="15" hidden="false" customHeight="false" outlineLevel="0" collapsed="false">
      <c r="A84" s="7" t="s">
        <v>320</v>
      </c>
      <c r="B84" s="7" t="s">
        <v>332</v>
      </c>
      <c r="C84" s="7" t="s">
        <v>333</v>
      </c>
      <c r="D84" s="7" t="n">
        <v>2005</v>
      </c>
      <c r="E84" s="7" t="s">
        <v>82</v>
      </c>
      <c r="F84" s="7" t="s">
        <v>86</v>
      </c>
      <c r="G84" s="7" t="s">
        <v>66</v>
      </c>
      <c r="H84" s="7" t="n">
        <v>40.6</v>
      </c>
      <c r="I84" s="7" t="str">
        <f aca="false">IF(B84="",TRIM(C84),TRIM(B84))</f>
        <v>Benin Demographic and Health Survey, 2006</v>
      </c>
      <c r="J84" s="7" t="str">
        <f aca="false">IF(ISNUMBER(SEARCH("Demographic and Health",I84)),"DHS",IF(OR(ISNUMBER(SEARCH("Multiple Indicator Cluster",I84)),ISNUMBER(SEARCH("MICS",I84))),"MICS","Other"))</f>
        <v>DHS</v>
      </c>
      <c r="K84" s="7" t="n">
        <f aca="false">IF(AND(F84="Record or Recall",G84="12-23 m"),1,0)</f>
        <v>0</v>
      </c>
      <c r="L84" s="7" t="n">
        <f aca="false">IF(OR(J84="DHS",J84="MICS"),1,0)</f>
        <v>1</v>
      </c>
    </row>
    <row r="85" customFormat="false" ht="15" hidden="false" customHeight="false" outlineLevel="0" collapsed="false">
      <c r="A85" s="7" t="s">
        <v>320</v>
      </c>
      <c r="B85" s="7" t="s">
        <v>332</v>
      </c>
      <c r="C85" s="7" t="s">
        <v>333</v>
      </c>
      <c r="D85" s="7" t="n">
        <v>2005</v>
      </c>
      <c r="E85" s="7" t="s">
        <v>82</v>
      </c>
      <c r="F85" s="7" t="s">
        <v>63</v>
      </c>
      <c r="G85" s="7" t="s">
        <v>66</v>
      </c>
      <c r="H85" s="7" t="n">
        <v>47.1</v>
      </c>
      <c r="I85" s="7" t="str">
        <f aca="false">IF(B85="",TRIM(C85),TRIM(B85))</f>
        <v>Benin Demographic and Health Survey, 2006</v>
      </c>
      <c r="J85" s="7" t="str">
        <f aca="false">IF(ISNUMBER(SEARCH("Demographic and Health",I85)),"DHS",IF(OR(ISNUMBER(SEARCH("Multiple Indicator Cluster",I85)),ISNUMBER(SEARCH("MICS",I85))),"MICS","Other"))</f>
        <v>DHS</v>
      </c>
      <c r="K85" s="7" t="n">
        <f aca="false">IF(AND(F85="Record or Recall",G85="12-23 m"),1,0)</f>
        <v>1</v>
      </c>
      <c r="L85" s="7" t="n">
        <f aca="false">IF(OR(J85="DHS",J85="MICS"),1,0)</f>
        <v>1</v>
      </c>
    </row>
    <row r="86" customFormat="false" ht="15" hidden="false" customHeight="false" outlineLevel="0" collapsed="false">
      <c r="A86" s="7" t="s">
        <v>320</v>
      </c>
      <c r="B86" s="7" t="s">
        <v>332</v>
      </c>
      <c r="C86" s="7" t="s">
        <v>333</v>
      </c>
      <c r="D86" s="7" t="n">
        <v>2005</v>
      </c>
      <c r="E86" s="7" t="s">
        <v>82</v>
      </c>
      <c r="F86" s="7" t="s">
        <v>87</v>
      </c>
      <c r="G86" s="7" t="s">
        <v>66</v>
      </c>
      <c r="H86" s="7" t="n">
        <v>6.5</v>
      </c>
      <c r="I86" s="7" t="str">
        <f aca="false">IF(B86="",TRIM(C86),TRIM(B86))</f>
        <v>Benin Demographic and Health Survey, 2006</v>
      </c>
      <c r="J86" s="7" t="str">
        <f aca="false">IF(ISNUMBER(SEARCH("Demographic and Health",I86)),"DHS",IF(OR(ISNUMBER(SEARCH("Multiple Indicator Cluster",I86)),ISNUMBER(SEARCH("MICS",I86))),"MICS","Other"))</f>
        <v>DHS</v>
      </c>
      <c r="K86" s="7" t="n">
        <f aca="false">IF(AND(F86="Record or Recall",G86="12-23 m"),1,0)</f>
        <v>0</v>
      </c>
      <c r="L86" s="7" t="n">
        <f aca="false">IF(OR(J86="DHS",J86="MICS"),1,0)</f>
        <v>1</v>
      </c>
    </row>
    <row r="87" customFormat="false" ht="15" hidden="false" customHeight="false" outlineLevel="0" collapsed="false">
      <c r="A87" s="7" t="s">
        <v>320</v>
      </c>
      <c r="B87" s="7" t="s">
        <v>332</v>
      </c>
      <c r="C87" s="7" t="s">
        <v>333</v>
      </c>
      <c r="D87" s="7" t="n">
        <v>2005</v>
      </c>
      <c r="E87" s="7" t="s">
        <v>68</v>
      </c>
      <c r="F87" s="7" t="s">
        <v>78</v>
      </c>
      <c r="G87" s="7" t="s">
        <v>66</v>
      </c>
      <c r="H87" s="7" t="n">
        <v>51.1</v>
      </c>
      <c r="I87" s="7" t="str">
        <f aca="false">IF(B87="",TRIM(C87),TRIM(B87))</f>
        <v>Benin Demographic and Health Survey, 2006</v>
      </c>
      <c r="J87" s="7" t="str">
        <f aca="false">IF(ISNUMBER(SEARCH("Demographic and Health",I87)),"DHS",IF(OR(ISNUMBER(SEARCH("Multiple Indicator Cluster",I87)),ISNUMBER(SEARCH("MICS",I87))),"MICS","Other"))</f>
        <v>DHS</v>
      </c>
      <c r="K87" s="7" t="n">
        <f aca="false">IF(AND(F87="Record or Recall",G87="12-23 m"),1,0)</f>
        <v>0</v>
      </c>
      <c r="L87" s="7" t="n">
        <f aca="false">IF(OR(J87="DHS",J87="MICS"),1,0)</f>
        <v>1</v>
      </c>
    </row>
    <row r="88" customFormat="false" ht="15" hidden="false" customHeight="false" outlineLevel="0" collapsed="false">
      <c r="A88" s="7" t="s">
        <v>320</v>
      </c>
      <c r="B88" s="7" t="s">
        <v>332</v>
      </c>
      <c r="C88" s="7" t="s">
        <v>333</v>
      </c>
      <c r="D88" s="7" t="n">
        <v>2005</v>
      </c>
      <c r="E88" s="7" t="s">
        <v>68</v>
      </c>
      <c r="F88" s="7" t="s">
        <v>86</v>
      </c>
      <c r="G88" s="7" t="s">
        <v>66</v>
      </c>
      <c r="H88" s="7" t="n">
        <v>44.6</v>
      </c>
      <c r="I88" s="7" t="str">
        <f aca="false">IF(B88="",TRIM(C88),TRIM(B88))</f>
        <v>Benin Demographic and Health Survey, 2006</v>
      </c>
      <c r="J88" s="7" t="str">
        <f aca="false">IF(ISNUMBER(SEARCH("Demographic and Health",I88)),"DHS",IF(OR(ISNUMBER(SEARCH("Multiple Indicator Cluster",I88)),ISNUMBER(SEARCH("MICS",I88))),"MICS","Other"))</f>
        <v>DHS</v>
      </c>
      <c r="K88" s="7" t="n">
        <f aca="false">IF(AND(F88="Record or Recall",G88="12-23 m"),1,0)</f>
        <v>0</v>
      </c>
      <c r="L88" s="7" t="n">
        <f aca="false">IF(OR(J88="DHS",J88="MICS"),1,0)</f>
        <v>1</v>
      </c>
    </row>
    <row r="89" customFormat="false" ht="15" hidden="false" customHeight="false" outlineLevel="0" collapsed="false">
      <c r="A89" s="7" t="s">
        <v>320</v>
      </c>
      <c r="B89" s="7" t="s">
        <v>332</v>
      </c>
      <c r="C89" s="7" t="s">
        <v>333</v>
      </c>
      <c r="D89" s="7" t="n">
        <v>2005</v>
      </c>
      <c r="E89" s="7" t="s">
        <v>68</v>
      </c>
      <c r="F89" s="7" t="s">
        <v>63</v>
      </c>
      <c r="G89" s="7" t="s">
        <v>66</v>
      </c>
      <c r="H89" s="7" t="n">
        <v>61.1</v>
      </c>
      <c r="I89" s="7" t="str">
        <f aca="false">IF(B89="",TRIM(C89),TRIM(B89))</f>
        <v>Benin Demographic and Health Survey, 2006</v>
      </c>
      <c r="J89" s="7" t="str">
        <f aca="false">IF(ISNUMBER(SEARCH("Demographic and Health",I89)),"DHS",IF(OR(ISNUMBER(SEARCH("Multiple Indicator Cluster",I89)),ISNUMBER(SEARCH("MICS",I89))),"MICS","Other"))</f>
        <v>DHS</v>
      </c>
      <c r="K89" s="7" t="n">
        <f aca="false">IF(AND(F89="Record or Recall",G89="12-23 m"),1,0)</f>
        <v>1</v>
      </c>
      <c r="L89" s="7" t="n">
        <f aca="false">IF(OR(J89="DHS",J89="MICS"),1,0)</f>
        <v>1</v>
      </c>
    </row>
    <row r="90" customFormat="false" ht="15" hidden="false" customHeight="false" outlineLevel="0" collapsed="false">
      <c r="A90" s="7" t="s">
        <v>320</v>
      </c>
      <c r="B90" s="7" t="s">
        <v>332</v>
      </c>
      <c r="C90" s="7" t="s">
        <v>333</v>
      </c>
      <c r="D90" s="7" t="n">
        <v>2005</v>
      </c>
      <c r="E90" s="7" t="s">
        <v>68</v>
      </c>
      <c r="F90" s="7" t="s">
        <v>87</v>
      </c>
      <c r="G90" s="7" t="s">
        <v>66</v>
      </c>
      <c r="H90" s="7" t="n">
        <v>16.5</v>
      </c>
      <c r="I90" s="7" t="str">
        <f aca="false">IF(B90="",TRIM(C90),TRIM(B90))</f>
        <v>Benin Demographic and Health Survey, 2006</v>
      </c>
      <c r="J90" s="7" t="str">
        <f aca="false">IF(ISNUMBER(SEARCH("Demographic and Health",I90)),"DHS",IF(OR(ISNUMBER(SEARCH("Multiple Indicator Cluster",I90)),ISNUMBER(SEARCH("MICS",I90))),"MICS","Other"))</f>
        <v>DHS</v>
      </c>
      <c r="K90" s="7" t="n">
        <f aca="false">IF(AND(F90="Record or Recall",G90="12-23 m"),1,0)</f>
        <v>0</v>
      </c>
      <c r="L90" s="7" t="n">
        <f aca="false">IF(OR(J90="DHS",J90="MICS"),1,0)</f>
        <v>1</v>
      </c>
    </row>
    <row r="91" customFormat="false" ht="15" hidden="false" customHeight="false" outlineLevel="0" collapsed="false">
      <c r="A91" s="7" t="s">
        <v>320</v>
      </c>
      <c r="B91" s="7" t="s">
        <v>332</v>
      </c>
      <c r="C91" s="7" t="s">
        <v>333</v>
      </c>
      <c r="D91" s="7" t="n">
        <v>2005</v>
      </c>
      <c r="E91" s="7" t="s">
        <v>69</v>
      </c>
      <c r="F91" s="7" t="s">
        <v>78</v>
      </c>
      <c r="G91" s="7" t="s">
        <v>66</v>
      </c>
      <c r="H91" s="7" t="n">
        <v>61.6</v>
      </c>
      <c r="I91" s="7" t="str">
        <f aca="false">IF(B91="",TRIM(C91),TRIM(B91))</f>
        <v>Benin Demographic and Health Survey, 2006</v>
      </c>
      <c r="J91" s="7" t="str">
        <f aca="false">IF(ISNUMBER(SEARCH("Demographic and Health",I91)),"DHS",IF(OR(ISNUMBER(SEARCH("Multiple Indicator Cluster",I91)),ISNUMBER(SEARCH("MICS",I91))),"MICS","Other"))</f>
        <v>DHS</v>
      </c>
      <c r="K91" s="7" t="n">
        <f aca="false">IF(AND(F91="Record or Recall",G91="12-23 m"),1,0)</f>
        <v>0</v>
      </c>
      <c r="L91" s="7" t="n">
        <f aca="false">IF(OR(J91="DHS",J91="MICS"),1,0)</f>
        <v>1</v>
      </c>
    </row>
    <row r="92" customFormat="false" ht="15" hidden="false" customHeight="false" outlineLevel="0" collapsed="false">
      <c r="A92" s="7" t="s">
        <v>320</v>
      </c>
      <c r="B92" s="7" t="s">
        <v>332</v>
      </c>
      <c r="C92" s="7" t="s">
        <v>333</v>
      </c>
      <c r="D92" s="7" t="n">
        <v>2005</v>
      </c>
      <c r="E92" s="7" t="s">
        <v>69</v>
      </c>
      <c r="F92" s="7" t="s">
        <v>86</v>
      </c>
      <c r="G92" s="7" t="s">
        <v>66</v>
      </c>
      <c r="H92" s="7" t="n">
        <v>52.2</v>
      </c>
      <c r="I92" s="7" t="str">
        <f aca="false">IF(B92="",TRIM(C92),TRIM(B92))</f>
        <v>Benin Demographic and Health Survey, 2006</v>
      </c>
      <c r="J92" s="7" t="str">
        <f aca="false">IF(ISNUMBER(SEARCH("Demographic and Health",I92)),"DHS",IF(OR(ISNUMBER(SEARCH("Multiple Indicator Cluster",I92)),ISNUMBER(SEARCH("MICS",I92))),"MICS","Other"))</f>
        <v>DHS</v>
      </c>
      <c r="K92" s="7" t="n">
        <f aca="false">IF(AND(F92="Record or Recall",G92="12-23 m"),1,0)</f>
        <v>0</v>
      </c>
      <c r="L92" s="7" t="n">
        <f aca="false">IF(OR(J92="DHS",J92="MICS"),1,0)</f>
        <v>1</v>
      </c>
    </row>
    <row r="93" customFormat="false" ht="15" hidden="false" customHeight="false" outlineLevel="0" collapsed="false">
      <c r="A93" s="7" t="s">
        <v>320</v>
      </c>
      <c r="B93" s="7" t="s">
        <v>332</v>
      </c>
      <c r="C93" s="7" t="s">
        <v>333</v>
      </c>
      <c r="D93" s="7" t="n">
        <v>2005</v>
      </c>
      <c r="E93" s="7" t="s">
        <v>69</v>
      </c>
      <c r="F93" s="7" t="s">
        <v>63</v>
      </c>
      <c r="G93" s="7" t="s">
        <v>66</v>
      </c>
      <c r="H93" s="7" t="n">
        <v>63.9</v>
      </c>
      <c r="I93" s="7" t="str">
        <f aca="false">IF(B93="",TRIM(C93),TRIM(B93))</f>
        <v>Benin Demographic and Health Survey, 2006</v>
      </c>
      <c r="J93" s="7" t="str">
        <f aca="false">IF(ISNUMBER(SEARCH("Demographic and Health",I93)),"DHS",IF(OR(ISNUMBER(SEARCH("Multiple Indicator Cluster",I93)),ISNUMBER(SEARCH("MICS",I93))),"MICS","Other"))</f>
        <v>DHS</v>
      </c>
      <c r="K93" s="7" t="n">
        <f aca="false">IF(AND(F93="Record or Recall",G93="12-23 m"),1,0)</f>
        <v>1</v>
      </c>
      <c r="L93" s="7" t="n">
        <f aca="false">IF(OR(J93="DHS",J93="MICS"),1,0)</f>
        <v>1</v>
      </c>
    </row>
    <row r="94" customFormat="false" ht="15" hidden="false" customHeight="false" outlineLevel="0" collapsed="false">
      <c r="A94" s="7" t="s">
        <v>320</v>
      </c>
      <c r="B94" s="7" t="s">
        <v>332</v>
      </c>
      <c r="C94" s="7" t="s">
        <v>333</v>
      </c>
      <c r="D94" s="7" t="n">
        <v>2005</v>
      </c>
      <c r="E94" s="7" t="s">
        <v>69</v>
      </c>
      <c r="F94" s="7" t="s">
        <v>87</v>
      </c>
      <c r="G94" s="7" t="s">
        <v>66</v>
      </c>
      <c r="H94" s="7" t="n">
        <v>11.7</v>
      </c>
      <c r="I94" s="7" t="str">
        <f aca="false">IF(B94="",TRIM(C94),TRIM(B94))</f>
        <v>Benin Demographic and Health Survey, 2006</v>
      </c>
      <c r="J94" s="7" t="str">
        <f aca="false">IF(ISNUMBER(SEARCH("Demographic and Health",I94)),"DHS",IF(OR(ISNUMBER(SEARCH("Multiple Indicator Cluster",I94)),ISNUMBER(SEARCH("MICS",I94))),"MICS","Other"))</f>
        <v>DHS</v>
      </c>
      <c r="K94" s="7" t="n">
        <f aca="false">IF(AND(F94="Record or Recall",G94="12-23 m"),1,0)</f>
        <v>0</v>
      </c>
      <c r="L94" s="7" t="n">
        <f aca="false">IF(OR(J94="DHS",J94="MICS"),1,0)</f>
        <v>1</v>
      </c>
    </row>
    <row r="95" customFormat="false" ht="15" hidden="false" customHeight="false" outlineLevel="0" collapsed="false">
      <c r="A95" s="7" t="s">
        <v>320</v>
      </c>
      <c r="B95" s="7" t="s">
        <v>334</v>
      </c>
      <c r="C95" s="7" t="s">
        <v>335</v>
      </c>
      <c r="D95" s="7" t="n">
        <v>2007</v>
      </c>
      <c r="E95" s="7" t="s">
        <v>62</v>
      </c>
      <c r="F95" s="7" t="s">
        <v>86</v>
      </c>
      <c r="G95" s="7" t="s">
        <v>66</v>
      </c>
      <c r="H95" s="7" t="n">
        <v>94</v>
      </c>
      <c r="I95" s="7" t="str">
        <f aca="false">IF(B95="",TRIM(C95),TRIM(B95))</f>
        <v>External Review of the Extended Programme on Immunisation, 2008</v>
      </c>
      <c r="J95" s="7" t="str">
        <f aca="false">IF(ISNUMBER(SEARCH("Demographic and Health",I95)),"DHS",IF(OR(ISNUMBER(SEARCH("Multiple Indicator Cluster",I95)),ISNUMBER(SEARCH("MICS",I95))),"MICS","Other"))</f>
        <v>Other</v>
      </c>
      <c r="K95" s="7" t="n">
        <f aca="false">IF(AND(F95="Record or Recall",G95="12-23 m"),1,0)</f>
        <v>0</v>
      </c>
      <c r="L95" s="7" t="n">
        <f aca="false">IF(OR(J95="DHS",J95="MICS"),1,0)</f>
        <v>0</v>
      </c>
    </row>
    <row r="96" customFormat="false" ht="15" hidden="false" customHeight="false" outlineLevel="0" collapsed="false">
      <c r="A96" s="7" t="s">
        <v>320</v>
      </c>
      <c r="B96" s="7" t="s">
        <v>334</v>
      </c>
      <c r="C96" s="7" t="s">
        <v>335</v>
      </c>
      <c r="D96" s="7" t="n">
        <v>2007</v>
      </c>
      <c r="E96" s="7" t="s">
        <v>62</v>
      </c>
      <c r="F96" s="7" t="s">
        <v>63</v>
      </c>
      <c r="G96" s="7" t="s">
        <v>66</v>
      </c>
      <c r="H96" s="7" t="n">
        <v>97</v>
      </c>
      <c r="I96" s="7" t="str">
        <f aca="false">IF(B96="",TRIM(C96),TRIM(B96))</f>
        <v>External Review of the Extended Programme on Immunisation, 2008</v>
      </c>
      <c r="J96" s="7" t="str">
        <f aca="false">IF(ISNUMBER(SEARCH("Demographic and Health",I96)),"DHS",IF(OR(ISNUMBER(SEARCH("Multiple Indicator Cluster",I96)),ISNUMBER(SEARCH("MICS",I96))),"MICS","Other"))</f>
        <v>Other</v>
      </c>
      <c r="K96" s="7" t="n">
        <f aca="false">IF(AND(F96="Record or Recall",G96="12-23 m"),1,0)</f>
        <v>1</v>
      </c>
      <c r="L96" s="7" t="n">
        <f aca="false">IF(OR(J96="DHS",J96="MICS"),1,0)</f>
        <v>0</v>
      </c>
    </row>
    <row r="97" customFormat="false" ht="15" hidden="false" customHeight="false" outlineLevel="0" collapsed="false">
      <c r="A97" s="7" t="s">
        <v>320</v>
      </c>
      <c r="B97" s="7" t="s">
        <v>334</v>
      </c>
      <c r="C97" s="7" t="s">
        <v>335</v>
      </c>
      <c r="D97" s="7" t="n">
        <v>2007</v>
      </c>
      <c r="E97" s="7" t="s">
        <v>81</v>
      </c>
      <c r="F97" s="7" t="s">
        <v>86</v>
      </c>
      <c r="G97" s="7" t="s">
        <v>66</v>
      </c>
      <c r="H97" s="7" t="n">
        <v>71</v>
      </c>
      <c r="I97" s="7" t="str">
        <f aca="false">IF(B97="",TRIM(C97),TRIM(B97))</f>
        <v>External Review of the Extended Programme on Immunisation, 2008</v>
      </c>
      <c r="J97" s="7" t="str">
        <f aca="false">IF(ISNUMBER(SEARCH("Demographic and Health",I97)),"DHS",IF(OR(ISNUMBER(SEARCH("Multiple Indicator Cluster",I97)),ISNUMBER(SEARCH("MICS",I97))),"MICS","Other"))</f>
        <v>Other</v>
      </c>
      <c r="K97" s="7" t="n">
        <f aca="false">IF(AND(F97="Record or Recall",G97="12-23 m"),1,0)</f>
        <v>0</v>
      </c>
      <c r="L97" s="7" t="n">
        <f aca="false">IF(OR(J97="DHS",J97="MICS"),1,0)</f>
        <v>0</v>
      </c>
    </row>
    <row r="98" customFormat="false" ht="15" hidden="false" customHeight="false" outlineLevel="0" collapsed="false">
      <c r="A98" s="7" t="s">
        <v>320</v>
      </c>
      <c r="B98" s="7" t="s">
        <v>334</v>
      </c>
      <c r="C98" s="7" t="s">
        <v>335</v>
      </c>
      <c r="D98" s="7" t="n">
        <v>2007</v>
      </c>
      <c r="E98" s="7" t="s">
        <v>81</v>
      </c>
      <c r="F98" s="7" t="s">
        <v>63</v>
      </c>
      <c r="G98" s="7" t="s">
        <v>66</v>
      </c>
      <c r="H98" s="7" t="n">
        <v>94</v>
      </c>
      <c r="I98" s="7" t="str">
        <f aca="false">IF(B98="",TRIM(C98),TRIM(B98))</f>
        <v>External Review of the Extended Programme on Immunisation, 2008</v>
      </c>
      <c r="J98" s="7" t="str">
        <f aca="false">IF(ISNUMBER(SEARCH("Demographic and Health",I98)),"DHS",IF(OR(ISNUMBER(SEARCH("Multiple Indicator Cluster",I98)),ISNUMBER(SEARCH("MICS",I98))),"MICS","Other"))</f>
        <v>Other</v>
      </c>
      <c r="K98" s="7" t="n">
        <f aca="false">IF(AND(F98="Record or Recall",G98="12-23 m"),1,0)</f>
        <v>1</v>
      </c>
      <c r="L98" s="7" t="n">
        <f aca="false">IF(OR(J98="DHS",J98="MICS"),1,0)</f>
        <v>0</v>
      </c>
    </row>
    <row r="99" customFormat="false" ht="15" hidden="false" customHeight="false" outlineLevel="0" collapsed="false">
      <c r="A99" s="7" t="s">
        <v>320</v>
      </c>
      <c r="B99" s="7" t="s">
        <v>334</v>
      </c>
      <c r="C99" s="7" t="s">
        <v>335</v>
      </c>
      <c r="D99" s="7" t="n">
        <v>2007</v>
      </c>
      <c r="E99" s="7" t="s">
        <v>67</v>
      </c>
      <c r="F99" s="7" t="s">
        <v>86</v>
      </c>
      <c r="G99" s="7" t="s">
        <v>66</v>
      </c>
      <c r="H99" s="7" t="n">
        <v>62</v>
      </c>
      <c r="I99" s="7" t="str">
        <f aca="false">IF(B99="",TRIM(C99),TRIM(B99))</f>
        <v>External Review of the Extended Programme on Immunisation, 2008</v>
      </c>
      <c r="J99" s="7" t="str">
        <f aca="false">IF(ISNUMBER(SEARCH("Demographic and Health",I99)),"DHS",IF(OR(ISNUMBER(SEARCH("Multiple Indicator Cluster",I99)),ISNUMBER(SEARCH("MICS",I99))),"MICS","Other"))</f>
        <v>Other</v>
      </c>
      <c r="K99" s="7" t="n">
        <f aca="false">IF(AND(F99="Record or Recall",G99="12-23 m"),1,0)</f>
        <v>0</v>
      </c>
      <c r="L99" s="7" t="n">
        <f aca="false">IF(OR(J99="DHS",J99="MICS"),1,0)</f>
        <v>0</v>
      </c>
    </row>
    <row r="100" customFormat="false" ht="15" hidden="false" customHeight="false" outlineLevel="0" collapsed="false">
      <c r="A100" s="7" t="s">
        <v>320</v>
      </c>
      <c r="B100" s="7" t="s">
        <v>334</v>
      </c>
      <c r="C100" s="7" t="s">
        <v>335</v>
      </c>
      <c r="D100" s="7" t="n">
        <v>2007</v>
      </c>
      <c r="E100" s="7" t="s">
        <v>67</v>
      </c>
      <c r="F100" s="7" t="s">
        <v>63</v>
      </c>
      <c r="G100" s="7" t="s">
        <v>66</v>
      </c>
      <c r="H100" s="7" t="n">
        <v>82</v>
      </c>
      <c r="I100" s="7" t="str">
        <f aca="false">IF(B100="",TRIM(C100),TRIM(B100))</f>
        <v>External Review of the Extended Programme on Immunisation, 2008</v>
      </c>
      <c r="J100" s="7" t="str">
        <f aca="false">IF(ISNUMBER(SEARCH("Demographic and Health",I100)),"DHS",IF(OR(ISNUMBER(SEARCH("Multiple Indicator Cluster",I100)),ISNUMBER(SEARCH("MICS",I100))),"MICS","Other"))</f>
        <v>Other</v>
      </c>
      <c r="K100" s="7" t="n">
        <f aca="false">IF(AND(F100="Record or Recall",G100="12-23 m"),1,0)</f>
        <v>1</v>
      </c>
      <c r="L100" s="7" t="n">
        <f aca="false">IF(OR(J100="DHS",J100="MICS"),1,0)</f>
        <v>0</v>
      </c>
    </row>
    <row r="101" customFormat="false" ht="15" hidden="false" customHeight="false" outlineLevel="0" collapsed="false">
      <c r="A101" s="7" t="s">
        <v>320</v>
      </c>
      <c r="B101" s="7" t="s">
        <v>334</v>
      </c>
      <c r="C101" s="7" t="s">
        <v>335</v>
      </c>
      <c r="D101" s="7" t="n">
        <v>2007</v>
      </c>
      <c r="E101" s="7" t="s">
        <v>68</v>
      </c>
      <c r="F101" s="7" t="s">
        <v>86</v>
      </c>
      <c r="G101" s="7" t="s">
        <v>66</v>
      </c>
      <c r="H101" s="7" t="n">
        <v>53</v>
      </c>
      <c r="I101" s="7" t="str">
        <f aca="false">IF(B101="",TRIM(C101),TRIM(B101))</f>
        <v>External Review of the Extended Programme on Immunisation, 2008</v>
      </c>
      <c r="J101" s="7" t="str">
        <f aca="false">IF(ISNUMBER(SEARCH("Demographic and Health",I101)),"DHS",IF(OR(ISNUMBER(SEARCH("Multiple Indicator Cluster",I101)),ISNUMBER(SEARCH("MICS",I101))),"MICS","Other"))</f>
        <v>Other</v>
      </c>
      <c r="K101" s="7" t="n">
        <f aca="false">IF(AND(F101="Record or Recall",G101="12-23 m"),1,0)</f>
        <v>0</v>
      </c>
      <c r="L101" s="7" t="n">
        <f aca="false">IF(OR(J101="DHS",J101="MICS"),1,0)</f>
        <v>0</v>
      </c>
    </row>
    <row r="102" customFormat="false" ht="15" hidden="false" customHeight="false" outlineLevel="0" collapsed="false">
      <c r="A102" s="7" t="s">
        <v>320</v>
      </c>
      <c r="B102" s="7" t="s">
        <v>334</v>
      </c>
      <c r="C102" s="7" t="s">
        <v>335</v>
      </c>
      <c r="D102" s="7" t="n">
        <v>2007</v>
      </c>
      <c r="E102" s="7" t="s">
        <v>68</v>
      </c>
      <c r="F102" s="7" t="s">
        <v>63</v>
      </c>
      <c r="G102" s="7" t="s">
        <v>66</v>
      </c>
      <c r="H102" s="7" t="n">
        <v>70</v>
      </c>
      <c r="I102" s="7" t="str">
        <f aca="false">IF(B102="",TRIM(C102),TRIM(B102))</f>
        <v>External Review of the Extended Programme on Immunisation, 2008</v>
      </c>
      <c r="J102" s="7" t="str">
        <f aca="false">IF(ISNUMBER(SEARCH("Demographic and Health",I102)),"DHS",IF(OR(ISNUMBER(SEARCH("Multiple Indicator Cluster",I102)),ISNUMBER(SEARCH("MICS",I102))),"MICS","Other"))</f>
        <v>Other</v>
      </c>
      <c r="K102" s="7" t="n">
        <f aca="false">IF(AND(F102="Record or Recall",G102="12-23 m"),1,0)</f>
        <v>1</v>
      </c>
      <c r="L102" s="7" t="n">
        <f aca="false">IF(OR(J102="DHS",J102="MICS"),1,0)</f>
        <v>0</v>
      </c>
    </row>
    <row r="103" customFormat="false" ht="15" hidden="false" customHeight="false" outlineLevel="0" collapsed="false">
      <c r="A103" s="7" t="s">
        <v>320</v>
      </c>
      <c r="B103" s="7" t="s">
        <v>334</v>
      </c>
      <c r="C103" s="7" t="s">
        <v>335</v>
      </c>
      <c r="D103" s="7" t="n">
        <v>2007</v>
      </c>
      <c r="E103" s="7" t="s">
        <v>69</v>
      </c>
      <c r="F103" s="7" t="s">
        <v>86</v>
      </c>
      <c r="G103" s="7" t="s">
        <v>66</v>
      </c>
      <c r="H103" s="7" t="n">
        <v>62</v>
      </c>
      <c r="I103" s="7" t="str">
        <f aca="false">IF(B103="",TRIM(C103),TRIM(B103))</f>
        <v>External Review of the Extended Programme on Immunisation, 2008</v>
      </c>
      <c r="J103" s="7" t="str">
        <f aca="false">IF(ISNUMBER(SEARCH("Demographic and Health",I103)),"DHS",IF(OR(ISNUMBER(SEARCH("Multiple Indicator Cluster",I103)),ISNUMBER(SEARCH("MICS",I103))),"MICS","Other"))</f>
        <v>Other</v>
      </c>
      <c r="K103" s="7" t="n">
        <f aca="false">IF(AND(F103="Record or Recall",G103="12-23 m"),1,0)</f>
        <v>0</v>
      </c>
      <c r="L103" s="7" t="n">
        <f aca="false">IF(OR(J103="DHS",J103="MICS"),1,0)</f>
        <v>0</v>
      </c>
    </row>
    <row r="104" customFormat="false" ht="15" hidden="false" customHeight="false" outlineLevel="0" collapsed="false">
      <c r="A104" s="7" t="s">
        <v>320</v>
      </c>
      <c r="B104" s="7" t="s">
        <v>334</v>
      </c>
      <c r="C104" s="7" t="s">
        <v>335</v>
      </c>
      <c r="D104" s="7" t="n">
        <v>2007</v>
      </c>
      <c r="E104" s="7" t="s">
        <v>69</v>
      </c>
      <c r="F104" s="7" t="s">
        <v>63</v>
      </c>
      <c r="G104" s="7" t="s">
        <v>66</v>
      </c>
      <c r="H104" s="7" t="n">
        <v>82</v>
      </c>
      <c r="I104" s="7" t="str">
        <f aca="false">IF(B104="",TRIM(C104),TRIM(B104))</f>
        <v>External Review of the Extended Programme on Immunisation, 2008</v>
      </c>
      <c r="J104" s="7" t="str">
        <f aca="false">IF(ISNUMBER(SEARCH("Demographic and Health",I104)),"DHS",IF(OR(ISNUMBER(SEARCH("Multiple Indicator Cluster",I104)),ISNUMBER(SEARCH("MICS",I104))),"MICS","Other"))</f>
        <v>Other</v>
      </c>
      <c r="K104" s="7" t="n">
        <f aca="false">IF(AND(F104="Record or Recall",G104="12-23 m"),1,0)</f>
        <v>1</v>
      </c>
      <c r="L104" s="7" t="n">
        <f aca="false">IF(OR(J104="DHS",J104="MICS"),1,0)</f>
        <v>0</v>
      </c>
    </row>
    <row r="105" customFormat="false" ht="15" hidden="false" customHeight="false" outlineLevel="0" collapsed="false">
      <c r="A105" s="7" t="s">
        <v>320</v>
      </c>
      <c r="B105" s="7" t="s">
        <v>336</v>
      </c>
      <c r="C105" s="7" t="s">
        <v>337</v>
      </c>
      <c r="D105" s="7" t="n">
        <v>2011</v>
      </c>
      <c r="E105" s="7" t="s">
        <v>62</v>
      </c>
      <c r="F105" s="7" t="s">
        <v>78</v>
      </c>
      <c r="G105" s="7" t="s">
        <v>66</v>
      </c>
      <c r="H105" s="7" t="n">
        <v>87.1</v>
      </c>
      <c r="I105" s="7" t="str">
        <f aca="false">IF(B105="",TRIM(C105),TRIM(B105))</f>
        <v>Benin Demographic and Health Survey EDSB IV 2011-2012</v>
      </c>
      <c r="J105" s="7" t="str">
        <f aca="false">IF(ISNUMBER(SEARCH("Demographic and Health",I105)),"DHS",IF(OR(ISNUMBER(SEARCH("Multiple Indicator Cluster",I105)),ISNUMBER(SEARCH("MICS",I105))),"MICS","Other"))</f>
        <v>DHS</v>
      </c>
      <c r="K105" s="7" t="n">
        <f aca="false">IF(AND(F105="Record or Recall",G105="12-23 m"),1,0)</f>
        <v>0</v>
      </c>
      <c r="L105" s="7" t="n">
        <f aca="false">IF(OR(J105="DHS",J105="MICS"),1,0)</f>
        <v>1</v>
      </c>
    </row>
    <row r="106" customFormat="false" ht="15" hidden="false" customHeight="false" outlineLevel="0" collapsed="false">
      <c r="A106" s="7" t="s">
        <v>320</v>
      </c>
      <c r="B106" s="7" t="s">
        <v>336</v>
      </c>
      <c r="C106" s="7" t="s">
        <v>337</v>
      </c>
      <c r="D106" s="7" t="n">
        <v>2011</v>
      </c>
      <c r="E106" s="7" t="s">
        <v>62</v>
      </c>
      <c r="F106" s="7" t="s">
        <v>86</v>
      </c>
      <c r="G106" s="7" t="s">
        <v>66</v>
      </c>
      <c r="H106" s="7" t="n">
        <v>53.3</v>
      </c>
      <c r="I106" s="7" t="str">
        <f aca="false">IF(B106="",TRIM(C106),TRIM(B106))</f>
        <v>Benin Demographic and Health Survey EDSB IV 2011-2012</v>
      </c>
      <c r="J106" s="7" t="str">
        <f aca="false">IF(ISNUMBER(SEARCH("Demographic and Health",I106)),"DHS",IF(OR(ISNUMBER(SEARCH("Multiple Indicator Cluster",I106)),ISNUMBER(SEARCH("MICS",I106))),"MICS","Other"))</f>
        <v>DHS</v>
      </c>
      <c r="K106" s="7" t="n">
        <f aca="false">IF(AND(F106="Record or Recall",G106="12-23 m"),1,0)</f>
        <v>0</v>
      </c>
      <c r="L106" s="7" t="n">
        <f aca="false">IF(OR(J106="DHS",J106="MICS"),1,0)</f>
        <v>1</v>
      </c>
    </row>
    <row r="107" customFormat="false" ht="15" hidden="false" customHeight="false" outlineLevel="0" collapsed="false">
      <c r="A107" s="7" t="s">
        <v>320</v>
      </c>
      <c r="B107" s="7" t="s">
        <v>336</v>
      </c>
      <c r="C107" s="7" t="s">
        <v>337</v>
      </c>
      <c r="D107" s="7" t="n">
        <v>2011</v>
      </c>
      <c r="E107" s="7" t="s">
        <v>62</v>
      </c>
      <c r="F107" s="7" t="s">
        <v>63</v>
      </c>
      <c r="G107" s="7" t="s">
        <v>66</v>
      </c>
      <c r="H107" s="7" t="n">
        <v>88.3</v>
      </c>
      <c r="I107" s="7" t="str">
        <f aca="false">IF(B107="",TRIM(C107),TRIM(B107))</f>
        <v>Benin Demographic and Health Survey EDSB IV 2011-2012</v>
      </c>
      <c r="J107" s="7" t="str">
        <f aca="false">IF(ISNUMBER(SEARCH("Demographic and Health",I107)),"DHS",IF(OR(ISNUMBER(SEARCH("Multiple Indicator Cluster",I107)),ISNUMBER(SEARCH("MICS",I107))),"MICS","Other"))</f>
        <v>DHS</v>
      </c>
      <c r="K107" s="7" t="n">
        <f aca="false">IF(AND(F107="Record or Recall",G107="12-23 m"),1,0)</f>
        <v>1</v>
      </c>
      <c r="L107" s="7" t="n">
        <f aca="false">IF(OR(J107="DHS",J107="MICS"),1,0)</f>
        <v>1</v>
      </c>
    </row>
    <row r="108" customFormat="false" ht="15" hidden="false" customHeight="false" outlineLevel="0" collapsed="false">
      <c r="A108" s="7" t="s">
        <v>320</v>
      </c>
      <c r="B108" s="7" t="s">
        <v>336</v>
      </c>
      <c r="C108" s="7" t="s">
        <v>337</v>
      </c>
      <c r="D108" s="7" t="n">
        <v>2011</v>
      </c>
      <c r="E108" s="7" t="s">
        <v>62</v>
      </c>
      <c r="F108" s="7" t="s">
        <v>87</v>
      </c>
      <c r="G108" s="7" t="s">
        <v>66</v>
      </c>
      <c r="H108" s="7" t="n">
        <v>35</v>
      </c>
      <c r="I108" s="7" t="str">
        <f aca="false">IF(B108="",TRIM(C108),TRIM(B108))</f>
        <v>Benin Demographic and Health Survey EDSB IV 2011-2012</v>
      </c>
      <c r="J108" s="7" t="str">
        <f aca="false">IF(ISNUMBER(SEARCH("Demographic and Health",I108)),"DHS",IF(OR(ISNUMBER(SEARCH("Multiple Indicator Cluster",I108)),ISNUMBER(SEARCH("MICS",I108))),"MICS","Other"))</f>
        <v>DHS</v>
      </c>
      <c r="K108" s="7" t="n">
        <f aca="false">IF(AND(F108="Record or Recall",G108="12-23 m"),1,0)</f>
        <v>0</v>
      </c>
      <c r="L108" s="7" t="n">
        <f aca="false">IF(OR(J108="DHS",J108="MICS"),1,0)</f>
        <v>1</v>
      </c>
    </row>
    <row r="109" customFormat="false" ht="15" hidden="false" customHeight="false" outlineLevel="0" collapsed="false">
      <c r="A109" s="7" t="s">
        <v>320</v>
      </c>
      <c r="B109" s="7" t="s">
        <v>336</v>
      </c>
      <c r="C109" s="7" t="s">
        <v>337</v>
      </c>
      <c r="D109" s="7" t="n">
        <v>2011</v>
      </c>
      <c r="E109" s="7" t="s">
        <v>81</v>
      </c>
      <c r="F109" s="7" t="s">
        <v>78</v>
      </c>
      <c r="G109" s="7" t="s">
        <v>66</v>
      </c>
      <c r="H109" s="7" t="n">
        <v>84.5</v>
      </c>
      <c r="I109" s="7" t="str">
        <f aca="false">IF(B109="",TRIM(C109),TRIM(B109))</f>
        <v>Benin Demographic and Health Survey EDSB IV 2011-2012</v>
      </c>
      <c r="J109" s="7" t="str">
        <f aca="false">IF(ISNUMBER(SEARCH("Demographic and Health",I109)),"DHS",IF(OR(ISNUMBER(SEARCH("Multiple Indicator Cluster",I109)),ISNUMBER(SEARCH("MICS",I109))),"MICS","Other"))</f>
        <v>DHS</v>
      </c>
      <c r="K109" s="7" t="n">
        <f aca="false">IF(AND(F109="Record or Recall",G109="12-23 m"),1,0)</f>
        <v>0</v>
      </c>
      <c r="L109" s="7" t="n">
        <f aca="false">IF(OR(J109="DHS",J109="MICS"),1,0)</f>
        <v>1</v>
      </c>
    </row>
    <row r="110" customFormat="false" ht="15" hidden="false" customHeight="false" outlineLevel="0" collapsed="false">
      <c r="A110" s="7" t="s">
        <v>320</v>
      </c>
      <c r="B110" s="7" t="s">
        <v>336</v>
      </c>
      <c r="C110" s="7" t="s">
        <v>337</v>
      </c>
      <c r="D110" s="7" t="n">
        <v>2011</v>
      </c>
      <c r="E110" s="7" t="s">
        <v>81</v>
      </c>
      <c r="F110" s="7" t="s">
        <v>86</v>
      </c>
      <c r="G110" s="7" t="s">
        <v>66</v>
      </c>
      <c r="H110" s="7" t="n">
        <v>51.8</v>
      </c>
      <c r="I110" s="7" t="str">
        <f aca="false">IF(B110="",TRIM(C110),TRIM(B110))</f>
        <v>Benin Demographic and Health Survey EDSB IV 2011-2012</v>
      </c>
      <c r="J110" s="7" t="str">
        <f aca="false">IF(ISNUMBER(SEARCH("Demographic and Health",I110)),"DHS",IF(OR(ISNUMBER(SEARCH("Multiple Indicator Cluster",I110)),ISNUMBER(SEARCH("MICS",I110))),"MICS","Other"))</f>
        <v>DHS</v>
      </c>
      <c r="K110" s="7" t="n">
        <f aca="false">IF(AND(F110="Record or Recall",G110="12-23 m"),1,0)</f>
        <v>0</v>
      </c>
      <c r="L110" s="7" t="n">
        <f aca="false">IF(OR(J110="DHS",J110="MICS"),1,0)</f>
        <v>1</v>
      </c>
    </row>
    <row r="111" customFormat="false" ht="15" hidden="false" customHeight="false" outlineLevel="0" collapsed="false">
      <c r="A111" s="7" t="s">
        <v>320</v>
      </c>
      <c r="B111" s="7" t="s">
        <v>336</v>
      </c>
      <c r="C111" s="7" t="s">
        <v>337</v>
      </c>
      <c r="D111" s="7" t="n">
        <v>2011</v>
      </c>
      <c r="E111" s="7" t="s">
        <v>81</v>
      </c>
      <c r="F111" s="7" t="s">
        <v>63</v>
      </c>
      <c r="G111" s="7" t="s">
        <v>66</v>
      </c>
      <c r="H111" s="7" t="n">
        <v>85.4</v>
      </c>
      <c r="I111" s="7" t="str">
        <f aca="false">IF(B111="",TRIM(C111),TRIM(B111))</f>
        <v>Benin Demographic and Health Survey EDSB IV 2011-2012</v>
      </c>
      <c r="J111" s="7" t="str">
        <f aca="false">IF(ISNUMBER(SEARCH("Demographic and Health",I111)),"DHS",IF(OR(ISNUMBER(SEARCH("Multiple Indicator Cluster",I111)),ISNUMBER(SEARCH("MICS",I111))),"MICS","Other"))</f>
        <v>DHS</v>
      </c>
      <c r="K111" s="7" t="n">
        <f aca="false">IF(AND(F111="Record or Recall",G111="12-23 m"),1,0)</f>
        <v>1</v>
      </c>
      <c r="L111" s="7" t="n">
        <f aca="false">IF(OR(J111="DHS",J111="MICS"),1,0)</f>
        <v>1</v>
      </c>
    </row>
    <row r="112" customFormat="false" ht="15" hidden="false" customHeight="false" outlineLevel="0" collapsed="false">
      <c r="A112" s="7" t="s">
        <v>320</v>
      </c>
      <c r="B112" s="7" t="s">
        <v>336</v>
      </c>
      <c r="C112" s="7" t="s">
        <v>337</v>
      </c>
      <c r="D112" s="7" t="n">
        <v>2011</v>
      </c>
      <c r="E112" s="7" t="s">
        <v>81</v>
      </c>
      <c r="F112" s="7" t="s">
        <v>87</v>
      </c>
      <c r="G112" s="7" t="s">
        <v>66</v>
      </c>
      <c r="H112" s="7" t="n">
        <v>33.6</v>
      </c>
      <c r="I112" s="7" t="str">
        <f aca="false">IF(B112="",TRIM(C112),TRIM(B112))</f>
        <v>Benin Demographic and Health Survey EDSB IV 2011-2012</v>
      </c>
      <c r="J112" s="7" t="str">
        <f aca="false">IF(ISNUMBER(SEARCH("Demographic and Health",I112)),"DHS",IF(OR(ISNUMBER(SEARCH("Multiple Indicator Cluster",I112)),ISNUMBER(SEARCH("MICS",I112))),"MICS","Other"))</f>
        <v>DHS</v>
      </c>
      <c r="K112" s="7" t="n">
        <f aca="false">IF(AND(F112="Record or Recall",G112="12-23 m"),1,0)</f>
        <v>0</v>
      </c>
      <c r="L112" s="7" t="n">
        <f aca="false">IF(OR(J112="DHS",J112="MICS"),1,0)</f>
        <v>1</v>
      </c>
    </row>
    <row r="113" customFormat="false" ht="15" hidden="false" customHeight="false" outlineLevel="0" collapsed="false">
      <c r="A113" s="7" t="s">
        <v>320</v>
      </c>
      <c r="B113" s="7" t="s">
        <v>336</v>
      </c>
      <c r="C113" s="7" t="s">
        <v>337</v>
      </c>
      <c r="D113" s="7" t="n">
        <v>2011</v>
      </c>
      <c r="E113" s="7" t="s">
        <v>67</v>
      </c>
      <c r="F113" s="7" t="s">
        <v>78</v>
      </c>
      <c r="G113" s="7" t="s">
        <v>66</v>
      </c>
      <c r="H113" s="7" t="n">
        <v>80.1</v>
      </c>
      <c r="I113" s="7" t="str">
        <f aca="false">IF(B113="",TRIM(C113),TRIM(B113))</f>
        <v>Benin Demographic and Health Survey EDSB IV 2011-2012</v>
      </c>
      <c r="J113" s="7" t="str">
        <f aca="false">IF(ISNUMBER(SEARCH("Demographic and Health",I113)),"DHS",IF(OR(ISNUMBER(SEARCH("Multiple Indicator Cluster",I113)),ISNUMBER(SEARCH("MICS",I113))),"MICS","Other"))</f>
        <v>DHS</v>
      </c>
      <c r="K113" s="7" t="n">
        <f aca="false">IF(AND(F113="Record or Recall",G113="12-23 m"),1,0)</f>
        <v>0</v>
      </c>
      <c r="L113" s="7" t="n">
        <f aca="false">IF(OR(J113="DHS",J113="MICS"),1,0)</f>
        <v>1</v>
      </c>
    </row>
    <row r="114" customFormat="false" ht="15" hidden="false" customHeight="false" outlineLevel="0" collapsed="false">
      <c r="A114" s="7" t="s">
        <v>320</v>
      </c>
      <c r="B114" s="7" t="s">
        <v>336</v>
      </c>
      <c r="C114" s="7" t="s">
        <v>337</v>
      </c>
      <c r="D114" s="7" t="n">
        <v>2011</v>
      </c>
      <c r="E114" s="7" t="s">
        <v>67</v>
      </c>
      <c r="F114" s="7" t="s">
        <v>86</v>
      </c>
      <c r="G114" s="7" t="s">
        <v>66</v>
      </c>
      <c r="H114" s="7" t="n">
        <v>46.3</v>
      </c>
      <c r="I114" s="7" t="str">
        <f aca="false">IF(B114="",TRIM(C114),TRIM(B114))</f>
        <v>Benin Demographic and Health Survey EDSB IV 2011-2012</v>
      </c>
      <c r="J114" s="7" t="str">
        <f aca="false">IF(ISNUMBER(SEARCH("Demographic and Health",I114)),"DHS",IF(OR(ISNUMBER(SEARCH("Multiple Indicator Cluster",I114)),ISNUMBER(SEARCH("MICS",I114))),"MICS","Other"))</f>
        <v>DHS</v>
      </c>
      <c r="K114" s="7" t="n">
        <f aca="false">IF(AND(F114="Record or Recall",G114="12-23 m"),1,0)</f>
        <v>0</v>
      </c>
      <c r="L114" s="7" t="n">
        <f aca="false">IF(OR(J114="DHS",J114="MICS"),1,0)</f>
        <v>1</v>
      </c>
    </row>
    <row r="115" customFormat="false" ht="15" hidden="false" customHeight="false" outlineLevel="0" collapsed="false">
      <c r="A115" s="7" t="s">
        <v>320</v>
      </c>
      <c r="B115" s="7" t="s">
        <v>336</v>
      </c>
      <c r="C115" s="7" t="s">
        <v>337</v>
      </c>
      <c r="D115" s="7" t="n">
        <v>2011</v>
      </c>
      <c r="E115" s="7" t="s">
        <v>67</v>
      </c>
      <c r="F115" s="7" t="s">
        <v>63</v>
      </c>
      <c r="G115" s="7" t="s">
        <v>66</v>
      </c>
      <c r="H115" s="7" t="n">
        <v>73.7</v>
      </c>
      <c r="I115" s="7" t="str">
        <f aca="false">IF(B115="",TRIM(C115),TRIM(B115))</f>
        <v>Benin Demographic and Health Survey EDSB IV 2011-2012</v>
      </c>
      <c r="J115" s="7" t="str">
        <f aca="false">IF(ISNUMBER(SEARCH("Demographic and Health",I115)),"DHS",IF(OR(ISNUMBER(SEARCH("Multiple Indicator Cluster",I115)),ISNUMBER(SEARCH("MICS",I115))),"MICS","Other"))</f>
        <v>DHS</v>
      </c>
      <c r="K115" s="7" t="n">
        <f aca="false">IF(AND(F115="Record or Recall",G115="12-23 m"),1,0)</f>
        <v>1</v>
      </c>
      <c r="L115" s="7" t="n">
        <f aca="false">IF(OR(J115="DHS",J115="MICS"),1,0)</f>
        <v>1</v>
      </c>
    </row>
    <row r="116" customFormat="false" ht="15" hidden="false" customHeight="false" outlineLevel="0" collapsed="false">
      <c r="A116" s="7" t="s">
        <v>320</v>
      </c>
      <c r="B116" s="7" t="s">
        <v>336</v>
      </c>
      <c r="C116" s="7" t="s">
        <v>337</v>
      </c>
      <c r="D116" s="7" t="n">
        <v>2011</v>
      </c>
      <c r="E116" s="7" t="s">
        <v>67</v>
      </c>
      <c r="F116" s="7" t="s">
        <v>87</v>
      </c>
      <c r="G116" s="7" t="s">
        <v>66</v>
      </c>
      <c r="H116" s="7" t="n">
        <v>27.4</v>
      </c>
      <c r="I116" s="7" t="str">
        <f aca="false">IF(B116="",TRIM(C116),TRIM(B116))</f>
        <v>Benin Demographic and Health Survey EDSB IV 2011-2012</v>
      </c>
      <c r="J116" s="7" t="str">
        <f aca="false">IF(ISNUMBER(SEARCH("Demographic and Health",I116)),"DHS",IF(OR(ISNUMBER(SEARCH("Multiple Indicator Cluster",I116)),ISNUMBER(SEARCH("MICS",I116))),"MICS","Other"))</f>
        <v>DHS</v>
      </c>
      <c r="K116" s="7" t="n">
        <f aca="false">IF(AND(F116="Record or Recall",G116="12-23 m"),1,0)</f>
        <v>0</v>
      </c>
      <c r="L116" s="7" t="n">
        <f aca="false">IF(OR(J116="DHS",J116="MICS"),1,0)</f>
        <v>1</v>
      </c>
    </row>
    <row r="117" customFormat="false" ht="15" hidden="false" customHeight="false" outlineLevel="0" collapsed="false">
      <c r="A117" s="7" t="s">
        <v>320</v>
      </c>
      <c r="B117" s="7" t="s">
        <v>336</v>
      </c>
      <c r="C117" s="7" t="s">
        <v>337</v>
      </c>
      <c r="D117" s="7" t="n">
        <v>2011</v>
      </c>
      <c r="E117" s="7" t="s">
        <v>82</v>
      </c>
      <c r="F117" s="7" t="s">
        <v>78</v>
      </c>
      <c r="G117" s="7" t="s">
        <v>66</v>
      </c>
      <c r="H117" s="7" t="n">
        <v>42.5</v>
      </c>
      <c r="I117" s="7" t="str">
        <f aca="false">IF(B117="",TRIM(C117),TRIM(B117))</f>
        <v>Benin Demographic and Health Survey EDSB IV 2011-2012</v>
      </c>
      <c r="J117" s="7" t="str">
        <f aca="false">IF(ISNUMBER(SEARCH("Demographic and Health",I117)),"DHS",IF(OR(ISNUMBER(SEARCH("Multiple Indicator Cluster",I117)),ISNUMBER(SEARCH("MICS",I117))),"MICS","Other"))</f>
        <v>DHS</v>
      </c>
      <c r="K117" s="7" t="n">
        <f aca="false">IF(AND(F117="Record or Recall",G117="12-23 m"),1,0)</f>
        <v>0</v>
      </c>
      <c r="L117" s="7" t="n">
        <f aca="false">IF(OR(J117="DHS",J117="MICS"),1,0)</f>
        <v>1</v>
      </c>
    </row>
    <row r="118" customFormat="false" ht="15" hidden="false" customHeight="false" outlineLevel="0" collapsed="false">
      <c r="A118" s="7" t="s">
        <v>320</v>
      </c>
      <c r="B118" s="7" t="s">
        <v>336</v>
      </c>
      <c r="C118" s="7" t="s">
        <v>337</v>
      </c>
      <c r="D118" s="7" t="n">
        <v>2011</v>
      </c>
      <c r="E118" s="7" t="s">
        <v>82</v>
      </c>
      <c r="F118" s="7" t="s">
        <v>86</v>
      </c>
      <c r="G118" s="7" t="s">
        <v>66</v>
      </c>
      <c r="H118" s="7" t="n">
        <v>38.6</v>
      </c>
      <c r="I118" s="7" t="str">
        <f aca="false">IF(B118="",TRIM(C118),TRIM(B118))</f>
        <v>Benin Demographic and Health Survey EDSB IV 2011-2012</v>
      </c>
      <c r="J118" s="7" t="str">
        <f aca="false">IF(ISNUMBER(SEARCH("Demographic and Health",I118)),"DHS",IF(OR(ISNUMBER(SEARCH("Multiple Indicator Cluster",I118)),ISNUMBER(SEARCH("MICS",I118))),"MICS","Other"))</f>
        <v>DHS</v>
      </c>
      <c r="K118" s="7" t="n">
        <f aca="false">IF(AND(F118="Record or Recall",G118="12-23 m"),1,0)</f>
        <v>0</v>
      </c>
      <c r="L118" s="7" t="n">
        <f aca="false">IF(OR(J118="DHS",J118="MICS"),1,0)</f>
        <v>1</v>
      </c>
    </row>
    <row r="119" customFormat="false" ht="15" hidden="false" customHeight="false" outlineLevel="0" collapsed="false">
      <c r="A119" s="7" t="s">
        <v>320</v>
      </c>
      <c r="B119" s="7" t="s">
        <v>336</v>
      </c>
      <c r="C119" s="7" t="s">
        <v>337</v>
      </c>
      <c r="D119" s="7" t="n">
        <v>2011</v>
      </c>
      <c r="E119" s="7" t="s">
        <v>82</v>
      </c>
      <c r="F119" s="7" t="s">
        <v>63</v>
      </c>
      <c r="G119" s="7" t="s">
        <v>66</v>
      </c>
      <c r="H119" s="7" t="n">
        <v>47.6</v>
      </c>
      <c r="I119" s="7" t="str">
        <f aca="false">IF(B119="",TRIM(C119),TRIM(B119))</f>
        <v>Benin Demographic and Health Survey EDSB IV 2011-2012</v>
      </c>
      <c r="J119" s="7" t="str">
        <f aca="false">IF(ISNUMBER(SEARCH("Demographic and Health",I119)),"DHS",IF(OR(ISNUMBER(SEARCH("Multiple Indicator Cluster",I119)),ISNUMBER(SEARCH("MICS",I119))),"MICS","Other"))</f>
        <v>DHS</v>
      </c>
      <c r="K119" s="7" t="n">
        <f aca="false">IF(AND(F119="Record or Recall",G119="12-23 m"),1,0)</f>
        <v>1</v>
      </c>
      <c r="L119" s="7" t="n">
        <f aca="false">IF(OR(J119="DHS",J119="MICS"),1,0)</f>
        <v>1</v>
      </c>
    </row>
    <row r="120" customFormat="false" ht="15" hidden="false" customHeight="false" outlineLevel="0" collapsed="false">
      <c r="A120" s="7" t="s">
        <v>320</v>
      </c>
      <c r="B120" s="7" t="s">
        <v>336</v>
      </c>
      <c r="C120" s="7" t="s">
        <v>337</v>
      </c>
      <c r="D120" s="7" t="n">
        <v>2011</v>
      </c>
      <c r="E120" s="7" t="s">
        <v>82</v>
      </c>
      <c r="F120" s="7" t="s">
        <v>87</v>
      </c>
      <c r="G120" s="7" t="s">
        <v>66</v>
      </c>
      <c r="H120" s="7" t="n">
        <v>9</v>
      </c>
      <c r="I120" s="7" t="str">
        <f aca="false">IF(B120="",TRIM(C120),TRIM(B120))</f>
        <v>Benin Demographic and Health Survey EDSB IV 2011-2012</v>
      </c>
      <c r="J120" s="7" t="str">
        <f aca="false">IF(ISNUMBER(SEARCH("Demographic and Health",I120)),"DHS",IF(OR(ISNUMBER(SEARCH("Multiple Indicator Cluster",I120)),ISNUMBER(SEARCH("MICS",I120))),"MICS","Other"))</f>
        <v>DHS</v>
      </c>
      <c r="K120" s="7" t="n">
        <f aca="false">IF(AND(F120="Record or Recall",G120="12-23 m"),1,0)</f>
        <v>0</v>
      </c>
      <c r="L120" s="7" t="n">
        <f aca="false">IF(OR(J120="DHS",J120="MICS"),1,0)</f>
        <v>1</v>
      </c>
    </row>
    <row r="121" customFormat="false" ht="15" hidden="false" customHeight="false" outlineLevel="0" collapsed="false">
      <c r="A121" s="7" t="s">
        <v>320</v>
      </c>
      <c r="B121" s="7" t="s">
        <v>336</v>
      </c>
      <c r="C121" s="7" t="s">
        <v>337</v>
      </c>
      <c r="D121" s="7" t="n">
        <v>2011</v>
      </c>
      <c r="E121" s="7" t="s">
        <v>68</v>
      </c>
      <c r="F121" s="7" t="s">
        <v>78</v>
      </c>
      <c r="G121" s="7" t="s">
        <v>66</v>
      </c>
      <c r="H121" s="7" t="n">
        <v>62.2</v>
      </c>
      <c r="I121" s="7" t="str">
        <f aca="false">IF(B121="",TRIM(C121),TRIM(B121))</f>
        <v>Benin Demographic and Health Survey EDSB IV 2011-2012</v>
      </c>
      <c r="J121" s="7" t="str">
        <f aca="false">IF(ISNUMBER(SEARCH("Demographic and Health",I121)),"DHS",IF(OR(ISNUMBER(SEARCH("Multiple Indicator Cluster",I121)),ISNUMBER(SEARCH("MICS",I121))),"MICS","Other"))</f>
        <v>DHS</v>
      </c>
      <c r="K121" s="7" t="n">
        <f aca="false">IF(AND(F121="Record or Recall",G121="12-23 m"),1,0)</f>
        <v>0</v>
      </c>
      <c r="L121" s="7" t="n">
        <f aca="false">IF(OR(J121="DHS",J121="MICS"),1,0)</f>
        <v>1</v>
      </c>
    </row>
    <row r="122" customFormat="false" ht="15" hidden="false" customHeight="false" outlineLevel="0" collapsed="false">
      <c r="A122" s="7" t="s">
        <v>320</v>
      </c>
      <c r="B122" s="7" t="s">
        <v>336</v>
      </c>
      <c r="C122" s="7" t="s">
        <v>337</v>
      </c>
      <c r="D122" s="7" t="n">
        <v>2011</v>
      </c>
      <c r="E122" s="7" t="s">
        <v>68</v>
      </c>
      <c r="F122" s="7" t="s">
        <v>86</v>
      </c>
      <c r="G122" s="7" t="s">
        <v>66</v>
      </c>
      <c r="H122" s="7" t="n">
        <v>41.7</v>
      </c>
      <c r="I122" s="7" t="str">
        <f aca="false">IF(B122="",TRIM(C122),TRIM(B122))</f>
        <v>Benin Demographic and Health Survey EDSB IV 2011-2012</v>
      </c>
      <c r="J122" s="7" t="str">
        <f aca="false">IF(ISNUMBER(SEARCH("Demographic and Health",I122)),"DHS",IF(OR(ISNUMBER(SEARCH("Multiple Indicator Cluster",I122)),ISNUMBER(SEARCH("MICS",I122))),"MICS","Other"))</f>
        <v>DHS</v>
      </c>
      <c r="K122" s="7" t="n">
        <f aca="false">IF(AND(F122="Record or Recall",G122="12-23 m"),1,0)</f>
        <v>0</v>
      </c>
      <c r="L122" s="7" t="n">
        <f aca="false">IF(OR(J122="DHS",J122="MICS"),1,0)</f>
        <v>1</v>
      </c>
    </row>
    <row r="123" customFormat="false" ht="15" hidden="false" customHeight="false" outlineLevel="0" collapsed="false">
      <c r="A123" s="7" t="s">
        <v>320</v>
      </c>
      <c r="B123" s="7" t="s">
        <v>336</v>
      </c>
      <c r="C123" s="7" t="s">
        <v>337</v>
      </c>
      <c r="D123" s="7" t="n">
        <v>2011</v>
      </c>
      <c r="E123" s="7" t="s">
        <v>68</v>
      </c>
      <c r="F123" s="7" t="s">
        <v>63</v>
      </c>
      <c r="G123" s="7" t="s">
        <v>66</v>
      </c>
      <c r="H123" s="7" t="n">
        <v>70</v>
      </c>
      <c r="I123" s="7" t="str">
        <f aca="false">IF(B123="",TRIM(C123),TRIM(B123))</f>
        <v>Benin Demographic and Health Survey EDSB IV 2011-2012</v>
      </c>
      <c r="J123" s="7" t="str">
        <f aca="false">IF(ISNUMBER(SEARCH("Demographic and Health",I123)),"DHS",IF(OR(ISNUMBER(SEARCH("Multiple Indicator Cluster",I123)),ISNUMBER(SEARCH("MICS",I123))),"MICS","Other"))</f>
        <v>DHS</v>
      </c>
      <c r="K123" s="7" t="n">
        <f aca="false">IF(AND(F123="Record or Recall",G123="12-23 m"),1,0)</f>
        <v>1</v>
      </c>
      <c r="L123" s="7" t="n">
        <f aca="false">IF(OR(J123="DHS",J123="MICS"),1,0)</f>
        <v>1</v>
      </c>
    </row>
    <row r="124" customFormat="false" ht="15" hidden="false" customHeight="false" outlineLevel="0" collapsed="false">
      <c r="A124" s="7" t="s">
        <v>320</v>
      </c>
      <c r="B124" s="7" t="s">
        <v>336</v>
      </c>
      <c r="C124" s="7" t="s">
        <v>337</v>
      </c>
      <c r="D124" s="7" t="n">
        <v>2011</v>
      </c>
      <c r="E124" s="7" t="s">
        <v>68</v>
      </c>
      <c r="F124" s="7" t="s">
        <v>87</v>
      </c>
      <c r="G124" s="7" t="s">
        <v>66</v>
      </c>
      <c r="H124" s="7" t="n">
        <v>28.3</v>
      </c>
      <c r="I124" s="7" t="str">
        <f aca="false">IF(B124="",TRIM(C124),TRIM(B124))</f>
        <v>Benin Demographic and Health Survey EDSB IV 2011-2012</v>
      </c>
      <c r="J124" s="7" t="str">
        <f aca="false">IF(ISNUMBER(SEARCH("Demographic and Health",I124)),"DHS",IF(OR(ISNUMBER(SEARCH("Multiple Indicator Cluster",I124)),ISNUMBER(SEARCH("MICS",I124))),"MICS","Other"))</f>
        <v>DHS</v>
      </c>
      <c r="K124" s="7" t="n">
        <f aca="false">IF(AND(F124="Record or Recall",G124="12-23 m"),1,0)</f>
        <v>0</v>
      </c>
      <c r="L124" s="7" t="n">
        <f aca="false">IF(OR(J124="DHS",J124="MICS"),1,0)</f>
        <v>1</v>
      </c>
    </row>
    <row r="125" customFormat="false" ht="15" hidden="false" customHeight="false" outlineLevel="0" collapsed="false">
      <c r="A125" s="7" t="s">
        <v>320</v>
      </c>
      <c r="B125" s="7" t="s">
        <v>336</v>
      </c>
      <c r="C125" s="7" t="s">
        <v>337</v>
      </c>
      <c r="D125" s="7" t="n">
        <v>2011</v>
      </c>
      <c r="E125" s="7" t="s">
        <v>69</v>
      </c>
      <c r="F125" s="7" t="s">
        <v>78</v>
      </c>
      <c r="G125" s="7" t="s">
        <v>66</v>
      </c>
      <c r="H125" s="7" t="n">
        <v>54.5</v>
      </c>
      <c r="I125" s="7" t="str">
        <f aca="false">IF(B125="",TRIM(C125),TRIM(B125))</f>
        <v>Benin Demographic and Health Survey EDSB IV 2011-2012</v>
      </c>
      <c r="J125" s="7" t="str">
        <f aca="false">IF(ISNUMBER(SEARCH("Demographic and Health",I125)),"DHS",IF(OR(ISNUMBER(SEARCH("Multiple Indicator Cluster",I125)),ISNUMBER(SEARCH("MICS",I125))),"MICS","Other"))</f>
        <v>DHS</v>
      </c>
      <c r="K125" s="7" t="n">
        <f aca="false">IF(AND(F125="Record or Recall",G125="12-23 m"),1,0)</f>
        <v>0</v>
      </c>
      <c r="L125" s="7" t="n">
        <f aca="false">IF(OR(J125="DHS",J125="MICS"),1,0)</f>
        <v>1</v>
      </c>
    </row>
    <row r="126" customFormat="false" ht="15" hidden="false" customHeight="false" outlineLevel="0" collapsed="false">
      <c r="A126" s="7" t="s">
        <v>320</v>
      </c>
      <c r="B126" s="7" t="s">
        <v>336</v>
      </c>
      <c r="C126" s="7" t="s">
        <v>337</v>
      </c>
      <c r="D126" s="7" t="n">
        <v>2011</v>
      </c>
      <c r="E126" s="7" t="s">
        <v>69</v>
      </c>
      <c r="F126" s="7" t="s">
        <v>86</v>
      </c>
      <c r="G126" s="7" t="s">
        <v>66</v>
      </c>
      <c r="H126" s="7" t="n">
        <v>44.7</v>
      </c>
      <c r="I126" s="7" t="str">
        <f aca="false">IF(B126="",TRIM(C126),TRIM(B126))</f>
        <v>Benin Demographic and Health Survey EDSB IV 2011-2012</v>
      </c>
      <c r="J126" s="7" t="str">
        <f aca="false">IF(ISNUMBER(SEARCH("Demographic and Health",I126)),"DHS",IF(OR(ISNUMBER(SEARCH("Multiple Indicator Cluster",I126)),ISNUMBER(SEARCH("MICS",I126))),"MICS","Other"))</f>
        <v>DHS</v>
      </c>
      <c r="K126" s="7" t="n">
        <f aca="false">IF(AND(F126="Record or Recall",G126="12-23 m"),1,0)</f>
        <v>0</v>
      </c>
      <c r="L126" s="7" t="n">
        <f aca="false">IF(OR(J126="DHS",J126="MICS"),1,0)</f>
        <v>1</v>
      </c>
    </row>
    <row r="127" customFormat="false" ht="15" hidden="false" customHeight="false" outlineLevel="0" collapsed="false">
      <c r="A127" s="7" t="s">
        <v>320</v>
      </c>
      <c r="B127" s="7" t="s">
        <v>336</v>
      </c>
      <c r="C127" s="7" t="s">
        <v>337</v>
      </c>
      <c r="D127" s="7" t="n">
        <v>2011</v>
      </c>
      <c r="E127" s="7" t="s">
        <v>69</v>
      </c>
      <c r="F127" s="7" t="s">
        <v>63</v>
      </c>
      <c r="G127" s="7" t="s">
        <v>66</v>
      </c>
      <c r="H127" s="7" t="n">
        <v>56.2</v>
      </c>
      <c r="I127" s="7" t="str">
        <f aca="false">IF(B127="",TRIM(C127),TRIM(B127))</f>
        <v>Benin Demographic and Health Survey EDSB IV 2011-2012</v>
      </c>
      <c r="J127" s="7" t="str">
        <f aca="false">IF(ISNUMBER(SEARCH("Demographic and Health",I127)),"DHS",IF(OR(ISNUMBER(SEARCH("Multiple Indicator Cluster",I127)),ISNUMBER(SEARCH("MICS",I127))),"MICS","Other"))</f>
        <v>DHS</v>
      </c>
      <c r="K127" s="7" t="n">
        <f aca="false">IF(AND(F127="Record or Recall",G127="12-23 m"),1,0)</f>
        <v>1</v>
      </c>
      <c r="L127" s="7" t="n">
        <f aca="false">IF(OR(J127="DHS",J127="MICS"),1,0)</f>
        <v>1</v>
      </c>
    </row>
    <row r="128" customFormat="false" ht="15" hidden="false" customHeight="false" outlineLevel="0" collapsed="false">
      <c r="A128" s="7" t="s">
        <v>320</v>
      </c>
      <c r="B128" s="7" t="s">
        <v>336</v>
      </c>
      <c r="C128" s="7" t="s">
        <v>337</v>
      </c>
      <c r="D128" s="7" t="n">
        <v>2011</v>
      </c>
      <c r="E128" s="7" t="s">
        <v>69</v>
      </c>
      <c r="F128" s="7" t="s">
        <v>87</v>
      </c>
      <c r="G128" s="7" t="s">
        <v>66</v>
      </c>
      <c r="H128" s="7" t="n">
        <v>11.5</v>
      </c>
      <c r="I128" s="7" t="str">
        <f aca="false">IF(B128="",TRIM(C128),TRIM(B128))</f>
        <v>Benin Demographic and Health Survey EDSB IV 2011-2012</v>
      </c>
      <c r="J128" s="7" t="str">
        <f aca="false">IF(ISNUMBER(SEARCH("Demographic and Health",I128)),"DHS",IF(OR(ISNUMBER(SEARCH("Multiple Indicator Cluster",I128)),ISNUMBER(SEARCH("MICS",I128))),"MICS","Other"))</f>
        <v>DHS</v>
      </c>
      <c r="K128" s="7" t="n">
        <f aca="false">IF(AND(F128="Record or Recall",G128="12-23 m"),1,0)</f>
        <v>0</v>
      </c>
      <c r="L128" s="7" t="n">
        <f aca="false">IF(OR(J128="DHS",J128="MICS"),1,0)</f>
        <v>1</v>
      </c>
    </row>
    <row r="129" customFormat="false" ht="15" hidden="false" customHeight="false" outlineLevel="0" collapsed="false">
      <c r="A129" s="7" t="s">
        <v>320</v>
      </c>
      <c r="B129" s="7" t="s">
        <v>338</v>
      </c>
      <c r="C129" s="7" t="s">
        <v>339</v>
      </c>
      <c r="D129" s="7" t="n">
        <v>2012</v>
      </c>
      <c r="E129" s="7" t="s">
        <v>62</v>
      </c>
      <c r="F129" s="7" t="s">
        <v>78</v>
      </c>
      <c r="G129" s="7" t="s">
        <v>91</v>
      </c>
      <c r="H129" s="7" t="n">
        <v>84.7</v>
      </c>
      <c r="I129" s="7" t="str">
        <f aca="false">IF(B129="",TRIM(C129),TRIM(B129))</f>
        <v>Benin Multiple Indicator Cluster Survey 2014</v>
      </c>
      <c r="J129" s="7" t="str">
        <f aca="false">IF(ISNUMBER(SEARCH("Demographic and Health",I129)),"DHS",IF(OR(ISNUMBER(SEARCH("Multiple Indicator Cluster",I129)),ISNUMBER(SEARCH("MICS",I129))),"MICS","Other"))</f>
        <v>MICS</v>
      </c>
      <c r="K129" s="7" t="n">
        <f aca="false">IF(AND(F129="Record or Recall",G129="12-23 m"),1,0)</f>
        <v>0</v>
      </c>
      <c r="L129" s="7" t="n">
        <f aca="false">IF(OR(J129="DHS",J129="MICS"),1,0)</f>
        <v>1</v>
      </c>
    </row>
    <row r="130" customFormat="false" ht="15" hidden="false" customHeight="false" outlineLevel="0" collapsed="false">
      <c r="A130" s="7" t="s">
        <v>320</v>
      </c>
      <c r="B130" s="7" t="s">
        <v>338</v>
      </c>
      <c r="C130" s="7" t="s">
        <v>339</v>
      </c>
      <c r="D130" s="7" t="n">
        <v>2012</v>
      </c>
      <c r="E130" s="7" t="s">
        <v>62</v>
      </c>
      <c r="F130" s="7" t="s">
        <v>86</v>
      </c>
      <c r="G130" s="7" t="s">
        <v>91</v>
      </c>
      <c r="H130" s="7" t="n">
        <v>56</v>
      </c>
      <c r="I130" s="7" t="str">
        <f aca="false">IF(B130="",TRIM(C130),TRIM(B130))</f>
        <v>Benin Multiple Indicator Cluster Survey 2014</v>
      </c>
      <c r="J130" s="7" t="str">
        <f aca="false">IF(ISNUMBER(SEARCH("Demographic and Health",I130)),"DHS",IF(OR(ISNUMBER(SEARCH("Multiple Indicator Cluster",I130)),ISNUMBER(SEARCH("MICS",I130))),"MICS","Other"))</f>
        <v>MICS</v>
      </c>
      <c r="K130" s="7" t="n">
        <f aca="false">IF(AND(F130="Record or Recall",G130="12-23 m"),1,0)</f>
        <v>0</v>
      </c>
      <c r="L130" s="7" t="n">
        <f aca="false">IF(OR(J130="DHS",J130="MICS"),1,0)</f>
        <v>1</v>
      </c>
    </row>
    <row r="131" customFormat="false" ht="15" hidden="false" customHeight="false" outlineLevel="0" collapsed="false">
      <c r="A131" s="7" t="s">
        <v>320</v>
      </c>
      <c r="B131" s="7" t="s">
        <v>338</v>
      </c>
      <c r="C131" s="7" t="s">
        <v>339</v>
      </c>
      <c r="D131" s="7" t="n">
        <v>2012</v>
      </c>
      <c r="E131" s="7" t="s">
        <v>62</v>
      </c>
      <c r="F131" s="7" t="s">
        <v>63</v>
      </c>
      <c r="G131" s="7" t="s">
        <v>91</v>
      </c>
      <c r="H131" s="7" t="n">
        <v>86.1</v>
      </c>
      <c r="I131" s="7" t="str">
        <f aca="false">IF(B131="",TRIM(C131),TRIM(B131))</f>
        <v>Benin Multiple Indicator Cluster Survey 2014</v>
      </c>
      <c r="J131" s="7" t="str">
        <f aca="false">IF(ISNUMBER(SEARCH("Demographic and Health",I131)),"DHS",IF(OR(ISNUMBER(SEARCH("Multiple Indicator Cluster",I131)),ISNUMBER(SEARCH("MICS",I131))),"MICS","Other"))</f>
        <v>MICS</v>
      </c>
      <c r="K131" s="7" t="n">
        <f aca="false">IF(AND(F131="Record or Recall",G131="12-23 m"),1,0)</f>
        <v>0</v>
      </c>
      <c r="L131" s="7" t="n">
        <f aca="false">IF(OR(J131="DHS",J131="MICS"),1,0)</f>
        <v>1</v>
      </c>
    </row>
    <row r="132" customFormat="false" ht="15" hidden="false" customHeight="false" outlineLevel="0" collapsed="false">
      <c r="A132" s="7" t="s">
        <v>320</v>
      </c>
      <c r="B132" s="7" t="s">
        <v>338</v>
      </c>
      <c r="C132" s="7" t="s">
        <v>339</v>
      </c>
      <c r="D132" s="7" t="n">
        <v>2012</v>
      </c>
      <c r="E132" s="7" t="s">
        <v>81</v>
      </c>
      <c r="F132" s="7" t="s">
        <v>78</v>
      </c>
      <c r="G132" s="7" t="s">
        <v>91</v>
      </c>
      <c r="H132" s="7" t="n">
        <v>79.5</v>
      </c>
      <c r="I132" s="7" t="str">
        <f aca="false">IF(B132="",TRIM(C132),TRIM(B132))</f>
        <v>Benin Multiple Indicator Cluster Survey 2014</v>
      </c>
      <c r="J132" s="7" t="str">
        <f aca="false">IF(ISNUMBER(SEARCH("Demographic and Health",I132)),"DHS",IF(OR(ISNUMBER(SEARCH("Multiple Indicator Cluster",I132)),ISNUMBER(SEARCH("MICS",I132))),"MICS","Other"))</f>
        <v>MICS</v>
      </c>
      <c r="K132" s="7" t="n">
        <f aca="false">IF(AND(F132="Record or Recall",G132="12-23 m"),1,0)</f>
        <v>0</v>
      </c>
      <c r="L132" s="7" t="n">
        <f aca="false">IF(OR(J132="DHS",J132="MICS"),1,0)</f>
        <v>1</v>
      </c>
    </row>
    <row r="133" customFormat="false" ht="15" hidden="false" customHeight="false" outlineLevel="0" collapsed="false">
      <c r="A133" s="7" t="s">
        <v>320</v>
      </c>
      <c r="B133" s="7" t="s">
        <v>338</v>
      </c>
      <c r="C133" s="7" t="s">
        <v>339</v>
      </c>
      <c r="D133" s="7" t="n">
        <v>2012</v>
      </c>
      <c r="E133" s="7" t="s">
        <v>81</v>
      </c>
      <c r="F133" s="7" t="s">
        <v>86</v>
      </c>
      <c r="G133" s="7" t="s">
        <v>91</v>
      </c>
      <c r="H133" s="7" t="n">
        <v>53.2</v>
      </c>
      <c r="I133" s="7" t="str">
        <f aca="false">IF(B133="",TRIM(C133),TRIM(B133))</f>
        <v>Benin Multiple Indicator Cluster Survey 2014</v>
      </c>
      <c r="J133" s="7" t="str">
        <f aca="false">IF(ISNUMBER(SEARCH("Demographic and Health",I133)),"DHS",IF(OR(ISNUMBER(SEARCH("Multiple Indicator Cluster",I133)),ISNUMBER(SEARCH("MICS",I133))),"MICS","Other"))</f>
        <v>MICS</v>
      </c>
      <c r="K133" s="7" t="n">
        <f aca="false">IF(AND(F133="Record or Recall",G133="12-23 m"),1,0)</f>
        <v>0</v>
      </c>
      <c r="L133" s="7" t="n">
        <f aca="false">IF(OR(J133="DHS",J133="MICS"),1,0)</f>
        <v>1</v>
      </c>
    </row>
    <row r="134" customFormat="false" ht="15" hidden="false" customHeight="false" outlineLevel="0" collapsed="false">
      <c r="A134" s="7" t="s">
        <v>320</v>
      </c>
      <c r="B134" s="7" t="s">
        <v>338</v>
      </c>
      <c r="C134" s="7" t="s">
        <v>339</v>
      </c>
      <c r="D134" s="7" t="n">
        <v>2012</v>
      </c>
      <c r="E134" s="7" t="s">
        <v>81</v>
      </c>
      <c r="F134" s="7" t="s">
        <v>63</v>
      </c>
      <c r="G134" s="7" t="s">
        <v>91</v>
      </c>
      <c r="H134" s="7" t="n">
        <v>81.4</v>
      </c>
      <c r="I134" s="7" t="str">
        <f aca="false">IF(B134="",TRIM(C134),TRIM(B134))</f>
        <v>Benin Multiple Indicator Cluster Survey 2014</v>
      </c>
      <c r="J134" s="7" t="str">
        <f aca="false">IF(ISNUMBER(SEARCH("Demographic and Health",I134)),"DHS",IF(OR(ISNUMBER(SEARCH("Multiple Indicator Cluster",I134)),ISNUMBER(SEARCH("MICS",I134))),"MICS","Other"))</f>
        <v>MICS</v>
      </c>
      <c r="K134" s="7" t="n">
        <f aca="false">IF(AND(F134="Record or Recall",G134="12-23 m"),1,0)</f>
        <v>0</v>
      </c>
      <c r="L134" s="7" t="n">
        <f aca="false">IF(OR(J134="DHS",J134="MICS"),1,0)</f>
        <v>1</v>
      </c>
    </row>
    <row r="135" customFormat="false" ht="15" hidden="false" customHeight="false" outlineLevel="0" collapsed="false">
      <c r="A135" s="7" t="s">
        <v>320</v>
      </c>
      <c r="B135" s="7" t="s">
        <v>338</v>
      </c>
      <c r="C135" s="7" t="s">
        <v>339</v>
      </c>
      <c r="D135" s="7" t="n">
        <v>2012</v>
      </c>
      <c r="E135" s="7" t="s">
        <v>67</v>
      </c>
      <c r="F135" s="7" t="s">
        <v>78</v>
      </c>
      <c r="G135" s="7" t="s">
        <v>91</v>
      </c>
      <c r="H135" s="7" t="n">
        <v>65.2</v>
      </c>
      <c r="I135" s="7" t="str">
        <f aca="false">IF(B135="",TRIM(C135),TRIM(B135))</f>
        <v>Benin Multiple Indicator Cluster Survey 2014</v>
      </c>
      <c r="J135" s="7" t="str">
        <f aca="false">IF(ISNUMBER(SEARCH("Demographic and Health",I135)),"DHS",IF(OR(ISNUMBER(SEARCH("Multiple Indicator Cluster",I135)),ISNUMBER(SEARCH("MICS",I135))),"MICS","Other"))</f>
        <v>MICS</v>
      </c>
      <c r="K135" s="7" t="n">
        <f aca="false">IF(AND(F135="Record or Recall",G135="12-23 m"),1,0)</f>
        <v>0</v>
      </c>
      <c r="L135" s="7" t="n">
        <f aca="false">IF(OR(J135="DHS",J135="MICS"),1,0)</f>
        <v>1</v>
      </c>
    </row>
    <row r="136" customFormat="false" ht="15" hidden="false" customHeight="false" outlineLevel="0" collapsed="false">
      <c r="A136" s="7" t="s">
        <v>320</v>
      </c>
      <c r="B136" s="7" t="s">
        <v>338</v>
      </c>
      <c r="C136" s="7" t="s">
        <v>339</v>
      </c>
      <c r="D136" s="7" t="n">
        <v>2012</v>
      </c>
      <c r="E136" s="7" t="s">
        <v>67</v>
      </c>
      <c r="F136" s="7" t="s">
        <v>86</v>
      </c>
      <c r="G136" s="7" t="s">
        <v>91</v>
      </c>
      <c r="H136" s="7" t="n">
        <v>47.8</v>
      </c>
      <c r="I136" s="7" t="str">
        <f aca="false">IF(B136="",TRIM(C136),TRIM(B136))</f>
        <v>Benin Multiple Indicator Cluster Survey 2014</v>
      </c>
      <c r="J136" s="7" t="str">
        <f aca="false">IF(ISNUMBER(SEARCH("Demographic and Health",I136)),"DHS",IF(OR(ISNUMBER(SEARCH("Multiple Indicator Cluster",I136)),ISNUMBER(SEARCH("MICS",I136))),"MICS","Other"))</f>
        <v>MICS</v>
      </c>
      <c r="K136" s="7" t="n">
        <f aca="false">IF(AND(F136="Record or Recall",G136="12-23 m"),1,0)</f>
        <v>0</v>
      </c>
      <c r="L136" s="7" t="n">
        <f aca="false">IF(OR(J136="DHS",J136="MICS"),1,0)</f>
        <v>1</v>
      </c>
    </row>
    <row r="137" customFormat="false" ht="15" hidden="false" customHeight="false" outlineLevel="0" collapsed="false">
      <c r="A137" s="7" t="s">
        <v>320</v>
      </c>
      <c r="B137" s="7" t="s">
        <v>338</v>
      </c>
      <c r="C137" s="7" t="s">
        <v>339</v>
      </c>
      <c r="D137" s="7" t="n">
        <v>2012</v>
      </c>
      <c r="E137" s="7" t="s">
        <v>67</v>
      </c>
      <c r="F137" s="7" t="s">
        <v>63</v>
      </c>
      <c r="G137" s="7" t="s">
        <v>91</v>
      </c>
      <c r="H137" s="7" t="n">
        <v>68.4</v>
      </c>
      <c r="I137" s="7" t="str">
        <f aca="false">IF(B137="",TRIM(C137),TRIM(B137))</f>
        <v>Benin Multiple Indicator Cluster Survey 2014</v>
      </c>
      <c r="J137" s="7" t="str">
        <f aca="false">IF(ISNUMBER(SEARCH("Demographic and Health",I137)),"DHS",IF(OR(ISNUMBER(SEARCH("Multiple Indicator Cluster",I137)),ISNUMBER(SEARCH("MICS",I137))),"MICS","Other"))</f>
        <v>MICS</v>
      </c>
      <c r="K137" s="7" t="n">
        <f aca="false">IF(AND(F137="Record or Recall",G137="12-23 m"),1,0)</f>
        <v>0</v>
      </c>
      <c r="L137" s="7" t="n">
        <f aca="false">IF(OR(J137="DHS",J137="MICS"),1,0)</f>
        <v>1</v>
      </c>
    </row>
    <row r="138" customFormat="false" ht="15" hidden="false" customHeight="false" outlineLevel="0" collapsed="false">
      <c r="A138" s="7" t="s">
        <v>320</v>
      </c>
      <c r="B138" s="7" t="s">
        <v>338</v>
      </c>
      <c r="C138" s="7" t="s">
        <v>339</v>
      </c>
      <c r="D138" s="7" t="n">
        <v>2012</v>
      </c>
      <c r="E138" s="7" t="s">
        <v>82</v>
      </c>
      <c r="F138" s="7" t="s">
        <v>78</v>
      </c>
      <c r="G138" s="7" t="s">
        <v>91</v>
      </c>
      <c r="H138" s="7" t="n">
        <v>34.5</v>
      </c>
      <c r="I138" s="7" t="str">
        <f aca="false">IF(B138="",TRIM(C138),TRIM(B138))</f>
        <v>Benin Multiple Indicator Cluster Survey 2014</v>
      </c>
      <c r="J138" s="7" t="str">
        <f aca="false">IF(ISNUMBER(SEARCH("Demographic and Health",I138)),"DHS",IF(OR(ISNUMBER(SEARCH("Multiple Indicator Cluster",I138)),ISNUMBER(SEARCH("MICS",I138))),"MICS","Other"))</f>
        <v>MICS</v>
      </c>
      <c r="K138" s="7" t="n">
        <f aca="false">IF(AND(F138="Record or Recall",G138="12-23 m"),1,0)</f>
        <v>0</v>
      </c>
      <c r="L138" s="7" t="n">
        <f aca="false">IF(OR(J138="DHS",J138="MICS"),1,0)</f>
        <v>1</v>
      </c>
    </row>
    <row r="139" customFormat="false" ht="15" hidden="false" customHeight="false" outlineLevel="0" collapsed="false">
      <c r="A139" s="7" t="s">
        <v>320</v>
      </c>
      <c r="B139" s="7" t="s">
        <v>338</v>
      </c>
      <c r="C139" s="7" t="s">
        <v>339</v>
      </c>
      <c r="D139" s="7" t="n">
        <v>2012</v>
      </c>
      <c r="E139" s="7" t="s">
        <v>82</v>
      </c>
      <c r="F139" s="7" t="s">
        <v>86</v>
      </c>
      <c r="G139" s="7" t="s">
        <v>91</v>
      </c>
      <c r="H139" s="7" t="n">
        <v>39.5</v>
      </c>
      <c r="I139" s="7" t="str">
        <f aca="false">IF(B139="",TRIM(C139),TRIM(B139))</f>
        <v>Benin Multiple Indicator Cluster Survey 2014</v>
      </c>
      <c r="J139" s="7" t="str">
        <f aca="false">IF(ISNUMBER(SEARCH("Demographic and Health",I139)),"DHS",IF(OR(ISNUMBER(SEARCH("Multiple Indicator Cluster",I139)),ISNUMBER(SEARCH("MICS",I139))),"MICS","Other"))</f>
        <v>MICS</v>
      </c>
      <c r="K139" s="7" t="n">
        <f aca="false">IF(AND(F139="Record or Recall",G139="12-23 m"),1,0)</f>
        <v>0</v>
      </c>
      <c r="L139" s="7" t="n">
        <f aca="false">IF(OR(J139="DHS",J139="MICS"),1,0)</f>
        <v>1</v>
      </c>
    </row>
    <row r="140" customFormat="false" ht="15" hidden="false" customHeight="false" outlineLevel="0" collapsed="false">
      <c r="A140" s="7" t="s">
        <v>320</v>
      </c>
      <c r="B140" s="7" t="s">
        <v>338</v>
      </c>
      <c r="C140" s="7" t="s">
        <v>339</v>
      </c>
      <c r="D140" s="7" t="n">
        <v>2012</v>
      </c>
      <c r="E140" s="7" t="s">
        <v>82</v>
      </c>
      <c r="F140" s="7" t="s">
        <v>63</v>
      </c>
      <c r="G140" s="7" t="s">
        <v>91</v>
      </c>
      <c r="H140" s="7" t="n">
        <v>45.3</v>
      </c>
      <c r="I140" s="7" t="str">
        <f aca="false">IF(B140="",TRIM(C140),TRIM(B140))</f>
        <v>Benin Multiple Indicator Cluster Survey 2014</v>
      </c>
      <c r="J140" s="7" t="str">
        <f aca="false">IF(ISNUMBER(SEARCH("Demographic and Health",I140)),"DHS",IF(OR(ISNUMBER(SEARCH("Multiple Indicator Cluster",I140)),ISNUMBER(SEARCH("MICS",I140))),"MICS","Other"))</f>
        <v>MICS</v>
      </c>
      <c r="K140" s="7" t="n">
        <f aca="false">IF(AND(F140="Record or Recall",G140="12-23 m"),1,0)</f>
        <v>0</v>
      </c>
      <c r="L140" s="7" t="n">
        <f aca="false">IF(OR(J140="DHS",J140="MICS"),1,0)</f>
        <v>1</v>
      </c>
    </row>
    <row r="141" customFormat="false" ht="15" hidden="false" customHeight="false" outlineLevel="0" collapsed="false">
      <c r="A141" s="7" t="s">
        <v>320</v>
      </c>
      <c r="B141" s="7" t="s">
        <v>338</v>
      </c>
      <c r="C141" s="7" t="s">
        <v>339</v>
      </c>
      <c r="D141" s="7" t="n">
        <v>2012</v>
      </c>
      <c r="E141" s="7" t="s">
        <v>68</v>
      </c>
      <c r="F141" s="7" t="s">
        <v>78</v>
      </c>
      <c r="G141" s="7" t="s">
        <v>91</v>
      </c>
      <c r="H141" s="7" t="n">
        <v>59.8</v>
      </c>
      <c r="I141" s="7" t="str">
        <f aca="false">IF(B141="",TRIM(C141),TRIM(B141))</f>
        <v>Benin Multiple Indicator Cluster Survey 2014</v>
      </c>
      <c r="J141" s="7" t="str">
        <f aca="false">IF(ISNUMBER(SEARCH("Demographic and Health",I141)),"DHS",IF(OR(ISNUMBER(SEARCH("Multiple Indicator Cluster",I141)),ISNUMBER(SEARCH("MICS",I141))),"MICS","Other"))</f>
        <v>MICS</v>
      </c>
      <c r="K141" s="7" t="n">
        <f aca="false">IF(AND(F141="Record or Recall",G141="12-23 m"),1,0)</f>
        <v>0</v>
      </c>
      <c r="L141" s="7" t="n">
        <f aca="false">IF(OR(J141="DHS",J141="MICS"),1,0)</f>
        <v>1</v>
      </c>
    </row>
    <row r="142" customFormat="false" ht="15" hidden="false" customHeight="false" outlineLevel="0" collapsed="false">
      <c r="A142" s="7" t="s">
        <v>320</v>
      </c>
      <c r="B142" s="7" t="s">
        <v>338</v>
      </c>
      <c r="C142" s="7" t="s">
        <v>339</v>
      </c>
      <c r="D142" s="7" t="n">
        <v>2012</v>
      </c>
      <c r="E142" s="7" t="s">
        <v>68</v>
      </c>
      <c r="F142" s="7" t="s">
        <v>86</v>
      </c>
      <c r="G142" s="7" t="s">
        <v>91</v>
      </c>
      <c r="H142" s="7" t="n">
        <v>42.9</v>
      </c>
      <c r="I142" s="7" t="str">
        <f aca="false">IF(B142="",TRIM(C142),TRIM(B142))</f>
        <v>Benin Multiple Indicator Cluster Survey 2014</v>
      </c>
      <c r="J142" s="7" t="str">
        <f aca="false">IF(ISNUMBER(SEARCH("Demographic and Health",I142)),"DHS",IF(OR(ISNUMBER(SEARCH("Multiple Indicator Cluster",I142)),ISNUMBER(SEARCH("MICS",I142))),"MICS","Other"))</f>
        <v>MICS</v>
      </c>
      <c r="K142" s="7" t="n">
        <f aca="false">IF(AND(F142="Record or Recall",G142="12-23 m"),1,0)</f>
        <v>0</v>
      </c>
      <c r="L142" s="7" t="n">
        <f aca="false">IF(OR(J142="DHS",J142="MICS"),1,0)</f>
        <v>1</v>
      </c>
    </row>
    <row r="143" customFormat="false" ht="15" hidden="false" customHeight="false" outlineLevel="0" collapsed="false">
      <c r="A143" s="7" t="s">
        <v>320</v>
      </c>
      <c r="B143" s="7" t="s">
        <v>338</v>
      </c>
      <c r="C143" s="7" t="s">
        <v>339</v>
      </c>
      <c r="D143" s="7" t="n">
        <v>2012</v>
      </c>
      <c r="E143" s="7" t="s">
        <v>68</v>
      </c>
      <c r="F143" s="7" t="s">
        <v>63</v>
      </c>
      <c r="G143" s="7" t="s">
        <v>91</v>
      </c>
      <c r="H143" s="7" t="n">
        <v>66.9</v>
      </c>
      <c r="I143" s="7" t="str">
        <f aca="false">IF(B143="",TRIM(C143),TRIM(B143))</f>
        <v>Benin Multiple Indicator Cluster Survey 2014</v>
      </c>
      <c r="J143" s="7" t="str">
        <f aca="false">IF(ISNUMBER(SEARCH("Demographic and Health",I143)),"DHS",IF(OR(ISNUMBER(SEARCH("Multiple Indicator Cluster",I143)),ISNUMBER(SEARCH("MICS",I143))),"MICS","Other"))</f>
        <v>MICS</v>
      </c>
      <c r="K143" s="7" t="n">
        <f aca="false">IF(AND(F143="Record or Recall",G143="12-23 m"),1,0)</f>
        <v>0</v>
      </c>
      <c r="L143" s="7" t="n">
        <f aca="false">IF(OR(J143="DHS",J143="MICS"),1,0)</f>
        <v>1</v>
      </c>
    </row>
    <row r="144" customFormat="false" ht="15" hidden="false" customHeight="false" outlineLevel="0" collapsed="false">
      <c r="A144" s="7" t="s">
        <v>320</v>
      </c>
      <c r="B144" s="7" t="s">
        <v>338</v>
      </c>
      <c r="C144" s="7" t="s">
        <v>339</v>
      </c>
      <c r="D144" s="7" t="n">
        <v>2012</v>
      </c>
      <c r="E144" s="7" t="s">
        <v>69</v>
      </c>
      <c r="F144" s="7" t="s">
        <v>78</v>
      </c>
      <c r="G144" s="7" t="s">
        <v>91</v>
      </c>
      <c r="H144" s="7" t="n">
        <v>53.3</v>
      </c>
      <c r="I144" s="7" t="str">
        <f aca="false">IF(B144="",TRIM(C144),TRIM(B144))</f>
        <v>Benin Multiple Indicator Cluster Survey 2014</v>
      </c>
      <c r="J144" s="7" t="str">
        <f aca="false">IF(ISNUMBER(SEARCH("Demographic and Health",I144)),"DHS",IF(OR(ISNUMBER(SEARCH("Multiple Indicator Cluster",I144)),ISNUMBER(SEARCH("MICS",I144))),"MICS","Other"))</f>
        <v>MICS</v>
      </c>
      <c r="K144" s="7" t="n">
        <f aca="false">IF(AND(F144="Record or Recall",G144="12-23 m"),1,0)</f>
        <v>0</v>
      </c>
      <c r="L144" s="7" t="n">
        <f aca="false">IF(OR(J144="DHS",J144="MICS"),1,0)</f>
        <v>1</v>
      </c>
    </row>
    <row r="145" customFormat="false" ht="15" hidden="false" customHeight="false" outlineLevel="0" collapsed="false">
      <c r="A145" s="7" t="s">
        <v>320</v>
      </c>
      <c r="B145" s="7" t="s">
        <v>338</v>
      </c>
      <c r="C145" s="7" t="s">
        <v>339</v>
      </c>
      <c r="D145" s="7" t="n">
        <v>2012</v>
      </c>
      <c r="E145" s="7" t="s">
        <v>69</v>
      </c>
      <c r="F145" s="7" t="s">
        <v>86</v>
      </c>
      <c r="G145" s="7" t="s">
        <v>91</v>
      </c>
      <c r="H145" s="7" t="n">
        <v>45.2</v>
      </c>
      <c r="I145" s="7" t="str">
        <f aca="false">IF(B145="",TRIM(C145),TRIM(B145))</f>
        <v>Benin Multiple Indicator Cluster Survey 2014</v>
      </c>
      <c r="J145" s="7" t="str">
        <f aca="false">IF(ISNUMBER(SEARCH("Demographic and Health",I145)),"DHS",IF(OR(ISNUMBER(SEARCH("Multiple Indicator Cluster",I145)),ISNUMBER(SEARCH("MICS",I145))),"MICS","Other"))</f>
        <v>MICS</v>
      </c>
      <c r="K145" s="7" t="n">
        <f aca="false">IF(AND(F145="Record or Recall",G145="12-23 m"),1,0)</f>
        <v>0</v>
      </c>
      <c r="L145" s="7" t="n">
        <f aca="false">IF(OR(J145="DHS",J145="MICS"),1,0)</f>
        <v>1</v>
      </c>
    </row>
    <row r="146" customFormat="false" ht="15" hidden="false" customHeight="false" outlineLevel="0" collapsed="false">
      <c r="A146" s="7" t="s">
        <v>320</v>
      </c>
      <c r="B146" s="7" t="s">
        <v>338</v>
      </c>
      <c r="C146" s="7" t="s">
        <v>339</v>
      </c>
      <c r="D146" s="7" t="n">
        <v>2012</v>
      </c>
      <c r="E146" s="7" t="s">
        <v>69</v>
      </c>
      <c r="F146" s="7" t="s">
        <v>63</v>
      </c>
      <c r="G146" s="7" t="s">
        <v>91</v>
      </c>
      <c r="H146" s="7" t="n">
        <v>55.8</v>
      </c>
      <c r="I146" s="7" t="str">
        <f aca="false">IF(B146="",TRIM(C146),TRIM(B146))</f>
        <v>Benin Multiple Indicator Cluster Survey 2014</v>
      </c>
      <c r="J146" s="7" t="str">
        <f aca="false">IF(ISNUMBER(SEARCH("Demographic and Health",I146)),"DHS",IF(OR(ISNUMBER(SEARCH("Multiple Indicator Cluster",I146)),ISNUMBER(SEARCH("MICS",I146))),"MICS","Other"))</f>
        <v>MICS</v>
      </c>
      <c r="K146" s="7" t="n">
        <f aca="false">IF(AND(F146="Record or Recall",G146="12-23 m"),1,0)</f>
        <v>0</v>
      </c>
      <c r="L146" s="7" t="n">
        <f aca="false">IF(OR(J146="DHS",J146="MICS"),1,0)</f>
        <v>1</v>
      </c>
    </row>
    <row r="147" customFormat="false" ht="15" hidden="false" customHeight="false" outlineLevel="0" collapsed="false">
      <c r="A147" s="7" t="s">
        <v>320</v>
      </c>
      <c r="B147" s="7" t="s">
        <v>340</v>
      </c>
      <c r="C147" s="7" t="s">
        <v>341</v>
      </c>
      <c r="D147" s="7" t="n">
        <v>2012</v>
      </c>
      <c r="E147" s="7" t="s">
        <v>62</v>
      </c>
      <c r="F147" s="7" t="s">
        <v>86</v>
      </c>
      <c r="G147" s="7" t="s">
        <v>66</v>
      </c>
      <c r="H147" s="7" t="n">
        <v>97</v>
      </c>
      <c r="I147" s="7" t="str">
        <f aca="false">IF(B147="",TRIM(C147),TRIM(B147))</f>
        <v>External Review of the Immunization System in Benin in 2014</v>
      </c>
      <c r="J147" s="7" t="str">
        <f aca="false">IF(ISNUMBER(SEARCH("Demographic and Health",I147)),"DHS",IF(OR(ISNUMBER(SEARCH("Multiple Indicator Cluster",I147)),ISNUMBER(SEARCH("MICS",I147))),"MICS","Other"))</f>
        <v>Other</v>
      </c>
      <c r="K147" s="7" t="n">
        <f aca="false">IF(AND(F147="Record or Recall",G147="12-23 m"),1,0)</f>
        <v>0</v>
      </c>
      <c r="L147" s="7" t="n">
        <f aca="false">IF(OR(J147="DHS",J147="MICS"),1,0)</f>
        <v>0</v>
      </c>
    </row>
    <row r="148" customFormat="false" ht="15" hidden="false" customHeight="false" outlineLevel="0" collapsed="false">
      <c r="A148" s="7" t="s">
        <v>320</v>
      </c>
      <c r="B148" s="7" t="s">
        <v>340</v>
      </c>
      <c r="C148" s="7" t="s">
        <v>341</v>
      </c>
      <c r="D148" s="7" t="n">
        <v>2012</v>
      </c>
      <c r="E148" s="7" t="s">
        <v>62</v>
      </c>
      <c r="F148" s="7" t="s">
        <v>63</v>
      </c>
      <c r="G148" s="7" t="s">
        <v>66</v>
      </c>
      <c r="H148" s="7" t="n">
        <v>98</v>
      </c>
      <c r="I148" s="7" t="str">
        <f aca="false">IF(B148="",TRIM(C148),TRIM(B148))</f>
        <v>External Review of the Immunization System in Benin in 2014</v>
      </c>
      <c r="J148" s="7" t="str">
        <f aca="false">IF(ISNUMBER(SEARCH("Demographic and Health",I148)),"DHS",IF(OR(ISNUMBER(SEARCH("Multiple Indicator Cluster",I148)),ISNUMBER(SEARCH("MICS",I148))),"MICS","Other"))</f>
        <v>Other</v>
      </c>
      <c r="K148" s="7" t="n">
        <f aca="false">IF(AND(F148="Record or Recall",G148="12-23 m"),1,0)</f>
        <v>1</v>
      </c>
      <c r="L148" s="7" t="n">
        <f aca="false">IF(OR(J148="DHS",J148="MICS"),1,0)</f>
        <v>0</v>
      </c>
    </row>
    <row r="149" customFormat="false" ht="15" hidden="false" customHeight="false" outlineLevel="0" collapsed="false">
      <c r="A149" s="7" t="s">
        <v>320</v>
      </c>
      <c r="B149" s="7" t="s">
        <v>340</v>
      </c>
      <c r="C149" s="7" t="s">
        <v>341</v>
      </c>
      <c r="D149" s="7" t="n">
        <v>2012</v>
      </c>
      <c r="E149" s="7" t="s">
        <v>81</v>
      </c>
      <c r="F149" s="7" t="s">
        <v>86</v>
      </c>
      <c r="G149" s="7" t="s">
        <v>66</v>
      </c>
      <c r="H149" s="7" t="n">
        <v>82</v>
      </c>
      <c r="I149" s="7" t="str">
        <f aca="false">IF(B149="",TRIM(C149),TRIM(B149))</f>
        <v>External Review of the Immunization System in Benin in 2014</v>
      </c>
      <c r="J149" s="7" t="str">
        <f aca="false">IF(ISNUMBER(SEARCH("Demographic and Health",I149)),"DHS",IF(OR(ISNUMBER(SEARCH("Multiple Indicator Cluster",I149)),ISNUMBER(SEARCH("MICS",I149))),"MICS","Other"))</f>
        <v>Other</v>
      </c>
      <c r="K149" s="7" t="n">
        <f aca="false">IF(AND(F149="Record or Recall",G149="12-23 m"),1,0)</f>
        <v>0</v>
      </c>
      <c r="L149" s="7" t="n">
        <f aca="false">IF(OR(J149="DHS",J149="MICS"),1,0)</f>
        <v>0</v>
      </c>
    </row>
    <row r="150" customFormat="false" ht="15" hidden="false" customHeight="false" outlineLevel="0" collapsed="false">
      <c r="A150" s="7" t="s">
        <v>320</v>
      </c>
      <c r="B150" s="7" t="s">
        <v>340</v>
      </c>
      <c r="C150" s="7" t="s">
        <v>341</v>
      </c>
      <c r="D150" s="7" t="n">
        <v>2012</v>
      </c>
      <c r="E150" s="7" t="s">
        <v>81</v>
      </c>
      <c r="F150" s="7" t="s">
        <v>63</v>
      </c>
      <c r="G150" s="7" t="s">
        <v>66</v>
      </c>
      <c r="H150" s="7" t="n">
        <v>96</v>
      </c>
      <c r="I150" s="7" t="str">
        <f aca="false">IF(B150="",TRIM(C150),TRIM(B150))</f>
        <v>External Review of the Immunization System in Benin in 2014</v>
      </c>
      <c r="J150" s="7" t="str">
        <f aca="false">IF(ISNUMBER(SEARCH("Demographic and Health",I150)),"DHS",IF(OR(ISNUMBER(SEARCH("Multiple Indicator Cluster",I150)),ISNUMBER(SEARCH("MICS",I150))),"MICS","Other"))</f>
        <v>Other</v>
      </c>
      <c r="K150" s="7" t="n">
        <f aca="false">IF(AND(F150="Record or Recall",G150="12-23 m"),1,0)</f>
        <v>1</v>
      </c>
      <c r="L150" s="7" t="n">
        <f aca="false">IF(OR(J150="DHS",J150="MICS"),1,0)</f>
        <v>0</v>
      </c>
    </row>
    <row r="151" customFormat="false" ht="15" hidden="false" customHeight="false" outlineLevel="0" collapsed="false">
      <c r="A151" s="7" t="s">
        <v>320</v>
      </c>
      <c r="B151" s="7" t="s">
        <v>340</v>
      </c>
      <c r="C151" s="7" t="s">
        <v>341</v>
      </c>
      <c r="D151" s="7" t="n">
        <v>2012</v>
      </c>
      <c r="E151" s="7" t="s">
        <v>67</v>
      </c>
      <c r="F151" s="7" t="s">
        <v>86</v>
      </c>
      <c r="G151" s="7" t="s">
        <v>66</v>
      </c>
      <c r="H151" s="7" t="n">
        <v>74</v>
      </c>
      <c r="I151" s="7" t="str">
        <f aca="false">IF(B151="",TRIM(C151),TRIM(B151))</f>
        <v>External Review of the Immunization System in Benin in 2014</v>
      </c>
      <c r="J151" s="7" t="str">
        <f aca="false">IF(ISNUMBER(SEARCH("Demographic and Health",I151)),"DHS",IF(OR(ISNUMBER(SEARCH("Multiple Indicator Cluster",I151)),ISNUMBER(SEARCH("MICS",I151))),"MICS","Other"))</f>
        <v>Other</v>
      </c>
      <c r="K151" s="7" t="n">
        <f aca="false">IF(AND(F151="Record or Recall",G151="12-23 m"),1,0)</f>
        <v>0</v>
      </c>
      <c r="L151" s="7" t="n">
        <f aca="false">IF(OR(J151="DHS",J151="MICS"),1,0)</f>
        <v>0</v>
      </c>
    </row>
    <row r="152" customFormat="false" ht="15" hidden="false" customHeight="false" outlineLevel="0" collapsed="false">
      <c r="A152" s="7" t="s">
        <v>320</v>
      </c>
      <c r="B152" s="7" t="s">
        <v>340</v>
      </c>
      <c r="C152" s="7" t="s">
        <v>341</v>
      </c>
      <c r="D152" s="7" t="n">
        <v>2012</v>
      </c>
      <c r="E152" s="7" t="s">
        <v>67</v>
      </c>
      <c r="F152" s="7" t="s">
        <v>63</v>
      </c>
      <c r="G152" s="7" t="s">
        <v>66</v>
      </c>
      <c r="H152" s="7" t="n">
        <v>86</v>
      </c>
      <c r="I152" s="7" t="str">
        <f aca="false">IF(B152="",TRIM(C152),TRIM(B152))</f>
        <v>External Review of the Immunization System in Benin in 2014</v>
      </c>
      <c r="J152" s="7" t="str">
        <f aca="false">IF(ISNUMBER(SEARCH("Demographic and Health",I152)),"DHS",IF(OR(ISNUMBER(SEARCH("Multiple Indicator Cluster",I152)),ISNUMBER(SEARCH("MICS",I152))),"MICS","Other"))</f>
        <v>Other</v>
      </c>
      <c r="K152" s="7" t="n">
        <f aca="false">IF(AND(F152="Record or Recall",G152="12-23 m"),1,0)</f>
        <v>1</v>
      </c>
      <c r="L152" s="7" t="n">
        <f aca="false">IF(OR(J152="DHS",J152="MICS"),1,0)</f>
        <v>0</v>
      </c>
    </row>
    <row r="153" customFormat="false" ht="15" hidden="false" customHeight="false" outlineLevel="0" collapsed="false">
      <c r="A153" s="7" t="s">
        <v>320</v>
      </c>
      <c r="B153" s="7" t="s">
        <v>340</v>
      </c>
      <c r="C153" s="7" t="s">
        <v>341</v>
      </c>
      <c r="D153" s="7" t="n">
        <v>2012</v>
      </c>
      <c r="E153" s="7" t="s">
        <v>82</v>
      </c>
      <c r="F153" s="7" t="s">
        <v>86</v>
      </c>
      <c r="G153" s="7" t="s">
        <v>66</v>
      </c>
      <c r="H153" s="7" t="n">
        <v>61</v>
      </c>
      <c r="I153" s="7" t="str">
        <f aca="false">IF(B153="",TRIM(C153),TRIM(B153))</f>
        <v>External Review of the Immunization System in Benin in 2014</v>
      </c>
      <c r="J153" s="7" t="str">
        <f aca="false">IF(ISNUMBER(SEARCH("Demographic and Health",I153)),"DHS",IF(OR(ISNUMBER(SEARCH("Multiple Indicator Cluster",I153)),ISNUMBER(SEARCH("MICS",I153))),"MICS","Other"))</f>
        <v>Other</v>
      </c>
      <c r="K153" s="7" t="n">
        <f aca="false">IF(AND(F153="Record or Recall",G153="12-23 m"),1,0)</f>
        <v>0</v>
      </c>
      <c r="L153" s="7" t="n">
        <f aca="false">IF(OR(J153="DHS",J153="MICS"),1,0)</f>
        <v>0</v>
      </c>
    </row>
    <row r="154" customFormat="false" ht="15" hidden="false" customHeight="false" outlineLevel="0" collapsed="false">
      <c r="A154" s="7" t="s">
        <v>320</v>
      </c>
      <c r="B154" s="7" t="s">
        <v>340</v>
      </c>
      <c r="C154" s="7" t="s">
        <v>341</v>
      </c>
      <c r="D154" s="7" t="n">
        <v>2012</v>
      </c>
      <c r="E154" s="7" t="s">
        <v>82</v>
      </c>
      <c r="F154" s="7" t="s">
        <v>63</v>
      </c>
      <c r="G154" s="7" t="s">
        <v>66</v>
      </c>
      <c r="H154" s="7" t="n">
        <v>76</v>
      </c>
      <c r="I154" s="7" t="str">
        <f aca="false">IF(B154="",TRIM(C154),TRIM(B154))</f>
        <v>External Review of the Immunization System in Benin in 2014</v>
      </c>
      <c r="J154" s="7" t="str">
        <f aca="false">IF(ISNUMBER(SEARCH("Demographic and Health",I154)),"DHS",IF(OR(ISNUMBER(SEARCH("Multiple Indicator Cluster",I154)),ISNUMBER(SEARCH("MICS",I154))),"MICS","Other"))</f>
        <v>Other</v>
      </c>
      <c r="K154" s="7" t="n">
        <f aca="false">IF(AND(F154="Record or Recall",G154="12-23 m"),1,0)</f>
        <v>1</v>
      </c>
      <c r="L154" s="7" t="n">
        <f aca="false">IF(OR(J154="DHS",J154="MICS"),1,0)</f>
        <v>0</v>
      </c>
    </row>
    <row r="155" customFormat="false" ht="15" hidden="false" customHeight="false" outlineLevel="0" collapsed="false">
      <c r="A155" s="7" t="s">
        <v>320</v>
      </c>
      <c r="B155" s="7" t="s">
        <v>340</v>
      </c>
      <c r="C155" s="7" t="s">
        <v>341</v>
      </c>
      <c r="D155" s="7" t="n">
        <v>2012</v>
      </c>
      <c r="E155" s="7" t="s">
        <v>68</v>
      </c>
      <c r="F155" s="7" t="s">
        <v>86</v>
      </c>
      <c r="G155" s="7" t="s">
        <v>66</v>
      </c>
      <c r="H155" s="7" t="n">
        <v>68</v>
      </c>
      <c r="I155" s="7" t="str">
        <f aca="false">IF(B155="",TRIM(C155),TRIM(B155))</f>
        <v>External Review of the Immunization System in Benin in 2014</v>
      </c>
      <c r="J155" s="7" t="str">
        <f aca="false">IF(ISNUMBER(SEARCH("Demographic and Health",I155)),"DHS",IF(OR(ISNUMBER(SEARCH("Multiple Indicator Cluster",I155)),ISNUMBER(SEARCH("MICS",I155))),"MICS","Other"))</f>
        <v>Other</v>
      </c>
      <c r="K155" s="7" t="n">
        <f aca="false">IF(AND(F155="Record or Recall",G155="12-23 m"),1,0)</f>
        <v>0</v>
      </c>
      <c r="L155" s="7" t="n">
        <f aca="false">IF(OR(J155="DHS",J155="MICS"),1,0)</f>
        <v>0</v>
      </c>
    </row>
    <row r="156" customFormat="false" ht="15" hidden="false" customHeight="false" outlineLevel="0" collapsed="false">
      <c r="A156" s="7" t="s">
        <v>320</v>
      </c>
      <c r="B156" s="7" t="s">
        <v>340</v>
      </c>
      <c r="C156" s="7" t="s">
        <v>341</v>
      </c>
      <c r="D156" s="7" t="n">
        <v>2012</v>
      </c>
      <c r="E156" s="7" t="s">
        <v>68</v>
      </c>
      <c r="F156" s="7" t="s">
        <v>63</v>
      </c>
      <c r="G156" s="7" t="s">
        <v>66</v>
      </c>
      <c r="H156" s="7" t="n">
        <v>80</v>
      </c>
      <c r="I156" s="7" t="str">
        <f aca="false">IF(B156="",TRIM(C156),TRIM(B156))</f>
        <v>External Review of the Immunization System in Benin in 2014</v>
      </c>
      <c r="J156" s="7" t="str">
        <f aca="false">IF(ISNUMBER(SEARCH("Demographic and Health",I156)),"DHS",IF(OR(ISNUMBER(SEARCH("Multiple Indicator Cluster",I156)),ISNUMBER(SEARCH("MICS",I156))),"MICS","Other"))</f>
        <v>Other</v>
      </c>
      <c r="K156" s="7" t="n">
        <f aca="false">IF(AND(F156="Record or Recall",G156="12-23 m"),1,0)</f>
        <v>1</v>
      </c>
      <c r="L156" s="7" t="n">
        <f aca="false">IF(OR(J156="DHS",J156="MICS"),1,0)</f>
        <v>0</v>
      </c>
    </row>
    <row r="157" customFormat="false" ht="15" hidden="false" customHeight="false" outlineLevel="0" collapsed="false">
      <c r="A157" s="7" t="s">
        <v>320</v>
      </c>
      <c r="B157" s="7" t="s">
        <v>338</v>
      </c>
      <c r="C157" s="7" t="s">
        <v>339</v>
      </c>
      <c r="D157" s="7" t="n">
        <v>2013</v>
      </c>
      <c r="E157" s="7" t="s">
        <v>62</v>
      </c>
      <c r="F157" s="7" t="s">
        <v>78</v>
      </c>
      <c r="G157" s="7" t="s">
        <v>66</v>
      </c>
      <c r="H157" s="7" t="n">
        <v>89.4</v>
      </c>
      <c r="I157" s="7" t="str">
        <f aca="false">IF(B157="",TRIM(C157),TRIM(B157))</f>
        <v>Benin Multiple Indicator Cluster Survey 2014</v>
      </c>
      <c r="J157" s="7" t="str">
        <f aca="false">IF(ISNUMBER(SEARCH("Demographic and Health",I157)),"DHS",IF(OR(ISNUMBER(SEARCH("Multiple Indicator Cluster",I157)),ISNUMBER(SEARCH("MICS",I157))),"MICS","Other"))</f>
        <v>MICS</v>
      </c>
      <c r="K157" s="7" t="n">
        <f aca="false">IF(AND(F157="Record or Recall",G157="12-23 m"),1,0)</f>
        <v>0</v>
      </c>
      <c r="L157" s="7" t="n">
        <f aca="false">IF(OR(J157="DHS",J157="MICS"),1,0)</f>
        <v>1</v>
      </c>
    </row>
    <row r="158" customFormat="false" ht="15" hidden="false" customHeight="false" outlineLevel="0" collapsed="false">
      <c r="A158" s="7" t="s">
        <v>320</v>
      </c>
      <c r="B158" s="7" t="s">
        <v>338</v>
      </c>
      <c r="C158" s="7" t="s">
        <v>339</v>
      </c>
      <c r="D158" s="7" t="n">
        <v>2013</v>
      </c>
      <c r="E158" s="7" t="s">
        <v>62</v>
      </c>
      <c r="F158" s="7" t="s">
        <v>86</v>
      </c>
      <c r="G158" s="7" t="s">
        <v>66</v>
      </c>
      <c r="H158" s="7" t="n">
        <v>70.8</v>
      </c>
      <c r="I158" s="7" t="str">
        <f aca="false">IF(B158="",TRIM(C158),TRIM(B158))</f>
        <v>Benin Multiple Indicator Cluster Survey 2014</v>
      </c>
      <c r="J158" s="7" t="str">
        <f aca="false">IF(ISNUMBER(SEARCH("Demographic and Health",I158)),"DHS",IF(OR(ISNUMBER(SEARCH("Multiple Indicator Cluster",I158)),ISNUMBER(SEARCH("MICS",I158))),"MICS","Other"))</f>
        <v>MICS</v>
      </c>
      <c r="K158" s="7" t="n">
        <f aca="false">IF(AND(F158="Record or Recall",G158="12-23 m"),1,0)</f>
        <v>0</v>
      </c>
      <c r="L158" s="7" t="n">
        <f aca="false">IF(OR(J158="DHS",J158="MICS"),1,0)</f>
        <v>1</v>
      </c>
    </row>
    <row r="159" customFormat="false" ht="15" hidden="false" customHeight="false" outlineLevel="0" collapsed="false">
      <c r="A159" s="7" t="s">
        <v>320</v>
      </c>
      <c r="B159" s="7" t="s">
        <v>338</v>
      </c>
      <c r="C159" s="7" t="s">
        <v>339</v>
      </c>
      <c r="D159" s="7" t="n">
        <v>2013</v>
      </c>
      <c r="E159" s="7" t="s">
        <v>62</v>
      </c>
      <c r="F159" s="7" t="s">
        <v>63</v>
      </c>
      <c r="G159" s="7" t="s">
        <v>66</v>
      </c>
      <c r="H159" s="7" t="n">
        <v>89.8</v>
      </c>
      <c r="I159" s="7" t="str">
        <f aca="false">IF(B159="",TRIM(C159),TRIM(B159))</f>
        <v>Benin Multiple Indicator Cluster Survey 2014</v>
      </c>
      <c r="J159" s="7" t="str">
        <f aca="false">IF(ISNUMBER(SEARCH("Demographic and Health",I159)),"DHS",IF(OR(ISNUMBER(SEARCH("Multiple Indicator Cluster",I159)),ISNUMBER(SEARCH("MICS",I159))),"MICS","Other"))</f>
        <v>MICS</v>
      </c>
      <c r="K159" s="7" t="n">
        <f aca="false">IF(AND(F159="Record or Recall",G159="12-23 m"),1,0)</f>
        <v>1</v>
      </c>
      <c r="L159" s="7" t="n">
        <f aca="false">IF(OR(J159="DHS",J159="MICS"),1,0)</f>
        <v>1</v>
      </c>
    </row>
    <row r="160" customFormat="false" ht="15" hidden="false" customHeight="false" outlineLevel="0" collapsed="false">
      <c r="A160" s="7" t="s">
        <v>320</v>
      </c>
      <c r="B160" s="7" t="s">
        <v>338</v>
      </c>
      <c r="C160" s="7" t="s">
        <v>339</v>
      </c>
      <c r="D160" s="7" t="n">
        <v>2013</v>
      </c>
      <c r="E160" s="7" t="s">
        <v>81</v>
      </c>
      <c r="F160" s="7" t="s">
        <v>78</v>
      </c>
      <c r="G160" s="7" t="s">
        <v>66</v>
      </c>
      <c r="H160" s="7" t="n">
        <v>85.1</v>
      </c>
      <c r="I160" s="7" t="str">
        <f aca="false">IF(B160="",TRIM(C160),TRIM(B160))</f>
        <v>Benin Multiple Indicator Cluster Survey 2014</v>
      </c>
      <c r="J160" s="7" t="str">
        <f aca="false">IF(ISNUMBER(SEARCH("Demographic and Health",I160)),"DHS",IF(OR(ISNUMBER(SEARCH("Multiple Indicator Cluster",I160)),ISNUMBER(SEARCH("MICS",I160))),"MICS","Other"))</f>
        <v>MICS</v>
      </c>
      <c r="K160" s="7" t="n">
        <f aca="false">IF(AND(F160="Record or Recall",G160="12-23 m"),1,0)</f>
        <v>0</v>
      </c>
      <c r="L160" s="7" t="n">
        <f aca="false">IF(OR(J160="DHS",J160="MICS"),1,0)</f>
        <v>1</v>
      </c>
    </row>
    <row r="161" customFormat="false" ht="15" hidden="false" customHeight="false" outlineLevel="0" collapsed="false">
      <c r="A161" s="7" t="s">
        <v>320</v>
      </c>
      <c r="B161" s="7" t="s">
        <v>338</v>
      </c>
      <c r="C161" s="7" t="s">
        <v>339</v>
      </c>
      <c r="D161" s="7" t="n">
        <v>2013</v>
      </c>
      <c r="E161" s="7" t="s">
        <v>81</v>
      </c>
      <c r="F161" s="7" t="s">
        <v>86</v>
      </c>
      <c r="G161" s="7" t="s">
        <v>66</v>
      </c>
      <c r="H161" s="7" t="n">
        <v>68.2</v>
      </c>
      <c r="I161" s="7" t="str">
        <f aca="false">IF(B161="",TRIM(C161),TRIM(B161))</f>
        <v>Benin Multiple Indicator Cluster Survey 2014</v>
      </c>
      <c r="J161" s="7" t="str">
        <f aca="false">IF(ISNUMBER(SEARCH("Demographic and Health",I161)),"DHS",IF(OR(ISNUMBER(SEARCH("Multiple Indicator Cluster",I161)),ISNUMBER(SEARCH("MICS",I161))),"MICS","Other"))</f>
        <v>MICS</v>
      </c>
      <c r="K161" s="7" t="n">
        <f aca="false">IF(AND(F161="Record or Recall",G161="12-23 m"),1,0)</f>
        <v>0</v>
      </c>
      <c r="L161" s="7" t="n">
        <f aca="false">IF(OR(J161="DHS",J161="MICS"),1,0)</f>
        <v>1</v>
      </c>
    </row>
    <row r="162" customFormat="false" ht="15" hidden="false" customHeight="false" outlineLevel="0" collapsed="false">
      <c r="A162" s="7" t="s">
        <v>320</v>
      </c>
      <c r="B162" s="7" t="s">
        <v>338</v>
      </c>
      <c r="C162" s="7" t="s">
        <v>339</v>
      </c>
      <c r="D162" s="7" t="n">
        <v>2013</v>
      </c>
      <c r="E162" s="7" t="s">
        <v>81</v>
      </c>
      <c r="F162" s="7" t="s">
        <v>63</v>
      </c>
      <c r="G162" s="7" t="s">
        <v>66</v>
      </c>
      <c r="H162" s="7" t="n">
        <v>86.2</v>
      </c>
      <c r="I162" s="7" t="str">
        <f aca="false">IF(B162="",TRIM(C162),TRIM(B162))</f>
        <v>Benin Multiple Indicator Cluster Survey 2014</v>
      </c>
      <c r="J162" s="7" t="str">
        <f aca="false">IF(ISNUMBER(SEARCH("Demographic and Health",I162)),"DHS",IF(OR(ISNUMBER(SEARCH("Multiple Indicator Cluster",I162)),ISNUMBER(SEARCH("MICS",I162))),"MICS","Other"))</f>
        <v>MICS</v>
      </c>
      <c r="K162" s="7" t="n">
        <f aca="false">IF(AND(F162="Record or Recall",G162="12-23 m"),1,0)</f>
        <v>1</v>
      </c>
      <c r="L162" s="7" t="n">
        <f aca="false">IF(OR(J162="DHS",J162="MICS"),1,0)</f>
        <v>1</v>
      </c>
    </row>
    <row r="163" customFormat="false" ht="15" hidden="false" customHeight="false" outlineLevel="0" collapsed="false">
      <c r="A163" s="7" t="s">
        <v>320</v>
      </c>
      <c r="B163" s="7" t="s">
        <v>338</v>
      </c>
      <c r="C163" s="7" t="s">
        <v>339</v>
      </c>
      <c r="D163" s="7" t="n">
        <v>2013</v>
      </c>
      <c r="E163" s="7" t="s">
        <v>67</v>
      </c>
      <c r="F163" s="7" t="s">
        <v>78</v>
      </c>
      <c r="G163" s="7" t="s">
        <v>66</v>
      </c>
      <c r="H163" s="7" t="n">
        <v>71</v>
      </c>
      <c r="I163" s="7" t="str">
        <f aca="false">IF(B163="",TRIM(C163),TRIM(B163))</f>
        <v>Benin Multiple Indicator Cluster Survey 2014</v>
      </c>
      <c r="J163" s="7" t="str">
        <f aca="false">IF(ISNUMBER(SEARCH("Demographic and Health",I163)),"DHS",IF(OR(ISNUMBER(SEARCH("Multiple Indicator Cluster",I163)),ISNUMBER(SEARCH("MICS",I163))),"MICS","Other"))</f>
        <v>MICS</v>
      </c>
      <c r="K163" s="7" t="n">
        <f aca="false">IF(AND(F163="Record or Recall",G163="12-23 m"),1,0)</f>
        <v>0</v>
      </c>
      <c r="L163" s="7" t="n">
        <f aca="false">IF(OR(J163="DHS",J163="MICS"),1,0)</f>
        <v>1</v>
      </c>
    </row>
    <row r="164" customFormat="false" ht="15" hidden="false" customHeight="false" outlineLevel="0" collapsed="false">
      <c r="A164" s="7" t="s">
        <v>320</v>
      </c>
      <c r="B164" s="7" t="s">
        <v>338</v>
      </c>
      <c r="C164" s="7" t="s">
        <v>339</v>
      </c>
      <c r="D164" s="7" t="n">
        <v>2013</v>
      </c>
      <c r="E164" s="7" t="s">
        <v>67</v>
      </c>
      <c r="F164" s="7" t="s">
        <v>86</v>
      </c>
      <c r="G164" s="7" t="s">
        <v>66</v>
      </c>
      <c r="H164" s="7" t="n">
        <v>61</v>
      </c>
      <c r="I164" s="7" t="str">
        <f aca="false">IF(B164="",TRIM(C164),TRIM(B164))</f>
        <v>Benin Multiple Indicator Cluster Survey 2014</v>
      </c>
      <c r="J164" s="7" t="str">
        <f aca="false">IF(ISNUMBER(SEARCH("Demographic and Health",I164)),"DHS",IF(OR(ISNUMBER(SEARCH("Multiple Indicator Cluster",I164)),ISNUMBER(SEARCH("MICS",I164))),"MICS","Other"))</f>
        <v>MICS</v>
      </c>
      <c r="K164" s="7" t="n">
        <f aca="false">IF(AND(F164="Record or Recall",G164="12-23 m"),1,0)</f>
        <v>0</v>
      </c>
      <c r="L164" s="7" t="n">
        <f aca="false">IF(OR(J164="DHS",J164="MICS"),1,0)</f>
        <v>1</v>
      </c>
    </row>
    <row r="165" customFormat="false" ht="15" hidden="false" customHeight="false" outlineLevel="0" collapsed="false">
      <c r="A165" s="7" t="s">
        <v>320</v>
      </c>
      <c r="B165" s="7" t="s">
        <v>338</v>
      </c>
      <c r="C165" s="7" t="s">
        <v>339</v>
      </c>
      <c r="D165" s="7" t="n">
        <v>2013</v>
      </c>
      <c r="E165" s="7" t="s">
        <v>67</v>
      </c>
      <c r="F165" s="7" t="s">
        <v>63</v>
      </c>
      <c r="G165" s="7" t="s">
        <v>66</v>
      </c>
      <c r="H165" s="7" t="n">
        <v>73.6</v>
      </c>
      <c r="I165" s="7" t="str">
        <f aca="false">IF(B165="",TRIM(C165),TRIM(B165))</f>
        <v>Benin Multiple Indicator Cluster Survey 2014</v>
      </c>
      <c r="J165" s="7" t="str">
        <f aca="false">IF(ISNUMBER(SEARCH("Demographic and Health",I165)),"DHS",IF(OR(ISNUMBER(SEARCH("Multiple Indicator Cluster",I165)),ISNUMBER(SEARCH("MICS",I165))),"MICS","Other"))</f>
        <v>MICS</v>
      </c>
      <c r="K165" s="7" t="n">
        <f aca="false">IF(AND(F165="Record or Recall",G165="12-23 m"),1,0)</f>
        <v>1</v>
      </c>
      <c r="L165" s="7" t="n">
        <f aca="false">IF(OR(J165="DHS",J165="MICS"),1,0)</f>
        <v>1</v>
      </c>
    </row>
    <row r="166" customFormat="false" ht="15" hidden="false" customHeight="false" outlineLevel="0" collapsed="false">
      <c r="A166" s="7" t="s">
        <v>320</v>
      </c>
      <c r="B166" s="7" t="s">
        <v>338</v>
      </c>
      <c r="C166" s="7" t="s">
        <v>339</v>
      </c>
      <c r="D166" s="7" t="n">
        <v>2013</v>
      </c>
      <c r="E166" s="7" t="s">
        <v>82</v>
      </c>
      <c r="F166" s="7" t="s">
        <v>78</v>
      </c>
      <c r="G166" s="7" t="s">
        <v>66</v>
      </c>
      <c r="H166" s="7" t="n">
        <v>41.6</v>
      </c>
      <c r="I166" s="7" t="str">
        <f aca="false">IF(B166="",TRIM(C166),TRIM(B166))</f>
        <v>Benin Multiple Indicator Cluster Survey 2014</v>
      </c>
      <c r="J166" s="7" t="str">
        <f aca="false">IF(ISNUMBER(SEARCH("Demographic and Health",I166)),"DHS",IF(OR(ISNUMBER(SEARCH("Multiple Indicator Cluster",I166)),ISNUMBER(SEARCH("MICS",I166))),"MICS","Other"))</f>
        <v>MICS</v>
      </c>
      <c r="K166" s="7" t="n">
        <f aca="false">IF(AND(F166="Record or Recall",G166="12-23 m"),1,0)</f>
        <v>0</v>
      </c>
      <c r="L166" s="7" t="n">
        <f aca="false">IF(OR(J166="DHS",J166="MICS"),1,0)</f>
        <v>1</v>
      </c>
    </row>
    <row r="167" customFormat="false" ht="15" hidden="false" customHeight="false" outlineLevel="0" collapsed="false">
      <c r="A167" s="7" t="s">
        <v>320</v>
      </c>
      <c r="B167" s="7" t="s">
        <v>338</v>
      </c>
      <c r="C167" s="7" t="s">
        <v>339</v>
      </c>
      <c r="D167" s="7" t="n">
        <v>2013</v>
      </c>
      <c r="E167" s="7" t="s">
        <v>82</v>
      </c>
      <c r="F167" s="7" t="s">
        <v>86</v>
      </c>
      <c r="G167" s="7" t="s">
        <v>66</v>
      </c>
      <c r="H167" s="7" t="n">
        <v>46.4</v>
      </c>
      <c r="I167" s="7" t="str">
        <f aca="false">IF(B167="",TRIM(C167),TRIM(B167))</f>
        <v>Benin Multiple Indicator Cluster Survey 2014</v>
      </c>
      <c r="J167" s="7" t="str">
        <f aca="false">IF(ISNUMBER(SEARCH("Demographic and Health",I167)),"DHS",IF(OR(ISNUMBER(SEARCH("Multiple Indicator Cluster",I167)),ISNUMBER(SEARCH("MICS",I167))),"MICS","Other"))</f>
        <v>MICS</v>
      </c>
      <c r="K167" s="7" t="n">
        <f aca="false">IF(AND(F167="Record or Recall",G167="12-23 m"),1,0)</f>
        <v>0</v>
      </c>
      <c r="L167" s="7" t="n">
        <f aca="false">IF(OR(J167="DHS",J167="MICS"),1,0)</f>
        <v>1</v>
      </c>
    </row>
    <row r="168" customFormat="false" ht="15" hidden="false" customHeight="false" outlineLevel="0" collapsed="false">
      <c r="A168" s="7" t="s">
        <v>320</v>
      </c>
      <c r="B168" s="7" t="s">
        <v>338</v>
      </c>
      <c r="C168" s="7" t="s">
        <v>339</v>
      </c>
      <c r="D168" s="7" t="n">
        <v>2013</v>
      </c>
      <c r="E168" s="7" t="s">
        <v>82</v>
      </c>
      <c r="F168" s="7" t="s">
        <v>63</v>
      </c>
      <c r="G168" s="7" t="s">
        <v>66</v>
      </c>
      <c r="H168" s="7" t="n">
        <v>50.1</v>
      </c>
      <c r="I168" s="7" t="str">
        <f aca="false">IF(B168="",TRIM(C168),TRIM(B168))</f>
        <v>Benin Multiple Indicator Cluster Survey 2014</v>
      </c>
      <c r="J168" s="7" t="str">
        <f aca="false">IF(ISNUMBER(SEARCH("Demographic and Health",I168)),"DHS",IF(OR(ISNUMBER(SEARCH("Multiple Indicator Cluster",I168)),ISNUMBER(SEARCH("MICS",I168))),"MICS","Other"))</f>
        <v>MICS</v>
      </c>
      <c r="K168" s="7" t="n">
        <f aca="false">IF(AND(F168="Record or Recall",G168="12-23 m"),1,0)</f>
        <v>1</v>
      </c>
      <c r="L168" s="7" t="n">
        <f aca="false">IF(OR(J168="DHS",J168="MICS"),1,0)</f>
        <v>1</v>
      </c>
    </row>
    <row r="169" customFormat="false" ht="15" hidden="false" customHeight="false" outlineLevel="0" collapsed="false">
      <c r="A169" s="7" t="s">
        <v>320</v>
      </c>
      <c r="B169" s="7" t="s">
        <v>338</v>
      </c>
      <c r="C169" s="7" t="s">
        <v>339</v>
      </c>
      <c r="D169" s="7" t="n">
        <v>2013</v>
      </c>
      <c r="E169" s="7" t="s">
        <v>68</v>
      </c>
      <c r="F169" s="7" t="s">
        <v>78</v>
      </c>
      <c r="G169" s="7" t="s">
        <v>66</v>
      </c>
      <c r="H169" s="7" t="n">
        <v>63.7</v>
      </c>
      <c r="I169" s="7" t="str">
        <f aca="false">IF(B169="",TRIM(C169),TRIM(B169))</f>
        <v>Benin Multiple Indicator Cluster Survey 2014</v>
      </c>
      <c r="J169" s="7" t="str">
        <f aca="false">IF(ISNUMBER(SEARCH("Demographic and Health",I169)),"DHS",IF(OR(ISNUMBER(SEARCH("Multiple Indicator Cluster",I169)),ISNUMBER(SEARCH("MICS",I169))),"MICS","Other"))</f>
        <v>MICS</v>
      </c>
      <c r="K169" s="7" t="n">
        <f aca="false">IF(AND(F169="Record or Recall",G169="12-23 m"),1,0)</f>
        <v>0</v>
      </c>
      <c r="L169" s="7" t="n">
        <f aca="false">IF(OR(J169="DHS",J169="MICS"),1,0)</f>
        <v>1</v>
      </c>
    </row>
    <row r="170" customFormat="false" ht="15" hidden="false" customHeight="false" outlineLevel="0" collapsed="false">
      <c r="A170" s="7" t="s">
        <v>320</v>
      </c>
      <c r="B170" s="7" t="s">
        <v>338</v>
      </c>
      <c r="C170" s="7" t="s">
        <v>339</v>
      </c>
      <c r="D170" s="7" t="n">
        <v>2013</v>
      </c>
      <c r="E170" s="7" t="s">
        <v>68</v>
      </c>
      <c r="F170" s="7" t="s">
        <v>86</v>
      </c>
      <c r="G170" s="7" t="s">
        <v>66</v>
      </c>
      <c r="H170" s="7" t="n">
        <v>53.3</v>
      </c>
      <c r="I170" s="7" t="str">
        <f aca="false">IF(B170="",TRIM(C170),TRIM(B170))</f>
        <v>Benin Multiple Indicator Cluster Survey 2014</v>
      </c>
      <c r="J170" s="7" t="str">
        <f aca="false">IF(ISNUMBER(SEARCH("Demographic and Health",I170)),"DHS",IF(OR(ISNUMBER(SEARCH("Multiple Indicator Cluster",I170)),ISNUMBER(SEARCH("MICS",I170))),"MICS","Other"))</f>
        <v>MICS</v>
      </c>
      <c r="K170" s="7" t="n">
        <f aca="false">IF(AND(F170="Record or Recall",G170="12-23 m"),1,0)</f>
        <v>0</v>
      </c>
      <c r="L170" s="7" t="n">
        <f aca="false">IF(OR(J170="DHS",J170="MICS"),1,0)</f>
        <v>1</v>
      </c>
    </row>
    <row r="171" customFormat="false" ht="15" hidden="false" customHeight="false" outlineLevel="0" collapsed="false">
      <c r="A171" s="7" t="s">
        <v>320</v>
      </c>
      <c r="B171" s="7" t="s">
        <v>338</v>
      </c>
      <c r="C171" s="7" t="s">
        <v>339</v>
      </c>
      <c r="D171" s="7" t="n">
        <v>2013</v>
      </c>
      <c r="E171" s="7" t="s">
        <v>68</v>
      </c>
      <c r="F171" s="7" t="s">
        <v>63</v>
      </c>
      <c r="G171" s="7" t="s">
        <v>66</v>
      </c>
      <c r="H171" s="7" t="n">
        <v>68.1</v>
      </c>
      <c r="I171" s="7" t="str">
        <f aca="false">IF(B171="",TRIM(C171),TRIM(B171))</f>
        <v>Benin Multiple Indicator Cluster Survey 2014</v>
      </c>
      <c r="J171" s="7" t="str">
        <f aca="false">IF(ISNUMBER(SEARCH("Demographic and Health",I171)),"DHS",IF(OR(ISNUMBER(SEARCH("Multiple Indicator Cluster",I171)),ISNUMBER(SEARCH("MICS",I171))),"MICS","Other"))</f>
        <v>MICS</v>
      </c>
      <c r="K171" s="7" t="n">
        <f aca="false">IF(AND(F171="Record or Recall",G171="12-23 m"),1,0)</f>
        <v>1</v>
      </c>
      <c r="L171" s="7" t="n">
        <f aca="false">IF(OR(J171="DHS",J171="MICS"),1,0)</f>
        <v>1</v>
      </c>
    </row>
    <row r="172" customFormat="false" ht="15" hidden="false" customHeight="false" outlineLevel="0" collapsed="false">
      <c r="A172" s="7" t="s">
        <v>320</v>
      </c>
      <c r="B172" s="7" t="s">
        <v>338</v>
      </c>
      <c r="C172" s="7" t="s">
        <v>339</v>
      </c>
      <c r="D172" s="7" t="n">
        <v>2013</v>
      </c>
      <c r="E172" s="7" t="s">
        <v>69</v>
      </c>
      <c r="F172" s="7" t="s">
        <v>78</v>
      </c>
      <c r="G172" s="7" t="s">
        <v>66</v>
      </c>
      <c r="H172" s="7" t="n">
        <v>62.3</v>
      </c>
      <c r="I172" s="7" t="str">
        <f aca="false">IF(B172="",TRIM(C172),TRIM(B172))</f>
        <v>Benin Multiple Indicator Cluster Survey 2014</v>
      </c>
      <c r="J172" s="7" t="str">
        <f aca="false">IF(ISNUMBER(SEARCH("Demographic and Health",I172)),"DHS",IF(OR(ISNUMBER(SEARCH("Multiple Indicator Cluster",I172)),ISNUMBER(SEARCH("MICS",I172))),"MICS","Other"))</f>
        <v>MICS</v>
      </c>
      <c r="K172" s="7" t="n">
        <f aca="false">IF(AND(F172="Record or Recall",G172="12-23 m"),1,0)</f>
        <v>0</v>
      </c>
      <c r="L172" s="7" t="n">
        <f aca="false">IF(OR(J172="DHS",J172="MICS"),1,0)</f>
        <v>1</v>
      </c>
    </row>
    <row r="173" customFormat="false" ht="15" hidden="false" customHeight="false" outlineLevel="0" collapsed="false">
      <c r="A173" s="7" t="s">
        <v>320</v>
      </c>
      <c r="B173" s="7" t="s">
        <v>338</v>
      </c>
      <c r="C173" s="7" t="s">
        <v>339</v>
      </c>
      <c r="D173" s="7" t="n">
        <v>2013</v>
      </c>
      <c r="E173" s="7" t="s">
        <v>69</v>
      </c>
      <c r="F173" s="7" t="s">
        <v>86</v>
      </c>
      <c r="G173" s="7" t="s">
        <v>66</v>
      </c>
      <c r="H173" s="7" t="n">
        <v>57.8</v>
      </c>
      <c r="I173" s="7" t="str">
        <f aca="false">IF(B173="",TRIM(C173),TRIM(B173))</f>
        <v>Benin Multiple Indicator Cluster Survey 2014</v>
      </c>
      <c r="J173" s="7" t="str">
        <f aca="false">IF(ISNUMBER(SEARCH("Demographic and Health",I173)),"DHS",IF(OR(ISNUMBER(SEARCH("Multiple Indicator Cluster",I173)),ISNUMBER(SEARCH("MICS",I173))),"MICS","Other"))</f>
        <v>MICS</v>
      </c>
      <c r="K173" s="7" t="n">
        <f aca="false">IF(AND(F173="Record or Recall",G173="12-23 m"),1,0)</f>
        <v>0</v>
      </c>
      <c r="L173" s="7" t="n">
        <f aca="false">IF(OR(J173="DHS",J173="MICS"),1,0)</f>
        <v>1</v>
      </c>
    </row>
    <row r="174" customFormat="false" ht="15" hidden="false" customHeight="false" outlineLevel="0" collapsed="false">
      <c r="A174" s="7" t="s">
        <v>320</v>
      </c>
      <c r="B174" s="7" t="s">
        <v>338</v>
      </c>
      <c r="C174" s="7" t="s">
        <v>339</v>
      </c>
      <c r="D174" s="7" t="n">
        <v>2013</v>
      </c>
      <c r="E174" s="7" t="s">
        <v>69</v>
      </c>
      <c r="F174" s="7" t="s">
        <v>63</v>
      </c>
      <c r="G174" s="7" t="s">
        <v>66</v>
      </c>
      <c r="H174" s="7" t="n">
        <v>64</v>
      </c>
      <c r="I174" s="7" t="str">
        <f aca="false">IF(B174="",TRIM(C174),TRIM(B174))</f>
        <v>Benin Multiple Indicator Cluster Survey 2014</v>
      </c>
      <c r="J174" s="7" t="str">
        <f aca="false">IF(ISNUMBER(SEARCH("Demographic and Health",I174)),"DHS",IF(OR(ISNUMBER(SEARCH("Multiple Indicator Cluster",I174)),ISNUMBER(SEARCH("MICS",I174))),"MICS","Other"))</f>
        <v>MICS</v>
      </c>
      <c r="K174" s="7" t="n">
        <f aca="false">IF(AND(F174="Record or Recall",G174="12-23 m"),1,0)</f>
        <v>1</v>
      </c>
      <c r="L174" s="7" t="n">
        <f aca="false">IF(OR(J174="DHS",J174="MICS"),1,0)</f>
        <v>1</v>
      </c>
    </row>
    <row r="175" customFormat="false" ht="15" hidden="false" customHeight="false" outlineLevel="0" collapsed="false">
      <c r="A175" s="7" t="s">
        <v>320</v>
      </c>
      <c r="B175" s="7" t="s">
        <v>342</v>
      </c>
      <c r="C175" s="7" t="s">
        <v>343</v>
      </c>
      <c r="D175" s="7" t="n">
        <v>2015</v>
      </c>
      <c r="E175" s="7" t="s">
        <v>62</v>
      </c>
      <c r="F175" s="7" t="s">
        <v>78</v>
      </c>
      <c r="G175" s="7" t="s">
        <v>91</v>
      </c>
      <c r="H175" s="7" t="n">
        <v>84.6</v>
      </c>
      <c r="I175" s="7" t="str">
        <f aca="false">IF(B175="",TRIM(C175),TRIM(B175))</f>
        <v>Benin Demographic and Health Survey 2017-2018</v>
      </c>
      <c r="J175" s="7" t="str">
        <f aca="false">IF(ISNUMBER(SEARCH("Demographic and Health",I175)),"DHS",IF(OR(ISNUMBER(SEARCH("Multiple Indicator Cluster",I175)),ISNUMBER(SEARCH("MICS",I175))),"MICS","Other"))</f>
        <v>DHS</v>
      </c>
      <c r="K175" s="7" t="n">
        <f aca="false">IF(AND(F175="Record or Recall",G175="12-23 m"),1,0)</f>
        <v>0</v>
      </c>
      <c r="L175" s="7" t="n">
        <f aca="false">IF(OR(J175="DHS",J175="MICS"),1,0)</f>
        <v>1</v>
      </c>
    </row>
    <row r="176" customFormat="false" ht="15" hidden="false" customHeight="false" outlineLevel="0" collapsed="false">
      <c r="A176" s="7" t="s">
        <v>320</v>
      </c>
      <c r="B176" s="7" t="s">
        <v>342</v>
      </c>
      <c r="C176" s="7" t="s">
        <v>343</v>
      </c>
      <c r="D176" s="7" t="n">
        <v>2015</v>
      </c>
      <c r="E176" s="7" t="s">
        <v>62</v>
      </c>
      <c r="F176" s="7" t="s">
        <v>86</v>
      </c>
      <c r="G176" s="7" t="s">
        <v>91</v>
      </c>
      <c r="H176" s="7" t="n">
        <v>62.1</v>
      </c>
      <c r="I176" s="7" t="str">
        <f aca="false">IF(B176="",TRIM(C176),TRIM(B176))</f>
        <v>Benin Demographic and Health Survey 2017-2018</v>
      </c>
      <c r="J176" s="7" t="str">
        <f aca="false">IF(ISNUMBER(SEARCH("Demographic and Health",I176)),"DHS",IF(OR(ISNUMBER(SEARCH("Multiple Indicator Cluster",I176)),ISNUMBER(SEARCH("MICS",I176))),"MICS","Other"))</f>
        <v>DHS</v>
      </c>
      <c r="K176" s="7" t="n">
        <f aca="false">IF(AND(F176="Record or Recall",G176="12-23 m"),1,0)</f>
        <v>0</v>
      </c>
      <c r="L176" s="7" t="n">
        <f aca="false">IF(OR(J176="DHS",J176="MICS"),1,0)</f>
        <v>1</v>
      </c>
    </row>
    <row r="177" customFormat="false" ht="15" hidden="false" customHeight="false" outlineLevel="0" collapsed="false">
      <c r="A177" s="7" t="s">
        <v>320</v>
      </c>
      <c r="B177" s="7" t="s">
        <v>342</v>
      </c>
      <c r="C177" s="7" t="s">
        <v>343</v>
      </c>
      <c r="D177" s="7" t="n">
        <v>2015</v>
      </c>
      <c r="E177" s="7" t="s">
        <v>62</v>
      </c>
      <c r="F177" s="7" t="s">
        <v>63</v>
      </c>
      <c r="G177" s="7" t="s">
        <v>91</v>
      </c>
      <c r="H177" s="7" t="n">
        <v>85.5</v>
      </c>
      <c r="I177" s="7" t="str">
        <f aca="false">IF(B177="",TRIM(C177),TRIM(B177))</f>
        <v>Benin Demographic and Health Survey 2017-2018</v>
      </c>
      <c r="J177" s="7" t="str">
        <f aca="false">IF(ISNUMBER(SEARCH("Demographic and Health",I177)),"DHS",IF(OR(ISNUMBER(SEARCH("Multiple Indicator Cluster",I177)),ISNUMBER(SEARCH("MICS",I177))),"MICS","Other"))</f>
        <v>DHS</v>
      </c>
      <c r="K177" s="7" t="n">
        <f aca="false">IF(AND(F177="Record or Recall",G177="12-23 m"),1,0)</f>
        <v>0</v>
      </c>
      <c r="L177" s="7" t="n">
        <f aca="false">IF(OR(J177="DHS",J177="MICS"),1,0)</f>
        <v>1</v>
      </c>
    </row>
    <row r="178" customFormat="false" ht="15" hidden="false" customHeight="false" outlineLevel="0" collapsed="false">
      <c r="A178" s="7" t="s">
        <v>320</v>
      </c>
      <c r="B178" s="7" t="s">
        <v>342</v>
      </c>
      <c r="C178" s="7" t="s">
        <v>343</v>
      </c>
      <c r="D178" s="7" t="n">
        <v>2015</v>
      </c>
      <c r="E178" s="7" t="s">
        <v>62</v>
      </c>
      <c r="F178" s="7" t="s">
        <v>87</v>
      </c>
      <c r="G178" s="7" t="s">
        <v>91</v>
      </c>
      <c r="H178" s="7" t="n">
        <v>23.4</v>
      </c>
      <c r="I178" s="7" t="str">
        <f aca="false">IF(B178="",TRIM(C178),TRIM(B178))</f>
        <v>Benin Demographic and Health Survey 2017-2018</v>
      </c>
      <c r="J178" s="7" t="str">
        <f aca="false">IF(ISNUMBER(SEARCH("Demographic and Health",I178)),"DHS",IF(OR(ISNUMBER(SEARCH("Multiple Indicator Cluster",I178)),ISNUMBER(SEARCH("MICS",I178))),"MICS","Other"))</f>
        <v>DHS</v>
      </c>
      <c r="K178" s="7" t="n">
        <f aca="false">IF(AND(F178="Record or Recall",G178="12-23 m"),1,0)</f>
        <v>0</v>
      </c>
      <c r="L178" s="7" t="n">
        <f aca="false">IF(OR(J178="DHS",J178="MICS"),1,0)</f>
        <v>1</v>
      </c>
    </row>
    <row r="179" customFormat="false" ht="15" hidden="false" customHeight="false" outlineLevel="0" collapsed="false">
      <c r="A179" s="7" t="s">
        <v>320</v>
      </c>
      <c r="B179" s="7" t="s">
        <v>342</v>
      </c>
      <c r="C179" s="7" t="s">
        <v>343</v>
      </c>
      <c r="D179" s="7" t="n">
        <v>2015</v>
      </c>
      <c r="E179" s="7" t="s">
        <v>81</v>
      </c>
      <c r="F179" s="7" t="s">
        <v>87</v>
      </c>
      <c r="G179" s="7" t="s">
        <v>91</v>
      </c>
      <c r="H179" s="7" t="n">
        <v>22.5</v>
      </c>
      <c r="I179" s="7" t="str">
        <f aca="false">IF(B179="",TRIM(C179),TRIM(B179))</f>
        <v>Benin Demographic and Health Survey 2017-2018</v>
      </c>
      <c r="J179" s="7" t="str">
        <f aca="false">IF(ISNUMBER(SEARCH("Demographic and Health",I179)),"DHS",IF(OR(ISNUMBER(SEARCH("Multiple Indicator Cluster",I179)),ISNUMBER(SEARCH("MICS",I179))),"MICS","Other"))</f>
        <v>DHS</v>
      </c>
      <c r="K179" s="7" t="n">
        <f aca="false">IF(AND(F179="Record or Recall",G179="12-23 m"),1,0)</f>
        <v>0</v>
      </c>
      <c r="L179" s="7" t="n">
        <f aca="false">IF(OR(J179="DHS",J179="MICS"),1,0)</f>
        <v>1</v>
      </c>
    </row>
    <row r="180" customFormat="false" ht="15" hidden="false" customHeight="false" outlineLevel="0" collapsed="false">
      <c r="A180" s="7" t="s">
        <v>320</v>
      </c>
      <c r="B180" s="7" t="s">
        <v>342</v>
      </c>
      <c r="C180" s="7" t="s">
        <v>343</v>
      </c>
      <c r="D180" s="7" t="n">
        <v>2015</v>
      </c>
      <c r="E180" s="7" t="s">
        <v>81</v>
      </c>
      <c r="F180" s="7" t="s">
        <v>78</v>
      </c>
      <c r="G180" s="7" t="s">
        <v>91</v>
      </c>
      <c r="H180" s="7" t="n">
        <v>81.1</v>
      </c>
      <c r="I180" s="7" t="str">
        <f aca="false">IF(B180="",TRIM(C180),TRIM(B180))</f>
        <v>Benin Demographic and Health Survey 2017-2018</v>
      </c>
      <c r="J180" s="7" t="str">
        <f aca="false">IF(ISNUMBER(SEARCH("Demographic and Health",I180)),"DHS",IF(OR(ISNUMBER(SEARCH("Multiple Indicator Cluster",I180)),ISNUMBER(SEARCH("MICS",I180))),"MICS","Other"))</f>
        <v>DHS</v>
      </c>
      <c r="K180" s="7" t="n">
        <f aca="false">IF(AND(F180="Record or Recall",G180="12-23 m"),1,0)</f>
        <v>0</v>
      </c>
      <c r="L180" s="7" t="n">
        <f aca="false">IF(OR(J180="DHS",J180="MICS"),1,0)</f>
        <v>1</v>
      </c>
    </row>
    <row r="181" customFormat="false" ht="15" hidden="false" customHeight="false" outlineLevel="0" collapsed="false">
      <c r="A181" s="7" t="s">
        <v>320</v>
      </c>
      <c r="B181" s="7" t="s">
        <v>342</v>
      </c>
      <c r="C181" s="7" t="s">
        <v>343</v>
      </c>
      <c r="D181" s="7" t="n">
        <v>2015</v>
      </c>
      <c r="E181" s="7" t="s">
        <v>81</v>
      </c>
      <c r="F181" s="7" t="s">
        <v>86</v>
      </c>
      <c r="G181" s="7" t="s">
        <v>91</v>
      </c>
      <c r="H181" s="7" t="n">
        <v>59.9</v>
      </c>
      <c r="I181" s="7" t="str">
        <f aca="false">IF(B181="",TRIM(C181),TRIM(B181))</f>
        <v>Benin Demographic and Health Survey 2017-2018</v>
      </c>
      <c r="J181" s="7" t="str">
        <f aca="false">IF(ISNUMBER(SEARCH("Demographic and Health",I181)),"DHS",IF(OR(ISNUMBER(SEARCH("Multiple Indicator Cluster",I181)),ISNUMBER(SEARCH("MICS",I181))),"MICS","Other"))</f>
        <v>DHS</v>
      </c>
      <c r="K181" s="7" t="n">
        <f aca="false">IF(AND(F181="Record or Recall",G181="12-23 m"),1,0)</f>
        <v>0</v>
      </c>
      <c r="L181" s="7" t="n">
        <f aca="false">IF(OR(J181="DHS",J181="MICS"),1,0)</f>
        <v>1</v>
      </c>
    </row>
    <row r="182" customFormat="false" ht="15" hidden="false" customHeight="false" outlineLevel="0" collapsed="false">
      <c r="A182" s="7" t="s">
        <v>320</v>
      </c>
      <c r="B182" s="7" t="s">
        <v>342</v>
      </c>
      <c r="C182" s="7" t="s">
        <v>343</v>
      </c>
      <c r="D182" s="7" t="n">
        <v>2015</v>
      </c>
      <c r="E182" s="7" t="s">
        <v>81</v>
      </c>
      <c r="F182" s="7" t="s">
        <v>63</v>
      </c>
      <c r="G182" s="7" t="s">
        <v>91</v>
      </c>
      <c r="H182" s="7" t="n">
        <v>82.4</v>
      </c>
      <c r="I182" s="7" t="str">
        <f aca="false">IF(B182="",TRIM(C182),TRIM(B182))</f>
        <v>Benin Demographic and Health Survey 2017-2018</v>
      </c>
      <c r="J182" s="7" t="str">
        <f aca="false">IF(ISNUMBER(SEARCH("Demographic and Health",I182)),"DHS",IF(OR(ISNUMBER(SEARCH("Multiple Indicator Cluster",I182)),ISNUMBER(SEARCH("MICS",I182))),"MICS","Other"))</f>
        <v>DHS</v>
      </c>
      <c r="K182" s="7" t="n">
        <f aca="false">IF(AND(F182="Record or Recall",G182="12-23 m"),1,0)</f>
        <v>0</v>
      </c>
      <c r="L182" s="7" t="n">
        <f aca="false">IF(OR(J182="DHS",J182="MICS"),1,0)</f>
        <v>1</v>
      </c>
    </row>
    <row r="183" customFormat="false" ht="15" hidden="false" customHeight="false" outlineLevel="0" collapsed="false">
      <c r="A183" s="7" t="s">
        <v>320</v>
      </c>
      <c r="B183" s="7" t="s">
        <v>342</v>
      </c>
      <c r="C183" s="7" t="s">
        <v>343</v>
      </c>
      <c r="D183" s="7" t="n">
        <v>2015</v>
      </c>
      <c r="E183" s="7" t="s">
        <v>67</v>
      </c>
      <c r="F183" s="7" t="s">
        <v>78</v>
      </c>
      <c r="G183" s="7" t="s">
        <v>91</v>
      </c>
      <c r="H183" s="7" t="n">
        <v>69.6</v>
      </c>
      <c r="I183" s="7" t="str">
        <f aca="false">IF(B183="",TRIM(C183),TRIM(B183))</f>
        <v>Benin Demographic and Health Survey 2017-2018</v>
      </c>
      <c r="J183" s="7" t="str">
        <f aca="false">IF(ISNUMBER(SEARCH("Demographic and Health",I183)),"DHS",IF(OR(ISNUMBER(SEARCH("Multiple Indicator Cluster",I183)),ISNUMBER(SEARCH("MICS",I183))),"MICS","Other"))</f>
        <v>DHS</v>
      </c>
      <c r="K183" s="7" t="n">
        <f aca="false">IF(AND(F183="Record or Recall",G183="12-23 m"),1,0)</f>
        <v>0</v>
      </c>
      <c r="L183" s="7" t="n">
        <f aca="false">IF(OR(J183="DHS",J183="MICS"),1,0)</f>
        <v>1</v>
      </c>
    </row>
    <row r="184" customFormat="false" ht="15" hidden="false" customHeight="false" outlineLevel="0" collapsed="false">
      <c r="A184" s="7" t="s">
        <v>320</v>
      </c>
      <c r="B184" s="7" t="s">
        <v>342</v>
      </c>
      <c r="C184" s="7" t="s">
        <v>343</v>
      </c>
      <c r="D184" s="7" t="n">
        <v>2015</v>
      </c>
      <c r="E184" s="7" t="s">
        <v>67</v>
      </c>
      <c r="F184" s="7" t="s">
        <v>86</v>
      </c>
      <c r="G184" s="7" t="s">
        <v>91</v>
      </c>
      <c r="H184" s="7" t="n">
        <v>54.4</v>
      </c>
      <c r="I184" s="7" t="str">
        <f aca="false">IF(B184="",TRIM(C184),TRIM(B184))</f>
        <v>Benin Demographic and Health Survey 2017-2018</v>
      </c>
      <c r="J184" s="7" t="str">
        <f aca="false">IF(ISNUMBER(SEARCH("Demographic and Health",I184)),"DHS",IF(OR(ISNUMBER(SEARCH("Multiple Indicator Cluster",I184)),ISNUMBER(SEARCH("MICS",I184))),"MICS","Other"))</f>
        <v>DHS</v>
      </c>
      <c r="K184" s="7" t="n">
        <f aca="false">IF(AND(F184="Record or Recall",G184="12-23 m"),1,0)</f>
        <v>0</v>
      </c>
      <c r="L184" s="7" t="n">
        <f aca="false">IF(OR(J184="DHS",J184="MICS"),1,0)</f>
        <v>1</v>
      </c>
    </row>
    <row r="185" customFormat="false" ht="15" hidden="false" customHeight="false" outlineLevel="0" collapsed="false">
      <c r="A185" s="7" t="s">
        <v>320</v>
      </c>
      <c r="B185" s="7" t="s">
        <v>342</v>
      </c>
      <c r="C185" s="7" t="s">
        <v>343</v>
      </c>
      <c r="D185" s="7" t="n">
        <v>2015</v>
      </c>
      <c r="E185" s="7" t="s">
        <v>67</v>
      </c>
      <c r="F185" s="7" t="s">
        <v>63</v>
      </c>
      <c r="G185" s="7" t="s">
        <v>91</v>
      </c>
      <c r="H185" s="7" t="n">
        <v>71.2</v>
      </c>
      <c r="I185" s="7" t="str">
        <f aca="false">IF(B185="",TRIM(C185),TRIM(B185))</f>
        <v>Benin Demographic and Health Survey 2017-2018</v>
      </c>
      <c r="J185" s="7" t="str">
        <f aca="false">IF(ISNUMBER(SEARCH("Demographic and Health",I185)),"DHS",IF(OR(ISNUMBER(SEARCH("Multiple Indicator Cluster",I185)),ISNUMBER(SEARCH("MICS",I185))),"MICS","Other"))</f>
        <v>DHS</v>
      </c>
      <c r="K185" s="7" t="n">
        <f aca="false">IF(AND(F185="Record or Recall",G185="12-23 m"),1,0)</f>
        <v>0</v>
      </c>
      <c r="L185" s="7" t="n">
        <f aca="false">IF(OR(J185="DHS",J185="MICS"),1,0)</f>
        <v>1</v>
      </c>
    </row>
    <row r="186" customFormat="false" ht="15" hidden="false" customHeight="false" outlineLevel="0" collapsed="false">
      <c r="A186" s="7" t="s">
        <v>320</v>
      </c>
      <c r="B186" s="7" t="s">
        <v>342</v>
      </c>
      <c r="C186" s="7" t="s">
        <v>343</v>
      </c>
      <c r="D186" s="7" t="n">
        <v>2015</v>
      </c>
      <c r="E186" s="7" t="s">
        <v>67</v>
      </c>
      <c r="F186" s="7" t="s">
        <v>87</v>
      </c>
      <c r="G186" s="7" t="s">
        <v>91</v>
      </c>
      <c r="H186" s="7" t="n">
        <v>16.7</v>
      </c>
      <c r="I186" s="7" t="str">
        <f aca="false">IF(B186="",TRIM(C186),TRIM(B186))</f>
        <v>Benin Demographic and Health Survey 2017-2018</v>
      </c>
      <c r="J186" s="7" t="str">
        <f aca="false">IF(ISNUMBER(SEARCH("Demographic and Health",I186)),"DHS",IF(OR(ISNUMBER(SEARCH("Multiple Indicator Cluster",I186)),ISNUMBER(SEARCH("MICS",I186))),"MICS","Other"))</f>
        <v>DHS</v>
      </c>
      <c r="K186" s="7" t="n">
        <f aca="false">IF(AND(F186="Record or Recall",G186="12-23 m"),1,0)</f>
        <v>0</v>
      </c>
      <c r="L186" s="7" t="n">
        <f aca="false">IF(OR(J186="DHS",J186="MICS"),1,0)</f>
        <v>1</v>
      </c>
    </row>
    <row r="187" customFormat="false" ht="15" hidden="false" customHeight="false" outlineLevel="0" collapsed="false">
      <c r="A187" s="7" t="s">
        <v>320</v>
      </c>
      <c r="B187" s="7" t="s">
        <v>342</v>
      </c>
      <c r="C187" s="7" t="s">
        <v>343</v>
      </c>
      <c r="D187" s="7" t="n">
        <v>2015</v>
      </c>
      <c r="E187" s="7" t="s">
        <v>82</v>
      </c>
      <c r="F187" s="7" t="s">
        <v>78</v>
      </c>
      <c r="G187" s="7" t="s">
        <v>91</v>
      </c>
      <c r="H187" s="7" t="n">
        <v>48.3</v>
      </c>
      <c r="I187" s="7" t="str">
        <f aca="false">IF(B187="",TRIM(C187),TRIM(B187))</f>
        <v>Benin Demographic and Health Survey 2017-2018</v>
      </c>
      <c r="J187" s="7" t="str">
        <f aca="false">IF(ISNUMBER(SEARCH("Demographic and Health",I187)),"DHS",IF(OR(ISNUMBER(SEARCH("Multiple Indicator Cluster",I187)),ISNUMBER(SEARCH("MICS",I187))),"MICS","Other"))</f>
        <v>DHS</v>
      </c>
      <c r="K187" s="7" t="n">
        <f aca="false">IF(AND(F187="Record or Recall",G187="12-23 m"),1,0)</f>
        <v>0</v>
      </c>
      <c r="L187" s="7" t="n">
        <f aca="false">IF(OR(J187="DHS",J187="MICS"),1,0)</f>
        <v>1</v>
      </c>
    </row>
    <row r="188" customFormat="false" ht="15" hidden="false" customHeight="false" outlineLevel="0" collapsed="false">
      <c r="A188" s="7" t="s">
        <v>320</v>
      </c>
      <c r="B188" s="7" t="s">
        <v>342</v>
      </c>
      <c r="C188" s="7" t="s">
        <v>343</v>
      </c>
      <c r="D188" s="7" t="n">
        <v>2015</v>
      </c>
      <c r="E188" s="7" t="s">
        <v>82</v>
      </c>
      <c r="F188" s="7" t="s">
        <v>86</v>
      </c>
      <c r="G188" s="7" t="s">
        <v>91</v>
      </c>
      <c r="H188" s="7" t="n">
        <v>47.1</v>
      </c>
      <c r="I188" s="7" t="str">
        <f aca="false">IF(B188="",TRIM(C188),TRIM(B188))</f>
        <v>Benin Demographic and Health Survey 2017-2018</v>
      </c>
      <c r="J188" s="7" t="str">
        <f aca="false">IF(ISNUMBER(SEARCH("Demographic and Health",I188)),"DHS",IF(OR(ISNUMBER(SEARCH("Multiple Indicator Cluster",I188)),ISNUMBER(SEARCH("MICS",I188))),"MICS","Other"))</f>
        <v>DHS</v>
      </c>
      <c r="K188" s="7" t="n">
        <f aca="false">IF(AND(F188="Record or Recall",G188="12-23 m"),1,0)</f>
        <v>0</v>
      </c>
      <c r="L188" s="7" t="n">
        <f aca="false">IF(OR(J188="DHS",J188="MICS"),1,0)</f>
        <v>1</v>
      </c>
    </row>
    <row r="189" customFormat="false" ht="15" hidden="false" customHeight="false" outlineLevel="0" collapsed="false">
      <c r="A189" s="7" t="s">
        <v>320</v>
      </c>
      <c r="B189" s="7" t="s">
        <v>342</v>
      </c>
      <c r="C189" s="7" t="s">
        <v>343</v>
      </c>
      <c r="D189" s="7" t="n">
        <v>2015</v>
      </c>
      <c r="E189" s="7" t="s">
        <v>82</v>
      </c>
      <c r="F189" s="7" t="s">
        <v>63</v>
      </c>
      <c r="G189" s="7" t="s">
        <v>91</v>
      </c>
      <c r="H189" s="7" t="n">
        <v>53.1</v>
      </c>
      <c r="I189" s="7" t="str">
        <f aca="false">IF(B189="",TRIM(C189),TRIM(B189))</f>
        <v>Benin Demographic and Health Survey 2017-2018</v>
      </c>
      <c r="J189" s="7" t="str">
        <f aca="false">IF(ISNUMBER(SEARCH("Demographic and Health",I189)),"DHS",IF(OR(ISNUMBER(SEARCH("Multiple Indicator Cluster",I189)),ISNUMBER(SEARCH("MICS",I189))),"MICS","Other"))</f>
        <v>DHS</v>
      </c>
      <c r="K189" s="7" t="n">
        <f aca="false">IF(AND(F189="Record or Recall",G189="12-23 m"),1,0)</f>
        <v>0</v>
      </c>
      <c r="L189" s="7" t="n">
        <f aca="false">IF(OR(J189="DHS",J189="MICS"),1,0)</f>
        <v>1</v>
      </c>
    </row>
    <row r="190" customFormat="false" ht="15" hidden="false" customHeight="false" outlineLevel="0" collapsed="false">
      <c r="A190" s="7" t="s">
        <v>320</v>
      </c>
      <c r="B190" s="7" t="s">
        <v>342</v>
      </c>
      <c r="C190" s="7" t="s">
        <v>343</v>
      </c>
      <c r="D190" s="7" t="n">
        <v>2015</v>
      </c>
      <c r="E190" s="7" t="s">
        <v>82</v>
      </c>
      <c r="F190" s="7" t="s">
        <v>87</v>
      </c>
      <c r="G190" s="7" t="s">
        <v>91</v>
      </c>
      <c r="H190" s="7" t="n">
        <v>6</v>
      </c>
      <c r="I190" s="7" t="str">
        <f aca="false">IF(B190="",TRIM(C190),TRIM(B190))</f>
        <v>Benin Demographic and Health Survey 2017-2018</v>
      </c>
      <c r="J190" s="7" t="str">
        <f aca="false">IF(ISNUMBER(SEARCH("Demographic and Health",I190)),"DHS",IF(OR(ISNUMBER(SEARCH("Multiple Indicator Cluster",I190)),ISNUMBER(SEARCH("MICS",I190))),"MICS","Other"))</f>
        <v>DHS</v>
      </c>
      <c r="K190" s="7" t="n">
        <f aca="false">IF(AND(F190="Record or Recall",G190="12-23 m"),1,0)</f>
        <v>0</v>
      </c>
      <c r="L190" s="7" t="n">
        <f aca="false">IF(OR(J190="DHS",J190="MICS"),1,0)</f>
        <v>1</v>
      </c>
    </row>
    <row r="191" customFormat="false" ht="15" hidden="false" customHeight="false" outlineLevel="0" collapsed="false">
      <c r="A191" s="7" t="s">
        <v>320</v>
      </c>
      <c r="B191" s="7" t="s">
        <v>342</v>
      </c>
      <c r="C191" s="7" t="s">
        <v>343</v>
      </c>
      <c r="D191" s="7" t="n">
        <v>2015</v>
      </c>
      <c r="E191" s="7" t="s">
        <v>68</v>
      </c>
      <c r="F191" s="7" t="s">
        <v>78</v>
      </c>
      <c r="G191" s="7" t="s">
        <v>91</v>
      </c>
      <c r="H191" s="7" t="n">
        <v>61</v>
      </c>
      <c r="I191" s="7" t="str">
        <f aca="false">IF(B191="",TRIM(C191),TRIM(B191))</f>
        <v>Benin Demographic and Health Survey 2017-2018</v>
      </c>
      <c r="J191" s="7" t="str">
        <f aca="false">IF(ISNUMBER(SEARCH("Demographic and Health",I191)),"DHS",IF(OR(ISNUMBER(SEARCH("Multiple Indicator Cluster",I191)),ISNUMBER(SEARCH("MICS",I191))),"MICS","Other"))</f>
        <v>DHS</v>
      </c>
      <c r="K191" s="7" t="n">
        <f aca="false">IF(AND(F191="Record or Recall",G191="12-23 m"),1,0)</f>
        <v>0</v>
      </c>
      <c r="L191" s="7" t="n">
        <f aca="false">IF(OR(J191="DHS",J191="MICS"),1,0)</f>
        <v>1</v>
      </c>
    </row>
    <row r="192" customFormat="false" ht="15" hidden="false" customHeight="false" outlineLevel="0" collapsed="false">
      <c r="A192" s="7" t="s">
        <v>320</v>
      </c>
      <c r="B192" s="7" t="s">
        <v>342</v>
      </c>
      <c r="C192" s="7" t="s">
        <v>343</v>
      </c>
      <c r="D192" s="7" t="n">
        <v>2015</v>
      </c>
      <c r="E192" s="7" t="s">
        <v>68</v>
      </c>
      <c r="F192" s="7" t="s">
        <v>86</v>
      </c>
      <c r="G192" s="7" t="s">
        <v>91</v>
      </c>
      <c r="H192" s="7" t="n">
        <v>47.9</v>
      </c>
      <c r="I192" s="7" t="str">
        <f aca="false">IF(B192="",TRIM(C192),TRIM(B192))</f>
        <v>Benin Demographic and Health Survey 2017-2018</v>
      </c>
      <c r="J192" s="7" t="str">
        <f aca="false">IF(ISNUMBER(SEARCH("Demographic and Health",I192)),"DHS",IF(OR(ISNUMBER(SEARCH("Multiple Indicator Cluster",I192)),ISNUMBER(SEARCH("MICS",I192))),"MICS","Other"))</f>
        <v>DHS</v>
      </c>
      <c r="K192" s="7" t="n">
        <f aca="false">IF(AND(F192="Record or Recall",G192="12-23 m"),1,0)</f>
        <v>0</v>
      </c>
      <c r="L192" s="7" t="n">
        <f aca="false">IF(OR(J192="DHS",J192="MICS"),1,0)</f>
        <v>1</v>
      </c>
    </row>
    <row r="193" customFormat="false" ht="15" hidden="false" customHeight="false" outlineLevel="0" collapsed="false">
      <c r="A193" s="7" t="s">
        <v>320</v>
      </c>
      <c r="B193" s="7" t="s">
        <v>342</v>
      </c>
      <c r="C193" s="7" t="s">
        <v>343</v>
      </c>
      <c r="D193" s="7" t="n">
        <v>2015</v>
      </c>
      <c r="E193" s="7" t="s">
        <v>68</v>
      </c>
      <c r="F193" s="7" t="s">
        <v>63</v>
      </c>
      <c r="G193" s="7" t="s">
        <v>91</v>
      </c>
      <c r="H193" s="7" t="n">
        <v>66.8</v>
      </c>
      <c r="I193" s="7" t="str">
        <f aca="false">IF(B193="",TRIM(C193),TRIM(B193))</f>
        <v>Benin Demographic and Health Survey 2017-2018</v>
      </c>
      <c r="J193" s="7" t="str">
        <f aca="false">IF(ISNUMBER(SEARCH("Demographic and Health",I193)),"DHS",IF(OR(ISNUMBER(SEARCH("Multiple Indicator Cluster",I193)),ISNUMBER(SEARCH("MICS",I193))),"MICS","Other"))</f>
        <v>DHS</v>
      </c>
      <c r="K193" s="7" t="n">
        <f aca="false">IF(AND(F193="Record or Recall",G193="12-23 m"),1,0)</f>
        <v>0</v>
      </c>
      <c r="L193" s="7" t="n">
        <f aca="false">IF(OR(J193="DHS",J193="MICS"),1,0)</f>
        <v>1</v>
      </c>
    </row>
    <row r="194" customFormat="false" ht="15" hidden="false" customHeight="false" outlineLevel="0" collapsed="false">
      <c r="A194" s="7" t="s">
        <v>320</v>
      </c>
      <c r="B194" s="7" t="s">
        <v>342</v>
      </c>
      <c r="C194" s="7" t="s">
        <v>343</v>
      </c>
      <c r="D194" s="7" t="n">
        <v>2015</v>
      </c>
      <c r="E194" s="7" t="s">
        <v>68</v>
      </c>
      <c r="F194" s="7" t="s">
        <v>87</v>
      </c>
      <c r="G194" s="7" t="s">
        <v>91</v>
      </c>
      <c r="H194" s="7" t="n">
        <v>18.9</v>
      </c>
      <c r="I194" s="7" t="str">
        <f aca="false">IF(B194="",TRIM(C194),TRIM(B194))</f>
        <v>Benin Demographic and Health Survey 2017-2018</v>
      </c>
      <c r="J194" s="7" t="str">
        <f aca="false">IF(ISNUMBER(SEARCH("Demographic and Health",I194)),"DHS",IF(OR(ISNUMBER(SEARCH("Multiple Indicator Cluster",I194)),ISNUMBER(SEARCH("MICS",I194))),"MICS","Other"))</f>
        <v>DHS</v>
      </c>
      <c r="K194" s="7" t="n">
        <f aca="false">IF(AND(F194="Record or Recall",G194="12-23 m"),1,0)</f>
        <v>0</v>
      </c>
      <c r="L194" s="7" t="n">
        <f aca="false">IF(OR(J194="DHS",J194="MICS"),1,0)</f>
        <v>1</v>
      </c>
    </row>
    <row r="195" customFormat="false" ht="15" hidden="false" customHeight="false" outlineLevel="0" collapsed="false">
      <c r="A195" s="7" t="s">
        <v>320</v>
      </c>
      <c r="B195" s="7" t="s">
        <v>342</v>
      </c>
      <c r="C195" s="7" t="s">
        <v>343</v>
      </c>
      <c r="D195" s="7" t="n">
        <v>2015</v>
      </c>
      <c r="E195" s="7" t="s">
        <v>69</v>
      </c>
      <c r="F195" s="7" t="s">
        <v>78</v>
      </c>
      <c r="G195" s="7" t="s">
        <v>91</v>
      </c>
      <c r="H195" s="7" t="n">
        <v>60</v>
      </c>
      <c r="I195" s="7" t="str">
        <f aca="false">IF(B195="",TRIM(C195),TRIM(B195))</f>
        <v>Benin Demographic and Health Survey 2017-2018</v>
      </c>
      <c r="J195" s="7" t="str">
        <f aca="false">IF(ISNUMBER(SEARCH("Demographic and Health",I195)),"DHS",IF(OR(ISNUMBER(SEARCH("Multiple Indicator Cluster",I195)),ISNUMBER(SEARCH("MICS",I195))),"MICS","Other"))</f>
        <v>DHS</v>
      </c>
      <c r="K195" s="7" t="n">
        <f aca="false">IF(AND(F195="Record or Recall",G195="12-23 m"),1,0)</f>
        <v>0</v>
      </c>
      <c r="L195" s="7" t="n">
        <f aca="false">IF(OR(J195="DHS",J195="MICS"),1,0)</f>
        <v>1</v>
      </c>
    </row>
    <row r="196" customFormat="false" ht="15" hidden="false" customHeight="false" outlineLevel="0" collapsed="false">
      <c r="A196" s="7" t="s">
        <v>320</v>
      </c>
      <c r="B196" s="7" t="s">
        <v>342</v>
      </c>
      <c r="C196" s="7" t="s">
        <v>343</v>
      </c>
      <c r="D196" s="7" t="n">
        <v>2015</v>
      </c>
      <c r="E196" s="7" t="s">
        <v>69</v>
      </c>
      <c r="F196" s="7" t="s">
        <v>86</v>
      </c>
      <c r="G196" s="7" t="s">
        <v>91</v>
      </c>
      <c r="H196" s="7" t="n">
        <v>54.3</v>
      </c>
      <c r="I196" s="7" t="str">
        <f aca="false">IF(B196="",TRIM(C196),TRIM(B196))</f>
        <v>Benin Demographic and Health Survey 2017-2018</v>
      </c>
      <c r="J196" s="7" t="str">
        <f aca="false">IF(ISNUMBER(SEARCH("Demographic and Health",I196)),"DHS",IF(OR(ISNUMBER(SEARCH("Multiple Indicator Cluster",I196)),ISNUMBER(SEARCH("MICS",I196))),"MICS","Other"))</f>
        <v>DHS</v>
      </c>
      <c r="K196" s="7" t="n">
        <f aca="false">IF(AND(F196="Record or Recall",G196="12-23 m"),1,0)</f>
        <v>0</v>
      </c>
      <c r="L196" s="7" t="n">
        <f aca="false">IF(OR(J196="DHS",J196="MICS"),1,0)</f>
        <v>1</v>
      </c>
    </row>
    <row r="197" customFormat="false" ht="15" hidden="false" customHeight="false" outlineLevel="0" collapsed="false">
      <c r="A197" s="7" t="s">
        <v>320</v>
      </c>
      <c r="B197" s="7" t="s">
        <v>342</v>
      </c>
      <c r="C197" s="7" t="s">
        <v>343</v>
      </c>
      <c r="D197" s="7" t="n">
        <v>2015</v>
      </c>
      <c r="E197" s="7" t="s">
        <v>69</v>
      </c>
      <c r="F197" s="7" t="s">
        <v>63</v>
      </c>
      <c r="G197" s="7" t="s">
        <v>91</v>
      </c>
      <c r="H197" s="7" t="n">
        <v>61.6</v>
      </c>
      <c r="I197" s="7" t="str">
        <f aca="false">IF(B197="",TRIM(C197),TRIM(B197))</f>
        <v>Benin Demographic and Health Survey 2017-2018</v>
      </c>
      <c r="J197" s="7" t="str">
        <f aca="false">IF(ISNUMBER(SEARCH("Demographic and Health",I197)),"DHS",IF(OR(ISNUMBER(SEARCH("Multiple Indicator Cluster",I197)),ISNUMBER(SEARCH("MICS",I197))),"MICS","Other"))</f>
        <v>DHS</v>
      </c>
      <c r="K197" s="7" t="n">
        <f aca="false">IF(AND(F197="Record or Recall",G197="12-23 m"),1,0)</f>
        <v>0</v>
      </c>
      <c r="L197" s="7" t="n">
        <f aca="false">IF(OR(J197="DHS",J197="MICS"),1,0)</f>
        <v>1</v>
      </c>
    </row>
    <row r="198" customFormat="false" ht="15" hidden="false" customHeight="false" outlineLevel="0" collapsed="false">
      <c r="A198" s="7" t="s">
        <v>320</v>
      </c>
      <c r="B198" s="7" t="s">
        <v>342</v>
      </c>
      <c r="C198" s="7" t="s">
        <v>343</v>
      </c>
      <c r="D198" s="7" t="n">
        <v>2015</v>
      </c>
      <c r="E198" s="7" t="s">
        <v>69</v>
      </c>
      <c r="F198" s="7" t="s">
        <v>87</v>
      </c>
      <c r="G198" s="7" t="s">
        <v>91</v>
      </c>
      <c r="H198" s="7" t="n">
        <v>7.3</v>
      </c>
      <c r="I198" s="7" t="str">
        <f aca="false">IF(B198="",TRIM(C198),TRIM(B198))</f>
        <v>Benin Demographic and Health Survey 2017-2018</v>
      </c>
      <c r="J198" s="7" t="str">
        <f aca="false">IF(ISNUMBER(SEARCH("Demographic and Health",I198)),"DHS",IF(OR(ISNUMBER(SEARCH("Multiple Indicator Cluster",I198)),ISNUMBER(SEARCH("MICS",I198))),"MICS","Other"))</f>
        <v>DHS</v>
      </c>
      <c r="K198" s="7" t="n">
        <f aca="false">IF(AND(F198="Record or Recall",G198="12-23 m"),1,0)</f>
        <v>0</v>
      </c>
      <c r="L198" s="7" t="n">
        <f aca="false">IF(OR(J198="DHS",J198="MICS"),1,0)</f>
        <v>1</v>
      </c>
    </row>
    <row r="199" customFormat="false" ht="15" hidden="false" customHeight="false" outlineLevel="0" collapsed="false">
      <c r="A199" s="7" t="s">
        <v>320</v>
      </c>
      <c r="B199" s="7" t="s">
        <v>342</v>
      </c>
      <c r="C199" s="7" t="s">
        <v>343</v>
      </c>
      <c r="D199" s="7" t="n">
        <v>2016</v>
      </c>
      <c r="E199" s="7" t="s">
        <v>62</v>
      </c>
      <c r="F199" s="7" t="s">
        <v>78</v>
      </c>
      <c r="G199" s="7" t="s">
        <v>66</v>
      </c>
      <c r="H199" s="7" t="n">
        <v>88.1</v>
      </c>
      <c r="I199" s="7" t="str">
        <f aca="false">IF(B199="",TRIM(C199),TRIM(B199))</f>
        <v>Benin Demographic and Health Survey 2017-2018</v>
      </c>
      <c r="J199" s="7" t="str">
        <f aca="false">IF(ISNUMBER(SEARCH("Demographic and Health",I199)),"DHS",IF(OR(ISNUMBER(SEARCH("Multiple Indicator Cluster",I199)),ISNUMBER(SEARCH("MICS",I199))),"MICS","Other"))</f>
        <v>DHS</v>
      </c>
      <c r="K199" s="7" t="n">
        <f aca="false">IF(AND(F199="Record or Recall",G199="12-23 m"),1,0)</f>
        <v>0</v>
      </c>
      <c r="L199" s="7" t="n">
        <f aca="false">IF(OR(J199="DHS",J199="MICS"),1,0)</f>
        <v>1</v>
      </c>
    </row>
    <row r="200" customFormat="false" ht="15" hidden="false" customHeight="false" outlineLevel="0" collapsed="false">
      <c r="A200" s="7" t="s">
        <v>320</v>
      </c>
      <c r="B200" s="7" t="s">
        <v>342</v>
      </c>
      <c r="C200" s="7" t="s">
        <v>343</v>
      </c>
      <c r="D200" s="7" t="n">
        <v>2016</v>
      </c>
      <c r="E200" s="7" t="s">
        <v>62</v>
      </c>
      <c r="F200" s="7" t="s">
        <v>86</v>
      </c>
      <c r="G200" s="7" t="s">
        <v>66</v>
      </c>
      <c r="H200" s="7" t="n">
        <v>69.2</v>
      </c>
      <c r="I200" s="7" t="str">
        <f aca="false">IF(B200="",TRIM(C200),TRIM(B200))</f>
        <v>Benin Demographic and Health Survey 2017-2018</v>
      </c>
      <c r="J200" s="7" t="str">
        <f aca="false">IF(ISNUMBER(SEARCH("Demographic and Health",I200)),"DHS",IF(OR(ISNUMBER(SEARCH("Multiple Indicator Cluster",I200)),ISNUMBER(SEARCH("MICS",I200))),"MICS","Other"))</f>
        <v>DHS</v>
      </c>
      <c r="K200" s="7" t="n">
        <f aca="false">IF(AND(F200="Record or Recall",G200="12-23 m"),1,0)</f>
        <v>0</v>
      </c>
      <c r="L200" s="7" t="n">
        <f aca="false">IF(OR(J200="DHS",J200="MICS"),1,0)</f>
        <v>1</v>
      </c>
    </row>
    <row r="201" customFormat="false" ht="15" hidden="false" customHeight="false" outlineLevel="0" collapsed="false">
      <c r="A201" s="7" t="s">
        <v>320</v>
      </c>
      <c r="B201" s="7" t="s">
        <v>342</v>
      </c>
      <c r="C201" s="7" t="s">
        <v>343</v>
      </c>
      <c r="D201" s="7" t="n">
        <v>2016</v>
      </c>
      <c r="E201" s="7" t="s">
        <v>62</v>
      </c>
      <c r="F201" s="7" t="s">
        <v>63</v>
      </c>
      <c r="G201" s="7" t="s">
        <v>66</v>
      </c>
      <c r="H201" s="7" t="n">
        <v>88.2</v>
      </c>
      <c r="I201" s="7" t="str">
        <f aca="false">IF(B201="",TRIM(C201),TRIM(B201))</f>
        <v>Benin Demographic and Health Survey 2017-2018</v>
      </c>
      <c r="J201" s="7" t="str">
        <f aca="false">IF(ISNUMBER(SEARCH("Demographic and Health",I201)),"DHS",IF(OR(ISNUMBER(SEARCH("Multiple Indicator Cluster",I201)),ISNUMBER(SEARCH("MICS",I201))),"MICS","Other"))</f>
        <v>DHS</v>
      </c>
      <c r="K201" s="7" t="n">
        <f aca="false">IF(AND(F201="Record or Recall",G201="12-23 m"),1,0)</f>
        <v>1</v>
      </c>
      <c r="L201" s="7" t="n">
        <f aca="false">IF(OR(J201="DHS",J201="MICS"),1,0)</f>
        <v>1</v>
      </c>
    </row>
    <row r="202" customFormat="false" ht="15" hidden="false" customHeight="false" outlineLevel="0" collapsed="false">
      <c r="A202" s="7" t="s">
        <v>320</v>
      </c>
      <c r="B202" s="7" t="s">
        <v>342</v>
      </c>
      <c r="C202" s="7" t="s">
        <v>343</v>
      </c>
      <c r="D202" s="7" t="n">
        <v>2016</v>
      </c>
      <c r="E202" s="7" t="s">
        <v>62</v>
      </c>
      <c r="F202" s="7" t="s">
        <v>87</v>
      </c>
      <c r="G202" s="7" t="s">
        <v>66</v>
      </c>
      <c r="H202" s="7" t="n">
        <v>19</v>
      </c>
      <c r="I202" s="7" t="str">
        <f aca="false">IF(B202="",TRIM(C202),TRIM(B202))</f>
        <v>Benin Demographic and Health Survey 2017-2018</v>
      </c>
      <c r="J202" s="7" t="str">
        <f aca="false">IF(ISNUMBER(SEARCH("Demographic and Health",I202)),"DHS",IF(OR(ISNUMBER(SEARCH("Multiple Indicator Cluster",I202)),ISNUMBER(SEARCH("MICS",I202))),"MICS","Other"))</f>
        <v>DHS</v>
      </c>
      <c r="K202" s="7" t="n">
        <f aca="false">IF(AND(F202="Record or Recall",G202="12-23 m"),1,0)</f>
        <v>0</v>
      </c>
      <c r="L202" s="7" t="n">
        <f aca="false">IF(OR(J202="DHS",J202="MICS"),1,0)</f>
        <v>1</v>
      </c>
    </row>
    <row r="203" customFormat="false" ht="15" hidden="false" customHeight="false" outlineLevel="0" collapsed="false">
      <c r="A203" s="7" t="s">
        <v>320</v>
      </c>
      <c r="B203" s="7" t="s">
        <v>342</v>
      </c>
      <c r="C203" s="7" t="s">
        <v>343</v>
      </c>
      <c r="D203" s="7" t="n">
        <v>2016</v>
      </c>
      <c r="E203" s="7" t="s">
        <v>81</v>
      </c>
      <c r="F203" s="7" t="s">
        <v>78</v>
      </c>
      <c r="G203" s="7" t="s">
        <v>66</v>
      </c>
      <c r="H203" s="7" t="n">
        <v>84</v>
      </c>
      <c r="I203" s="7" t="str">
        <f aca="false">IF(B203="",TRIM(C203),TRIM(B203))</f>
        <v>Benin Demographic and Health Survey 2017-2018</v>
      </c>
      <c r="J203" s="7" t="str">
        <f aca="false">IF(ISNUMBER(SEARCH("Demographic and Health",I203)),"DHS",IF(OR(ISNUMBER(SEARCH("Multiple Indicator Cluster",I203)),ISNUMBER(SEARCH("MICS",I203))),"MICS","Other"))</f>
        <v>DHS</v>
      </c>
      <c r="K203" s="7" t="n">
        <f aca="false">IF(AND(F203="Record or Recall",G203="12-23 m"),1,0)</f>
        <v>0</v>
      </c>
      <c r="L203" s="7" t="n">
        <f aca="false">IF(OR(J203="DHS",J203="MICS"),1,0)</f>
        <v>1</v>
      </c>
    </row>
    <row r="204" customFormat="false" ht="15" hidden="false" customHeight="false" outlineLevel="0" collapsed="false">
      <c r="A204" s="7" t="s">
        <v>320</v>
      </c>
      <c r="B204" s="7" t="s">
        <v>342</v>
      </c>
      <c r="C204" s="7" t="s">
        <v>343</v>
      </c>
      <c r="D204" s="7" t="n">
        <v>2016</v>
      </c>
      <c r="E204" s="7" t="s">
        <v>81</v>
      </c>
      <c r="F204" s="7" t="s">
        <v>86</v>
      </c>
      <c r="G204" s="7" t="s">
        <v>66</v>
      </c>
      <c r="H204" s="7" t="n">
        <v>66.3</v>
      </c>
      <c r="I204" s="7" t="str">
        <f aca="false">IF(B204="",TRIM(C204),TRIM(B204))</f>
        <v>Benin Demographic and Health Survey 2017-2018</v>
      </c>
      <c r="J204" s="7" t="str">
        <f aca="false">IF(ISNUMBER(SEARCH("Demographic and Health",I204)),"DHS",IF(OR(ISNUMBER(SEARCH("Multiple Indicator Cluster",I204)),ISNUMBER(SEARCH("MICS",I204))),"MICS","Other"))</f>
        <v>DHS</v>
      </c>
      <c r="K204" s="7" t="n">
        <f aca="false">IF(AND(F204="Record or Recall",G204="12-23 m"),1,0)</f>
        <v>0</v>
      </c>
      <c r="L204" s="7" t="n">
        <f aca="false">IF(OR(J204="DHS",J204="MICS"),1,0)</f>
        <v>1</v>
      </c>
    </row>
    <row r="205" customFormat="false" ht="15" hidden="false" customHeight="false" outlineLevel="0" collapsed="false">
      <c r="A205" s="7" t="s">
        <v>320</v>
      </c>
      <c r="B205" s="7" t="s">
        <v>342</v>
      </c>
      <c r="C205" s="7" t="s">
        <v>343</v>
      </c>
      <c r="D205" s="7" t="n">
        <v>2016</v>
      </c>
      <c r="E205" s="7" t="s">
        <v>81</v>
      </c>
      <c r="F205" s="7" t="s">
        <v>63</v>
      </c>
      <c r="G205" s="7" t="s">
        <v>66</v>
      </c>
      <c r="H205" s="7" t="n">
        <v>84.2</v>
      </c>
      <c r="I205" s="7" t="str">
        <f aca="false">IF(B205="",TRIM(C205),TRIM(B205))</f>
        <v>Benin Demographic and Health Survey 2017-2018</v>
      </c>
      <c r="J205" s="7" t="str">
        <f aca="false">IF(ISNUMBER(SEARCH("Demographic and Health",I205)),"DHS",IF(OR(ISNUMBER(SEARCH("Multiple Indicator Cluster",I205)),ISNUMBER(SEARCH("MICS",I205))),"MICS","Other"))</f>
        <v>DHS</v>
      </c>
      <c r="K205" s="7" t="n">
        <f aca="false">IF(AND(F205="Record or Recall",G205="12-23 m"),1,0)</f>
        <v>1</v>
      </c>
      <c r="L205" s="7" t="n">
        <f aca="false">IF(OR(J205="DHS",J205="MICS"),1,0)</f>
        <v>1</v>
      </c>
    </row>
    <row r="206" customFormat="false" ht="15" hidden="false" customHeight="false" outlineLevel="0" collapsed="false">
      <c r="A206" s="7" t="s">
        <v>320</v>
      </c>
      <c r="B206" s="7" t="s">
        <v>342</v>
      </c>
      <c r="C206" s="7" t="s">
        <v>343</v>
      </c>
      <c r="D206" s="7" t="n">
        <v>2016</v>
      </c>
      <c r="E206" s="7" t="s">
        <v>81</v>
      </c>
      <c r="F206" s="7" t="s">
        <v>87</v>
      </c>
      <c r="G206" s="7" t="s">
        <v>66</v>
      </c>
      <c r="H206" s="7" t="n">
        <v>18</v>
      </c>
      <c r="I206" s="7" t="str">
        <f aca="false">IF(B206="",TRIM(C206),TRIM(B206))</f>
        <v>Benin Demographic and Health Survey 2017-2018</v>
      </c>
      <c r="J206" s="7" t="str">
        <f aca="false">IF(ISNUMBER(SEARCH("Demographic and Health",I206)),"DHS",IF(OR(ISNUMBER(SEARCH("Multiple Indicator Cluster",I206)),ISNUMBER(SEARCH("MICS",I206))),"MICS","Other"))</f>
        <v>DHS</v>
      </c>
      <c r="K206" s="7" t="n">
        <f aca="false">IF(AND(F206="Record or Recall",G206="12-23 m"),1,0)</f>
        <v>0</v>
      </c>
      <c r="L206" s="7" t="n">
        <f aca="false">IF(OR(J206="DHS",J206="MICS"),1,0)</f>
        <v>1</v>
      </c>
    </row>
    <row r="207" customFormat="false" ht="15" hidden="false" customHeight="false" outlineLevel="0" collapsed="false">
      <c r="A207" s="7" t="s">
        <v>320</v>
      </c>
      <c r="B207" s="7" t="s">
        <v>342</v>
      </c>
      <c r="C207" s="7" t="s">
        <v>343</v>
      </c>
      <c r="D207" s="7" t="n">
        <v>2016</v>
      </c>
      <c r="E207" s="7" t="s">
        <v>67</v>
      </c>
      <c r="F207" s="7" t="s">
        <v>78</v>
      </c>
      <c r="G207" s="7" t="s">
        <v>66</v>
      </c>
      <c r="H207" s="7" t="n">
        <v>72.2</v>
      </c>
      <c r="I207" s="7" t="str">
        <f aca="false">IF(B207="",TRIM(C207),TRIM(B207))</f>
        <v>Benin Demographic and Health Survey 2017-2018</v>
      </c>
      <c r="J207" s="7" t="str">
        <f aca="false">IF(ISNUMBER(SEARCH("Demographic and Health",I207)),"DHS",IF(OR(ISNUMBER(SEARCH("Multiple Indicator Cluster",I207)),ISNUMBER(SEARCH("MICS",I207))),"MICS","Other"))</f>
        <v>DHS</v>
      </c>
      <c r="K207" s="7" t="n">
        <f aca="false">IF(AND(F207="Record or Recall",G207="12-23 m"),1,0)</f>
        <v>0</v>
      </c>
      <c r="L207" s="7" t="n">
        <f aca="false">IF(OR(J207="DHS",J207="MICS"),1,0)</f>
        <v>1</v>
      </c>
    </row>
    <row r="208" customFormat="false" ht="15" hidden="false" customHeight="false" outlineLevel="0" collapsed="false">
      <c r="A208" s="7" t="s">
        <v>320</v>
      </c>
      <c r="B208" s="7" t="s">
        <v>342</v>
      </c>
      <c r="C208" s="7" t="s">
        <v>343</v>
      </c>
      <c r="D208" s="7" t="n">
        <v>2016</v>
      </c>
      <c r="E208" s="7" t="s">
        <v>67</v>
      </c>
      <c r="F208" s="7" t="s">
        <v>86</v>
      </c>
      <c r="G208" s="7" t="s">
        <v>66</v>
      </c>
      <c r="H208" s="7" t="n">
        <v>60.5</v>
      </c>
      <c r="I208" s="7" t="str">
        <f aca="false">IF(B208="",TRIM(C208),TRIM(B208))</f>
        <v>Benin Demographic and Health Survey 2017-2018</v>
      </c>
      <c r="J208" s="7" t="str">
        <f aca="false">IF(ISNUMBER(SEARCH("Demographic and Health",I208)),"DHS",IF(OR(ISNUMBER(SEARCH("Multiple Indicator Cluster",I208)),ISNUMBER(SEARCH("MICS",I208))),"MICS","Other"))</f>
        <v>DHS</v>
      </c>
      <c r="K208" s="7" t="n">
        <f aca="false">IF(AND(F208="Record or Recall",G208="12-23 m"),1,0)</f>
        <v>0</v>
      </c>
      <c r="L208" s="7" t="n">
        <f aca="false">IF(OR(J208="DHS",J208="MICS"),1,0)</f>
        <v>1</v>
      </c>
    </row>
    <row r="209" customFormat="false" ht="15" hidden="false" customHeight="false" outlineLevel="0" collapsed="false">
      <c r="A209" s="7" t="s">
        <v>320</v>
      </c>
      <c r="B209" s="7" t="s">
        <v>342</v>
      </c>
      <c r="C209" s="7" t="s">
        <v>343</v>
      </c>
      <c r="D209" s="7" t="n">
        <v>2016</v>
      </c>
      <c r="E209" s="7" t="s">
        <v>67</v>
      </c>
      <c r="F209" s="7" t="s">
        <v>63</v>
      </c>
      <c r="G209" s="7" t="s">
        <v>66</v>
      </c>
      <c r="H209" s="7" t="n">
        <v>73</v>
      </c>
      <c r="I209" s="7" t="str">
        <f aca="false">IF(B209="",TRIM(C209),TRIM(B209))</f>
        <v>Benin Demographic and Health Survey 2017-2018</v>
      </c>
      <c r="J209" s="7" t="str">
        <f aca="false">IF(ISNUMBER(SEARCH("Demographic and Health",I209)),"DHS",IF(OR(ISNUMBER(SEARCH("Multiple Indicator Cluster",I209)),ISNUMBER(SEARCH("MICS",I209))),"MICS","Other"))</f>
        <v>DHS</v>
      </c>
      <c r="K209" s="7" t="n">
        <f aca="false">IF(AND(F209="Record or Recall",G209="12-23 m"),1,0)</f>
        <v>1</v>
      </c>
      <c r="L209" s="7" t="n">
        <f aca="false">IF(OR(J209="DHS",J209="MICS"),1,0)</f>
        <v>1</v>
      </c>
    </row>
    <row r="210" customFormat="false" ht="15" hidden="false" customHeight="false" outlineLevel="0" collapsed="false">
      <c r="A210" s="7" t="s">
        <v>320</v>
      </c>
      <c r="B210" s="7" t="s">
        <v>342</v>
      </c>
      <c r="C210" s="7" t="s">
        <v>343</v>
      </c>
      <c r="D210" s="7" t="n">
        <v>2016</v>
      </c>
      <c r="E210" s="7" t="s">
        <v>67</v>
      </c>
      <c r="F210" s="7" t="s">
        <v>87</v>
      </c>
      <c r="G210" s="7" t="s">
        <v>66</v>
      </c>
      <c r="H210" s="7" t="n">
        <v>12.5</v>
      </c>
      <c r="I210" s="7" t="str">
        <f aca="false">IF(B210="",TRIM(C210),TRIM(B210))</f>
        <v>Benin Demographic and Health Survey 2017-2018</v>
      </c>
      <c r="J210" s="7" t="str">
        <f aca="false">IF(ISNUMBER(SEARCH("Demographic and Health",I210)),"DHS",IF(OR(ISNUMBER(SEARCH("Multiple Indicator Cluster",I210)),ISNUMBER(SEARCH("MICS",I210))),"MICS","Other"))</f>
        <v>DHS</v>
      </c>
      <c r="K210" s="7" t="n">
        <f aca="false">IF(AND(F210="Record or Recall",G210="12-23 m"),1,0)</f>
        <v>0</v>
      </c>
      <c r="L210" s="7" t="n">
        <f aca="false">IF(OR(J210="DHS",J210="MICS"),1,0)</f>
        <v>1</v>
      </c>
    </row>
    <row r="211" customFormat="false" ht="15" hidden="false" customHeight="false" outlineLevel="0" collapsed="false">
      <c r="A211" s="7" t="s">
        <v>320</v>
      </c>
      <c r="B211" s="7" t="s">
        <v>342</v>
      </c>
      <c r="C211" s="7" t="s">
        <v>343</v>
      </c>
      <c r="D211" s="7" t="n">
        <v>2016</v>
      </c>
      <c r="E211" s="7" t="s">
        <v>82</v>
      </c>
      <c r="F211" s="7" t="s">
        <v>78</v>
      </c>
      <c r="G211" s="7" t="s">
        <v>66</v>
      </c>
      <c r="H211" s="7" t="n">
        <v>53.7</v>
      </c>
      <c r="I211" s="7" t="str">
        <f aca="false">IF(B211="",TRIM(C211),TRIM(B211))</f>
        <v>Benin Demographic and Health Survey 2017-2018</v>
      </c>
      <c r="J211" s="7" t="str">
        <f aca="false">IF(ISNUMBER(SEARCH("Demographic and Health",I211)),"DHS",IF(OR(ISNUMBER(SEARCH("Multiple Indicator Cluster",I211)),ISNUMBER(SEARCH("MICS",I211))),"MICS","Other"))</f>
        <v>DHS</v>
      </c>
      <c r="K211" s="7" t="n">
        <f aca="false">IF(AND(F211="Record or Recall",G211="12-23 m"),1,0)</f>
        <v>0</v>
      </c>
      <c r="L211" s="7" t="n">
        <f aca="false">IF(OR(J211="DHS",J211="MICS"),1,0)</f>
        <v>1</v>
      </c>
    </row>
    <row r="212" customFormat="false" ht="15" hidden="false" customHeight="false" outlineLevel="0" collapsed="false">
      <c r="A212" s="7" t="s">
        <v>320</v>
      </c>
      <c r="B212" s="7" t="s">
        <v>342</v>
      </c>
      <c r="C212" s="7" t="s">
        <v>343</v>
      </c>
      <c r="D212" s="7" t="n">
        <v>2016</v>
      </c>
      <c r="E212" s="7" t="s">
        <v>82</v>
      </c>
      <c r="F212" s="7" t="s">
        <v>86</v>
      </c>
      <c r="G212" s="7" t="s">
        <v>66</v>
      </c>
      <c r="H212" s="7" t="n">
        <v>52.3</v>
      </c>
      <c r="I212" s="7" t="str">
        <f aca="false">IF(B212="",TRIM(C212),TRIM(B212))</f>
        <v>Benin Demographic and Health Survey 2017-2018</v>
      </c>
      <c r="J212" s="7" t="str">
        <f aca="false">IF(ISNUMBER(SEARCH("Demographic and Health",I212)),"DHS",IF(OR(ISNUMBER(SEARCH("Multiple Indicator Cluster",I212)),ISNUMBER(SEARCH("MICS",I212))),"MICS","Other"))</f>
        <v>DHS</v>
      </c>
      <c r="K212" s="7" t="n">
        <f aca="false">IF(AND(F212="Record or Recall",G212="12-23 m"),1,0)</f>
        <v>0</v>
      </c>
      <c r="L212" s="7" t="n">
        <f aca="false">IF(OR(J212="DHS",J212="MICS"),1,0)</f>
        <v>1</v>
      </c>
    </row>
    <row r="213" customFormat="false" ht="15" hidden="false" customHeight="false" outlineLevel="0" collapsed="false">
      <c r="A213" s="7" t="s">
        <v>320</v>
      </c>
      <c r="B213" s="7" t="s">
        <v>342</v>
      </c>
      <c r="C213" s="7" t="s">
        <v>343</v>
      </c>
      <c r="D213" s="7" t="n">
        <v>2016</v>
      </c>
      <c r="E213" s="7" t="s">
        <v>82</v>
      </c>
      <c r="F213" s="7" t="s">
        <v>63</v>
      </c>
      <c r="G213" s="7" t="s">
        <v>66</v>
      </c>
      <c r="H213" s="7" t="n">
        <v>56.6</v>
      </c>
      <c r="I213" s="7" t="str">
        <f aca="false">IF(B213="",TRIM(C213),TRIM(B213))</f>
        <v>Benin Demographic and Health Survey 2017-2018</v>
      </c>
      <c r="J213" s="7" t="str">
        <f aca="false">IF(ISNUMBER(SEARCH("Demographic and Health",I213)),"DHS",IF(OR(ISNUMBER(SEARCH("Multiple Indicator Cluster",I213)),ISNUMBER(SEARCH("MICS",I213))),"MICS","Other"))</f>
        <v>DHS</v>
      </c>
      <c r="K213" s="7" t="n">
        <f aca="false">IF(AND(F213="Record or Recall",G213="12-23 m"),1,0)</f>
        <v>1</v>
      </c>
      <c r="L213" s="7" t="n">
        <f aca="false">IF(OR(J213="DHS",J213="MICS"),1,0)</f>
        <v>1</v>
      </c>
    </row>
    <row r="214" customFormat="false" ht="15" hidden="false" customHeight="false" outlineLevel="0" collapsed="false">
      <c r="A214" s="7" t="s">
        <v>320</v>
      </c>
      <c r="B214" s="7" t="s">
        <v>342</v>
      </c>
      <c r="C214" s="7" t="s">
        <v>343</v>
      </c>
      <c r="D214" s="7" t="n">
        <v>2016</v>
      </c>
      <c r="E214" s="7" t="s">
        <v>82</v>
      </c>
      <c r="F214" s="7" t="s">
        <v>87</v>
      </c>
      <c r="G214" s="7" t="s">
        <v>66</v>
      </c>
      <c r="H214" s="7" t="n">
        <v>4.3</v>
      </c>
      <c r="I214" s="7" t="str">
        <f aca="false">IF(B214="",TRIM(C214),TRIM(B214))</f>
        <v>Benin Demographic and Health Survey 2017-2018</v>
      </c>
      <c r="J214" s="7" t="str">
        <f aca="false">IF(ISNUMBER(SEARCH("Demographic and Health",I214)),"DHS",IF(OR(ISNUMBER(SEARCH("Multiple Indicator Cluster",I214)),ISNUMBER(SEARCH("MICS",I214))),"MICS","Other"))</f>
        <v>DHS</v>
      </c>
      <c r="K214" s="7" t="n">
        <f aca="false">IF(AND(F214="Record or Recall",G214="12-23 m"),1,0)</f>
        <v>0</v>
      </c>
      <c r="L214" s="7" t="n">
        <f aca="false">IF(OR(J214="DHS",J214="MICS"),1,0)</f>
        <v>1</v>
      </c>
    </row>
    <row r="215" customFormat="false" ht="15" hidden="false" customHeight="false" outlineLevel="0" collapsed="false">
      <c r="A215" s="7" t="s">
        <v>320</v>
      </c>
      <c r="B215" s="7" t="s">
        <v>342</v>
      </c>
      <c r="C215" s="7" t="s">
        <v>343</v>
      </c>
      <c r="D215" s="7" t="n">
        <v>2016</v>
      </c>
      <c r="E215" s="7" t="s">
        <v>68</v>
      </c>
      <c r="F215" s="7" t="s">
        <v>78</v>
      </c>
      <c r="G215" s="7" t="s">
        <v>66</v>
      </c>
      <c r="H215" s="7" t="n">
        <v>64.5</v>
      </c>
      <c r="I215" s="7" t="str">
        <f aca="false">IF(B215="",TRIM(C215),TRIM(B215))</f>
        <v>Benin Demographic and Health Survey 2017-2018</v>
      </c>
      <c r="J215" s="7" t="str">
        <f aca="false">IF(ISNUMBER(SEARCH("Demographic and Health",I215)),"DHS",IF(OR(ISNUMBER(SEARCH("Multiple Indicator Cluster",I215)),ISNUMBER(SEARCH("MICS",I215))),"MICS","Other"))</f>
        <v>DHS</v>
      </c>
      <c r="K215" s="7" t="n">
        <f aca="false">IF(AND(F215="Record or Recall",G215="12-23 m"),1,0)</f>
        <v>0</v>
      </c>
      <c r="L215" s="7" t="n">
        <f aca="false">IF(OR(J215="DHS",J215="MICS"),1,0)</f>
        <v>1</v>
      </c>
    </row>
    <row r="216" customFormat="false" ht="15" hidden="false" customHeight="false" outlineLevel="0" collapsed="false">
      <c r="A216" s="7" t="s">
        <v>320</v>
      </c>
      <c r="B216" s="7" t="s">
        <v>342</v>
      </c>
      <c r="C216" s="7" t="s">
        <v>343</v>
      </c>
      <c r="D216" s="7" t="n">
        <v>2016</v>
      </c>
      <c r="E216" s="7" t="s">
        <v>68</v>
      </c>
      <c r="F216" s="7" t="s">
        <v>86</v>
      </c>
      <c r="G216" s="7" t="s">
        <v>66</v>
      </c>
      <c r="H216" s="7" t="n">
        <v>53.4</v>
      </c>
      <c r="I216" s="7" t="str">
        <f aca="false">IF(B216="",TRIM(C216),TRIM(B216))</f>
        <v>Benin Demographic and Health Survey 2017-2018</v>
      </c>
      <c r="J216" s="7" t="str">
        <f aca="false">IF(ISNUMBER(SEARCH("Demographic and Health",I216)),"DHS",IF(OR(ISNUMBER(SEARCH("Multiple Indicator Cluster",I216)),ISNUMBER(SEARCH("MICS",I216))),"MICS","Other"))</f>
        <v>DHS</v>
      </c>
      <c r="K216" s="7" t="n">
        <f aca="false">IF(AND(F216="Record or Recall",G216="12-23 m"),1,0)</f>
        <v>0</v>
      </c>
      <c r="L216" s="7" t="n">
        <f aca="false">IF(OR(J216="DHS",J216="MICS"),1,0)</f>
        <v>1</v>
      </c>
    </row>
    <row r="217" customFormat="false" ht="15" hidden="false" customHeight="false" outlineLevel="0" collapsed="false">
      <c r="A217" s="7" t="s">
        <v>320</v>
      </c>
      <c r="B217" s="7" t="s">
        <v>342</v>
      </c>
      <c r="C217" s="7" t="s">
        <v>343</v>
      </c>
      <c r="D217" s="7" t="n">
        <v>2016</v>
      </c>
      <c r="E217" s="7" t="s">
        <v>68</v>
      </c>
      <c r="F217" s="7" t="s">
        <v>63</v>
      </c>
      <c r="G217" s="7" t="s">
        <v>66</v>
      </c>
      <c r="H217" s="7" t="n">
        <v>67.9</v>
      </c>
      <c r="I217" s="7" t="str">
        <f aca="false">IF(B217="",TRIM(C217),TRIM(B217))</f>
        <v>Benin Demographic and Health Survey 2017-2018</v>
      </c>
      <c r="J217" s="7" t="str">
        <f aca="false">IF(ISNUMBER(SEARCH("Demographic and Health",I217)),"DHS",IF(OR(ISNUMBER(SEARCH("Multiple Indicator Cluster",I217)),ISNUMBER(SEARCH("MICS",I217))),"MICS","Other"))</f>
        <v>DHS</v>
      </c>
      <c r="K217" s="7" t="n">
        <f aca="false">IF(AND(F217="Record or Recall",G217="12-23 m"),1,0)</f>
        <v>1</v>
      </c>
      <c r="L217" s="7" t="n">
        <f aca="false">IF(OR(J217="DHS",J217="MICS"),1,0)</f>
        <v>1</v>
      </c>
    </row>
    <row r="218" customFormat="false" ht="15" hidden="false" customHeight="false" outlineLevel="0" collapsed="false">
      <c r="A218" s="7" t="s">
        <v>320</v>
      </c>
      <c r="B218" s="7" t="s">
        <v>342</v>
      </c>
      <c r="C218" s="7" t="s">
        <v>343</v>
      </c>
      <c r="D218" s="7" t="n">
        <v>2016</v>
      </c>
      <c r="E218" s="7" t="s">
        <v>68</v>
      </c>
      <c r="F218" s="7" t="s">
        <v>87</v>
      </c>
      <c r="G218" s="7" t="s">
        <v>66</v>
      </c>
      <c r="H218" s="7" t="n">
        <v>14.6</v>
      </c>
      <c r="I218" s="7" t="str">
        <f aca="false">IF(B218="",TRIM(C218),TRIM(B218))</f>
        <v>Benin Demographic and Health Survey 2017-2018</v>
      </c>
      <c r="J218" s="7" t="str">
        <f aca="false">IF(ISNUMBER(SEARCH("Demographic and Health",I218)),"DHS",IF(OR(ISNUMBER(SEARCH("Multiple Indicator Cluster",I218)),ISNUMBER(SEARCH("MICS",I218))),"MICS","Other"))</f>
        <v>DHS</v>
      </c>
      <c r="K218" s="7" t="n">
        <f aca="false">IF(AND(F218="Record or Recall",G218="12-23 m"),1,0)</f>
        <v>0</v>
      </c>
      <c r="L218" s="7" t="n">
        <f aca="false">IF(OR(J218="DHS",J218="MICS"),1,0)</f>
        <v>1</v>
      </c>
    </row>
    <row r="219" customFormat="false" ht="15" hidden="false" customHeight="false" outlineLevel="0" collapsed="false">
      <c r="A219" s="7" t="s">
        <v>320</v>
      </c>
      <c r="B219" s="7" t="s">
        <v>342</v>
      </c>
      <c r="C219" s="7" t="s">
        <v>343</v>
      </c>
      <c r="D219" s="7" t="n">
        <v>2016</v>
      </c>
      <c r="E219" s="7" t="s">
        <v>69</v>
      </c>
      <c r="F219" s="7" t="s">
        <v>86</v>
      </c>
      <c r="G219" s="7" t="s">
        <v>66</v>
      </c>
      <c r="H219" s="7" t="n">
        <v>60.4</v>
      </c>
      <c r="I219" s="7" t="str">
        <f aca="false">IF(B219="",TRIM(C219),TRIM(B219))</f>
        <v>Benin Demographic and Health Survey 2017-2018</v>
      </c>
      <c r="J219" s="7" t="str">
        <f aca="false">IF(ISNUMBER(SEARCH("Demographic and Health",I219)),"DHS",IF(OR(ISNUMBER(SEARCH("Multiple Indicator Cluster",I219)),ISNUMBER(SEARCH("MICS",I219))),"MICS","Other"))</f>
        <v>DHS</v>
      </c>
      <c r="K219" s="7" t="n">
        <f aca="false">IF(AND(F219="Record or Recall",G219="12-23 m"),1,0)</f>
        <v>0</v>
      </c>
      <c r="L219" s="7" t="n">
        <f aca="false">IF(OR(J219="DHS",J219="MICS"),1,0)</f>
        <v>1</v>
      </c>
    </row>
    <row r="220" customFormat="false" ht="15" hidden="false" customHeight="false" outlineLevel="0" collapsed="false">
      <c r="A220" s="7" t="s">
        <v>320</v>
      </c>
      <c r="B220" s="7" t="s">
        <v>342</v>
      </c>
      <c r="C220" s="7" t="s">
        <v>343</v>
      </c>
      <c r="D220" s="7" t="n">
        <v>2016</v>
      </c>
      <c r="E220" s="7" t="s">
        <v>69</v>
      </c>
      <c r="F220" s="7" t="s">
        <v>63</v>
      </c>
      <c r="G220" s="7" t="s">
        <v>66</v>
      </c>
      <c r="H220" s="7" t="n">
        <v>65.5</v>
      </c>
      <c r="I220" s="7" t="str">
        <f aca="false">IF(B220="",TRIM(C220),TRIM(B220))</f>
        <v>Benin Demographic and Health Survey 2017-2018</v>
      </c>
      <c r="J220" s="7" t="str">
        <f aca="false">IF(ISNUMBER(SEARCH("Demographic and Health",I220)),"DHS",IF(OR(ISNUMBER(SEARCH("Multiple Indicator Cluster",I220)),ISNUMBER(SEARCH("MICS",I220))),"MICS","Other"))</f>
        <v>DHS</v>
      </c>
      <c r="K220" s="7" t="n">
        <f aca="false">IF(AND(F220="Record or Recall",G220="12-23 m"),1,0)</f>
        <v>1</v>
      </c>
      <c r="L220" s="7" t="n">
        <f aca="false">IF(OR(J220="DHS",J220="MICS"),1,0)</f>
        <v>1</v>
      </c>
    </row>
    <row r="221" customFormat="false" ht="15" hidden="false" customHeight="false" outlineLevel="0" collapsed="false">
      <c r="A221" s="7" t="s">
        <v>320</v>
      </c>
      <c r="B221" s="7" t="s">
        <v>342</v>
      </c>
      <c r="C221" s="7" t="s">
        <v>343</v>
      </c>
      <c r="D221" s="7" t="n">
        <v>2016</v>
      </c>
      <c r="E221" s="7" t="s">
        <v>69</v>
      </c>
      <c r="F221" s="7" t="s">
        <v>87</v>
      </c>
      <c r="G221" s="7" t="s">
        <v>66</v>
      </c>
      <c r="H221" s="7" t="n">
        <v>5.1</v>
      </c>
      <c r="I221" s="7" t="str">
        <f aca="false">IF(B221="",TRIM(C221),TRIM(B221))</f>
        <v>Benin Demographic and Health Survey 2017-2018</v>
      </c>
      <c r="J221" s="7" t="str">
        <f aca="false">IF(ISNUMBER(SEARCH("Demographic and Health",I221)),"DHS",IF(OR(ISNUMBER(SEARCH("Multiple Indicator Cluster",I221)),ISNUMBER(SEARCH("MICS",I221))),"MICS","Other"))</f>
        <v>DHS</v>
      </c>
      <c r="K221" s="7" t="n">
        <f aca="false">IF(AND(F221="Record or Recall",G221="12-23 m"),1,0)</f>
        <v>0</v>
      </c>
      <c r="L221" s="7" t="n">
        <f aca="false">IF(OR(J221="DHS",J221="MICS"),1,0)</f>
        <v>1</v>
      </c>
    </row>
    <row r="222" customFormat="false" ht="15" hidden="false" customHeight="false" outlineLevel="0" collapsed="false">
      <c r="A222" s="7" t="s">
        <v>320</v>
      </c>
      <c r="B222" s="7" t="s">
        <v>342</v>
      </c>
      <c r="C222" s="7" t="s">
        <v>343</v>
      </c>
      <c r="D222" s="7" t="n">
        <v>2016</v>
      </c>
      <c r="E222" s="7" t="s">
        <v>69</v>
      </c>
      <c r="F222" s="7" t="s">
        <v>78</v>
      </c>
      <c r="G222" s="7" t="s">
        <v>66</v>
      </c>
      <c r="H222" s="7" t="n">
        <v>64.8</v>
      </c>
      <c r="I222" s="7" t="str">
        <f aca="false">IF(B222="",TRIM(C222),TRIM(B222))</f>
        <v>Benin Demographic and Health Survey 2017-2018</v>
      </c>
      <c r="J222" s="7" t="str">
        <f aca="false">IF(ISNUMBER(SEARCH("Demographic and Health",I222)),"DHS",IF(OR(ISNUMBER(SEARCH("Multiple Indicator Cluster",I222)),ISNUMBER(SEARCH("MICS",I222))),"MICS","Other"))</f>
        <v>DHS</v>
      </c>
      <c r="K222" s="7" t="n">
        <f aca="false">IF(AND(F222="Record or Recall",G222="12-23 m"),1,0)</f>
        <v>0</v>
      </c>
      <c r="L222" s="7" t="n">
        <f aca="false">IF(OR(J222="DHS",J222="MICS"),1,0)</f>
        <v>1</v>
      </c>
    </row>
    <row r="223" customFormat="false" ht="15" hidden="false" customHeight="false" outlineLevel="0" collapsed="false">
      <c r="A223" s="7" t="s">
        <v>320</v>
      </c>
      <c r="B223" s="7" t="s">
        <v>344</v>
      </c>
      <c r="C223" s="7" t="s">
        <v>345</v>
      </c>
      <c r="D223" s="7" t="n">
        <v>2019</v>
      </c>
      <c r="E223" s="7" t="s">
        <v>62</v>
      </c>
      <c r="F223" s="7" t="s">
        <v>78</v>
      </c>
      <c r="G223" s="7" t="s">
        <v>91</v>
      </c>
      <c r="H223" s="7" t="n">
        <v>80.9</v>
      </c>
      <c r="I223" s="7" t="str">
        <f aca="false">IF(B223="",TRIM(C223),TRIM(B223))</f>
        <v>Benin Multiple Indicator Cluster Survey 2021-2022</v>
      </c>
      <c r="J223" s="7" t="str">
        <f aca="false">IF(ISNUMBER(SEARCH("Demographic and Health",I223)),"DHS",IF(OR(ISNUMBER(SEARCH("Multiple Indicator Cluster",I223)),ISNUMBER(SEARCH("MICS",I223))),"MICS","Other"))</f>
        <v>MICS</v>
      </c>
      <c r="K223" s="7" t="n">
        <f aca="false">IF(AND(F223="Record or Recall",G223="12-23 m"),1,0)</f>
        <v>0</v>
      </c>
      <c r="L223" s="7" t="n">
        <f aca="false">IF(OR(J223="DHS",J223="MICS"),1,0)</f>
        <v>1</v>
      </c>
    </row>
    <row r="224" customFormat="false" ht="15" hidden="false" customHeight="false" outlineLevel="0" collapsed="false">
      <c r="A224" s="7" t="s">
        <v>320</v>
      </c>
      <c r="B224" s="7" t="s">
        <v>344</v>
      </c>
      <c r="C224" s="7" t="s">
        <v>345</v>
      </c>
      <c r="D224" s="7" t="n">
        <v>2019</v>
      </c>
      <c r="E224" s="7" t="s">
        <v>62</v>
      </c>
      <c r="F224" s="7" t="s">
        <v>86</v>
      </c>
      <c r="G224" s="7" t="s">
        <v>91</v>
      </c>
      <c r="H224" s="7" t="n">
        <v>55.3</v>
      </c>
      <c r="I224" s="7" t="str">
        <f aca="false">IF(B224="",TRIM(C224),TRIM(B224))</f>
        <v>Benin Multiple Indicator Cluster Survey 2021-2022</v>
      </c>
      <c r="J224" s="7" t="str">
        <f aca="false">IF(ISNUMBER(SEARCH("Demographic and Health",I224)),"DHS",IF(OR(ISNUMBER(SEARCH("Multiple Indicator Cluster",I224)),ISNUMBER(SEARCH("MICS",I224))),"MICS","Other"))</f>
        <v>MICS</v>
      </c>
      <c r="K224" s="7" t="n">
        <f aca="false">IF(AND(F224="Record or Recall",G224="12-23 m"),1,0)</f>
        <v>0</v>
      </c>
      <c r="L224" s="7" t="n">
        <f aca="false">IF(OR(J224="DHS",J224="MICS"),1,0)</f>
        <v>1</v>
      </c>
    </row>
    <row r="225" customFormat="false" ht="15" hidden="false" customHeight="false" outlineLevel="0" collapsed="false">
      <c r="A225" s="7" t="s">
        <v>320</v>
      </c>
      <c r="B225" s="7" t="s">
        <v>344</v>
      </c>
      <c r="C225" s="7" t="s">
        <v>345</v>
      </c>
      <c r="D225" s="7" t="n">
        <v>2019</v>
      </c>
      <c r="E225" s="7" t="s">
        <v>62</v>
      </c>
      <c r="F225" s="7" t="s">
        <v>63</v>
      </c>
      <c r="G225" s="7" t="s">
        <v>91</v>
      </c>
      <c r="H225" s="7" t="n">
        <v>81.5</v>
      </c>
      <c r="I225" s="7" t="str">
        <f aca="false">IF(B225="",TRIM(C225),TRIM(B225))</f>
        <v>Benin Multiple Indicator Cluster Survey 2021-2022</v>
      </c>
      <c r="J225" s="7" t="str">
        <f aca="false">IF(ISNUMBER(SEARCH("Demographic and Health",I225)),"DHS",IF(OR(ISNUMBER(SEARCH("Multiple Indicator Cluster",I225)),ISNUMBER(SEARCH("MICS",I225))),"MICS","Other"))</f>
        <v>MICS</v>
      </c>
      <c r="K225" s="7" t="n">
        <f aca="false">IF(AND(F225="Record or Recall",G225="12-23 m"),1,0)</f>
        <v>0</v>
      </c>
      <c r="L225" s="7" t="n">
        <f aca="false">IF(OR(J225="DHS",J225="MICS"),1,0)</f>
        <v>1</v>
      </c>
    </row>
    <row r="226" customFormat="false" ht="15" hidden="false" customHeight="false" outlineLevel="0" collapsed="false">
      <c r="A226" s="7" t="s">
        <v>320</v>
      </c>
      <c r="B226" s="7" t="s">
        <v>344</v>
      </c>
      <c r="C226" s="7" t="s">
        <v>345</v>
      </c>
      <c r="D226" s="7" t="n">
        <v>2019</v>
      </c>
      <c r="E226" s="7" t="s">
        <v>62</v>
      </c>
      <c r="F226" s="7" t="s">
        <v>87</v>
      </c>
      <c r="G226" s="7" t="s">
        <v>91</v>
      </c>
      <c r="H226" s="7" t="n">
        <v>26.2</v>
      </c>
      <c r="I226" s="7" t="str">
        <f aca="false">IF(B226="",TRIM(C226),TRIM(B226))</f>
        <v>Benin Multiple Indicator Cluster Survey 2021-2022</v>
      </c>
      <c r="J226" s="7" t="str">
        <f aca="false">IF(ISNUMBER(SEARCH("Demographic and Health",I226)),"DHS",IF(OR(ISNUMBER(SEARCH("Multiple Indicator Cluster",I226)),ISNUMBER(SEARCH("MICS",I226))),"MICS","Other"))</f>
        <v>MICS</v>
      </c>
      <c r="K226" s="7" t="n">
        <f aca="false">IF(AND(F226="Record or Recall",G226="12-23 m"),1,0)</f>
        <v>0</v>
      </c>
      <c r="L226" s="7" t="n">
        <f aca="false">IF(OR(J226="DHS",J226="MICS"),1,0)</f>
        <v>1</v>
      </c>
    </row>
    <row r="227" customFormat="false" ht="15" hidden="false" customHeight="false" outlineLevel="0" collapsed="false">
      <c r="A227" s="7" t="s">
        <v>320</v>
      </c>
      <c r="B227" s="7" t="s">
        <v>344</v>
      </c>
      <c r="C227" s="7" t="s">
        <v>345</v>
      </c>
      <c r="D227" s="7" t="n">
        <v>2019</v>
      </c>
      <c r="E227" s="7" t="s">
        <v>81</v>
      </c>
      <c r="F227" s="7" t="s">
        <v>78</v>
      </c>
      <c r="G227" s="7" t="s">
        <v>91</v>
      </c>
      <c r="H227" s="7" t="n">
        <v>72.1</v>
      </c>
      <c r="I227" s="7" t="str">
        <f aca="false">IF(B227="",TRIM(C227),TRIM(B227))</f>
        <v>Benin Multiple Indicator Cluster Survey 2021-2022</v>
      </c>
      <c r="J227" s="7" t="str">
        <f aca="false">IF(ISNUMBER(SEARCH("Demographic and Health",I227)),"DHS",IF(OR(ISNUMBER(SEARCH("Multiple Indicator Cluster",I227)),ISNUMBER(SEARCH("MICS",I227))),"MICS","Other"))</f>
        <v>MICS</v>
      </c>
      <c r="K227" s="7" t="n">
        <f aca="false">IF(AND(F227="Record or Recall",G227="12-23 m"),1,0)</f>
        <v>0</v>
      </c>
      <c r="L227" s="7" t="n">
        <f aca="false">IF(OR(J227="DHS",J227="MICS"),1,0)</f>
        <v>1</v>
      </c>
    </row>
    <row r="228" customFormat="false" ht="15" hidden="false" customHeight="false" outlineLevel="0" collapsed="false">
      <c r="A228" s="7" t="s">
        <v>320</v>
      </c>
      <c r="B228" s="7" t="s">
        <v>344</v>
      </c>
      <c r="C228" s="7" t="s">
        <v>345</v>
      </c>
      <c r="D228" s="7" t="n">
        <v>2019</v>
      </c>
      <c r="E228" s="7" t="s">
        <v>81</v>
      </c>
      <c r="F228" s="7" t="s">
        <v>86</v>
      </c>
      <c r="G228" s="7" t="s">
        <v>91</v>
      </c>
      <c r="H228" s="7" t="n">
        <v>51.9</v>
      </c>
      <c r="I228" s="7" t="str">
        <f aca="false">IF(B228="",TRIM(C228),TRIM(B228))</f>
        <v>Benin Multiple Indicator Cluster Survey 2021-2022</v>
      </c>
      <c r="J228" s="7" t="str">
        <f aca="false">IF(ISNUMBER(SEARCH("Demographic and Health",I228)),"DHS",IF(OR(ISNUMBER(SEARCH("Multiple Indicator Cluster",I228)),ISNUMBER(SEARCH("MICS",I228))),"MICS","Other"))</f>
        <v>MICS</v>
      </c>
      <c r="K228" s="7" t="n">
        <f aca="false">IF(AND(F228="Record or Recall",G228="12-23 m"),1,0)</f>
        <v>0</v>
      </c>
      <c r="L228" s="7" t="n">
        <f aca="false">IF(OR(J228="DHS",J228="MICS"),1,0)</f>
        <v>1</v>
      </c>
    </row>
    <row r="229" customFormat="false" ht="15" hidden="false" customHeight="false" outlineLevel="0" collapsed="false">
      <c r="A229" s="7" t="s">
        <v>320</v>
      </c>
      <c r="B229" s="7" t="s">
        <v>344</v>
      </c>
      <c r="C229" s="7" t="s">
        <v>345</v>
      </c>
      <c r="D229" s="7" t="n">
        <v>2019</v>
      </c>
      <c r="E229" s="7" t="s">
        <v>81</v>
      </c>
      <c r="F229" s="7" t="s">
        <v>63</v>
      </c>
      <c r="G229" s="7" t="s">
        <v>91</v>
      </c>
      <c r="H229" s="7" t="n">
        <v>74</v>
      </c>
      <c r="I229" s="7" t="str">
        <f aca="false">IF(B229="",TRIM(C229),TRIM(B229))</f>
        <v>Benin Multiple Indicator Cluster Survey 2021-2022</v>
      </c>
      <c r="J229" s="7" t="str">
        <f aca="false">IF(ISNUMBER(SEARCH("Demographic and Health",I229)),"DHS",IF(OR(ISNUMBER(SEARCH("Multiple Indicator Cluster",I229)),ISNUMBER(SEARCH("MICS",I229))),"MICS","Other"))</f>
        <v>MICS</v>
      </c>
      <c r="K229" s="7" t="n">
        <f aca="false">IF(AND(F229="Record or Recall",G229="12-23 m"),1,0)</f>
        <v>0</v>
      </c>
      <c r="L229" s="7" t="n">
        <f aca="false">IF(OR(J229="DHS",J229="MICS"),1,0)</f>
        <v>1</v>
      </c>
    </row>
    <row r="230" customFormat="false" ht="15" hidden="false" customHeight="false" outlineLevel="0" collapsed="false">
      <c r="A230" s="7" t="s">
        <v>320</v>
      </c>
      <c r="B230" s="7" t="s">
        <v>344</v>
      </c>
      <c r="C230" s="7" t="s">
        <v>345</v>
      </c>
      <c r="D230" s="7" t="n">
        <v>2019</v>
      </c>
      <c r="E230" s="7" t="s">
        <v>81</v>
      </c>
      <c r="F230" s="7" t="s">
        <v>87</v>
      </c>
      <c r="G230" s="7" t="s">
        <v>91</v>
      </c>
      <c r="H230" s="7" t="n">
        <v>22.1</v>
      </c>
      <c r="I230" s="7" t="str">
        <f aca="false">IF(B230="",TRIM(C230),TRIM(B230))</f>
        <v>Benin Multiple Indicator Cluster Survey 2021-2022</v>
      </c>
      <c r="J230" s="7" t="str">
        <f aca="false">IF(ISNUMBER(SEARCH("Demographic and Health",I230)),"DHS",IF(OR(ISNUMBER(SEARCH("Multiple Indicator Cluster",I230)),ISNUMBER(SEARCH("MICS",I230))),"MICS","Other"))</f>
        <v>MICS</v>
      </c>
      <c r="K230" s="7" t="n">
        <f aca="false">IF(AND(F230="Record or Recall",G230="12-23 m"),1,0)</f>
        <v>0</v>
      </c>
      <c r="L230" s="7" t="n">
        <f aca="false">IF(OR(J230="DHS",J230="MICS"),1,0)</f>
        <v>1</v>
      </c>
    </row>
    <row r="231" customFormat="false" ht="15" hidden="false" customHeight="false" outlineLevel="0" collapsed="false">
      <c r="A231" s="7" t="s">
        <v>320</v>
      </c>
      <c r="B231" s="7" t="s">
        <v>344</v>
      </c>
      <c r="C231" s="7" t="s">
        <v>345</v>
      </c>
      <c r="D231" s="7" t="n">
        <v>2019</v>
      </c>
      <c r="E231" s="7" t="s">
        <v>67</v>
      </c>
      <c r="F231" s="7" t="s">
        <v>78</v>
      </c>
      <c r="G231" s="7" t="s">
        <v>91</v>
      </c>
      <c r="H231" s="7" t="n">
        <v>61.6</v>
      </c>
      <c r="I231" s="7" t="str">
        <f aca="false">IF(B231="",TRIM(C231),TRIM(B231))</f>
        <v>Benin Multiple Indicator Cluster Survey 2021-2022</v>
      </c>
      <c r="J231" s="7" t="str">
        <f aca="false">IF(ISNUMBER(SEARCH("Demographic and Health",I231)),"DHS",IF(OR(ISNUMBER(SEARCH("Multiple Indicator Cluster",I231)),ISNUMBER(SEARCH("MICS",I231))),"MICS","Other"))</f>
        <v>MICS</v>
      </c>
      <c r="K231" s="7" t="n">
        <f aca="false">IF(AND(F231="Record or Recall",G231="12-23 m"),1,0)</f>
        <v>0</v>
      </c>
      <c r="L231" s="7" t="n">
        <f aca="false">IF(OR(J231="DHS",J231="MICS"),1,0)</f>
        <v>1</v>
      </c>
    </row>
    <row r="232" customFormat="false" ht="15" hidden="false" customHeight="false" outlineLevel="0" collapsed="false">
      <c r="A232" s="7" t="s">
        <v>320</v>
      </c>
      <c r="B232" s="7" t="s">
        <v>344</v>
      </c>
      <c r="C232" s="7" t="s">
        <v>345</v>
      </c>
      <c r="D232" s="7" t="n">
        <v>2019</v>
      </c>
      <c r="E232" s="7" t="s">
        <v>67</v>
      </c>
      <c r="F232" s="7" t="s">
        <v>86</v>
      </c>
      <c r="G232" s="7" t="s">
        <v>91</v>
      </c>
      <c r="H232" s="7" t="n">
        <v>46.9</v>
      </c>
      <c r="I232" s="7" t="str">
        <f aca="false">IF(B232="",TRIM(C232),TRIM(B232))</f>
        <v>Benin Multiple Indicator Cluster Survey 2021-2022</v>
      </c>
      <c r="J232" s="7" t="str">
        <f aca="false">IF(ISNUMBER(SEARCH("Demographic and Health",I232)),"DHS",IF(OR(ISNUMBER(SEARCH("Multiple Indicator Cluster",I232)),ISNUMBER(SEARCH("MICS",I232))),"MICS","Other"))</f>
        <v>MICS</v>
      </c>
      <c r="K232" s="7" t="n">
        <f aca="false">IF(AND(F232="Record or Recall",G232="12-23 m"),1,0)</f>
        <v>0</v>
      </c>
      <c r="L232" s="7" t="n">
        <f aca="false">IF(OR(J232="DHS",J232="MICS"),1,0)</f>
        <v>1</v>
      </c>
    </row>
    <row r="233" customFormat="false" ht="15" hidden="false" customHeight="false" outlineLevel="0" collapsed="false">
      <c r="A233" s="7" t="s">
        <v>320</v>
      </c>
      <c r="B233" s="7" t="s">
        <v>344</v>
      </c>
      <c r="C233" s="7" t="s">
        <v>345</v>
      </c>
      <c r="D233" s="7" t="n">
        <v>2019</v>
      </c>
      <c r="E233" s="7" t="s">
        <v>67</v>
      </c>
      <c r="F233" s="7" t="s">
        <v>63</v>
      </c>
      <c r="G233" s="7" t="s">
        <v>91</v>
      </c>
      <c r="H233" s="7" t="n">
        <v>63.6</v>
      </c>
      <c r="I233" s="7" t="str">
        <f aca="false">IF(B233="",TRIM(C233),TRIM(B233))</f>
        <v>Benin Multiple Indicator Cluster Survey 2021-2022</v>
      </c>
      <c r="J233" s="7" t="str">
        <f aca="false">IF(ISNUMBER(SEARCH("Demographic and Health",I233)),"DHS",IF(OR(ISNUMBER(SEARCH("Multiple Indicator Cluster",I233)),ISNUMBER(SEARCH("MICS",I233))),"MICS","Other"))</f>
        <v>MICS</v>
      </c>
      <c r="K233" s="7" t="n">
        <f aca="false">IF(AND(F233="Record or Recall",G233="12-23 m"),1,0)</f>
        <v>0</v>
      </c>
      <c r="L233" s="7" t="n">
        <f aca="false">IF(OR(J233="DHS",J233="MICS"),1,0)</f>
        <v>1</v>
      </c>
    </row>
    <row r="234" customFormat="false" ht="15" hidden="false" customHeight="false" outlineLevel="0" collapsed="false">
      <c r="A234" s="7" t="s">
        <v>320</v>
      </c>
      <c r="B234" s="7" t="s">
        <v>344</v>
      </c>
      <c r="C234" s="7" t="s">
        <v>345</v>
      </c>
      <c r="D234" s="7" t="n">
        <v>2019</v>
      </c>
      <c r="E234" s="7" t="s">
        <v>67</v>
      </c>
      <c r="F234" s="7" t="s">
        <v>87</v>
      </c>
      <c r="G234" s="7" t="s">
        <v>91</v>
      </c>
      <c r="H234" s="7" t="n">
        <v>16.7</v>
      </c>
      <c r="I234" s="7" t="str">
        <f aca="false">IF(B234="",TRIM(C234),TRIM(B234))</f>
        <v>Benin Multiple Indicator Cluster Survey 2021-2022</v>
      </c>
      <c r="J234" s="7" t="str">
        <f aca="false">IF(ISNUMBER(SEARCH("Demographic and Health",I234)),"DHS",IF(OR(ISNUMBER(SEARCH("Multiple Indicator Cluster",I234)),ISNUMBER(SEARCH("MICS",I234))),"MICS","Other"))</f>
        <v>MICS</v>
      </c>
      <c r="K234" s="7" t="n">
        <f aca="false">IF(AND(F234="Record or Recall",G234="12-23 m"),1,0)</f>
        <v>0</v>
      </c>
      <c r="L234" s="7" t="n">
        <f aca="false">IF(OR(J234="DHS",J234="MICS"),1,0)</f>
        <v>1</v>
      </c>
    </row>
    <row r="235" customFormat="false" ht="15" hidden="false" customHeight="false" outlineLevel="0" collapsed="false">
      <c r="A235" s="7" t="s">
        <v>320</v>
      </c>
      <c r="B235" s="7" t="s">
        <v>344</v>
      </c>
      <c r="C235" s="7" t="s">
        <v>345</v>
      </c>
      <c r="D235" s="7" t="n">
        <v>2019</v>
      </c>
      <c r="E235" s="7" t="s">
        <v>82</v>
      </c>
      <c r="F235" s="7" t="s">
        <v>78</v>
      </c>
      <c r="G235" s="7" t="s">
        <v>91</v>
      </c>
      <c r="H235" s="7" t="n">
        <v>13.8</v>
      </c>
      <c r="I235" s="7" t="str">
        <f aca="false">IF(B235="",TRIM(C235),TRIM(B235))</f>
        <v>Benin Multiple Indicator Cluster Survey 2021-2022</v>
      </c>
      <c r="J235" s="7" t="str">
        <f aca="false">IF(ISNUMBER(SEARCH("Demographic and Health",I235)),"DHS",IF(OR(ISNUMBER(SEARCH("Multiple Indicator Cluster",I235)),ISNUMBER(SEARCH("MICS",I235))),"MICS","Other"))</f>
        <v>MICS</v>
      </c>
      <c r="K235" s="7" t="n">
        <f aca="false">IF(AND(F235="Record or Recall",G235="12-23 m"),1,0)</f>
        <v>0</v>
      </c>
      <c r="L235" s="7" t="n">
        <f aca="false">IF(OR(J235="DHS",J235="MICS"),1,0)</f>
        <v>1</v>
      </c>
    </row>
    <row r="236" customFormat="false" ht="15" hidden="false" customHeight="false" outlineLevel="0" collapsed="false">
      <c r="A236" s="7" t="s">
        <v>320</v>
      </c>
      <c r="B236" s="7" t="s">
        <v>344</v>
      </c>
      <c r="C236" s="7" t="s">
        <v>345</v>
      </c>
      <c r="D236" s="7" t="n">
        <v>2019</v>
      </c>
      <c r="E236" s="7" t="s">
        <v>82</v>
      </c>
      <c r="F236" s="7" t="s">
        <v>86</v>
      </c>
      <c r="G236" s="7" t="s">
        <v>91</v>
      </c>
      <c r="H236" s="7" t="n">
        <v>19.5</v>
      </c>
      <c r="I236" s="7" t="str">
        <f aca="false">IF(B236="",TRIM(C236),TRIM(B236))</f>
        <v>Benin Multiple Indicator Cluster Survey 2021-2022</v>
      </c>
      <c r="J236" s="7" t="str">
        <f aca="false">IF(ISNUMBER(SEARCH("Demographic and Health",I236)),"DHS",IF(OR(ISNUMBER(SEARCH("Multiple Indicator Cluster",I236)),ISNUMBER(SEARCH("MICS",I236))),"MICS","Other"))</f>
        <v>MICS</v>
      </c>
      <c r="K236" s="7" t="n">
        <f aca="false">IF(AND(F236="Record or Recall",G236="12-23 m"),1,0)</f>
        <v>0</v>
      </c>
      <c r="L236" s="7" t="n">
        <f aca="false">IF(OR(J236="DHS",J236="MICS"),1,0)</f>
        <v>1</v>
      </c>
    </row>
    <row r="237" customFormat="false" ht="15" hidden="false" customHeight="false" outlineLevel="0" collapsed="false">
      <c r="A237" s="7" t="s">
        <v>320</v>
      </c>
      <c r="B237" s="7" t="s">
        <v>344</v>
      </c>
      <c r="C237" s="7" t="s">
        <v>345</v>
      </c>
      <c r="D237" s="7" t="n">
        <v>2019</v>
      </c>
      <c r="E237" s="7" t="s">
        <v>82</v>
      </c>
      <c r="F237" s="7" t="s">
        <v>63</v>
      </c>
      <c r="G237" s="7" t="s">
        <v>91</v>
      </c>
      <c r="H237" s="7" t="n">
        <v>19.6</v>
      </c>
      <c r="I237" s="7" t="str">
        <f aca="false">IF(B237="",TRIM(C237),TRIM(B237))</f>
        <v>Benin Multiple Indicator Cluster Survey 2021-2022</v>
      </c>
      <c r="J237" s="7" t="str">
        <f aca="false">IF(ISNUMBER(SEARCH("Demographic and Health",I237)),"DHS",IF(OR(ISNUMBER(SEARCH("Multiple Indicator Cluster",I237)),ISNUMBER(SEARCH("MICS",I237))),"MICS","Other"))</f>
        <v>MICS</v>
      </c>
      <c r="K237" s="7" t="n">
        <f aca="false">IF(AND(F237="Record or Recall",G237="12-23 m"),1,0)</f>
        <v>0</v>
      </c>
      <c r="L237" s="7" t="n">
        <f aca="false">IF(OR(J237="DHS",J237="MICS"),1,0)</f>
        <v>1</v>
      </c>
    </row>
    <row r="238" customFormat="false" ht="15" hidden="false" customHeight="false" outlineLevel="0" collapsed="false">
      <c r="A238" s="7" t="s">
        <v>320</v>
      </c>
      <c r="B238" s="7" t="s">
        <v>344</v>
      </c>
      <c r="C238" s="7" t="s">
        <v>345</v>
      </c>
      <c r="D238" s="7" t="n">
        <v>2019</v>
      </c>
      <c r="E238" s="7" t="s">
        <v>82</v>
      </c>
      <c r="F238" s="7" t="s">
        <v>87</v>
      </c>
      <c r="G238" s="7" t="s">
        <v>91</v>
      </c>
      <c r="H238" s="7" t="n">
        <v>0</v>
      </c>
      <c r="I238" s="7" t="str">
        <f aca="false">IF(B238="",TRIM(C238),TRIM(B238))</f>
        <v>Benin Multiple Indicator Cluster Survey 2021-2022</v>
      </c>
      <c r="J238" s="7" t="str">
        <f aca="false">IF(ISNUMBER(SEARCH("Demographic and Health",I238)),"DHS",IF(OR(ISNUMBER(SEARCH("Multiple Indicator Cluster",I238)),ISNUMBER(SEARCH("MICS",I238))),"MICS","Other"))</f>
        <v>MICS</v>
      </c>
      <c r="K238" s="7" t="n">
        <f aca="false">IF(AND(F238="Record or Recall",G238="12-23 m"),1,0)</f>
        <v>0</v>
      </c>
      <c r="L238" s="7" t="n">
        <f aca="false">IF(OR(J238="DHS",J238="MICS"),1,0)</f>
        <v>1</v>
      </c>
    </row>
    <row r="239" customFormat="false" ht="15" hidden="false" customHeight="false" outlineLevel="0" collapsed="false">
      <c r="A239" s="7" t="s">
        <v>320</v>
      </c>
      <c r="B239" s="7" t="s">
        <v>344</v>
      </c>
      <c r="C239" s="7" t="s">
        <v>345</v>
      </c>
      <c r="D239" s="7" t="n">
        <v>2019</v>
      </c>
      <c r="E239" s="7" t="s">
        <v>68</v>
      </c>
      <c r="F239" s="7" t="s">
        <v>78</v>
      </c>
      <c r="G239" s="7" t="s">
        <v>91</v>
      </c>
      <c r="H239" s="7" t="n">
        <v>48.8</v>
      </c>
      <c r="I239" s="7" t="str">
        <f aca="false">IF(B239="",TRIM(C239),TRIM(B239))</f>
        <v>Benin Multiple Indicator Cluster Survey 2021-2022</v>
      </c>
      <c r="J239" s="7" t="str">
        <f aca="false">IF(ISNUMBER(SEARCH("Demographic and Health",I239)),"DHS",IF(OR(ISNUMBER(SEARCH("Multiple Indicator Cluster",I239)),ISNUMBER(SEARCH("MICS",I239))),"MICS","Other"))</f>
        <v>MICS</v>
      </c>
      <c r="K239" s="7" t="n">
        <f aca="false">IF(AND(F239="Record or Recall",G239="12-23 m"),1,0)</f>
        <v>0</v>
      </c>
      <c r="L239" s="7" t="n">
        <f aca="false">IF(OR(J239="DHS",J239="MICS"),1,0)</f>
        <v>1</v>
      </c>
    </row>
    <row r="240" customFormat="false" ht="15" hidden="false" customHeight="false" outlineLevel="0" collapsed="false">
      <c r="A240" s="7" t="s">
        <v>320</v>
      </c>
      <c r="B240" s="7" t="s">
        <v>344</v>
      </c>
      <c r="C240" s="7" t="s">
        <v>345</v>
      </c>
      <c r="D240" s="7" t="n">
        <v>2019</v>
      </c>
      <c r="E240" s="7" t="s">
        <v>68</v>
      </c>
      <c r="F240" s="7" t="s">
        <v>86</v>
      </c>
      <c r="G240" s="7" t="s">
        <v>91</v>
      </c>
      <c r="H240" s="7" t="n">
        <v>30.7</v>
      </c>
      <c r="I240" s="7" t="str">
        <f aca="false">IF(B240="",TRIM(C240),TRIM(B240))</f>
        <v>Benin Multiple Indicator Cluster Survey 2021-2022</v>
      </c>
      <c r="J240" s="7" t="str">
        <f aca="false">IF(ISNUMBER(SEARCH("Demographic and Health",I240)),"DHS",IF(OR(ISNUMBER(SEARCH("Multiple Indicator Cluster",I240)),ISNUMBER(SEARCH("MICS",I240))),"MICS","Other"))</f>
        <v>MICS</v>
      </c>
      <c r="K240" s="7" t="n">
        <f aca="false">IF(AND(F240="Record or Recall",G240="12-23 m"),1,0)</f>
        <v>0</v>
      </c>
      <c r="L240" s="7" t="n">
        <f aca="false">IF(OR(J240="DHS",J240="MICS"),1,0)</f>
        <v>1</v>
      </c>
    </row>
    <row r="241" customFormat="false" ht="15" hidden="false" customHeight="false" outlineLevel="0" collapsed="false">
      <c r="A241" s="7" t="s">
        <v>320</v>
      </c>
      <c r="B241" s="7" t="s">
        <v>344</v>
      </c>
      <c r="C241" s="7" t="s">
        <v>345</v>
      </c>
      <c r="D241" s="7" t="n">
        <v>2019</v>
      </c>
      <c r="E241" s="7" t="s">
        <v>68</v>
      </c>
      <c r="F241" s="7" t="s">
        <v>63</v>
      </c>
      <c r="G241" s="7" t="s">
        <v>91</v>
      </c>
      <c r="H241" s="7" t="n">
        <v>53.4</v>
      </c>
      <c r="I241" s="7" t="str">
        <f aca="false">IF(B241="",TRIM(C241),TRIM(B241))</f>
        <v>Benin Multiple Indicator Cluster Survey 2021-2022</v>
      </c>
      <c r="J241" s="7" t="str">
        <f aca="false">IF(ISNUMBER(SEARCH("Demographic and Health",I241)),"DHS",IF(OR(ISNUMBER(SEARCH("Multiple Indicator Cluster",I241)),ISNUMBER(SEARCH("MICS",I241))),"MICS","Other"))</f>
        <v>MICS</v>
      </c>
      <c r="K241" s="7" t="n">
        <f aca="false">IF(AND(F241="Record or Recall",G241="12-23 m"),1,0)</f>
        <v>0</v>
      </c>
      <c r="L241" s="7" t="n">
        <f aca="false">IF(OR(J241="DHS",J241="MICS"),1,0)</f>
        <v>1</v>
      </c>
    </row>
    <row r="242" customFormat="false" ht="15" hidden="false" customHeight="false" outlineLevel="0" collapsed="false">
      <c r="A242" s="7" t="s">
        <v>320</v>
      </c>
      <c r="B242" s="7" t="s">
        <v>344</v>
      </c>
      <c r="C242" s="7" t="s">
        <v>345</v>
      </c>
      <c r="D242" s="7" t="n">
        <v>2019</v>
      </c>
      <c r="E242" s="7" t="s">
        <v>68</v>
      </c>
      <c r="F242" s="7" t="s">
        <v>87</v>
      </c>
      <c r="G242" s="7" t="s">
        <v>91</v>
      </c>
      <c r="H242" s="7" t="n">
        <v>22.7</v>
      </c>
      <c r="I242" s="7" t="str">
        <f aca="false">IF(B242="",TRIM(C242),TRIM(B242))</f>
        <v>Benin Multiple Indicator Cluster Survey 2021-2022</v>
      </c>
      <c r="J242" s="7" t="str">
        <f aca="false">IF(ISNUMBER(SEARCH("Demographic and Health",I242)),"DHS",IF(OR(ISNUMBER(SEARCH("Multiple Indicator Cluster",I242)),ISNUMBER(SEARCH("MICS",I242))),"MICS","Other"))</f>
        <v>MICS</v>
      </c>
      <c r="K242" s="7" t="n">
        <f aca="false">IF(AND(F242="Record or Recall",G242="12-23 m"),1,0)</f>
        <v>0</v>
      </c>
      <c r="L242" s="7" t="n">
        <f aca="false">IF(OR(J242="DHS",J242="MICS"),1,0)</f>
        <v>1</v>
      </c>
    </row>
    <row r="243" customFormat="false" ht="15" hidden="false" customHeight="false" outlineLevel="0" collapsed="false">
      <c r="A243" s="7" t="s">
        <v>320</v>
      </c>
      <c r="B243" s="7" t="s">
        <v>344</v>
      </c>
      <c r="C243" s="7" t="s">
        <v>345</v>
      </c>
      <c r="D243" s="7" t="n">
        <v>2019</v>
      </c>
      <c r="E243" s="7" t="s">
        <v>69</v>
      </c>
      <c r="F243" s="7" t="s">
        <v>78</v>
      </c>
      <c r="G243" s="7" t="s">
        <v>91</v>
      </c>
      <c r="H243" s="7" t="n">
        <v>47.2</v>
      </c>
      <c r="I243" s="7" t="str">
        <f aca="false">IF(B243="",TRIM(C243),TRIM(B243))</f>
        <v>Benin Multiple Indicator Cluster Survey 2021-2022</v>
      </c>
      <c r="J243" s="7" t="str">
        <f aca="false">IF(ISNUMBER(SEARCH("Demographic and Health",I243)),"DHS",IF(OR(ISNUMBER(SEARCH("Multiple Indicator Cluster",I243)),ISNUMBER(SEARCH("MICS",I243))),"MICS","Other"))</f>
        <v>MICS</v>
      </c>
      <c r="K243" s="7" t="n">
        <f aca="false">IF(AND(F243="Record or Recall",G243="12-23 m"),1,0)</f>
        <v>0</v>
      </c>
      <c r="L243" s="7" t="n">
        <f aca="false">IF(OR(J243="DHS",J243="MICS"),1,0)</f>
        <v>1</v>
      </c>
    </row>
    <row r="244" customFormat="false" ht="15" hidden="false" customHeight="false" outlineLevel="0" collapsed="false">
      <c r="A244" s="7" t="s">
        <v>320</v>
      </c>
      <c r="B244" s="7" t="s">
        <v>344</v>
      </c>
      <c r="C244" s="7" t="s">
        <v>345</v>
      </c>
      <c r="D244" s="7" t="n">
        <v>2019</v>
      </c>
      <c r="E244" s="7" t="s">
        <v>69</v>
      </c>
      <c r="F244" s="7" t="s">
        <v>86</v>
      </c>
      <c r="G244" s="7" t="s">
        <v>91</v>
      </c>
      <c r="H244" s="7" t="n">
        <v>45.8</v>
      </c>
      <c r="I244" s="7" t="str">
        <f aca="false">IF(B244="",TRIM(C244),TRIM(B244))</f>
        <v>Benin Multiple Indicator Cluster Survey 2021-2022</v>
      </c>
      <c r="J244" s="7" t="str">
        <f aca="false">IF(ISNUMBER(SEARCH("Demographic and Health",I244)),"DHS",IF(OR(ISNUMBER(SEARCH("Multiple Indicator Cluster",I244)),ISNUMBER(SEARCH("MICS",I244))),"MICS","Other"))</f>
        <v>MICS</v>
      </c>
      <c r="K244" s="7" t="n">
        <f aca="false">IF(AND(F244="Record or Recall",G244="12-23 m"),1,0)</f>
        <v>0</v>
      </c>
      <c r="L244" s="7" t="n">
        <f aca="false">IF(OR(J244="DHS",J244="MICS"),1,0)</f>
        <v>1</v>
      </c>
    </row>
    <row r="245" customFormat="false" ht="15" hidden="false" customHeight="false" outlineLevel="0" collapsed="false">
      <c r="A245" s="7" t="s">
        <v>320</v>
      </c>
      <c r="B245" s="7" t="s">
        <v>344</v>
      </c>
      <c r="C245" s="7" t="s">
        <v>345</v>
      </c>
      <c r="D245" s="7" t="n">
        <v>2019</v>
      </c>
      <c r="E245" s="7" t="s">
        <v>69</v>
      </c>
      <c r="F245" s="7" t="s">
        <v>63</v>
      </c>
      <c r="G245" s="7" t="s">
        <v>91</v>
      </c>
      <c r="H245" s="7" t="n">
        <v>48.9</v>
      </c>
      <c r="I245" s="7" t="str">
        <f aca="false">IF(B245="",TRIM(C245),TRIM(B245))</f>
        <v>Benin Multiple Indicator Cluster Survey 2021-2022</v>
      </c>
      <c r="J245" s="7" t="str">
        <f aca="false">IF(ISNUMBER(SEARCH("Demographic and Health",I245)),"DHS",IF(OR(ISNUMBER(SEARCH("Multiple Indicator Cluster",I245)),ISNUMBER(SEARCH("MICS",I245))),"MICS","Other"))</f>
        <v>MICS</v>
      </c>
      <c r="K245" s="7" t="n">
        <f aca="false">IF(AND(F245="Record or Recall",G245="12-23 m"),1,0)</f>
        <v>0</v>
      </c>
      <c r="L245" s="7" t="n">
        <f aca="false">IF(OR(J245="DHS",J245="MICS"),1,0)</f>
        <v>1</v>
      </c>
    </row>
    <row r="246" customFormat="false" ht="15" hidden="false" customHeight="false" outlineLevel="0" collapsed="false">
      <c r="A246" s="7" t="s">
        <v>320</v>
      </c>
      <c r="B246" s="7" t="s">
        <v>344</v>
      </c>
      <c r="C246" s="7" t="s">
        <v>345</v>
      </c>
      <c r="D246" s="7" t="n">
        <v>2019</v>
      </c>
      <c r="E246" s="7" t="s">
        <v>69</v>
      </c>
      <c r="F246" s="7" t="s">
        <v>87</v>
      </c>
      <c r="G246" s="7" t="s">
        <v>91</v>
      </c>
      <c r="H246" s="7" t="n">
        <v>3.1</v>
      </c>
      <c r="I246" s="7" t="str">
        <f aca="false">IF(B246="",TRIM(C246),TRIM(B246))</f>
        <v>Benin Multiple Indicator Cluster Survey 2021-2022</v>
      </c>
      <c r="J246" s="7" t="str">
        <f aca="false">IF(ISNUMBER(SEARCH("Demographic and Health",I246)),"DHS",IF(OR(ISNUMBER(SEARCH("Multiple Indicator Cluster",I246)),ISNUMBER(SEARCH("MICS",I246))),"MICS","Other"))</f>
        <v>MICS</v>
      </c>
      <c r="K246" s="7" t="n">
        <f aca="false">IF(AND(F246="Record or Recall",G246="12-23 m"),1,0)</f>
        <v>0</v>
      </c>
      <c r="L246" s="7" t="n">
        <f aca="false">IF(OR(J246="DHS",J246="MICS"),1,0)</f>
        <v>1</v>
      </c>
    </row>
    <row r="247" customFormat="false" ht="15" hidden="false" customHeight="false" outlineLevel="0" collapsed="false">
      <c r="A247" s="7" t="s">
        <v>320</v>
      </c>
      <c r="B247" s="7" t="s">
        <v>344</v>
      </c>
      <c r="C247" s="7" t="s">
        <v>345</v>
      </c>
      <c r="D247" s="7" t="n">
        <v>2020</v>
      </c>
      <c r="E247" s="7" t="s">
        <v>62</v>
      </c>
      <c r="F247" s="7" t="s">
        <v>78</v>
      </c>
      <c r="G247" s="7" t="s">
        <v>66</v>
      </c>
      <c r="H247" s="7" t="n">
        <v>86.2</v>
      </c>
      <c r="I247" s="7" t="str">
        <f aca="false">IF(B247="",TRIM(C247),TRIM(B247))</f>
        <v>Benin Multiple Indicator Cluster Survey 2021-2022</v>
      </c>
      <c r="J247" s="7" t="str">
        <f aca="false">IF(ISNUMBER(SEARCH("Demographic and Health",I247)),"DHS",IF(OR(ISNUMBER(SEARCH("Multiple Indicator Cluster",I247)),ISNUMBER(SEARCH("MICS",I247))),"MICS","Other"))</f>
        <v>MICS</v>
      </c>
      <c r="K247" s="7" t="n">
        <f aca="false">IF(AND(F247="Record or Recall",G247="12-23 m"),1,0)</f>
        <v>0</v>
      </c>
      <c r="L247" s="7" t="n">
        <f aca="false">IF(OR(J247="DHS",J247="MICS"),1,0)</f>
        <v>1</v>
      </c>
    </row>
    <row r="248" customFormat="false" ht="15" hidden="false" customHeight="false" outlineLevel="0" collapsed="false">
      <c r="A248" s="7" t="s">
        <v>320</v>
      </c>
      <c r="B248" s="7" t="s">
        <v>344</v>
      </c>
      <c r="C248" s="7" t="s">
        <v>345</v>
      </c>
      <c r="D248" s="7" t="n">
        <v>2020</v>
      </c>
      <c r="E248" s="7" t="s">
        <v>62</v>
      </c>
      <c r="F248" s="7" t="s">
        <v>86</v>
      </c>
      <c r="G248" s="7" t="s">
        <v>66</v>
      </c>
      <c r="H248" s="7" t="n">
        <v>70.5</v>
      </c>
      <c r="I248" s="7" t="str">
        <f aca="false">IF(B248="",TRIM(C248),TRIM(B248))</f>
        <v>Benin Multiple Indicator Cluster Survey 2021-2022</v>
      </c>
      <c r="J248" s="7" t="str">
        <f aca="false">IF(ISNUMBER(SEARCH("Demographic and Health",I248)),"DHS",IF(OR(ISNUMBER(SEARCH("Multiple Indicator Cluster",I248)),ISNUMBER(SEARCH("MICS",I248))),"MICS","Other"))</f>
        <v>MICS</v>
      </c>
      <c r="K248" s="7" t="n">
        <f aca="false">IF(AND(F248="Record or Recall",G248="12-23 m"),1,0)</f>
        <v>0</v>
      </c>
      <c r="L248" s="7" t="n">
        <f aca="false">IF(OR(J248="DHS",J248="MICS"),1,0)</f>
        <v>1</v>
      </c>
    </row>
    <row r="249" customFormat="false" ht="15" hidden="false" customHeight="false" outlineLevel="0" collapsed="false">
      <c r="A249" s="7" t="s">
        <v>320</v>
      </c>
      <c r="B249" s="7" t="s">
        <v>344</v>
      </c>
      <c r="C249" s="7" t="s">
        <v>345</v>
      </c>
      <c r="D249" s="7" t="n">
        <v>2020</v>
      </c>
      <c r="E249" s="7" t="s">
        <v>62</v>
      </c>
      <c r="F249" s="7" t="s">
        <v>63</v>
      </c>
      <c r="G249" s="7" t="s">
        <v>66</v>
      </c>
      <c r="H249" s="7" t="n">
        <v>86.4</v>
      </c>
      <c r="I249" s="7" t="str">
        <f aca="false">IF(B249="",TRIM(C249),TRIM(B249))</f>
        <v>Benin Multiple Indicator Cluster Survey 2021-2022</v>
      </c>
      <c r="J249" s="7" t="str">
        <f aca="false">IF(ISNUMBER(SEARCH("Demographic and Health",I249)),"DHS",IF(OR(ISNUMBER(SEARCH("Multiple Indicator Cluster",I249)),ISNUMBER(SEARCH("MICS",I249))),"MICS","Other"))</f>
        <v>MICS</v>
      </c>
      <c r="K249" s="7" t="n">
        <f aca="false">IF(AND(F249="Record or Recall",G249="12-23 m"),1,0)</f>
        <v>1</v>
      </c>
      <c r="L249" s="7" t="n">
        <f aca="false">IF(OR(J249="DHS",J249="MICS"),1,0)</f>
        <v>1</v>
      </c>
    </row>
    <row r="250" customFormat="false" ht="15" hidden="false" customHeight="false" outlineLevel="0" collapsed="false">
      <c r="A250" s="7" t="s">
        <v>320</v>
      </c>
      <c r="B250" s="7" t="s">
        <v>344</v>
      </c>
      <c r="C250" s="7" t="s">
        <v>345</v>
      </c>
      <c r="D250" s="7" t="n">
        <v>2020</v>
      </c>
      <c r="E250" s="7" t="s">
        <v>62</v>
      </c>
      <c r="F250" s="7" t="s">
        <v>87</v>
      </c>
      <c r="G250" s="7" t="s">
        <v>66</v>
      </c>
      <c r="H250" s="7" t="n">
        <v>15.9</v>
      </c>
      <c r="I250" s="7" t="str">
        <f aca="false">IF(B250="",TRIM(C250),TRIM(B250))</f>
        <v>Benin Multiple Indicator Cluster Survey 2021-2022</v>
      </c>
      <c r="J250" s="7" t="str">
        <f aca="false">IF(ISNUMBER(SEARCH("Demographic and Health",I250)),"DHS",IF(OR(ISNUMBER(SEARCH("Multiple Indicator Cluster",I250)),ISNUMBER(SEARCH("MICS",I250))),"MICS","Other"))</f>
        <v>MICS</v>
      </c>
      <c r="K250" s="7" t="n">
        <f aca="false">IF(AND(F250="Record or Recall",G250="12-23 m"),1,0)</f>
        <v>0</v>
      </c>
      <c r="L250" s="7" t="n">
        <f aca="false">IF(OR(J250="DHS",J250="MICS"),1,0)</f>
        <v>1</v>
      </c>
    </row>
    <row r="251" customFormat="false" ht="15" hidden="false" customHeight="false" outlineLevel="0" collapsed="false">
      <c r="A251" s="7" t="s">
        <v>320</v>
      </c>
      <c r="B251" s="7" t="s">
        <v>344</v>
      </c>
      <c r="C251" s="7" t="s">
        <v>345</v>
      </c>
      <c r="D251" s="7" t="n">
        <v>2020</v>
      </c>
      <c r="E251" s="7" t="s">
        <v>81</v>
      </c>
      <c r="F251" s="7" t="s">
        <v>78</v>
      </c>
      <c r="G251" s="7" t="s">
        <v>66</v>
      </c>
      <c r="H251" s="7" t="n">
        <v>79.2</v>
      </c>
      <c r="I251" s="7" t="str">
        <f aca="false">IF(B251="",TRIM(C251),TRIM(B251))</f>
        <v>Benin Multiple Indicator Cluster Survey 2021-2022</v>
      </c>
      <c r="J251" s="7" t="str">
        <f aca="false">IF(ISNUMBER(SEARCH("Demographic and Health",I251)),"DHS",IF(OR(ISNUMBER(SEARCH("Multiple Indicator Cluster",I251)),ISNUMBER(SEARCH("MICS",I251))),"MICS","Other"))</f>
        <v>MICS</v>
      </c>
      <c r="K251" s="7" t="n">
        <f aca="false">IF(AND(F251="Record or Recall",G251="12-23 m"),1,0)</f>
        <v>0</v>
      </c>
      <c r="L251" s="7" t="n">
        <f aca="false">IF(OR(J251="DHS",J251="MICS"),1,0)</f>
        <v>1</v>
      </c>
    </row>
    <row r="252" customFormat="false" ht="15" hidden="false" customHeight="false" outlineLevel="0" collapsed="false">
      <c r="A252" s="7" t="s">
        <v>320</v>
      </c>
      <c r="B252" s="7" t="s">
        <v>344</v>
      </c>
      <c r="C252" s="7" t="s">
        <v>345</v>
      </c>
      <c r="D252" s="7" t="n">
        <v>2020</v>
      </c>
      <c r="E252" s="7" t="s">
        <v>81</v>
      </c>
      <c r="F252" s="7" t="s">
        <v>86</v>
      </c>
      <c r="G252" s="7" t="s">
        <v>66</v>
      </c>
      <c r="H252" s="7" t="n">
        <v>67.1</v>
      </c>
      <c r="I252" s="7" t="str">
        <f aca="false">IF(B252="",TRIM(C252),TRIM(B252))</f>
        <v>Benin Multiple Indicator Cluster Survey 2021-2022</v>
      </c>
      <c r="J252" s="7" t="str">
        <f aca="false">IF(ISNUMBER(SEARCH("Demographic and Health",I252)),"DHS",IF(OR(ISNUMBER(SEARCH("Multiple Indicator Cluster",I252)),ISNUMBER(SEARCH("MICS",I252))),"MICS","Other"))</f>
        <v>MICS</v>
      </c>
      <c r="K252" s="7" t="n">
        <f aca="false">IF(AND(F252="Record or Recall",G252="12-23 m"),1,0)</f>
        <v>0</v>
      </c>
      <c r="L252" s="7" t="n">
        <f aca="false">IF(OR(J252="DHS",J252="MICS"),1,0)</f>
        <v>1</v>
      </c>
    </row>
    <row r="253" customFormat="false" ht="15" hidden="false" customHeight="false" outlineLevel="0" collapsed="false">
      <c r="A253" s="7" t="s">
        <v>320</v>
      </c>
      <c r="B253" s="7" t="s">
        <v>344</v>
      </c>
      <c r="C253" s="7" t="s">
        <v>345</v>
      </c>
      <c r="D253" s="7" t="n">
        <v>2020</v>
      </c>
      <c r="E253" s="7" t="s">
        <v>81</v>
      </c>
      <c r="F253" s="7" t="s">
        <v>63</v>
      </c>
      <c r="G253" s="7" t="s">
        <v>66</v>
      </c>
      <c r="H253" s="7" t="n">
        <v>79.8</v>
      </c>
      <c r="I253" s="7" t="str">
        <f aca="false">IF(B253="",TRIM(C253),TRIM(B253))</f>
        <v>Benin Multiple Indicator Cluster Survey 2021-2022</v>
      </c>
      <c r="J253" s="7" t="str">
        <f aca="false">IF(ISNUMBER(SEARCH("Demographic and Health",I253)),"DHS",IF(OR(ISNUMBER(SEARCH("Multiple Indicator Cluster",I253)),ISNUMBER(SEARCH("MICS",I253))),"MICS","Other"))</f>
        <v>MICS</v>
      </c>
      <c r="K253" s="7" t="n">
        <f aca="false">IF(AND(F253="Record or Recall",G253="12-23 m"),1,0)</f>
        <v>1</v>
      </c>
      <c r="L253" s="7" t="n">
        <f aca="false">IF(OR(J253="DHS",J253="MICS"),1,0)</f>
        <v>1</v>
      </c>
    </row>
    <row r="254" customFormat="false" ht="15" hidden="false" customHeight="false" outlineLevel="0" collapsed="false">
      <c r="A254" s="7" t="s">
        <v>320</v>
      </c>
      <c r="B254" s="7" t="s">
        <v>344</v>
      </c>
      <c r="C254" s="7" t="s">
        <v>345</v>
      </c>
      <c r="D254" s="7" t="n">
        <v>2020</v>
      </c>
      <c r="E254" s="7" t="s">
        <v>81</v>
      </c>
      <c r="F254" s="7" t="s">
        <v>87</v>
      </c>
      <c r="G254" s="7" t="s">
        <v>66</v>
      </c>
      <c r="H254" s="7" t="n">
        <v>12.7</v>
      </c>
      <c r="I254" s="7" t="str">
        <f aca="false">IF(B254="",TRIM(C254),TRIM(B254))</f>
        <v>Benin Multiple Indicator Cluster Survey 2021-2022</v>
      </c>
      <c r="J254" s="7" t="str">
        <f aca="false">IF(ISNUMBER(SEARCH("Demographic and Health",I254)),"DHS",IF(OR(ISNUMBER(SEARCH("Multiple Indicator Cluster",I254)),ISNUMBER(SEARCH("MICS",I254))),"MICS","Other"))</f>
        <v>MICS</v>
      </c>
      <c r="K254" s="7" t="n">
        <f aca="false">IF(AND(F254="Record or Recall",G254="12-23 m"),1,0)</f>
        <v>0</v>
      </c>
      <c r="L254" s="7" t="n">
        <f aca="false">IF(OR(J254="DHS",J254="MICS"),1,0)</f>
        <v>1</v>
      </c>
    </row>
    <row r="255" customFormat="false" ht="15" hidden="false" customHeight="false" outlineLevel="0" collapsed="false">
      <c r="A255" s="7" t="s">
        <v>320</v>
      </c>
      <c r="B255" s="7" t="s">
        <v>344</v>
      </c>
      <c r="C255" s="7" t="s">
        <v>345</v>
      </c>
      <c r="D255" s="7" t="n">
        <v>2020</v>
      </c>
      <c r="E255" s="7" t="s">
        <v>67</v>
      </c>
      <c r="F255" s="7" t="s">
        <v>78</v>
      </c>
      <c r="G255" s="7" t="s">
        <v>66</v>
      </c>
      <c r="H255" s="7" t="n">
        <v>66.2</v>
      </c>
      <c r="I255" s="7" t="str">
        <f aca="false">IF(B255="",TRIM(C255),TRIM(B255))</f>
        <v>Benin Multiple Indicator Cluster Survey 2021-2022</v>
      </c>
      <c r="J255" s="7" t="str">
        <f aca="false">IF(ISNUMBER(SEARCH("Demographic and Health",I255)),"DHS",IF(OR(ISNUMBER(SEARCH("Multiple Indicator Cluster",I255)),ISNUMBER(SEARCH("MICS",I255))),"MICS","Other"))</f>
        <v>MICS</v>
      </c>
      <c r="K255" s="7" t="n">
        <f aca="false">IF(AND(F255="Record or Recall",G255="12-23 m"),1,0)</f>
        <v>0</v>
      </c>
      <c r="L255" s="7" t="n">
        <f aca="false">IF(OR(J255="DHS",J255="MICS"),1,0)</f>
        <v>1</v>
      </c>
    </row>
    <row r="256" customFormat="false" ht="15" hidden="false" customHeight="false" outlineLevel="0" collapsed="false">
      <c r="A256" s="7" t="s">
        <v>320</v>
      </c>
      <c r="B256" s="7" t="s">
        <v>344</v>
      </c>
      <c r="C256" s="7" t="s">
        <v>345</v>
      </c>
      <c r="D256" s="7" t="n">
        <v>2020</v>
      </c>
      <c r="E256" s="7" t="s">
        <v>67</v>
      </c>
      <c r="F256" s="7" t="s">
        <v>86</v>
      </c>
      <c r="G256" s="7" t="s">
        <v>66</v>
      </c>
      <c r="H256" s="7" t="n">
        <v>58.7</v>
      </c>
      <c r="I256" s="7" t="str">
        <f aca="false">IF(B256="",TRIM(C256),TRIM(B256))</f>
        <v>Benin Multiple Indicator Cluster Survey 2021-2022</v>
      </c>
      <c r="J256" s="7" t="str">
        <f aca="false">IF(ISNUMBER(SEARCH("Demographic and Health",I256)),"DHS",IF(OR(ISNUMBER(SEARCH("Multiple Indicator Cluster",I256)),ISNUMBER(SEARCH("MICS",I256))),"MICS","Other"))</f>
        <v>MICS</v>
      </c>
      <c r="K256" s="7" t="n">
        <f aca="false">IF(AND(F256="Record or Recall",G256="12-23 m"),1,0)</f>
        <v>0</v>
      </c>
      <c r="L256" s="7" t="n">
        <f aca="false">IF(OR(J256="DHS",J256="MICS"),1,0)</f>
        <v>1</v>
      </c>
    </row>
    <row r="257" customFormat="false" ht="15" hidden="false" customHeight="false" outlineLevel="0" collapsed="false">
      <c r="A257" s="7" t="s">
        <v>320</v>
      </c>
      <c r="B257" s="7" t="s">
        <v>344</v>
      </c>
      <c r="C257" s="7" t="s">
        <v>345</v>
      </c>
      <c r="D257" s="7" t="n">
        <v>2020</v>
      </c>
      <c r="E257" s="7" t="s">
        <v>67</v>
      </c>
      <c r="F257" s="7" t="s">
        <v>63</v>
      </c>
      <c r="G257" s="7" t="s">
        <v>66</v>
      </c>
      <c r="H257" s="7" t="n">
        <v>67.3</v>
      </c>
      <c r="I257" s="7" t="str">
        <f aca="false">IF(B257="",TRIM(C257),TRIM(B257))</f>
        <v>Benin Multiple Indicator Cluster Survey 2021-2022</v>
      </c>
      <c r="J257" s="7" t="str">
        <f aca="false">IF(ISNUMBER(SEARCH("Demographic and Health",I257)),"DHS",IF(OR(ISNUMBER(SEARCH("Multiple Indicator Cluster",I257)),ISNUMBER(SEARCH("MICS",I257))),"MICS","Other"))</f>
        <v>MICS</v>
      </c>
      <c r="K257" s="7" t="n">
        <f aca="false">IF(AND(F257="Record or Recall",G257="12-23 m"),1,0)</f>
        <v>1</v>
      </c>
      <c r="L257" s="7" t="n">
        <f aca="false">IF(OR(J257="DHS",J257="MICS"),1,0)</f>
        <v>1</v>
      </c>
    </row>
    <row r="258" customFormat="false" ht="15" hidden="false" customHeight="false" outlineLevel="0" collapsed="false">
      <c r="A258" s="7" t="s">
        <v>320</v>
      </c>
      <c r="B258" s="7" t="s">
        <v>344</v>
      </c>
      <c r="C258" s="7" t="s">
        <v>345</v>
      </c>
      <c r="D258" s="7" t="n">
        <v>2020</v>
      </c>
      <c r="E258" s="7" t="s">
        <v>67</v>
      </c>
      <c r="F258" s="7" t="s">
        <v>87</v>
      </c>
      <c r="G258" s="7" t="s">
        <v>66</v>
      </c>
      <c r="H258" s="7" t="n">
        <v>8.6</v>
      </c>
      <c r="I258" s="7" t="str">
        <f aca="false">IF(B258="",TRIM(C258),TRIM(B258))</f>
        <v>Benin Multiple Indicator Cluster Survey 2021-2022</v>
      </c>
      <c r="J258" s="7" t="str">
        <f aca="false">IF(ISNUMBER(SEARCH("Demographic and Health",I258)),"DHS",IF(OR(ISNUMBER(SEARCH("Multiple Indicator Cluster",I258)),ISNUMBER(SEARCH("MICS",I258))),"MICS","Other"))</f>
        <v>MICS</v>
      </c>
      <c r="K258" s="7" t="n">
        <f aca="false">IF(AND(F258="Record or Recall",G258="12-23 m"),1,0)</f>
        <v>0</v>
      </c>
      <c r="L258" s="7" t="n">
        <f aca="false">IF(OR(J258="DHS",J258="MICS"),1,0)</f>
        <v>1</v>
      </c>
    </row>
    <row r="259" customFormat="false" ht="15" hidden="false" customHeight="false" outlineLevel="0" collapsed="false">
      <c r="A259" s="7" t="s">
        <v>320</v>
      </c>
      <c r="B259" s="7" t="s">
        <v>344</v>
      </c>
      <c r="C259" s="7" t="s">
        <v>345</v>
      </c>
      <c r="D259" s="7" t="n">
        <v>2020</v>
      </c>
      <c r="E259" s="7" t="s">
        <v>82</v>
      </c>
      <c r="F259" s="7" t="s">
        <v>78</v>
      </c>
      <c r="G259" s="7" t="s">
        <v>66</v>
      </c>
      <c r="H259" s="7" t="n">
        <v>23.7</v>
      </c>
      <c r="I259" s="7" t="str">
        <f aca="false">IF(B259="",TRIM(C259),TRIM(B259))</f>
        <v>Benin Multiple Indicator Cluster Survey 2021-2022</v>
      </c>
      <c r="J259" s="7" t="str">
        <f aca="false">IF(ISNUMBER(SEARCH("Demographic and Health",I259)),"DHS",IF(OR(ISNUMBER(SEARCH("Multiple Indicator Cluster",I259)),ISNUMBER(SEARCH("MICS",I259))),"MICS","Other"))</f>
        <v>MICS</v>
      </c>
      <c r="K259" s="7" t="n">
        <f aca="false">IF(AND(F259="Record or Recall",G259="12-23 m"),1,0)</f>
        <v>0</v>
      </c>
      <c r="L259" s="7" t="n">
        <f aca="false">IF(OR(J259="DHS",J259="MICS"),1,0)</f>
        <v>1</v>
      </c>
    </row>
    <row r="260" customFormat="false" ht="15" hidden="false" customHeight="false" outlineLevel="0" collapsed="false">
      <c r="A260" s="7" t="s">
        <v>320</v>
      </c>
      <c r="B260" s="7" t="s">
        <v>344</v>
      </c>
      <c r="C260" s="7" t="s">
        <v>345</v>
      </c>
      <c r="D260" s="7" t="n">
        <v>2020</v>
      </c>
      <c r="E260" s="7" t="s">
        <v>82</v>
      </c>
      <c r="F260" s="7" t="s">
        <v>86</v>
      </c>
      <c r="G260" s="7" t="s">
        <v>66</v>
      </c>
      <c r="H260" s="7" t="n">
        <v>27.6</v>
      </c>
      <c r="I260" s="7" t="str">
        <f aca="false">IF(B260="",TRIM(C260),TRIM(B260))</f>
        <v>Benin Multiple Indicator Cluster Survey 2021-2022</v>
      </c>
      <c r="J260" s="7" t="str">
        <f aca="false">IF(ISNUMBER(SEARCH("Demographic and Health",I260)),"DHS",IF(OR(ISNUMBER(SEARCH("Multiple Indicator Cluster",I260)),ISNUMBER(SEARCH("MICS",I260))),"MICS","Other"))</f>
        <v>MICS</v>
      </c>
      <c r="K260" s="7" t="n">
        <f aca="false">IF(AND(F260="Record or Recall",G260="12-23 m"),1,0)</f>
        <v>0</v>
      </c>
      <c r="L260" s="7" t="n">
        <f aca="false">IF(OR(J260="DHS",J260="MICS"),1,0)</f>
        <v>1</v>
      </c>
    </row>
    <row r="261" customFormat="false" ht="15" hidden="false" customHeight="false" outlineLevel="0" collapsed="false">
      <c r="A261" s="7" t="s">
        <v>320</v>
      </c>
      <c r="B261" s="7" t="s">
        <v>344</v>
      </c>
      <c r="C261" s="7" t="s">
        <v>345</v>
      </c>
      <c r="D261" s="7" t="n">
        <v>2020</v>
      </c>
      <c r="E261" s="7" t="s">
        <v>82</v>
      </c>
      <c r="F261" s="7" t="s">
        <v>63</v>
      </c>
      <c r="G261" s="7" t="s">
        <v>66</v>
      </c>
      <c r="H261" s="7" t="n">
        <v>27.6</v>
      </c>
      <c r="I261" s="7" t="str">
        <f aca="false">IF(B261="",TRIM(C261),TRIM(B261))</f>
        <v>Benin Multiple Indicator Cluster Survey 2021-2022</v>
      </c>
      <c r="J261" s="7" t="str">
        <f aca="false">IF(ISNUMBER(SEARCH("Demographic and Health",I261)),"DHS",IF(OR(ISNUMBER(SEARCH("Multiple Indicator Cluster",I261)),ISNUMBER(SEARCH("MICS",I261))),"MICS","Other"))</f>
        <v>MICS</v>
      </c>
      <c r="K261" s="7" t="n">
        <f aca="false">IF(AND(F261="Record or Recall",G261="12-23 m"),1,0)</f>
        <v>1</v>
      </c>
      <c r="L261" s="7" t="n">
        <f aca="false">IF(OR(J261="DHS",J261="MICS"),1,0)</f>
        <v>1</v>
      </c>
    </row>
    <row r="262" customFormat="false" ht="15" hidden="false" customHeight="false" outlineLevel="0" collapsed="false">
      <c r="A262" s="7" t="s">
        <v>320</v>
      </c>
      <c r="B262" s="7" t="s">
        <v>344</v>
      </c>
      <c r="C262" s="7" t="s">
        <v>345</v>
      </c>
      <c r="D262" s="7" t="n">
        <v>2020</v>
      </c>
      <c r="E262" s="7" t="s">
        <v>82</v>
      </c>
      <c r="F262" s="7" t="s">
        <v>87</v>
      </c>
      <c r="G262" s="7" t="s">
        <v>66</v>
      </c>
      <c r="H262" s="7" t="n">
        <v>0</v>
      </c>
      <c r="I262" s="7" t="str">
        <f aca="false">IF(B262="",TRIM(C262),TRIM(B262))</f>
        <v>Benin Multiple Indicator Cluster Survey 2021-2022</v>
      </c>
      <c r="J262" s="7" t="str">
        <f aca="false">IF(ISNUMBER(SEARCH("Demographic and Health",I262)),"DHS",IF(OR(ISNUMBER(SEARCH("Multiple Indicator Cluster",I262)),ISNUMBER(SEARCH("MICS",I262))),"MICS","Other"))</f>
        <v>MICS</v>
      </c>
      <c r="K262" s="7" t="n">
        <f aca="false">IF(AND(F262="Record or Recall",G262="12-23 m"),1,0)</f>
        <v>0</v>
      </c>
      <c r="L262" s="7" t="n">
        <f aca="false">IF(OR(J262="DHS",J262="MICS"),1,0)</f>
        <v>1</v>
      </c>
    </row>
    <row r="263" customFormat="false" ht="15" hidden="false" customHeight="false" outlineLevel="0" collapsed="false">
      <c r="A263" s="7" t="s">
        <v>320</v>
      </c>
      <c r="B263" s="7" t="s">
        <v>344</v>
      </c>
      <c r="C263" s="7" t="s">
        <v>345</v>
      </c>
      <c r="D263" s="7" t="n">
        <v>2020</v>
      </c>
      <c r="E263" s="7" t="s">
        <v>68</v>
      </c>
      <c r="F263" s="7" t="s">
        <v>78</v>
      </c>
      <c r="G263" s="7" t="s">
        <v>66</v>
      </c>
      <c r="H263" s="7" t="n">
        <v>51.2</v>
      </c>
      <c r="I263" s="7" t="str">
        <f aca="false">IF(B263="",TRIM(C263),TRIM(B263))</f>
        <v>Benin Multiple Indicator Cluster Survey 2021-2022</v>
      </c>
      <c r="J263" s="7" t="str">
        <f aca="false">IF(ISNUMBER(SEARCH("Demographic and Health",I263)),"DHS",IF(OR(ISNUMBER(SEARCH("Multiple Indicator Cluster",I263)),ISNUMBER(SEARCH("MICS",I263))),"MICS","Other"))</f>
        <v>MICS</v>
      </c>
      <c r="K263" s="7" t="n">
        <f aca="false">IF(AND(F263="Record or Recall",G263="12-23 m"),1,0)</f>
        <v>0</v>
      </c>
      <c r="L263" s="7" t="n">
        <f aca="false">IF(OR(J263="DHS",J263="MICS"),1,0)</f>
        <v>1</v>
      </c>
    </row>
    <row r="264" customFormat="false" ht="15" hidden="false" customHeight="false" outlineLevel="0" collapsed="false">
      <c r="A264" s="7" t="s">
        <v>320</v>
      </c>
      <c r="B264" s="7" t="s">
        <v>344</v>
      </c>
      <c r="C264" s="7" t="s">
        <v>345</v>
      </c>
      <c r="D264" s="7" t="n">
        <v>2020</v>
      </c>
      <c r="E264" s="7" t="s">
        <v>68</v>
      </c>
      <c r="F264" s="7" t="s">
        <v>86</v>
      </c>
      <c r="G264" s="7" t="s">
        <v>66</v>
      </c>
      <c r="H264" s="7" t="n">
        <v>42.3</v>
      </c>
      <c r="I264" s="7" t="str">
        <f aca="false">IF(B264="",TRIM(C264),TRIM(B264))</f>
        <v>Benin Multiple Indicator Cluster Survey 2021-2022</v>
      </c>
      <c r="J264" s="7" t="str">
        <f aca="false">IF(ISNUMBER(SEARCH("Demographic and Health",I264)),"DHS",IF(OR(ISNUMBER(SEARCH("Multiple Indicator Cluster",I264)),ISNUMBER(SEARCH("MICS",I264))),"MICS","Other"))</f>
        <v>MICS</v>
      </c>
      <c r="K264" s="7" t="n">
        <f aca="false">IF(AND(F264="Record or Recall",G264="12-23 m"),1,0)</f>
        <v>0</v>
      </c>
      <c r="L264" s="7" t="n">
        <f aca="false">IF(OR(J264="DHS",J264="MICS"),1,0)</f>
        <v>1</v>
      </c>
    </row>
    <row r="265" customFormat="false" ht="15" hidden="false" customHeight="false" outlineLevel="0" collapsed="false">
      <c r="A265" s="7" t="s">
        <v>320</v>
      </c>
      <c r="B265" s="7" t="s">
        <v>344</v>
      </c>
      <c r="C265" s="7" t="s">
        <v>345</v>
      </c>
      <c r="D265" s="7" t="n">
        <v>2020</v>
      </c>
      <c r="E265" s="7" t="s">
        <v>68</v>
      </c>
      <c r="F265" s="7" t="s">
        <v>63</v>
      </c>
      <c r="G265" s="7" t="s">
        <v>66</v>
      </c>
      <c r="H265" s="7" t="n">
        <v>53.7</v>
      </c>
      <c r="I265" s="7" t="str">
        <f aca="false">IF(B265="",TRIM(C265),TRIM(B265))</f>
        <v>Benin Multiple Indicator Cluster Survey 2021-2022</v>
      </c>
      <c r="J265" s="7" t="str">
        <f aca="false">IF(ISNUMBER(SEARCH("Demographic and Health",I265)),"DHS",IF(OR(ISNUMBER(SEARCH("Multiple Indicator Cluster",I265)),ISNUMBER(SEARCH("MICS",I265))),"MICS","Other"))</f>
        <v>MICS</v>
      </c>
      <c r="K265" s="7" t="n">
        <f aca="false">IF(AND(F265="Record or Recall",G265="12-23 m"),1,0)</f>
        <v>1</v>
      </c>
      <c r="L265" s="7" t="n">
        <f aca="false">IF(OR(J265="DHS",J265="MICS"),1,0)</f>
        <v>1</v>
      </c>
    </row>
    <row r="266" customFormat="false" ht="15" hidden="false" customHeight="false" outlineLevel="0" collapsed="false">
      <c r="A266" s="7" t="s">
        <v>320</v>
      </c>
      <c r="B266" s="7" t="s">
        <v>344</v>
      </c>
      <c r="C266" s="7" t="s">
        <v>345</v>
      </c>
      <c r="D266" s="7" t="n">
        <v>2020</v>
      </c>
      <c r="E266" s="7" t="s">
        <v>68</v>
      </c>
      <c r="F266" s="7" t="s">
        <v>87</v>
      </c>
      <c r="G266" s="7" t="s">
        <v>66</v>
      </c>
      <c r="H266" s="7" t="n">
        <v>11.4</v>
      </c>
      <c r="I266" s="7" t="str">
        <f aca="false">IF(B266="",TRIM(C266),TRIM(B266))</f>
        <v>Benin Multiple Indicator Cluster Survey 2021-2022</v>
      </c>
      <c r="J266" s="7" t="str">
        <f aca="false">IF(ISNUMBER(SEARCH("Demographic and Health",I266)),"DHS",IF(OR(ISNUMBER(SEARCH("Multiple Indicator Cluster",I266)),ISNUMBER(SEARCH("MICS",I266))),"MICS","Other"))</f>
        <v>MICS</v>
      </c>
      <c r="K266" s="7" t="n">
        <f aca="false">IF(AND(F266="Record or Recall",G266="12-23 m"),1,0)</f>
        <v>0</v>
      </c>
      <c r="L266" s="7" t="n">
        <f aca="false">IF(OR(J266="DHS",J266="MICS"),1,0)</f>
        <v>1</v>
      </c>
    </row>
    <row r="267" customFormat="false" ht="15" hidden="false" customHeight="false" outlineLevel="0" collapsed="false">
      <c r="A267" s="7" t="s">
        <v>320</v>
      </c>
      <c r="B267" s="7" t="s">
        <v>344</v>
      </c>
      <c r="C267" s="7" t="s">
        <v>345</v>
      </c>
      <c r="D267" s="7" t="n">
        <v>2020</v>
      </c>
      <c r="E267" s="7" t="s">
        <v>69</v>
      </c>
      <c r="F267" s="7" t="s">
        <v>78</v>
      </c>
      <c r="G267" s="7" t="s">
        <v>66</v>
      </c>
      <c r="H267" s="7" t="n">
        <v>57.3</v>
      </c>
      <c r="I267" s="7" t="str">
        <f aca="false">IF(B267="",TRIM(C267),TRIM(B267))</f>
        <v>Benin Multiple Indicator Cluster Survey 2021-2022</v>
      </c>
      <c r="J267" s="7" t="str">
        <f aca="false">IF(ISNUMBER(SEARCH("Demographic and Health",I267)),"DHS",IF(OR(ISNUMBER(SEARCH("Multiple Indicator Cluster",I267)),ISNUMBER(SEARCH("MICS",I267))),"MICS","Other"))</f>
        <v>MICS</v>
      </c>
      <c r="K267" s="7" t="n">
        <f aca="false">IF(AND(F267="Record or Recall",G267="12-23 m"),1,0)</f>
        <v>0</v>
      </c>
      <c r="L267" s="7" t="n">
        <f aca="false">IF(OR(J267="DHS",J267="MICS"),1,0)</f>
        <v>1</v>
      </c>
    </row>
    <row r="268" customFormat="false" ht="15" hidden="false" customHeight="false" outlineLevel="0" collapsed="false">
      <c r="A268" s="7" t="s">
        <v>320</v>
      </c>
      <c r="B268" s="7" t="s">
        <v>344</v>
      </c>
      <c r="C268" s="7" t="s">
        <v>345</v>
      </c>
      <c r="D268" s="7" t="n">
        <v>2020</v>
      </c>
      <c r="E268" s="7" t="s">
        <v>69</v>
      </c>
      <c r="F268" s="7" t="s">
        <v>86</v>
      </c>
      <c r="G268" s="7" t="s">
        <v>66</v>
      </c>
      <c r="H268" s="7" t="n">
        <v>56.2</v>
      </c>
      <c r="I268" s="7" t="str">
        <f aca="false">IF(B268="",TRIM(C268),TRIM(B268))</f>
        <v>Benin Multiple Indicator Cluster Survey 2021-2022</v>
      </c>
      <c r="J268" s="7" t="str">
        <f aca="false">IF(ISNUMBER(SEARCH("Demographic and Health",I268)),"DHS",IF(OR(ISNUMBER(SEARCH("Multiple Indicator Cluster",I268)),ISNUMBER(SEARCH("MICS",I268))),"MICS","Other"))</f>
        <v>MICS</v>
      </c>
      <c r="K268" s="7" t="n">
        <f aca="false">IF(AND(F268="Record or Recall",G268="12-23 m"),1,0)</f>
        <v>0</v>
      </c>
      <c r="L268" s="7" t="n">
        <f aca="false">IF(OR(J268="DHS",J268="MICS"),1,0)</f>
        <v>1</v>
      </c>
    </row>
    <row r="269" customFormat="false" ht="15" hidden="false" customHeight="false" outlineLevel="0" collapsed="false">
      <c r="A269" s="7" t="s">
        <v>320</v>
      </c>
      <c r="B269" s="7" t="s">
        <v>344</v>
      </c>
      <c r="C269" s="7" t="s">
        <v>345</v>
      </c>
      <c r="D269" s="7" t="n">
        <v>2020</v>
      </c>
      <c r="E269" s="7" t="s">
        <v>69</v>
      </c>
      <c r="F269" s="7" t="s">
        <v>63</v>
      </c>
      <c r="G269" s="7" t="s">
        <v>66</v>
      </c>
      <c r="H269" s="7" t="n">
        <v>58.1</v>
      </c>
      <c r="I269" s="7" t="str">
        <f aca="false">IF(B269="",TRIM(C269),TRIM(B269))</f>
        <v>Benin Multiple Indicator Cluster Survey 2021-2022</v>
      </c>
      <c r="J269" s="7" t="str">
        <f aca="false">IF(ISNUMBER(SEARCH("Demographic and Health",I269)),"DHS",IF(OR(ISNUMBER(SEARCH("Multiple Indicator Cluster",I269)),ISNUMBER(SEARCH("MICS",I269))),"MICS","Other"))</f>
        <v>MICS</v>
      </c>
      <c r="K269" s="7" t="n">
        <f aca="false">IF(AND(F269="Record or Recall",G269="12-23 m"),1,0)</f>
        <v>1</v>
      </c>
      <c r="L269" s="7" t="n">
        <f aca="false">IF(OR(J269="DHS",J269="MICS"),1,0)</f>
        <v>1</v>
      </c>
    </row>
    <row r="270" customFormat="false" ht="15" hidden="false" customHeight="false" outlineLevel="0" collapsed="false">
      <c r="A270" s="7" t="s">
        <v>320</v>
      </c>
      <c r="B270" s="7" t="s">
        <v>344</v>
      </c>
      <c r="C270" s="7" t="s">
        <v>345</v>
      </c>
      <c r="D270" s="7" t="n">
        <v>2020</v>
      </c>
      <c r="E270" s="7" t="s">
        <v>69</v>
      </c>
      <c r="F270" s="7" t="s">
        <v>87</v>
      </c>
      <c r="G270" s="7" t="s">
        <v>66</v>
      </c>
      <c r="H270" s="7" t="n">
        <v>1.9</v>
      </c>
      <c r="I270" s="7" t="str">
        <f aca="false">IF(B270="",TRIM(C270),TRIM(B270))</f>
        <v>Benin Multiple Indicator Cluster Survey 2021-2022</v>
      </c>
      <c r="J270" s="7" t="str">
        <f aca="false">IF(ISNUMBER(SEARCH("Demographic and Health",I270)),"DHS",IF(OR(ISNUMBER(SEARCH("Multiple Indicator Cluster",I270)),ISNUMBER(SEARCH("MICS",I270))),"MICS","Other"))</f>
        <v>MICS</v>
      </c>
      <c r="K270" s="7" t="n">
        <f aca="false">IF(AND(F270="Record or Recall",G270="12-23 m"),1,0)</f>
        <v>0</v>
      </c>
      <c r="L270" s="7" t="n">
        <f aca="false">IF(OR(J270="DHS",J270="MICS"),1,0)</f>
        <v>1</v>
      </c>
    </row>
    <row r="271" customFormat="false" ht="15" hidden="false" customHeight="false" outlineLevel="0" collapsed="false">
      <c r="A271" s="7" t="s">
        <v>320</v>
      </c>
      <c r="B271" s="7" t="s">
        <v>346</v>
      </c>
      <c r="C271" s="7" t="s">
        <v>347</v>
      </c>
      <c r="D271" s="7" t="n">
        <v>2022</v>
      </c>
      <c r="E271" s="7" t="s">
        <v>62</v>
      </c>
      <c r="F271" s="7" t="s">
        <v>86</v>
      </c>
      <c r="G271" s="7" t="s">
        <v>66</v>
      </c>
      <c r="H271" s="7" t="n">
        <v>69.4</v>
      </c>
      <c r="I271" s="7" t="str">
        <f aca="false">IF(B271="",TRIM(C271),TRIM(B271))</f>
        <v>National Vaccination Coverage Survey, Benin, 2023</v>
      </c>
      <c r="J271" s="7" t="str">
        <f aca="false">IF(ISNUMBER(SEARCH("Demographic and Health",I271)),"DHS",IF(OR(ISNUMBER(SEARCH("Multiple Indicator Cluster",I271)),ISNUMBER(SEARCH("MICS",I271))),"MICS","Other"))</f>
        <v>Other</v>
      </c>
      <c r="K271" s="7" t="n">
        <f aca="false">IF(AND(F271="Record or Recall",G271="12-23 m"),1,0)</f>
        <v>0</v>
      </c>
      <c r="L271" s="7" t="n">
        <f aca="false">IF(OR(J271="DHS",J271="MICS"),1,0)</f>
        <v>0</v>
      </c>
    </row>
    <row r="272" customFormat="false" ht="15" hidden="false" customHeight="false" outlineLevel="0" collapsed="false">
      <c r="A272" s="7" t="s">
        <v>320</v>
      </c>
      <c r="B272" s="7" t="s">
        <v>346</v>
      </c>
      <c r="C272" s="7" t="s">
        <v>347</v>
      </c>
      <c r="D272" s="7" t="n">
        <v>2022</v>
      </c>
      <c r="E272" s="7" t="s">
        <v>62</v>
      </c>
      <c r="F272" s="7" t="s">
        <v>63</v>
      </c>
      <c r="G272" s="7" t="s">
        <v>66</v>
      </c>
      <c r="H272" s="7" t="n">
        <v>91.7</v>
      </c>
      <c r="I272" s="7" t="str">
        <f aca="false">IF(B272="",TRIM(C272),TRIM(B272))</f>
        <v>National Vaccination Coverage Survey, Benin, 2023</v>
      </c>
      <c r="J272" s="7" t="str">
        <f aca="false">IF(ISNUMBER(SEARCH("Demographic and Health",I272)),"DHS",IF(OR(ISNUMBER(SEARCH("Multiple Indicator Cluster",I272)),ISNUMBER(SEARCH("MICS",I272))),"MICS","Other"))</f>
        <v>Other</v>
      </c>
      <c r="K272" s="7" t="n">
        <f aca="false">IF(AND(F272="Record or Recall",G272="12-23 m"),1,0)</f>
        <v>1</v>
      </c>
      <c r="L272" s="7" t="n">
        <f aca="false">IF(OR(J272="DHS",J272="MICS"),1,0)</f>
        <v>0</v>
      </c>
    </row>
    <row r="273" customFormat="false" ht="15" hidden="false" customHeight="false" outlineLevel="0" collapsed="false">
      <c r="A273" s="7" t="s">
        <v>320</v>
      </c>
      <c r="B273" s="7" t="s">
        <v>346</v>
      </c>
      <c r="C273" s="7" t="s">
        <v>347</v>
      </c>
      <c r="D273" s="7" t="n">
        <v>2022</v>
      </c>
      <c r="E273" s="7" t="s">
        <v>62</v>
      </c>
      <c r="F273" s="7" t="s">
        <v>87</v>
      </c>
      <c r="G273" s="7" t="s">
        <v>66</v>
      </c>
      <c r="H273" s="7" t="n">
        <v>17.9</v>
      </c>
      <c r="I273" s="7" t="str">
        <f aca="false">IF(B273="",TRIM(C273),TRIM(B273))</f>
        <v>National Vaccination Coverage Survey, Benin, 2023</v>
      </c>
      <c r="J273" s="7" t="str">
        <f aca="false">IF(ISNUMBER(SEARCH("Demographic and Health",I273)),"DHS",IF(OR(ISNUMBER(SEARCH("Multiple Indicator Cluster",I273)),ISNUMBER(SEARCH("MICS",I273))),"MICS","Other"))</f>
        <v>Other</v>
      </c>
      <c r="K273" s="7" t="n">
        <f aca="false">IF(AND(F273="Record or Recall",G273="12-23 m"),1,0)</f>
        <v>0</v>
      </c>
      <c r="L273" s="7" t="n">
        <f aca="false">IF(OR(J273="DHS",J273="MICS"),1,0)</f>
        <v>0</v>
      </c>
    </row>
    <row r="274" customFormat="false" ht="15" hidden="false" customHeight="false" outlineLevel="0" collapsed="false">
      <c r="A274" s="7" t="s">
        <v>320</v>
      </c>
      <c r="B274" s="7" t="s">
        <v>346</v>
      </c>
      <c r="C274" s="7" t="s">
        <v>347</v>
      </c>
      <c r="D274" s="7" t="n">
        <v>2022</v>
      </c>
      <c r="E274" s="7" t="s">
        <v>81</v>
      </c>
      <c r="F274" s="7" t="s">
        <v>86</v>
      </c>
      <c r="G274" s="7" t="s">
        <v>66</v>
      </c>
      <c r="H274" s="7" t="n">
        <v>65.9</v>
      </c>
      <c r="I274" s="7" t="str">
        <f aca="false">IF(B274="",TRIM(C274),TRIM(B274))</f>
        <v>National Vaccination Coverage Survey, Benin, 2023</v>
      </c>
      <c r="J274" s="7" t="str">
        <f aca="false">IF(ISNUMBER(SEARCH("Demographic and Health",I274)),"DHS",IF(OR(ISNUMBER(SEARCH("Multiple Indicator Cluster",I274)),ISNUMBER(SEARCH("MICS",I274))),"MICS","Other"))</f>
        <v>Other</v>
      </c>
      <c r="K274" s="7" t="n">
        <f aca="false">IF(AND(F274="Record or Recall",G274="12-23 m"),1,0)</f>
        <v>0</v>
      </c>
      <c r="L274" s="7" t="n">
        <f aca="false">IF(OR(J274="DHS",J274="MICS"),1,0)</f>
        <v>0</v>
      </c>
    </row>
    <row r="275" customFormat="false" ht="15" hidden="false" customHeight="false" outlineLevel="0" collapsed="false">
      <c r="A275" s="7" t="s">
        <v>320</v>
      </c>
      <c r="B275" s="7" t="s">
        <v>346</v>
      </c>
      <c r="C275" s="7" t="s">
        <v>347</v>
      </c>
      <c r="D275" s="7" t="n">
        <v>2022</v>
      </c>
      <c r="E275" s="7" t="s">
        <v>81</v>
      </c>
      <c r="F275" s="7" t="s">
        <v>63</v>
      </c>
      <c r="G275" s="7" t="s">
        <v>66</v>
      </c>
      <c r="H275" s="7" t="n">
        <v>79.3</v>
      </c>
      <c r="I275" s="7" t="str">
        <f aca="false">IF(B275="",TRIM(C275),TRIM(B275))</f>
        <v>National Vaccination Coverage Survey, Benin, 2023</v>
      </c>
      <c r="J275" s="7" t="str">
        <f aca="false">IF(ISNUMBER(SEARCH("Demographic and Health",I275)),"DHS",IF(OR(ISNUMBER(SEARCH("Multiple Indicator Cluster",I275)),ISNUMBER(SEARCH("MICS",I275))),"MICS","Other"))</f>
        <v>Other</v>
      </c>
      <c r="K275" s="7" t="n">
        <f aca="false">IF(AND(F275="Record or Recall",G275="12-23 m"),1,0)</f>
        <v>1</v>
      </c>
      <c r="L275" s="7" t="n">
        <f aca="false">IF(OR(J275="DHS",J275="MICS"),1,0)</f>
        <v>0</v>
      </c>
    </row>
    <row r="276" customFormat="false" ht="15" hidden="false" customHeight="false" outlineLevel="0" collapsed="false">
      <c r="A276" s="7" t="s">
        <v>320</v>
      </c>
      <c r="B276" s="7" t="s">
        <v>346</v>
      </c>
      <c r="C276" s="7" t="s">
        <v>347</v>
      </c>
      <c r="D276" s="7" t="n">
        <v>2022</v>
      </c>
      <c r="E276" s="7" t="s">
        <v>81</v>
      </c>
      <c r="F276" s="7" t="s">
        <v>87</v>
      </c>
      <c r="G276" s="7" t="s">
        <v>66</v>
      </c>
      <c r="H276" s="7" t="n">
        <v>13.3</v>
      </c>
      <c r="I276" s="7" t="str">
        <f aca="false">IF(B276="",TRIM(C276),TRIM(B276))</f>
        <v>National Vaccination Coverage Survey, Benin, 2023</v>
      </c>
      <c r="J276" s="7" t="str">
        <f aca="false">IF(ISNUMBER(SEARCH("Demographic and Health",I276)),"DHS",IF(OR(ISNUMBER(SEARCH("Multiple Indicator Cluster",I276)),ISNUMBER(SEARCH("MICS",I276))),"MICS","Other"))</f>
        <v>Other</v>
      </c>
      <c r="K276" s="7" t="n">
        <f aca="false">IF(AND(F276="Record or Recall",G276="12-23 m"),1,0)</f>
        <v>0</v>
      </c>
      <c r="L276" s="7" t="n">
        <f aca="false">IF(OR(J276="DHS",J276="MICS"),1,0)</f>
        <v>0</v>
      </c>
    </row>
    <row r="277" customFormat="false" ht="15" hidden="false" customHeight="false" outlineLevel="0" collapsed="false">
      <c r="A277" s="7" t="s">
        <v>320</v>
      </c>
      <c r="B277" s="7" t="s">
        <v>346</v>
      </c>
      <c r="C277" s="7" t="s">
        <v>347</v>
      </c>
      <c r="D277" s="7" t="n">
        <v>2022</v>
      </c>
      <c r="E277" s="7" t="s">
        <v>67</v>
      </c>
      <c r="F277" s="7" t="s">
        <v>86</v>
      </c>
      <c r="G277" s="7" t="s">
        <v>66</v>
      </c>
      <c r="H277" s="7" t="n">
        <v>58.1</v>
      </c>
      <c r="I277" s="7" t="str">
        <f aca="false">IF(B277="",TRIM(C277),TRIM(B277))</f>
        <v>National Vaccination Coverage Survey, Benin, 2023</v>
      </c>
      <c r="J277" s="7" t="str">
        <f aca="false">IF(ISNUMBER(SEARCH("Demographic and Health",I277)),"DHS",IF(OR(ISNUMBER(SEARCH("Multiple Indicator Cluster",I277)),ISNUMBER(SEARCH("MICS",I277))),"MICS","Other"))</f>
        <v>Other</v>
      </c>
      <c r="K277" s="7" t="n">
        <f aca="false">IF(AND(F277="Record or Recall",G277="12-23 m"),1,0)</f>
        <v>0</v>
      </c>
      <c r="L277" s="7" t="n">
        <f aca="false">IF(OR(J277="DHS",J277="MICS"),1,0)</f>
        <v>0</v>
      </c>
    </row>
    <row r="278" customFormat="false" ht="15" hidden="false" customHeight="false" outlineLevel="0" collapsed="false">
      <c r="A278" s="7" t="s">
        <v>320</v>
      </c>
      <c r="B278" s="7" t="s">
        <v>346</v>
      </c>
      <c r="C278" s="7" t="s">
        <v>347</v>
      </c>
      <c r="D278" s="7" t="n">
        <v>2022</v>
      </c>
      <c r="E278" s="7" t="s">
        <v>67</v>
      </c>
      <c r="F278" s="7" t="s">
        <v>63</v>
      </c>
      <c r="G278" s="7" t="s">
        <v>66</v>
      </c>
      <c r="H278" s="7" t="n">
        <v>65.6</v>
      </c>
      <c r="I278" s="7" t="str">
        <f aca="false">IF(B278="",TRIM(C278),TRIM(B278))</f>
        <v>National Vaccination Coverage Survey, Benin, 2023</v>
      </c>
      <c r="J278" s="7" t="str">
        <f aca="false">IF(ISNUMBER(SEARCH("Demographic and Health",I278)),"DHS",IF(OR(ISNUMBER(SEARCH("Multiple Indicator Cluster",I278)),ISNUMBER(SEARCH("MICS",I278))),"MICS","Other"))</f>
        <v>Other</v>
      </c>
      <c r="K278" s="7" t="n">
        <f aca="false">IF(AND(F278="Record or Recall",G278="12-23 m"),1,0)</f>
        <v>1</v>
      </c>
      <c r="L278" s="7" t="n">
        <f aca="false">IF(OR(J278="DHS",J278="MICS"),1,0)</f>
        <v>0</v>
      </c>
    </row>
    <row r="279" customFormat="false" ht="15" hidden="false" customHeight="false" outlineLevel="0" collapsed="false">
      <c r="A279" s="7" t="s">
        <v>320</v>
      </c>
      <c r="B279" s="7" t="s">
        <v>346</v>
      </c>
      <c r="C279" s="7" t="s">
        <v>347</v>
      </c>
      <c r="D279" s="7" t="n">
        <v>2022</v>
      </c>
      <c r="E279" s="7" t="s">
        <v>67</v>
      </c>
      <c r="F279" s="7" t="s">
        <v>87</v>
      </c>
      <c r="G279" s="7" t="s">
        <v>66</v>
      </c>
      <c r="H279" s="7" t="n">
        <v>7.5</v>
      </c>
      <c r="I279" s="7" t="str">
        <f aca="false">IF(B279="",TRIM(C279),TRIM(B279))</f>
        <v>National Vaccination Coverage Survey, Benin, 2023</v>
      </c>
      <c r="J279" s="7" t="str">
        <f aca="false">IF(ISNUMBER(SEARCH("Demographic and Health",I279)),"DHS",IF(OR(ISNUMBER(SEARCH("Multiple Indicator Cluster",I279)),ISNUMBER(SEARCH("MICS",I279))),"MICS","Other"))</f>
        <v>Other</v>
      </c>
      <c r="K279" s="7" t="n">
        <f aca="false">IF(AND(F279="Record or Recall",G279="12-23 m"),1,0)</f>
        <v>0</v>
      </c>
      <c r="L279" s="7" t="n">
        <f aca="false">IF(OR(J279="DHS",J279="MICS"),1,0)</f>
        <v>0</v>
      </c>
    </row>
    <row r="280" customFormat="false" ht="15" hidden="false" customHeight="false" outlineLevel="0" collapsed="false">
      <c r="A280" s="7" t="s">
        <v>320</v>
      </c>
      <c r="B280" s="7" t="s">
        <v>346</v>
      </c>
      <c r="C280" s="7" t="s">
        <v>347</v>
      </c>
      <c r="D280" s="7" t="n">
        <v>2022</v>
      </c>
      <c r="E280" s="7" t="s">
        <v>82</v>
      </c>
      <c r="F280" s="7" t="s">
        <v>63</v>
      </c>
      <c r="G280" s="7" t="s">
        <v>66</v>
      </c>
      <c r="H280" s="7" t="n">
        <v>24.8</v>
      </c>
      <c r="I280" s="7" t="str">
        <f aca="false">IF(B280="",TRIM(C280),TRIM(B280))</f>
        <v>National Vaccination Coverage Survey, Benin, 2023</v>
      </c>
      <c r="J280" s="7" t="str">
        <f aca="false">IF(ISNUMBER(SEARCH("Demographic and Health",I280)),"DHS",IF(OR(ISNUMBER(SEARCH("Multiple Indicator Cluster",I280)),ISNUMBER(SEARCH("MICS",I280))),"MICS","Other"))</f>
        <v>Other</v>
      </c>
      <c r="K280" s="7" t="n">
        <f aca="false">IF(AND(F280="Record or Recall",G280="12-23 m"),1,0)</f>
        <v>1</v>
      </c>
      <c r="L280" s="7" t="n">
        <f aca="false">IF(OR(J280="DHS",J280="MICS"),1,0)</f>
        <v>0</v>
      </c>
    </row>
    <row r="281" customFormat="false" ht="15" hidden="false" customHeight="false" outlineLevel="0" collapsed="false">
      <c r="A281" s="7" t="s">
        <v>320</v>
      </c>
      <c r="B281" s="7" t="s">
        <v>346</v>
      </c>
      <c r="C281" s="7" t="s">
        <v>347</v>
      </c>
      <c r="D281" s="7" t="n">
        <v>2022</v>
      </c>
      <c r="E281" s="7" t="s">
        <v>68</v>
      </c>
      <c r="F281" s="7" t="s">
        <v>86</v>
      </c>
      <c r="G281" s="7" t="s">
        <v>66</v>
      </c>
      <c r="H281" s="7" t="n">
        <v>43.3</v>
      </c>
      <c r="I281" s="7" t="str">
        <f aca="false">IF(B281="",TRIM(C281),TRIM(B281))</f>
        <v>National Vaccination Coverage Survey, Benin, 2023</v>
      </c>
      <c r="J281" s="7" t="str">
        <f aca="false">IF(ISNUMBER(SEARCH("Demographic and Health",I281)),"DHS",IF(OR(ISNUMBER(SEARCH("Multiple Indicator Cluster",I281)),ISNUMBER(SEARCH("MICS",I281))),"MICS","Other"))</f>
        <v>Other</v>
      </c>
      <c r="K281" s="7" t="n">
        <f aca="false">IF(AND(F281="Record or Recall",G281="12-23 m"),1,0)</f>
        <v>0</v>
      </c>
      <c r="L281" s="7" t="n">
        <f aca="false">IF(OR(J281="DHS",J281="MICS"),1,0)</f>
        <v>0</v>
      </c>
    </row>
    <row r="282" customFormat="false" ht="15" hidden="false" customHeight="false" outlineLevel="0" collapsed="false">
      <c r="A282" s="7" t="s">
        <v>320</v>
      </c>
      <c r="B282" s="7" t="s">
        <v>346</v>
      </c>
      <c r="C282" s="7" t="s">
        <v>347</v>
      </c>
      <c r="D282" s="7" t="n">
        <v>2022</v>
      </c>
      <c r="E282" s="7" t="s">
        <v>68</v>
      </c>
      <c r="F282" s="7" t="s">
        <v>63</v>
      </c>
      <c r="G282" s="7" t="s">
        <v>66</v>
      </c>
      <c r="H282" s="7" t="n">
        <v>51.9</v>
      </c>
      <c r="I282" s="7" t="str">
        <f aca="false">IF(B282="",TRIM(C282),TRIM(B282))</f>
        <v>National Vaccination Coverage Survey, Benin, 2023</v>
      </c>
      <c r="J282" s="7" t="str">
        <f aca="false">IF(ISNUMBER(SEARCH("Demographic and Health",I282)),"DHS",IF(OR(ISNUMBER(SEARCH("Multiple Indicator Cluster",I282)),ISNUMBER(SEARCH("MICS",I282))),"MICS","Other"))</f>
        <v>Other</v>
      </c>
      <c r="K282" s="7" t="n">
        <f aca="false">IF(AND(F282="Record or Recall",G282="12-23 m"),1,0)</f>
        <v>1</v>
      </c>
      <c r="L282" s="7" t="n">
        <f aca="false">IF(OR(J282="DHS",J282="MICS"),1,0)</f>
        <v>0</v>
      </c>
    </row>
    <row r="283" customFormat="false" ht="15" hidden="false" customHeight="false" outlineLevel="0" collapsed="false">
      <c r="A283" s="7" t="s">
        <v>320</v>
      </c>
      <c r="B283" s="7" t="s">
        <v>346</v>
      </c>
      <c r="C283" s="7" t="s">
        <v>347</v>
      </c>
      <c r="D283" s="7" t="n">
        <v>2022</v>
      </c>
      <c r="E283" s="7" t="s">
        <v>68</v>
      </c>
      <c r="F283" s="7" t="s">
        <v>87</v>
      </c>
      <c r="G283" s="7" t="s">
        <v>66</v>
      </c>
      <c r="H283" s="7" t="n">
        <v>8.5</v>
      </c>
      <c r="I283" s="7" t="str">
        <f aca="false">IF(B283="",TRIM(C283),TRIM(B283))</f>
        <v>National Vaccination Coverage Survey, Benin, 2023</v>
      </c>
      <c r="J283" s="7" t="str">
        <f aca="false">IF(ISNUMBER(SEARCH("Demographic and Health",I283)),"DHS",IF(OR(ISNUMBER(SEARCH("Multiple Indicator Cluster",I283)),ISNUMBER(SEARCH("MICS",I283))),"MICS","Other"))</f>
        <v>Other</v>
      </c>
      <c r="K283" s="7" t="n">
        <f aca="false">IF(AND(F283="Record or Recall",G283="12-23 m"),1,0)</f>
        <v>0</v>
      </c>
      <c r="L283" s="7" t="n">
        <f aca="false">IF(OR(J283="DHS",J283="MICS"),1,0)</f>
        <v>0</v>
      </c>
    </row>
    <row r="284" customFormat="false" ht="15" hidden="false" customHeight="false" outlineLevel="0" collapsed="false">
      <c r="A284" s="7" t="s">
        <v>320</v>
      </c>
      <c r="B284" s="7" t="s">
        <v>346</v>
      </c>
      <c r="C284" s="7" t="s">
        <v>347</v>
      </c>
      <c r="D284" s="7" t="n">
        <v>2022</v>
      </c>
      <c r="E284" s="7" t="s">
        <v>69</v>
      </c>
      <c r="F284" s="7" t="s">
        <v>86</v>
      </c>
      <c r="G284" s="7" t="s">
        <v>66</v>
      </c>
      <c r="H284" s="7" t="n">
        <v>55.2</v>
      </c>
      <c r="I284" s="7" t="str">
        <f aca="false">IF(B284="",TRIM(C284),TRIM(B284))</f>
        <v>National Vaccination Coverage Survey, Benin, 2023</v>
      </c>
      <c r="J284" s="7" t="str">
        <f aca="false">IF(ISNUMBER(SEARCH("Demographic and Health",I284)),"DHS",IF(OR(ISNUMBER(SEARCH("Multiple Indicator Cluster",I284)),ISNUMBER(SEARCH("MICS",I284))),"MICS","Other"))</f>
        <v>Other</v>
      </c>
      <c r="K284" s="7" t="n">
        <f aca="false">IF(AND(F284="Record or Recall",G284="12-23 m"),1,0)</f>
        <v>0</v>
      </c>
      <c r="L284" s="7" t="n">
        <f aca="false">IF(OR(J284="DHS",J284="MICS"),1,0)</f>
        <v>0</v>
      </c>
    </row>
    <row r="285" customFormat="false" ht="15" hidden="false" customHeight="false" outlineLevel="0" collapsed="false">
      <c r="A285" s="7" t="s">
        <v>320</v>
      </c>
      <c r="B285" s="7" t="s">
        <v>346</v>
      </c>
      <c r="C285" s="7" t="s">
        <v>347</v>
      </c>
      <c r="D285" s="7" t="n">
        <v>2022</v>
      </c>
      <c r="E285" s="7" t="s">
        <v>69</v>
      </c>
      <c r="F285" s="7" t="s">
        <v>63</v>
      </c>
      <c r="G285" s="7" t="s">
        <v>66</v>
      </c>
      <c r="H285" s="7" t="n">
        <v>60.5</v>
      </c>
      <c r="I285" s="7" t="str">
        <f aca="false">IF(B285="",TRIM(C285),TRIM(B285))</f>
        <v>National Vaccination Coverage Survey, Benin, 2023</v>
      </c>
      <c r="J285" s="7" t="str">
        <f aca="false">IF(ISNUMBER(SEARCH("Demographic and Health",I285)),"DHS",IF(OR(ISNUMBER(SEARCH("Multiple Indicator Cluster",I285)),ISNUMBER(SEARCH("MICS",I285))),"MICS","Other"))</f>
        <v>Other</v>
      </c>
      <c r="K285" s="7" t="n">
        <f aca="false">IF(AND(F285="Record or Recall",G285="12-23 m"),1,0)</f>
        <v>1</v>
      </c>
      <c r="L285" s="7" t="n">
        <f aca="false">IF(OR(J285="DHS",J285="MICS"),1,0)</f>
        <v>0</v>
      </c>
    </row>
    <row r="286" customFormat="false" ht="15" hidden="false" customHeight="false" outlineLevel="0" collapsed="false">
      <c r="A286" s="7" t="s">
        <v>320</v>
      </c>
      <c r="B286" s="7" t="s">
        <v>346</v>
      </c>
      <c r="C286" s="7" t="s">
        <v>347</v>
      </c>
      <c r="D286" s="7" t="n">
        <v>2022</v>
      </c>
      <c r="E286" s="7" t="s">
        <v>69</v>
      </c>
      <c r="F286" s="7" t="s">
        <v>87</v>
      </c>
      <c r="G286" s="7" t="s">
        <v>66</v>
      </c>
      <c r="H286" s="7" t="n">
        <v>5.3</v>
      </c>
      <c r="I286" s="7" t="str">
        <f aca="false">IF(B286="",TRIM(C286),TRIM(B286))</f>
        <v>National Vaccination Coverage Survey, Benin, 2023</v>
      </c>
      <c r="J286" s="7" t="str">
        <f aca="false">IF(ISNUMBER(SEARCH("Demographic and Health",I286)),"DHS",IF(OR(ISNUMBER(SEARCH("Multiple Indicator Cluster",I286)),ISNUMBER(SEARCH("MICS",I286))),"MICS","Other"))</f>
        <v>Other</v>
      </c>
      <c r="K286" s="7" t="n">
        <f aca="false">IF(AND(F286="Record or Recall",G286="12-23 m"),1,0)</f>
        <v>0</v>
      </c>
      <c r="L286" s="7" t="n">
        <f aca="false">IF(OR(J286="DHS",J286="MICS"),1,0)</f>
        <v>0</v>
      </c>
    </row>
    <row r="287" customFormat="false" ht="15" hidden="false" customHeight="false" outlineLevel="0" collapsed="false">
      <c r="A287" s="7" t="s">
        <v>348</v>
      </c>
      <c r="B287" s="7" t="s">
        <v>349</v>
      </c>
      <c r="C287" s="7" t="s">
        <v>350</v>
      </c>
      <c r="D287" s="7" t="n">
        <v>1986</v>
      </c>
      <c r="E287" s="7" t="s">
        <v>62</v>
      </c>
      <c r="F287" s="7" t="s">
        <v>86</v>
      </c>
      <c r="G287" s="7" t="s">
        <v>351</v>
      </c>
      <c r="H287" s="7" t="n">
        <v>91</v>
      </c>
      <c r="I287" s="7" t="str">
        <f aca="false">IF(B287="",TRIM(C287),TRIM(B287))</f>
        <v>Cameroon Immunisation Coverage Survey, November-December 1990</v>
      </c>
      <c r="J287" s="7" t="str">
        <f aca="false">IF(ISNUMBER(SEARCH("Demographic and Health",I287)),"DHS",IF(OR(ISNUMBER(SEARCH("Multiple Indicator Cluster",I287)),ISNUMBER(SEARCH("MICS",I287))),"MICS","Other"))</f>
        <v>Other</v>
      </c>
      <c r="K287" s="7" t="n">
        <f aca="false">IF(AND(F287="Record or Recall",G287="12-23 m"),1,0)</f>
        <v>0</v>
      </c>
      <c r="L287" s="7" t="n">
        <f aca="false">IF(OR(J287="DHS",J287="MICS"),1,0)</f>
        <v>0</v>
      </c>
    </row>
    <row r="288" customFormat="false" ht="15" hidden="false" customHeight="false" outlineLevel="0" collapsed="false">
      <c r="A288" s="7" t="s">
        <v>348</v>
      </c>
      <c r="B288" s="7" t="s">
        <v>349</v>
      </c>
      <c r="C288" s="7" t="s">
        <v>350</v>
      </c>
      <c r="D288" s="7" t="n">
        <v>1986</v>
      </c>
      <c r="E288" s="7" t="s">
        <v>81</v>
      </c>
      <c r="F288" s="7" t="s">
        <v>86</v>
      </c>
      <c r="G288" s="7" t="s">
        <v>351</v>
      </c>
      <c r="H288" s="7" t="n">
        <v>78</v>
      </c>
      <c r="I288" s="7" t="str">
        <f aca="false">IF(B288="",TRIM(C288),TRIM(B288))</f>
        <v>Cameroon Immunisation Coverage Survey, November-December 1990</v>
      </c>
      <c r="J288" s="7" t="str">
        <f aca="false">IF(ISNUMBER(SEARCH("Demographic and Health",I288)),"DHS",IF(OR(ISNUMBER(SEARCH("Multiple Indicator Cluster",I288)),ISNUMBER(SEARCH("MICS",I288))),"MICS","Other"))</f>
        <v>Other</v>
      </c>
      <c r="K288" s="7" t="n">
        <f aca="false">IF(AND(F288="Record or Recall",G288="12-23 m"),1,0)</f>
        <v>0</v>
      </c>
      <c r="L288" s="7" t="n">
        <f aca="false">IF(OR(J288="DHS",J288="MICS"),1,0)</f>
        <v>0</v>
      </c>
    </row>
    <row r="289" customFormat="false" ht="15" hidden="false" customHeight="false" outlineLevel="0" collapsed="false">
      <c r="A289" s="7" t="s">
        <v>348</v>
      </c>
      <c r="B289" s="7" t="s">
        <v>349</v>
      </c>
      <c r="C289" s="7" t="s">
        <v>350</v>
      </c>
      <c r="D289" s="7" t="n">
        <v>1986</v>
      </c>
      <c r="E289" s="7" t="s">
        <v>67</v>
      </c>
      <c r="F289" s="7" t="s">
        <v>86</v>
      </c>
      <c r="G289" s="7" t="s">
        <v>351</v>
      </c>
      <c r="H289" s="7" t="n">
        <v>60</v>
      </c>
      <c r="I289" s="7" t="str">
        <f aca="false">IF(B289="",TRIM(C289),TRIM(B289))</f>
        <v>Cameroon Immunisation Coverage Survey, November-December 1990</v>
      </c>
      <c r="J289" s="7" t="str">
        <f aca="false">IF(ISNUMBER(SEARCH("Demographic and Health",I289)),"DHS",IF(OR(ISNUMBER(SEARCH("Multiple Indicator Cluster",I289)),ISNUMBER(SEARCH("MICS",I289))),"MICS","Other"))</f>
        <v>Other</v>
      </c>
      <c r="K289" s="7" t="n">
        <f aca="false">IF(AND(F289="Record or Recall",G289="12-23 m"),1,0)</f>
        <v>0</v>
      </c>
      <c r="L289" s="7" t="n">
        <f aca="false">IF(OR(J289="DHS",J289="MICS"),1,0)</f>
        <v>0</v>
      </c>
    </row>
    <row r="290" customFormat="false" ht="15" hidden="false" customHeight="false" outlineLevel="0" collapsed="false">
      <c r="A290" s="7" t="s">
        <v>348</v>
      </c>
      <c r="B290" s="7" t="s">
        <v>349</v>
      </c>
      <c r="C290" s="7" t="s">
        <v>350</v>
      </c>
      <c r="D290" s="7" t="n">
        <v>1986</v>
      </c>
      <c r="E290" s="7" t="s">
        <v>82</v>
      </c>
      <c r="F290" s="7" t="s">
        <v>86</v>
      </c>
      <c r="G290" s="7" t="s">
        <v>351</v>
      </c>
      <c r="H290" s="7" t="n">
        <v>48</v>
      </c>
      <c r="I290" s="7" t="str">
        <f aca="false">IF(B290="",TRIM(C290),TRIM(B290))</f>
        <v>Cameroon Immunisation Coverage Survey, November-December 1990</v>
      </c>
      <c r="J290" s="7" t="str">
        <f aca="false">IF(ISNUMBER(SEARCH("Demographic and Health",I290)),"DHS",IF(OR(ISNUMBER(SEARCH("Multiple Indicator Cluster",I290)),ISNUMBER(SEARCH("MICS",I290))),"MICS","Other"))</f>
        <v>Other</v>
      </c>
      <c r="K290" s="7" t="n">
        <f aca="false">IF(AND(F290="Record or Recall",G290="12-23 m"),1,0)</f>
        <v>0</v>
      </c>
      <c r="L290" s="7" t="n">
        <f aca="false">IF(OR(J290="DHS",J290="MICS"),1,0)</f>
        <v>0</v>
      </c>
    </row>
    <row r="291" customFormat="false" ht="15" hidden="false" customHeight="false" outlineLevel="0" collapsed="false">
      <c r="A291" s="7" t="s">
        <v>348</v>
      </c>
      <c r="B291" s="7" t="s">
        <v>349</v>
      </c>
      <c r="C291" s="7" t="s">
        <v>350</v>
      </c>
      <c r="D291" s="7" t="n">
        <v>1986</v>
      </c>
      <c r="E291" s="7" t="s">
        <v>68</v>
      </c>
      <c r="F291" s="7" t="s">
        <v>86</v>
      </c>
      <c r="G291" s="7" t="s">
        <v>351</v>
      </c>
      <c r="H291" s="7" t="n">
        <v>62</v>
      </c>
      <c r="I291" s="7" t="str">
        <f aca="false">IF(B291="",TRIM(C291),TRIM(B291))</f>
        <v>Cameroon Immunisation Coverage Survey, November-December 1990</v>
      </c>
      <c r="J291" s="7" t="str">
        <f aca="false">IF(ISNUMBER(SEARCH("Demographic and Health",I291)),"DHS",IF(OR(ISNUMBER(SEARCH("Multiple Indicator Cluster",I291)),ISNUMBER(SEARCH("MICS",I291))),"MICS","Other"))</f>
        <v>Other</v>
      </c>
      <c r="K291" s="7" t="n">
        <f aca="false">IF(AND(F291="Record or Recall",G291="12-23 m"),1,0)</f>
        <v>0</v>
      </c>
      <c r="L291" s="7" t="n">
        <f aca="false">IF(OR(J291="DHS",J291="MICS"),1,0)</f>
        <v>0</v>
      </c>
    </row>
    <row r="292" customFormat="false" ht="15" hidden="false" customHeight="false" outlineLevel="0" collapsed="false">
      <c r="A292" s="7" t="s">
        <v>348</v>
      </c>
      <c r="B292" s="7" t="s">
        <v>349</v>
      </c>
      <c r="C292" s="7" t="s">
        <v>350</v>
      </c>
      <c r="D292" s="7" t="n">
        <v>1986</v>
      </c>
      <c r="E292" s="7" t="s">
        <v>69</v>
      </c>
      <c r="F292" s="7" t="s">
        <v>86</v>
      </c>
      <c r="G292" s="7" t="s">
        <v>351</v>
      </c>
      <c r="H292" s="7" t="n">
        <v>60</v>
      </c>
      <c r="I292" s="7" t="str">
        <f aca="false">IF(B292="",TRIM(C292),TRIM(B292))</f>
        <v>Cameroon Immunisation Coverage Survey, November-December 1990</v>
      </c>
      <c r="J292" s="7" t="str">
        <f aca="false">IF(ISNUMBER(SEARCH("Demographic and Health",I292)),"DHS",IF(OR(ISNUMBER(SEARCH("Multiple Indicator Cluster",I292)),ISNUMBER(SEARCH("MICS",I292))),"MICS","Other"))</f>
        <v>Other</v>
      </c>
      <c r="K292" s="7" t="n">
        <f aca="false">IF(AND(F292="Record or Recall",G292="12-23 m"),1,0)</f>
        <v>0</v>
      </c>
      <c r="L292" s="7" t="n">
        <f aca="false">IF(OR(J292="DHS",J292="MICS"),1,0)</f>
        <v>0</v>
      </c>
    </row>
    <row r="293" customFormat="false" ht="15" hidden="false" customHeight="false" outlineLevel="0" collapsed="false">
      <c r="A293" s="7" t="s">
        <v>348</v>
      </c>
      <c r="B293" s="7" t="s">
        <v>352</v>
      </c>
      <c r="C293" s="7" t="s">
        <v>353</v>
      </c>
      <c r="D293" s="7" t="n">
        <v>1987</v>
      </c>
      <c r="E293" s="7" t="s">
        <v>62</v>
      </c>
      <c r="F293" s="7" t="s">
        <v>78</v>
      </c>
      <c r="G293" s="7" t="s">
        <v>80</v>
      </c>
      <c r="H293" s="7" t="n">
        <v>65.7</v>
      </c>
      <c r="I293" s="7" t="str">
        <f aca="false">IF(B293="",TRIM(C293),TRIM(B293))</f>
        <v>Cameroon Demographic and Health Survey 1991</v>
      </c>
      <c r="J293" s="7" t="str">
        <f aca="false">IF(ISNUMBER(SEARCH("Demographic and Health",I293)),"DHS",IF(OR(ISNUMBER(SEARCH("Multiple Indicator Cluster",I293)),ISNUMBER(SEARCH("MICS",I293))),"MICS","Other"))</f>
        <v>DHS</v>
      </c>
      <c r="K293" s="7" t="n">
        <f aca="false">IF(AND(F293="Record or Recall",G293="12-23 m"),1,0)</f>
        <v>0</v>
      </c>
      <c r="L293" s="7" t="n">
        <f aca="false">IF(OR(J293="DHS",J293="MICS"),1,0)</f>
        <v>1</v>
      </c>
    </row>
    <row r="294" customFormat="false" ht="15" hidden="false" customHeight="false" outlineLevel="0" collapsed="false">
      <c r="A294" s="7" t="s">
        <v>348</v>
      </c>
      <c r="B294" s="7" t="s">
        <v>352</v>
      </c>
      <c r="C294" s="7" t="s">
        <v>353</v>
      </c>
      <c r="D294" s="7" t="n">
        <v>1987</v>
      </c>
      <c r="E294" s="7" t="s">
        <v>81</v>
      </c>
      <c r="F294" s="7" t="s">
        <v>78</v>
      </c>
      <c r="G294" s="7" t="s">
        <v>80</v>
      </c>
      <c r="H294" s="7" t="n">
        <v>58.9</v>
      </c>
      <c r="I294" s="7" t="str">
        <f aca="false">IF(B294="",TRIM(C294),TRIM(B294))</f>
        <v>Cameroon Demographic and Health Survey 1991</v>
      </c>
      <c r="J294" s="7" t="str">
        <f aca="false">IF(ISNUMBER(SEARCH("Demographic and Health",I294)),"DHS",IF(OR(ISNUMBER(SEARCH("Multiple Indicator Cluster",I294)),ISNUMBER(SEARCH("MICS",I294))),"MICS","Other"))</f>
        <v>DHS</v>
      </c>
      <c r="K294" s="7" t="n">
        <f aca="false">IF(AND(F294="Record or Recall",G294="12-23 m"),1,0)</f>
        <v>0</v>
      </c>
      <c r="L294" s="7" t="n">
        <f aca="false">IF(OR(J294="DHS",J294="MICS"),1,0)</f>
        <v>1</v>
      </c>
    </row>
    <row r="295" customFormat="false" ht="15" hidden="false" customHeight="false" outlineLevel="0" collapsed="false">
      <c r="A295" s="7" t="s">
        <v>348</v>
      </c>
      <c r="B295" s="7" t="s">
        <v>352</v>
      </c>
      <c r="C295" s="7" t="s">
        <v>353</v>
      </c>
      <c r="D295" s="7" t="n">
        <v>1987</v>
      </c>
      <c r="E295" s="7" t="s">
        <v>67</v>
      </c>
      <c r="F295" s="7" t="s">
        <v>78</v>
      </c>
      <c r="G295" s="7" t="s">
        <v>80</v>
      </c>
      <c r="H295" s="7" t="n">
        <v>35.3</v>
      </c>
      <c r="I295" s="7" t="str">
        <f aca="false">IF(B295="",TRIM(C295),TRIM(B295))</f>
        <v>Cameroon Demographic and Health Survey 1991</v>
      </c>
      <c r="J295" s="7" t="str">
        <f aca="false">IF(ISNUMBER(SEARCH("Demographic and Health",I295)),"DHS",IF(OR(ISNUMBER(SEARCH("Multiple Indicator Cluster",I295)),ISNUMBER(SEARCH("MICS",I295))),"MICS","Other"))</f>
        <v>DHS</v>
      </c>
      <c r="K295" s="7" t="n">
        <f aca="false">IF(AND(F295="Record or Recall",G295="12-23 m"),1,0)</f>
        <v>0</v>
      </c>
      <c r="L295" s="7" t="n">
        <f aca="false">IF(OR(J295="DHS",J295="MICS"),1,0)</f>
        <v>1</v>
      </c>
    </row>
    <row r="296" customFormat="false" ht="15" hidden="false" customHeight="false" outlineLevel="0" collapsed="false">
      <c r="A296" s="7" t="s">
        <v>348</v>
      </c>
      <c r="B296" s="7" t="s">
        <v>352</v>
      </c>
      <c r="C296" s="7" t="s">
        <v>353</v>
      </c>
      <c r="D296" s="7" t="n">
        <v>1987</v>
      </c>
      <c r="E296" s="7" t="s">
        <v>82</v>
      </c>
      <c r="F296" s="7" t="s">
        <v>78</v>
      </c>
      <c r="G296" s="7" t="s">
        <v>80</v>
      </c>
      <c r="H296" s="7" t="n">
        <v>24.5</v>
      </c>
      <c r="I296" s="7" t="str">
        <f aca="false">IF(B296="",TRIM(C296),TRIM(B296))</f>
        <v>Cameroon Demographic and Health Survey 1991</v>
      </c>
      <c r="J296" s="7" t="str">
        <f aca="false">IF(ISNUMBER(SEARCH("Demographic and Health",I296)),"DHS",IF(OR(ISNUMBER(SEARCH("Multiple Indicator Cluster",I296)),ISNUMBER(SEARCH("MICS",I296))),"MICS","Other"))</f>
        <v>DHS</v>
      </c>
      <c r="K296" s="7" t="n">
        <f aca="false">IF(AND(F296="Record or Recall",G296="12-23 m"),1,0)</f>
        <v>0</v>
      </c>
      <c r="L296" s="7" t="n">
        <f aca="false">IF(OR(J296="DHS",J296="MICS"),1,0)</f>
        <v>1</v>
      </c>
    </row>
    <row r="297" customFormat="false" ht="15" hidden="false" customHeight="false" outlineLevel="0" collapsed="false">
      <c r="A297" s="7" t="s">
        <v>348</v>
      </c>
      <c r="B297" s="7" t="s">
        <v>352</v>
      </c>
      <c r="C297" s="7" t="s">
        <v>353</v>
      </c>
      <c r="D297" s="7" t="n">
        <v>1987</v>
      </c>
      <c r="E297" s="7" t="s">
        <v>68</v>
      </c>
      <c r="F297" s="7" t="s">
        <v>78</v>
      </c>
      <c r="G297" s="7" t="s">
        <v>80</v>
      </c>
      <c r="H297" s="7" t="n">
        <v>36.9</v>
      </c>
      <c r="I297" s="7" t="str">
        <f aca="false">IF(B297="",TRIM(C297),TRIM(B297))</f>
        <v>Cameroon Demographic and Health Survey 1991</v>
      </c>
      <c r="J297" s="7" t="str">
        <f aca="false">IF(ISNUMBER(SEARCH("Demographic and Health",I297)),"DHS",IF(OR(ISNUMBER(SEARCH("Multiple Indicator Cluster",I297)),ISNUMBER(SEARCH("MICS",I297))),"MICS","Other"))</f>
        <v>DHS</v>
      </c>
      <c r="K297" s="7" t="n">
        <f aca="false">IF(AND(F297="Record or Recall",G297="12-23 m"),1,0)</f>
        <v>0</v>
      </c>
      <c r="L297" s="7" t="n">
        <f aca="false">IF(OR(J297="DHS",J297="MICS"),1,0)</f>
        <v>1</v>
      </c>
    </row>
    <row r="298" customFormat="false" ht="15" hidden="false" customHeight="false" outlineLevel="0" collapsed="false">
      <c r="A298" s="7" t="s">
        <v>348</v>
      </c>
      <c r="B298" s="7" t="s">
        <v>352</v>
      </c>
      <c r="C298" s="7" t="s">
        <v>353</v>
      </c>
      <c r="D298" s="7" t="n">
        <v>1987</v>
      </c>
      <c r="E298" s="7" t="s">
        <v>69</v>
      </c>
      <c r="F298" s="7" t="s">
        <v>78</v>
      </c>
      <c r="G298" s="7" t="s">
        <v>80</v>
      </c>
      <c r="H298" s="7" t="n">
        <v>37.4</v>
      </c>
      <c r="I298" s="7" t="str">
        <f aca="false">IF(B298="",TRIM(C298),TRIM(B298))</f>
        <v>Cameroon Demographic and Health Survey 1991</v>
      </c>
      <c r="J298" s="7" t="str">
        <f aca="false">IF(ISNUMBER(SEARCH("Demographic and Health",I298)),"DHS",IF(OR(ISNUMBER(SEARCH("Multiple Indicator Cluster",I298)),ISNUMBER(SEARCH("MICS",I298))),"MICS","Other"))</f>
        <v>DHS</v>
      </c>
      <c r="K298" s="7" t="n">
        <f aca="false">IF(AND(F298="Record or Recall",G298="12-23 m"),1,0)</f>
        <v>0</v>
      </c>
      <c r="L298" s="7" t="n">
        <f aca="false">IF(OR(J298="DHS",J298="MICS"),1,0)</f>
        <v>1</v>
      </c>
    </row>
    <row r="299" customFormat="false" ht="15" hidden="false" customHeight="false" outlineLevel="0" collapsed="false">
      <c r="A299" s="7" t="s">
        <v>348</v>
      </c>
      <c r="B299" s="7" t="s">
        <v>349</v>
      </c>
      <c r="C299" s="7" t="s">
        <v>350</v>
      </c>
      <c r="D299" s="7" t="n">
        <v>1987</v>
      </c>
      <c r="E299" s="7" t="s">
        <v>62</v>
      </c>
      <c r="F299" s="7" t="s">
        <v>86</v>
      </c>
      <c r="G299" s="7" t="s">
        <v>66</v>
      </c>
      <c r="H299" s="7" t="n">
        <v>77</v>
      </c>
      <c r="I299" s="7" t="str">
        <f aca="false">IF(B299="",TRIM(C299),TRIM(B299))</f>
        <v>Cameroon Immunisation Coverage Survey, November-December 1990</v>
      </c>
      <c r="J299" s="7" t="str">
        <f aca="false">IF(ISNUMBER(SEARCH("Demographic and Health",I299)),"DHS",IF(OR(ISNUMBER(SEARCH("Multiple Indicator Cluster",I299)),ISNUMBER(SEARCH("MICS",I299))),"MICS","Other"))</f>
        <v>Other</v>
      </c>
      <c r="K299" s="7" t="n">
        <f aca="false">IF(AND(F299="Record or Recall",G299="12-23 m"),1,0)</f>
        <v>0</v>
      </c>
      <c r="L299" s="7" t="n">
        <f aca="false">IF(OR(J299="DHS",J299="MICS"),1,0)</f>
        <v>0</v>
      </c>
    </row>
    <row r="300" customFormat="false" ht="15" hidden="false" customHeight="false" outlineLevel="0" collapsed="false">
      <c r="A300" s="7" t="s">
        <v>348</v>
      </c>
      <c r="B300" s="7" t="s">
        <v>349</v>
      </c>
      <c r="C300" s="7" t="s">
        <v>350</v>
      </c>
      <c r="D300" s="7" t="n">
        <v>1987</v>
      </c>
      <c r="E300" s="7" t="s">
        <v>81</v>
      </c>
      <c r="F300" s="7" t="s">
        <v>86</v>
      </c>
      <c r="G300" s="7" t="s">
        <v>66</v>
      </c>
      <c r="H300" s="7" t="n">
        <v>66</v>
      </c>
      <c r="I300" s="7" t="str">
        <f aca="false">IF(B300="",TRIM(C300),TRIM(B300))</f>
        <v>Cameroon Immunisation Coverage Survey, November-December 1990</v>
      </c>
      <c r="J300" s="7" t="str">
        <f aca="false">IF(ISNUMBER(SEARCH("Demographic and Health",I300)),"DHS",IF(OR(ISNUMBER(SEARCH("Multiple Indicator Cluster",I300)),ISNUMBER(SEARCH("MICS",I300))),"MICS","Other"))</f>
        <v>Other</v>
      </c>
      <c r="K300" s="7" t="n">
        <f aca="false">IF(AND(F300="Record or Recall",G300="12-23 m"),1,0)</f>
        <v>0</v>
      </c>
      <c r="L300" s="7" t="n">
        <f aca="false">IF(OR(J300="DHS",J300="MICS"),1,0)</f>
        <v>0</v>
      </c>
    </row>
    <row r="301" customFormat="false" ht="15" hidden="false" customHeight="false" outlineLevel="0" collapsed="false">
      <c r="A301" s="7" t="s">
        <v>348</v>
      </c>
      <c r="B301" s="7" t="s">
        <v>349</v>
      </c>
      <c r="C301" s="7" t="s">
        <v>350</v>
      </c>
      <c r="D301" s="7" t="n">
        <v>1987</v>
      </c>
      <c r="E301" s="7" t="s">
        <v>67</v>
      </c>
      <c r="F301" s="7" t="s">
        <v>86</v>
      </c>
      <c r="G301" s="7" t="s">
        <v>66</v>
      </c>
      <c r="H301" s="7" t="n">
        <v>43</v>
      </c>
      <c r="I301" s="7" t="str">
        <f aca="false">IF(B301="",TRIM(C301),TRIM(B301))</f>
        <v>Cameroon Immunisation Coverage Survey, November-December 1990</v>
      </c>
      <c r="J301" s="7" t="str">
        <f aca="false">IF(ISNUMBER(SEARCH("Demographic and Health",I301)),"DHS",IF(OR(ISNUMBER(SEARCH("Multiple Indicator Cluster",I301)),ISNUMBER(SEARCH("MICS",I301))),"MICS","Other"))</f>
        <v>Other</v>
      </c>
      <c r="K301" s="7" t="n">
        <f aca="false">IF(AND(F301="Record or Recall",G301="12-23 m"),1,0)</f>
        <v>0</v>
      </c>
      <c r="L301" s="7" t="n">
        <f aca="false">IF(OR(J301="DHS",J301="MICS"),1,0)</f>
        <v>0</v>
      </c>
    </row>
    <row r="302" customFormat="false" ht="15" hidden="false" customHeight="false" outlineLevel="0" collapsed="false">
      <c r="A302" s="7" t="s">
        <v>348</v>
      </c>
      <c r="B302" s="7" t="s">
        <v>349</v>
      </c>
      <c r="C302" s="7" t="s">
        <v>350</v>
      </c>
      <c r="D302" s="7" t="n">
        <v>1987</v>
      </c>
      <c r="E302" s="7" t="s">
        <v>82</v>
      </c>
      <c r="F302" s="7" t="s">
        <v>86</v>
      </c>
      <c r="G302" s="7" t="s">
        <v>66</v>
      </c>
      <c r="H302" s="7" t="n">
        <v>33</v>
      </c>
      <c r="I302" s="7" t="str">
        <f aca="false">IF(B302="",TRIM(C302),TRIM(B302))</f>
        <v>Cameroon Immunisation Coverage Survey, November-December 1990</v>
      </c>
      <c r="J302" s="7" t="str">
        <f aca="false">IF(ISNUMBER(SEARCH("Demographic and Health",I302)),"DHS",IF(OR(ISNUMBER(SEARCH("Multiple Indicator Cluster",I302)),ISNUMBER(SEARCH("MICS",I302))),"MICS","Other"))</f>
        <v>Other</v>
      </c>
      <c r="K302" s="7" t="n">
        <f aca="false">IF(AND(F302="Record or Recall",G302="12-23 m"),1,0)</f>
        <v>0</v>
      </c>
      <c r="L302" s="7" t="n">
        <f aca="false">IF(OR(J302="DHS",J302="MICS"),1,0)</f>
        <v>0</v>
      </c>
    </row>
    <row r="303" customFormat="false" ht="15" hidden="false" customHeight="false" outlineLevel="0" collapsed="false">
      <c r="A303" s="7" t="s">
        <v>348</v>
      </c>
      <c r="B303" s="7" t="s">
        <v>349</v>
      </c>
      <c r="C303" s="7" t="s">
        <v>350</v>
      </c>
      <c r="D303" s="7" t="n">
        <v>1987</v>
      </c>
      <c r="E303" s="7" t="s">
        <v>68</v>
      </c>
      <c r="F303" s="7" t="s">
        <v>86</v>
      </c>
      <c r="G303" s="7" t="s">
        <v>66</v>
      </c>
      <c r="H303" s="7" t="n">
        <v>48</v>
      </c>
      <c r="I303" s="7" t="str">
        <f aca="false">IF(B303="",TRIM(C303),TRIM(B303))</f>
        <v>Cameroon Immunisation Coverage Survey, November-December 1990</v>
      </c>
      <c r="J303" s="7" t="str">
        <f aca="false">IF(ISNUMBER(SEARCH("Demographic and Health",I303)),"DHS",IF(OR(ISNUMBER(SEARCH("Multiple Indicator Cluster",I303)),ISNUMBER(SEARCH("MICS",I303))),"MICS","Other"))</f>
        <v>Other</v>
      </c>
      <c r="K303" s="7" t="n">
        <f aca="false">IF(AND(F303="Record or Recall",G303="12-23 m"),1,0)</f>
        <v>0</v>
      </c>
      <c r="L303" s="7" t="n">
        <f aca="false">IF(OR(J303="DHS",J303="MICS"),1,0)</f>
        <v>0</v>
      </c>
    </row>
    <row r="304" customFormat="false" ht="15" hidden="false" customHeight="false" outlineLevel="0" collapsed="false">
      <c r="A304" s="7" t="s">
        <v>348</v>
      </c>
      <c r="B304" s="7" t="s">
        <v>349</v>
      </c>
      <c r="C304" s="7" t="s">
        <v>350</v>
      </c>
      <c r="D304" s="7" t="n">
        <v>1987</v>
      </c>
      <c r="E304" s="7" t="s">
        <v>69</v>
      </c>
      <c r="F304" s="7" t="s">
        <v>86</v>
      </c>
      <c r="G304" s="7" t="s">
        <v>66</v>
      </c>
      <c r="H304" s="7" t="n">
        <v>40</v>
      </c>
      <c r="I304" s="7" t="str">
        <f aca="false">IF(B304="",TRIM(C304),TRIM(B304))</f>
        <v>Cameroon Immunisation Coverage Survey, November-December 1990</v>
      </c>
      <c r="J304" s="7" t="str">
        <f aca="false">IF(ISNUMBER(SEARCH("Demographic and Health",I304)),"DHS",IF(OR(ISNUMBER(SEARCH("Multiple Indicator Cluster",I304)),ISNUMBER(SEARCH("MICS",I304))),"MICS","Other"))</f>
        <v>Other</v>
      </c>
      <c r="K304" s="7" t="n">
        <f aca="false">IF(AND(F304="Record or Recall",G304="12-23 m"),1,0)</f>
        <v>0</v>
      </c>
      <c r="L304" s="7" t="n">
        <f aca="false">IF(OR(J304="DHS",J304="MICS"),1,0)</f>
        <v>0</v>
      </c>
    </row>
    <row r="305" customFormat="false" ht="15" hidden="false" customHeight="false" outlineLevel="0" collapsed="false">
      <c r="A305" s="7" t="s">
        <v>348</v>
      </c>
      <c r="B305" s="7" t="s">
        <v>352</v>
      </c>
      <c r="C305" s="7" t="s">
        <v>353</v>
      </c>
      <c r="D305" s="7" t="n">
        <v>1988</v>
      </c>
      <c r="E305" s="7" t="s">
        <v>62</v>
      </c>
      <c r="F305" s="7" t="s">
        <v>78</v>
      </c>
      <c r="G305" s="7" t="s">
        <v>88</v>
      </c>
      <c r="H305" s="7" t="n">
        <v>62.6</v>
      </c>
      <c r="I305" s="7" t="str">
        <f aca="false">IF(B305="",TRIM(C305),TRIM(B305))</f>
        <v>Cameroon Demographic and Health Survey 1991</v>
      </c>
      <c r="J305" s="7" t="str">
        <f aca="false">IF(ISNUMBER(SEARCH("Demographic and Health",I305)),"DHS",IF(OR(ISNUMBER(SEARCH("Multiple Indicator Cluster",I305)),ISNUMBER(SEARCH("MICS",I305))),"MICS","Other"))</f>
        <v>DHS</v>
      </c>
      <c r="K305" s="7" t="n">
        <f aca="false">IF(AND(F305="Record or Recall",G305="12-23 m"),1,0)</f>
        <v>0</v>
      </c>
      <c r="L305" s="7" t="n">
        <f aca="false">IF(OR(J305="DHS",J305="MICS"),1,0)</f>
        <v>1</v>
      </c>
    </row>
    <row r="306" customFormat="false" ht="15" hidden="false" customHeight="false" outlineLevel="0" collapsed="false">
      <c r="A306" s="7" t="s">
        <v>348</v>
      </c>
      <c r="B306" s="7" t="s">
        <v>352</v>
      </c>
      <c r="C306" s="7" t="s">
        <v>353</v>
      </c>
      <c r="D306" s="7" t="n">
        <v>1988</v>
      </c>
      <c r="E306" s="7" t="s">
        <v>81</v>
      </c>
      <c r="F306" s="7" t="s">
        <v>78</v>
      </c>
      <c r="G306" s="7" t="s">
        <v>88</v>
      </c>
      <c r="H306" s="7" t="n">
        <v>54.9</v>
      </c>
      <c r="I306" s="7" t="str">
        <f aca="false">IF(B306="",TRIM(C306),TRIM(B306))</f>
        <v>Cameroon Demographic and Health Survey 1991</v>
      </c>
      <c r="J306" s="7" t="str">
        <f aca="false">IF(ISNUMBER(SEARCH("Demographic and Health",I306)),"DHS",IF(OR(ISNUMBER(SEARCH("Multiple Indicator Cluster",I306)),ISNUMBER(SEARCH("MICS",I306))),"MICS","Other"))</f>
        <v>DHS</v>
      </c>
      <c r="K306" s="7" t="n">
        <f aca="false">IF(AND(F306="Record or Recall",G306="12-23 m"),1,0)</f>
        <v>0</v>
      </c>
      <c r="L306" s="7" t="n">
        <f aca="false">IF(OR(J306="DHS",J306="MICS"),1,0)</f>
        <v>1</v>
      </c>
    </row>
    <row r="307" customFormat="false" ht="15" hidden="false" customHeight="false" outlineLevel="0" collapsed="false">
      <c r="A307" s="7" t="s">
        <v>348</v>
      </c>
      <c r="B307" s="7" t="s">
        <v>352</v>
      </c>
      <c r="C307" s="7" t="s">
        <v>353</v>
      </c>
      <c r="D307" s="7" t="n">
        <v>1988</v>
      </c>
      <c r="E307" s="7" t="s">
        <v>67</v>
      </c>
      <c r="F307" s="7" t="s">
        <v>78</v>
      </c>
      <c r="G307" s="7" t="s">
        <v>88</v>
      </c>
      <c r="H307" s="7" t="n">
        <v>35</v>
      </c>
      <c r="I307" s="7" t="str">
        <f aca="false">IF(B307="",TRIM(C307),TRIM(B307))</f>
        <v>Cameroon Demographic and Health Survey 1991</v>
      </c>
      <c r="J307" s="7" t="str">
        <f aca="false">IF(ISNUMBER(SEARCH("Demographic and Health",I307)),"DHS",IF(OR(ISNUMBER(SEARCH("Multiple Indicator Cluster",I307)),ISNUMBER(SEARCH("MICS",I307))),"MICS","Other"))</f>
        <v>DHS</v>
      </c>
      <c r="K307" s="7" t="n">
        <f aca="false">IF(AND(F307="Record or Recall",G307="12-23 m"),1,0)</f>
        <v>0</v>
      </c>
      <c r="L307" s="7" t="n">
        <f aca="false">IF(OR(J307="DHS",J307="MICS"),1,0)</f>
        <v>1</v>
      </c>
    </row>
    <row r="308" customFormat="false" ht="15" hidden="false" customHeight="false" outlineLevel="0" collapsed="false">
      <c r="A308" s="7" t="s">
        <v>348</v>
      </c>
      <c r="B308" s="7" t="s">
        <v>352</v>
      </c>
      <c r="C308" s="7" t="s">
        <v>353</v>
      </c>
      <c r="D308" s="7" t="n">
        <v>1988</v>
      </c>
      <c r="E308" s="7" t="s">
        <v>82</v>
      </c>
      <c r="F308" s="7" t="s">
        <v>78</v>
      </c>
      <c r="G308" s="7" t="s">
        <v>88</v>
      </c>
      <c r="H308" s="7" t="n">
        <v>25.4</v>
      </c>
      <c r="I308" s="7" t="str">
        <f aca="false">IF(B308="",TRIM(C308),TRIM(B308))</f>
        <v>Cameroon Demographic and Health Survey 1991</v>
      </c>
      <c r="J308" s="7" t="str">
        <f aca="false">IF(ISNUMBER(SEARCH("Demographic and Health",I308)),"DHS",IF(OR(ISNUMBER(SEARCH("Multiple Indicator Cluster",I308)),ISNUMBER(SEARCH("MICS",I308))),"MICS","Other"))</f>
        <v>DHS</v>
      </c>
      <c r="K308" s="7" t="n">
        <f aca="false">IF(AND(F308="Record or Recall",G308="12-23 m"),1,0)</f>
        <v>0</v>
      </c>
      <c r="L308" s="7" t="n">
        <f aca="false">IF(OR(J308="DHS",J308="MICS"),1,0)</f>
        <v>1</v>
      </c>
    </row>
    <row r="309" customFormat="false" ht="15" hidden="false" customHeight="false" outlineLevel="0" collapsed="false">
      <c r="A309" s="7" t="s">
        <v>348</v>
      </c>
      <c r="B309" s="7" t="s">
        <v>352</v>
      </c>
      <c r="C309" s="7" t="s">
        <v>353</v>
      </c>
      <c r="D309" s="7" t="n">
        <v>1988</v>
      </c>
      <c r="E309" s="7" t="s">
        <v>68</v>
      </c>
      <c r="F309" s="7" t="s">
        <v>78</v>
      </c>
      <c r="G309" s="7" t="s">
        <v>88</v>
      </c>
      <c r="H309" s="7" t="n">
        <v>33.4</v>
      </c>
      <c r="I309" s="7" t="str">
        <f aca="false">IF(B309="",TRIM(C309),TRIM(B309))</f>
        <v>Cameroon Demographic and Health Survey 1991</v>
      </c>
      <c r="J309" s="7" t="str">
        <f aca="false">IF(ISNUMBER(SEARCH("Demographic and Health",I309)),"DHS",IF(OR(ISNUMBER(SEARCH("Multiple Indicator Cluster",I309)),ISNUMBER(SEARCH("MICS",I309))),"MICS","Other"))</f>
        <v>DHS</v>
      </c>
      <c r="K309" s="7" t="n">
        <f aca="false">IF(AND(F309="Record or Recall",G309="12-23 m"),1,0)</f>
        <v>0</v>
      </c>
      <c r="L309" s="7" t="n">
        <f aca="false">IF(OR(J309="DHS",J309="MICS"),1,0)</f>
        <v>1</v>
      </c>
    </row>
    <row r="310" customFormat="false" ht="15" hidden="false" customHeight="false" outlineLevel="0" collapsed="false">
      <c r="A310" s="7" t="s">
        <v>348</v>
      </c>
      <c r="B310" s="7" t="s">
        <v>352</v>
      </c>
      <c r="C310" s="7" t="s">
        <v>353</v>
      </c>
      <c r="D310" s="7" t="n">
        <v>1988</v>
      </c>
      <c r="E310" s="7" t="s">
        <v>69</v>
      </c>
      <c r="F310" s="7" t="s">
        <v>78</v>
      </c>
      <c r="G310" s="7" t="s">
        <v>88</v>
      </c>
      <c r="H310" s="7" t="n">
        <v>35.7</v>
      </c>
      <c r="I310" s="7" t="str">
        <f aca="false">IF(B310="",TRIM(C310),TRIM(B310))</f>
        <v>Cameroon Demographic and Health Survey 1991</v>
      </c>
      <c r="J310" s="7" t="str">
        <f aca="false">IF(ISNUMBER(SEARCH("Demographic and Health",I310)),"DHS",IF(OR(ISNUMBER(SEARCH("Multiple Indicator Cluster",I310)),ISNUMBER(SEARCH("MICS",I310))),"MICS","Other"))</f>
        <v>DHS</v>
      </c>
      <c r="K310" s="7" t="n">
        <f aca="false">IF(AND(F310="Record or Recall",G310="12-23 m"),1,0)</f>
        <v>0</v>
      </c>
      <c r="L310" s="7" t="n">
        <f aca="false">IF(OR(J310="DHS",J310="MICS"),1,0)</f>
        <v>1</v>
      </c>
    </row>
    <row r="311" customFormat="false" ht="15" hidden="false" customHeight="false" outlineLevel="0" collapsed="false">
      <c r="A311" s="7" t="s">
        <v>348</v>
      </c>
      <c r="B311" s="7" t="s">
        <v>352</v>
      </c>
      <c r="C311" s="7" t="s">
        <v>353</v>
      </c>
      <c r="D311" s="7" t="n">
        <v>1989</v>
      </c>
      <c r="E311" s="7" t="s">
        <v>62</v>
      </c>
      <c r="F311" s="7" t="s">
        <v>78</v>
      </c>
      <c r="G311" s="7" t="s">
        <v>91</v>
      </c>
      <c r="H311" s="7" t="n">
        <v>65.7</v>
      </c>
      <c r="I311" s="7" t="str">
        <f aca="false">IF(B311="",TRIM(C311),TRIM(B311))</f>
        <v>Cameroon Demographic and Health Survey 1991</v>
      </c>
      <c r="J311" s="7" t="str">
        <f aca="false">IF(ISNUMBER(SEARCH("Demographic and Health",I311)),"DHS",IF(OR(ISNUMBER(SEARCH("Multiple Indicator Cluster",I311)),ISNUMBER(SEARCH("MICS",I311))),"MICS","Other"))</f>
        <v>DHS</v>
      </c>
      <c r="K311" s="7" t="n">
        <f aca="false">IF(AND(F311="Record or Recall",G311="12-23 m"),1,0)</f>
        <v>0</v>
      </c>
      <c r="L311" s="7" t="n">
        <f aca="false">IF(OR(J311="DHS",J311="MICS"),1,0)</f>
        <v>1</v>
      </c>
    </row>
    <row r="312" customFormat="false" ht="15" hidden="false" customHeight="false" outlineLevel="0" collapsed="false">
      <c r="A312" s="7" t="s">
        <v>348</v>
      </c>
      <c r="B312" s="7" t="s">
        <v>352</v>
      </c>
      <c r="C312" s="7" t="s">
        <v>353</v>
      </c>
      <c r="D312" s="7" t="n">
        <v>1989</v>
      </c>
      <c r="E312" s="7" t="s">
        <v>81</v>
      </c>
      <c r="F312" s="7" t="s">
        <v>78</v>
      </c>
      <c r="G312" s="7" t="s">
        <v>91</v>
      </c>
      <c r="H312" s="7" t="n">
        <v>60</v>
      </c>
      <c r="I312" s="7" t="str">
        <f aca="false">IF(B312="",TRIM(C312),TRIM(B312))</f>
        <v>Cameroon Demographic and Health Survey 1991</v>
      </c>
      <c r="J312" s="7" t="str">
        <f aca="false">IF(ISNUMBER(SEARCH("Demographic and Health",I312)),"DHS",IF(OR(ISNUMBER(SEARCH("Multiple Indicator Cluster",I312)),ISNUMBER(SEARCH("MICS",I312))),"MICS","Other"))</f>
        <v>DHS</v>
      </c>
      <c r="K312" s="7" t="n">
        <f aca="false">IF(AND(F312="Record or Recall",G312="12-23 m"),1,0)</f>
        <v>0</v>
      </c>
      <c r="L312" s="7" t="n">
        <f aca="false">IF(OR(J312="DHS",J312="MICS"),1,0)</f>
        <v>1</v>
      </c>
    </row>
    <row r="313" customFormat="false" ht="15" hidden="false" customHeight="false" outlineLevel="0" collapsed="false">
      <c r="A313" s="7" t="s">
        <v>348</v>
      </c>
      <c r="B313" s="7" t="s">
        <v>352</v>
      </c>
      <c r="C313" s="7" t="s">
        <v>353</v>
      </c>
      <c r="D313" s="7" t="n">
        <v>1989</v>
      </c>
      <c r="E313" s="7" t="s">
        <v>67</v>
      </c>
      <c r="F313" s="7" t="s">
        <v>78</v>
      </c>
      <c r="G313" s="7" t="s">
        <v>91</v>
      </c>
      <c r="H313" s="7" t="n">
        <v>35.6</v>
      </c>
      <c r="I313" s="7" t="str">
        <f aca="false">IF(B313="",TRIM(C313),TRIM(B313))</f>
        <v>Cameroon Demographic and Health Survey 1991</v>
      </c>
      <c r="J313" s="7" t="str">
        <f aca="false">IF(ISNUMBER(SEARCH("Demographic and Health",I313)),"DHS",IF(OR(ISNUMBER(SEARCH("Multiple Indicator Cluster",I313)),ISNUMBER(SEARCH("MICS",I313))),"MICS","Other"))</f>
        <v>DHS</v>
      </c>
      <c r="K313" s="7" t="n">
        <f aca="false">IF(AND(F313="Record or Recall",G313="12-23 m"),1,0)</f>
        <v>0</v>
      </c>
      <c r="L313" s="7" t="n">
        <f aca="false">IF(OR(J313="DHS",J313="MICS"),1,0)</f>
        <v>1</v>
      </c>
    </row>
    <row r="314" customFormat="false" ht="15" hidden="false" customHeight="false" outlineLevel="0" collapsed="false">
      <c r="A314" s="7" t="s">
        <v>348</v>
      </c>
      <c r="B314" s="7" t="s">
        <v>352</v>
      </c>
      <c r="C314" s="7" t="s">
        <v>353</v>
      </c>
      <c r="D314" s="7" t="n">
        <v>1989</v>
      </c>
      <c r="E314" s="7" t="s">
        <v>82</v>
      </c>
      <c r="F314" s="7" t="s">
        <v>78</v>
      </c>
      <c r="G314" s="7" t="s">
        <v>91</v>
      </c>
      <c r="H314" s="7" t="n">
        <v>25.8</v>
      </c>
      <c r="I314" s="7" t="str">
        <f aca="false">IF(B314="",TRIM(C314),TRIM(B314))</f>
        <v>Cameroon Demographic and Health Survey 1991</v>
      </c>
      <c r="J314" s="7" t="str">
        <f aca="false">IF(ISNUMBER(SEARCH("Demographic and Health",I314)),"DHS",IF(OR(ISNUMBER(SEARCH("Multiple Indicator Cluster",I314)),ISNUMBER(SEARCH("MICS",I314))),"MICS","Other"))</f>
        <v>DHS</v>
      </c>
      <c r="K314" s="7" t="n">
        <f aca="false">IF(AND(F314="Record or Recall",G314="12-23 m"),1,0)</f>
        <v>0</v>
      </c>
      <c r="L314" s="7" t="n">
        <f aca="false">IF(OR(J314="DHS",J314="MICS"),1,0)</f>
        <v>1</v>
      </c>
    </row>
    <row r="315" customFormat="false" ht="15" hidden="false" customHeight="false" outlineLevel="0" collapsed="false">
      <c r="A315" s="7" t="s">
        <v>348</v>
      </c>
      <c r="B315" s="7" t="s">
        <v>352</v>
      </c>
      <c r="C315" s="7" t="s">
        <v>353</v>
      </c>
      <c r="D315" s="7" t="n">
        <v>1989</v>
      </c>
      <c r="E315" s="7" t="s">
        <v>68</v>
      </c>
      <c r="F315" s="7" t="s">
        <v>78</v>
      </c>
      <c r="G315" s="7" t="s">
        <v>91</v>
      </c>
      <c r="H315" s="7" t="n">
        <v>37.8</v>
      </c>
      <c r="I315" s="7" t="str">
        <f aca="false">IF(B315="",TRIM(C315),TRIM(B315))</f>
        <v>Cameroon Demographic and Health Survey 1991</v>
      </c>
      <c r="J315" s="7" t="str">
        <f aca="false">IF(ISNUMBER(SEARCH("Demographic and Health",I315)),"DHS",IF(OR(ISNUMBER(SEARCH("Multiple Indicator Cluster",I315)),ISNUMBER(SEARCH("MICS",I315))),"MICS","Other"))</f>
        <v>DHS</v>
      </c>
      <c r="K315" s="7" t="n">
        <f aca="false">IF(AND(F315="Record or Recall",G315="12-23 m"),1,0)</f>
        <v>0</v>
      </c>
      <c r="L315" s="7" t="n">
        <f aca="false">IF(OR(J315="DHS",J315="MICS"),1,0)</f>
        <v>1</v>
      </c>
    </row>
    <row r="316" customFormat="false" ht="15" hidden="false" customHeight="false" outlineLevel="0" collapsed="false">
      <c r="A316" s="7" t="s">
        <v>348</v>
      </c>
      <c r="B316" s="7" t="s">
        <v>352</v>
      </c>
      <c r="C316" s="7" t="s">
        <v>353</v>
      </c>
      <c r="D316" s="7" t="n">
        <v>1989</v>
      </c>
      <c r="E316" s="7" t="s">
        <v>69</v>
      </c>
      <c r="F316" s="7" t="s">
        <v>78</v>
      </c>
      <c r="G316" s="7" t="s">
        <v>91</v>
      </c>
      <c r="H316" s="7" t="n">
        <v>36.5</v>
      </c>
      <c r="I316" s="7" t="str">
        <f aca="false">IF(B316="",TRIM(C316),TRIM(B316))</f>
        <v>Cameroon Demographic and Health Survey 1991</v>
      </c>
      <c r="J316" s="7" t="str">
        <f aca="false">IF(ISNUMBER(SEARCH("Demographic and Health",I316)),"DHS",IF(OR(ISNUMBER(SEARCH("Multiple Indicator Cluster",I316)),ISNUMBER(SEARCH("MICS",I316))),"MICS","Other"))</f>
        <v>DHS</v>
      </c>
      <c r="K316" s="7" t="n">
        <f aca="false">IF(AND(F316="Record or Recall",G316="12-23 m"),1,0)</f>
        <v>0</v>
      </c>
      <c r="L316" s="7" t="n">
        <f aca="false">IF(OR(J316="DHS",J316="MICS"),1,0)</f>
        <v>1</v>
      </c>
    </row>
    <row r="317" customFormat="false" ht="15" hidden="false" customHeight="false" outlineLevel="0" collapsed="false">
      <c r="A317" s="7" t="s">
        <v>348</v>
      </c>
      <c r="B317" s="7" t="s">
        <v>349</v>
      </c>
      <c r="C317" s="7" t="s">
        <v>350</v>
      </c>
      <c r="D317" s="7" t="n">
        <v>1989</v>
      </c>
      <c r="E317" s="7" t="s">
        <v>62</v>
      </c>
      <c r="F317" s="7" t="s">
        <v>63</v>
      </c>
      <c r="G317" s="7" t="s">
        <v>66</v>
      </c>
      <c r="H317" s="7" t="n">
        <v>76</v>
      </c>
      <c r="I317" s="7" t="str">
        <f aca="false">IF(B317="",TRIM(C317),TRIM(B317))</f>
        <v>Cameroon Immunisation Coverage Survey, November-December 1990</v>
      </c>
      <c r="J317" s="7" t="str">
        <f aca="false">IF(ISNUMBER(SEARCH("Demographic and Health",I317)),"DHS",IF(OR(ISNUMBER(SEARCH("Multiple Indicator Cluster",I317)),ISNUMBER(SEARCH("MICS",I317))),"MICS","Other"))</f>
        <v>Other</v>
      </c>
      <c r="K317" s="7" t="n">
        <f aca="false">IF(AND(F317="Record or Recall",G317="12-23 m"),1,0)</f>
        <v>1</v>
      </c>
      <c r="L317" s="7" t="n">
        <f aca="false">IF(OR(J317="DHS",J317="MICS"),1,0)</f>
        <v>0</v>
      </c>
    </row>
    <row r="318" customFormat="false" ht="15" hidden="false" customHeight="false" outlineLevel="0" collapsed="false">
      <c r="A318" s="7" t="s">
        <v>348</v>
      </c>
      <c r="B318" s="7" t="s">
        <v>349</v>
      </c>
      <c r="C318" s="7" t="s">
        <v>350</v>
      </c>
      <c r="D318" s="7" t="n">
        <v>1989</v>
      </c>
      <c r="E318" s="7" t="s">
        <v>81</v>
      </c>
      <c r="F318" s="7" t="s">
        <v>63</v>
      </c>
      <c r="G318" s="7" t="s">
        <v>66</v>
      </c>
      <c r="H318" s="7" t="n">
        <v>73</v>
      </c>
      <c r="I318" s="7" t="str">
        <f aca="false">IF(B318="",TRIM(C318),TRIM(B318))</f>
        <v>Cameroon Immunisation Coverage Survey, November-December 1990</v>
      </c>
      <c r="J318" s="7" t="str">
        <f aca="false">IF(ISNUMBER(SEARCH("Demographic and Health",I318)),"DHS",IF(OR(ISNUMBER(SEARCH("Multiple Indicator Cluster",I318)),ISNUMBER(SEARCH("MICS",I318))),"MICS","Other"))</f>
        <v>Other</v>
      </c>
      <c r="K318" s="7" t="n">
        <f aca="false">IF(AND(F318="Record or Recall",G318="12-23 m"),1,0)</f>
        <v>1</v>
      </c>
      <c r="L318" s="7" t="n">
        <f aca="false">IF(OR(J318="DHS",J318="MICS"),1,0)</f>
        <v>0</v>
      </c>
    </row>
    <row r="319" customFormat="false" ht="15" hidden="false" customHeight="false" outlineLevel="0" collapsed="false">
      <c r="A319" s="7" t="s">
        <v>348</v>
      </c>
      <c r="B319" s="7" t="s">
        <v>349</v>
      </c>
      <c r="C319" s="7" t="s">
        <v>350</v>
      </c>
      <c r="D319" s="7" t="n">
        <v>1989</v>
      </c>
      <c r="E319" s="7" t="s">
        <v>67</v>
      </c>
      <c r="F319" s="7" t="s">
        <v>63</v>
      </c>
      <c r="G319" s="7" t="s">
        <v>66</v>
      </c>
      <c r="H319" s="7" t="n">
        <v>56</v>
      </c>
      <c r="I319" s="7" t="str">
        <f aca="false">IF(B319="",TRIM(C319),TRIM(B319))</f>
        <v>Cameroon Immunisation Coverage Survey, November-December 1990</v>
      </c>
      <c r="J319" s="7" t="str">
        <f aca="false">IF(ISNUMBER(SEARCH("Demographic and Health",I319)),"DHS",IF(OR(ISNUMBER(SEARCH("Multiple Indicator Cluster",I319)),ISNUMBER(SEARCH("MICS",I319))),"MICS","Other"))</f>
        <v>Other</v>
      </c>
      <c r="K319" s="7" t="n">
        <f aca="false">IF(AND(F319="Record or Recall",G319="12-23 m"),1,0)</f>
        <v>1</v>
      </c>
      <c r="L319" s="7" t="n">
        <f aca="false">IF(OR(J319="DHS",J319="MICS"),1,0)</f>
        <v>0</v>
      </c>
    </row>
    <row r="320" customFormat="false" ht="15" hidden="false" customHeight="false" outlineLevel="0" collapsed="false">
      <c r="A320" s="7" t="s">
        <v>348</v>
      </c>
      <c r="B320" s="7" t="s">
        <v>349</v>
      </c>
      <c r="C320" s="7" t="s">
        <v>350</v>
      </c>
      <c r="D320" s="7" t="n">
        <v>1989</v>
      </c>
      <c r="E320" s="7" t="s">
        <v>82</v>
      </c>
      <c r="F320" s="7" t="s">
        <v>63</v>
      </c>
      <c r="G320" s="7" t="s">
        <v>66</v>
      </c>
      <c r="H320" s="7" t="n">
        <v>46</v>
      </c>
      <c r="I320" s="7" t="str">
        <f aca="false">IF(B320="",TRIM(C320),TRIM(B320))</f>
        <v>Cameroon Immunisation Coverage Survey, November-December 1990</v>
      </c>
      <c r="J320" s="7" t="str">
        <f aca="false">IF(ISNUMBER(SEARCH("Demographic and Health",I320)),"DHS",IF(OR(ISNUMBER(SEARCH("Multiple Indicator Cluster",I320)),ISNUMBER(SEARCH("MICS",I320))),"MICS","Other"))</f>
        <v>Other</v>
      </c>
      <c r="K320" s="7" t="n">
        <f aca="false">IF(AND(F320="Record or Recall",G320="12-23 m"),1,0)</f>
        <v>1</v>
      </c>
      <c r="L320" s="7" t="n">
        <f aca="false">IF(OR(J320="DHS",J320="MICS"),1,0)</f>
        <v>0</v>
      </c>
    </row>
    <row r="321" customFormat="false" ht="15" hidden="false" customHeight="false" outlineLevel="0" collapsed="false">
      <c r="A321" s="7" t="s">
        <v>348</v>
      </c>
      <c r="B321" s="7" t="s">
        <v>349</v>
      </c>
      <c r="C321" s="7" t="s">
        <v>350</v>
      </c>
      <c r="D321" s="7" t="n">
        <v>1989</v>
      </c>
      <c r="E321" s="7" t="s">
        <v>68</v>
      </c>
      <c r="F321" s="7" t="s">
        <v>63</v>
      </c>
      <c r="G321" s="7" t="s">
        <v>66</v>
      </c>
      <c r="H321" s="7" t="n">
        <v>56</v>
      </c>
      <c r="I321" s="7" t="str">
        <f aca="false">IF(B321="",TRIM(C321),TRIM(B321))</f>
        <v>Cameroon Immunisation Coverage Survey, November-December 1990</v>
      </c>
      <c r="J321" s="7" t="str">
        <f aca="false">IF(ISNUMBER(SEARCH("Demographic and Health",I321)),"DHS",IF(OR(ISNUMBER(SEARCH("Multiple Indicator Cluster",I321)),ISNUMBER(SEARCH("MICS",I321))),"MICS","Other"))</f>
        <v>Other</v>
      </c>
      <c r="K321" s="7" t="n">
        <f aca="false">IF(AND(F321="Record or Recall",G321="12-23 m"),1,0)</f>
        <v>1</v>
      </c>
      <c r="L321" s="7" t="n">
        <f aca="false">IF(OR(J321="DHS",J321="MICS"),1,0)</f>
        <v>0</v>
      </c>
    </row>
    <row r="322" customFormat="false" ht="15" hidden="false" customHeight="false" outlineLevel="0" collapsed="false">
      <c r="A322" s="7" t="s">
        <v>348</v>
      </c>
      <c r="B322" s="7" t="s">
        <v>349</v>
      </c>
      <c r="C322" s="7" t="s">
        <v>350</v>
      </c>
      <c r="D322" s="7" t="n">
        <v>1989</v>
      </c>
      <c r="E322" s="7" t="s">
        <v>69</v>
      </c>
      <c r="F322" s="7" t="s">
        <v>63</v>
      </c>
      <c r="G322" s="7" t="s">
        <v>66</v>
      </c>
      <c r="H322" s="7" t="n">
        <v>54</v>
      </c>
      <c r="I322" s="7" t="str">
        <f aca="false">IF(B322="",TRIM(C322),TRIM(B322))</f>
        <v>Cameroon Immunisation Coverage Survey, November-December 1990</v>
      </c>
      <c r="J322" s="7" t="str">
        <f aca="false">IF(ISNUMBER(SEARCH("Demographic and Health",I322)),"DHS",IF(OR(ISNUMBER(SEARCH("Multiple Indicator Cluster",I322)),ISNUMBER(SEARCH("MICS",I322))),"MICS","Other"))</f>
        <v>Other</v>
      </c>
      <c r="K322" s="7" t="n">
        <f aca="false">IF(AND(F322="Record or Recall",G322="12-23 m"),1,0)</f>
        <v>1</v>
      </c>
      <c r="L322" s="7" t="n">
        <f aca="false">IF(OR(J322="DHS",J322="MICS"),1,0)</f>
        <v>0</v>
      </c>
    </row>
    <row r="323" customFormat="false" ht="15" hidden="false" customHeight="false" outlineLevel="0" collapsed="false">
      <c r="A323" s="7" t="s">
        <v>348</v>
      </c>
      <c r="B323" s="7" t="s">
        <v>352</v>
      </c>
      <c r="C323" s="7" t="s">
        <v>353</v>
      </c>
      <c r="D323" s="7" t="n">
        <v>1990</v>
      </c>
      <c r="E323" s="7" t="s">
        <v>62</v>
      </c>
      <c r="F323" s="7" t="s">
        <v>78</v>
      </c>
      <c r="G323" s="7" t="s">
        <v>66</v>
      </c>
      <c r="H323" s="7" t="n">
        <v>71.5</v>
      </c>
      <c r="I323" s="7" t="str">
        <f aca="false">IF(B323="",TRIM(C323),TRIM(B323))</f>
        <v>Cameroon Demographic and Health Survey 1991</v>
      </c>
      <c r="J323" s="7" t="str">
        <f aca="false">IF(ISNUMBER(SEARCH("Demographic and Health",I323)),"DHS",IF(OR(ISNUMBER(SEARCH("Multiple Indicator Cluster",I323)),ISNUMBER(SEARCH("MICS",I323))),"MICS","Other"))</f>
        <v>DHS</v>
      </c>
      <c r="K323" s="7" t="n">
        <f aca="false">IF(AND(F323="Record or Recall",G323="12-23 m"),1,0)</f>
        <v>0</v>
      </c>
      <c r="L323" s="7" t="n">
        <f aca="false">IF(OR(J323="DHS",J323="MICS"),1,0)</f>
        <v>1</v>
      </c>
    </row>
    <row r="324" customFormat="false" ht="15" hidden="false" customHeight="false" outlineLevel="0" collapsed="false">
      <c r="A324" s="7" t="s">
        <v>348</v>
      </c>
      <c r="B324" s="7" t="s">
        <v>352</v>
      </c>
      <c r="C324" s="7" t="s">
        <v>353</v>
      </c>
      <c r="D324" s="7" t="n">
        <v>1990</v>
      </c>
      <c r="E324" s="7" t="s">
        <v>62</v>
      </c>
      <c r="F324" s="7" t="s">
        <v>86</v>
      </c>
      <c r="G324" s="7" t="s">
        <v>66</v>
      </c>
      <c r="H324" s="7" t="n">
        <v>50.5</v>
      </c>
      <c r="I324" s="7" t="str">
        <f aca="false">IF(B324="",TRIM(C324),TRIM(B324))</f>
        <v>Cameroon Demographic and Health Survey 1991</v>
      </c>
      <c r="J324" s="7" t="str">
        <f aca="false">IF(ISNUMBER(SEARCH("Demographic and Health",I324)),"DHS",IF(OR(ISNUMBER(SEARCH("Multiple Indicator Cluster",I324)),ISNUMBER(SEARCH("MICS",I324))),"MICS","Other"))</f>
        <v>DHS</v>
      </c>
      <c r="K324" s="7" t="n">
        <f aca="false">IF(AND(F324="Record or Recall",G324="12-23 m"),1,0)</f>
        <v>0</v>
      </c>
      <c r="L324" s="7" t="n">
        <f aca="false">IF(OR(J324="DHS",J324="MICS"),1,0)</f>
        <v>1</v>
      </c>
    </row>
    <row r="325" customFormat="false" ht="15" hidden="false" customHeight="false" outlineLevel="0" collapsed="false">
      <c r="A325" s="7" t="s">
        <v>348</v>
      </c>
      <c r="B325" s="7" t="s">
        <v>352</v>
      </c>
      <c r="C325" s="7" t="s">
        <v>353</v>
      </c>
      <c r="D325" s="7" t="n">
        <v>1990</v>
      </c>
      <c r="E325" s="7" t="s">
        <v>62</v>
      </c>
      <c r="F325" s="7" t="s">
        <v>92</v>
      </c>
      <c r="G325" s="7" t="s">
        <v>66</v>
      </c>
      <c r="H325" s="7" t="n">
        <v>47.8</v>
      </c>
      <c r="I325" s="7" t="str">
        <f aca="false">IF(B325="",TRIM(C325),TRIM(B325))</f>
        <v>Cameroon Demographic and Health Survey 1991</v>
      </c>
      <c r="J325" s="7" t="str">
        <f aca="false">IF(ISNUMBER(SEARCH("Demographic and Health",I325)),"DHS",IF(OR(ISNUMBER(SEARCH("Multiple Indicator Cluster",I325)),ISNUMBER(SEARCH("MICS",I325))),"MICS","Other"))</f>
        <v>DHS</v>
      </c>
      <c r="K325" s="7" t="n">
        <f aca="false">IF(AND(F325="Record or Recall",G325="12-23 m"),1,0)</f>
        <v>0</v>
      </c>
      <c r="L325" s="7" t="n">
        <f aca="false">IF(OR(J325="DHS",J325="MICS"),1,0)</f>
        <v>1</v>
      </c>
    </row>
    <row r="326" customFormat="false" ht="15" hidden="false" customHeight="false" outlineLevel="0" collapsed="false">
      <c r="A326" s="7" t="s">
        <v>348</v>
      </c>
      <c r="B326" s="7" t="s">
        <v>352</v>
      </c>
      <c r="C326" s="7" t="s">
        <v>353</v>
      </c>
      <c r="D326" s="7" t="n">
        <v>1990</v>
      </c>
      <c r="E326" s="7" t="s">
        <v>62</v>
      </c>
      <c r="F326" s="7" t="s">
        <v>63</v>
      </c>
      <c r="G326" s="7" t="s">
        <v>66</v>
      </c>
      <c r="H326" s="7" t="n">
        <v>75.5</v>
      </c>
      <c r="I326" s="7" t="str">
        <f aca="false">IF(B326="",TRIM(C326),TRIM(B326))</f>
        <v>Cameroon Demographic and Health Survey 1991</v>
      </c>
      <c r="J326" s="7" t="str">
        <f aca="false">IF(ISNUMBER(SEARCH("Demographic and Health",I326)),"DHS",IF(OR(ISNUMBER(SEARCH("Multiple Indicator Cluster",I326)),ISNUMBER(SEARCH("MICS",I326))),"MICS","Other"))</f>
        <v>DHS</v>
      </c>
      <c r="K326" s="7" t="n">
        <f aca="false">IF(AND(F326="Record or Recall",G326="12-23 m"),1,0)</f>
        <v>1</v>
      </c>
      <c r="L326" s="7" t="n">
        <f aca="false">IF(OR(J326="DHS",J326="MICS"),1,0)</f>
        <v>1</v>
      </c>
    </row>
    <row r="327" customFormat="false" ht="15" hidden="false" customHeight="false" outlineLevel="0" collapsed="false">
      <c r="A327" s="7" t="s">
        <v>348</v>
      </c>
      <c r="B327" s="7" t="s">
        <v>352</v>
      </c>
      <c r="C327" s="7" t="s">
        <v>353</v>
      </c>
      <c r="D327" s="7" t="n">
        <v>1990</v>
      </c>
      <c r="E327" s="7" t="s">
        <v>62</v>
      </c>
      <c r="F327" s="7" t="s">
        <v>87</v>
      </c>
      <c r="G327" s="7" t="s">
        <v>66</v>
      </c>
      <c r="H327" s="7" t="n">
        <v>25</v>
      </c>
      <c r="I327" s="7" t="str">
        <f aca="false">IF(B327="",TRIM(C327),TRIM(B327))</f>
        <v>Cameroon Demographic and Health Survey 1991</v>
      </c>
      <c r="J327" s="7" t="str">
        <f aca="false">IF(ISNUMBER(SEARCH("Demographic and Health",I327)),"DHS",IF(OR(ISNUMBER(SEARCH("Multiple Indicator Cluster",I327)),ISNUMBER(SEARCH("MICS",I327))),"MICS","Other"))</f>
        <v>DHS</v>
      </c>
      <c r="K327" s="7" t="n">
        <f aca="false">IF(AND(F327="Record or Recall",G327="12-23 m"),1,0)</f>
        <v>0</v>
      </c>
      <c r="L327" s="7" t="n">
        <f aca="false">IF(OR(J327="DHS",J327="MICS"),1,0)</f>
        <v>1</v>
      </c>
    </row>
    <row r="328" customFormat="false" ht="15" hidden="false" customHeight="false" outlineLevel="0" collapsed="false">
      <c r="A328" s="7" t="s">
        <v>348</v>
      </c>
      <c r="B328" s="7" t="s">
        <v>352</v>
      </c>
      <c r="C328" s="7" t="s">
        <v>353</v>
      </c>
      <c r="D328" s="7" t="n">
        <v>1990</v>
      </c>
      <c r="E328" s="7" t="s">
        <v>81</v>
      </c>
      <c r="F328" s="7" t="s">
        <v>78</v>
      </c>
      <c r="G328" s="7" t="s">
        <v>66</v>
      </c>
      <c r="H328" s="7" t="n">
        <v>66.5</v>
      </c>
      <c r="I328" s="7" t="str">
        <f aca="false">IF(B328="",TRIM(C328),TRIM(B328))</f>
        <v>Cameroon Demographic and Health Survey 1991</v>
      </c>
      <c r="J328" s="7" t="str">
        <f aca="false">IF(ISNUMBER(SEARCH("Demographic and Health",I328)),"DHS",IF(OR(ISNUMBER(SEARCH("Multiple Indicator Cluster",I328)),ISNUMBER(SEARCH("MICS",I328))),"MICS","Other"))</f>
        <v>DHS</v>
      </c>
      <c r="K328" s="7" t="n">
        <f aca="false">IF(AND(F328="Record or Recall",G328="12-23 m"),1,0)</f>
        <v>0</v>
      </c>
      <c r="L328" s="7" t="n">
        <f aca="false">IF(OR(J328="DHS",J328="MICS"),1,0)</f>
        <v>1</v>
      </c>
    </row>
    <row r="329" customFormat="false" ht="15" hidden="false" customHeight="false" outlineLevel="0" collapsed="false">
      <c r="A329" s="7" t="s">
        <v>348</v>
      </c>
      <c r="B329" s="7" t="s">
        <v>352</v>
      </c>
      <c r="C329" s="7" t="s">
        <v>353</v>
      </c>
      <c r="D329" s="7" t="n">
        <v>1990</v>
      </c>
      <c r="E329" s="7" t="s">
        <v>81</v>
      </c>
      <c r="F329" s="7" t="s">
        <v>86</v>
      </c>
      <c r="G329" s="7" t="s">
        <v>66</v>
      </c>
      <c r="H329" s="7" t="n">
        <v>49.5</v>
      </c>
      <c r="I329" s="7" t="str">
        <f aca="false">IF(B329="",TRIM(C329),TRIM(B329))</f>
        <v>Cameroon Demographic and Health Survey 1991</v>
      </c>
      <c r="J329" s="7" t="str">
        <f aca="false">IF(ISNUMBER(SEARCH("Demographic and Health",I329)),"DHS",IF(OR(ISNUMBER(SEARCH("Multiple Indicator Cluster",I329)),ISNUMBER(SEARCH("MICS",I329))),"MICS","Other"))</f>
        <v>DHS</v>
      </c>
      <c r="K329" s="7" t="n">
        <f aca="false">IF(AND(F329="Record or Recall",G329="12-23 m"),1,0)</f>
        <v>0</v>
      </c>
      <c r="L329" s="7" t="n">
        <f aca="false">IF(OR(J329="DHS",J329="MICS"),1,0)</f>
        <v>1</v>
      </c>
    </row>
    <row r="330" customFormat="false" ht="15" hidden="false" customHeight="false" outlineLevel="0" collapsed="false">
      <c r="A330" s="7" t="s">
        <v>348</v>
      </c>
      <c r="B330" s="7" t="s">
        <v>352</v>
      </c>
      <c r="C330" s="7" t="s">
        <v>353</v>
      </c>
      <c r="D330" s="7" t="n">
        <v>1990</v>
      </c>
      <c r="E330" s="7" t="s">
        <v>81</v>
      </c>
      <c r="F330" s="7" t="s">
        <v>92</v>
      </c>
      <c r="G330" s="7" t="s">
        <v>66</v>
      </c>
      <c r="H330" s="7" t="n">
        <v>47</v>
      </c>
      <c r="I330" s="7" t="str">
        <f aca="false">IF(B330="",TRIM(C330),TRIM(B330))</f>
        <v>Cameroon Demographic and Health Survey 1991</v>
      </c>
      <c r="J330" s="7" t="str">
        <f aca="false">IF(ISNUMBER(SEARCH("Demographic and Health",I330)),"DHS",IF(OR(ISNUMBER(SEARCH("Multiple Indicator Cluster",I330)),ISNUMBER(SEARCH("MICS",I330))),"MICS","Other"))</f>
        <v>DHS</v>
      </c>
      <c r="K330" s="7" t="n">
        <f aca="false">IF(AND(F330="Record or Recall",G330="12-23 m"),1,0)</f>
        <v>0</v>
      </c>
      <c r="L330" s="7" t="n">
        <f aca="false">IF(OR(J330="DHS",J330="MICS"),1,0)</f>
        <v>1</v>
      </c>
    </row>
    <row r="331" customFormat="false" ht="15" hidden="false" customHeight="false" outlineLevel="0" collapsed="false">
      <c r="A331" s="7" t="s">
        <v>348</v>
      </c>
      <c r="B331" s="7" t="s">
        <v>352</v>
      </c>
      <c r="C331" s="7" t="s">
        <v>353</v>
      </c>
      <c r="D331" s="7" t="n">
        <v>1990</v>
      </c>
      <c r="E331" s="7" t="s">
        <v>81</v>
      </c>
      <c r="F331" s="7" t="s">
        <v>63</v>
      </c>
      <c r="G331" s="7" t="s">
        <v>66</v>
      </c>
      <c r="H331" s="7" t="n">
        <v>70.1</v>
      </c>
      <c r="I331" s="7" t="str">
        <f aca="false">IF(B331="",TRIM(C331),TRIM(B331))</f>
        <v>Cameroon Demographic and Health Survey 1991</v>
      </c>
      <c r="J331" s="7" t="str">
        <f aca="false">IF(ISNUMBER(SEARCH("Demographic and Health",I331)),"DHS",IF(OR(ISNUMBER(SEARCH("Multiple Indicator Cluster",I331)),ISNUMBER(SEARCH("MICS",I331))),"MICS","Other"))</f>
        <v>DHS</v>
      </c>
      <c r="K331" s="7" t="n">
        <f aca="false">IF(AND(F331="Record or Recall",G331="12-23 m"),1,0)</f>
        <v>1</v>
      </c>
      <c r="L331" s="7" t="n">
        <f aca="false">IF(OR(J331="DHS",J331="MICS"),1,0)</f>
        <v>1</v>
      </c>
    </row>
    <row r="332" customFormat="false" ht="15" hidden="false" customHeight="false" outlineLevel="0" collapsed="false">
      <c r="A332" s="7" t="s">
        <v>348</v>
      </c>
      <c r="B332" s="7" t="s">
        <v>352</v>
      </c>
      <c r="C332" s="7" t="s">
        <v>353</v>
      </c>
      <c r="D332" s="7" t="n">
        <v>1990</v>
      </c>
      <c r="E332" s="7" t="s">
        <v>81</v>
      </c>
      <c r="F332" s="7" t="s">
        <v>87</v>
      </c>
      <c r="G332" s="7" t="s">
        <v>66</v>
      </c>
      <c r="H332" s="7" t="n">
        <v>20.6</v>
      </c>
      <c r="I332" s="7" t="str">
        <f aca="false">IF(B332="",TRIM(C332),TRIM(B332))</f>
        <v>Cameroon Demographic and Health Survey 1991</v>
      </c>
      <c r="J332" s="7" t="str">
        <f aca="false">IF(ISNUMBER(SEARCH("Demographic and Health",I332)),"DHS",IF(OR(ISNUMBER(SEARCH("Multiple Indicator Cluster",I332)),ISNUMBER(SEARCH("MICS",I332))),"MICS","Other"))</f>
        <v>DHS</v>
      </c>
      <c r="K332" s="7" t="n">
        <f aca="false">IF(AND(F332="Record or Recall",G332="12-23 m"),1,0)</f>
        <v>0</v>
      </c>
      <c r="L332" s="7" t="n">
        <f aca="false">IF(OR(J332="DHS",J332="MICS"),1,0)</f>
        <v>1</v>
      </c>
    </row>
    <row r="333" customFormat="false" ht="15" hidden="false" customHeight="false" outlineLevel="0" collapsed="false">
      <c r="A333" s="7" t="s">
        <v>348</v>
      </c>
      <c r="B333" s="7" t="s">
        <v>352</v>
      </c>
      <c r="C333" s="7" t="s">
        <v>353</v>
      </c>
      <c r="D333" s="7" t="n">
        <v>1990</v>
      </c>
      <c r="E333" s="7" t="s">
        <v>67</v>
      </c>
      <c r="F333" s="7" t="s">
        <v>78</v>
      </c>
      <c r="G333" s="7" t="s">
        <v>66</v>
      </c>
      <c r="H333" s="7" t="n">
        <v>42.5</v>
      </c>
      <c r="I333" s="7" t="str">
        <f aca="false">IF(B333="",TRIM(C333),TRIM(B333))</f>
        <v>Cameroon Demographic and Health Survey 1991</v>
      </c>
      <c r="J333" s="7" t="str">
        <f aca="false">IF(ISNUMBER(SEARCH("Demographic and Health",I333)),"DHS",IF(OR(ISNUMBER(SEARCH("Multiple Indicator Cluster",I333)),ISNUMBER(SEARCH("MICS",I333))),"MICS","Other"))</f>
        <v>DHS</v>
      </c>
      <c r="K333" s="7" t="n">
        <f aca="false">IF(AND(F333="Record or Recall",G333="12-23 m"),1,0)</f>
        <v>0</v>
      </c>
      <c r="L333" s="7" t="n">
        <f aca="false">IF(OR(J333="DHS",J333="MICS"),1,0)</f>
        <v>1</v>
      </c>
    </row>
    <row r="334" customFormat="false" ht="15" hidden="false" customHeight="false" outlineLevel="0" collapsed="false">
      <c r="A334" s="7" t="s">
        <v>348</v>
      </c>
      <c r="B334" s="7" t="s">
        <v>352</v>
      </c>
      <c r="C334" s="7" t="s">
        <v>353</v>
      </c>
      <c r="D334" s="7" t="n">
        <v>1990</v>
      </c>
      <c r="E334" s="7" t="s">
        <v>67</v>
      </c>
      <c r="F334" s="7" t="s">
        <v>86</v>
      </c>
      <c r="G334" s="7" t="s">
        <v>66</v>
      </c>
      <c r="H334" s="7" t="n">
        <v>39.2</v>
      </c>
      <c r="I334" s="7" t="str">
        <f aca="false">IF(B334="",TRIM(C334),TRIM(B334))</f>
        <v>Cameroon Demographic and Health Survey 1991</v>
      </c>
      <c r="J334" s="7" t="str">
        <f aca="false">IF(ISNUMBER(SEARCH("Demographic and Health",I334)),"DHS",IF(OR(ISNUMBER(SEARCH("Multiple Indicator Cluster",I334)),ISNUMBER(SEARCH("MICS",I334))),"MICS","Other"))</f>
        <v>DHS</v>
      </c>
      <c r="K334" s="7" t="n">
        <f aca="false">IF(AND(F334="Record or Recall",G334="12-23 m"),1,0)</f>
        <v>0</v>
      </c>
      <c r="L334" s="7" t="n">
        <f aca="false">IF(OR(J334="DHS",J334="MICS"),1,0)</f>
        <v>1</v>
      </c>
    </row>
    <row r="335" customFormat="false" ht="15" hidden="false" customHeight="false" outlineLevel="0" collapsed="false">
      <c r="A335" s="7" t="s">
        <v>348</v>
      </c>
      <c r="B335" s="7" t="s">
        <v>352</v>
      </c>
      <c r="C335" s="7" t="s">
        <v>353</v>
      </c>
      <c r="D335" s="7" t="n">
        <v>1990</v>
      </c>
      <c r="E335" s="7" t="s">
        <v>67</v>
      </c>
      <c r="F335" s="7" t="s">
        <v>92</v>
      </c>
      <c r="G335" s="7" t="s">
        <v>66</v>
      </c>
      <c r="H335" s="7" t="n">
        <v>34.7</v>
      </c>
      <c r="I335" s="7" t="str">
        <f aca="false">IF(B335="",TRIM(C335),TRIM(B335))</f>
        <v>Cameroon Demographic and Health Survey 1991</v>
      </c>
      <c r="J335" s="7" t="str">
        <f aca="false">IF(ISNUMBER(SEARCH("Demographic and Health",I335)),"DHS",IF(OR(ISNUMBER(SEARCH("Multiple Indicator Cluster",I335)),ISNUMBER(SEARCH("MICS",I335))),"MICS","Other"))</f>
        <v>DHS</v>
      </c>
      <c r="K335" s="7" t="n">
        <f aca="false">IF(AND(F335="Record or Recall",G335="12-23 m"),1,0)</f>
        <v>0</v>
      </c>
      <c r="L335" s="7" t="n">
        <f aca="false">IF(OR(J335="DHS",J335="MICS"),1,0)</f>
        <v>1</v>
      </c>
    </row>
    <row r="336" customFormat="false" ht="15" hidden="false" customHeight="false" outlineLevel="0" collapsed="false">
      <c r="A336" s="7" t="s">
        <v>348</v>
      </c>
      <c r="B336" s="7" t="s">
        <v>352</v>
      </c>
      <c r="C336" s="7" t="s">
        <v>353</v>
      </c>
      <c r="D336" s="7" t="n">
        <v>1990</v>
      </c>
      <c r="E336" s="7" t="s">
        <v>67</v>
      </c>
      <c r="F336" s="7" t="s">
        <v>63</v>
      </c>
      <c r="G336" s="7" t="s">
        <v>66</v>
      </c>
      <c r="H336" s="7" t="n">
        <v>48</v>
      </c>
      <c r="I336" s="7" t="str">
        <f aca="false">IF(B336="",TRIM(C336),TRIM(B336))</f>
        <v>Cameroon Demographic and Health Survey 1991</v>
      </c>
      <c r="J336" s="7" t="str">
        <f aca="false">IF(ISNUMBER(SEARCH("Demographic and Health",I336)),"DHS",IF(OR(ISNUMBER(SEARCH("Multiple Indicator Cluster",I336)),ISNUMBER(SEARCH("MICS",I336))),"MICS","Other"))</f>
        <v>DHS</v>
      </c>
      <c r="K336" s="7" t="n">
        <f aca="false">IF(AND(F336="Record or Recall",G336="12-23 m"),1,0)</f>
        <v>1</v>
      </c>
      <c r="L336" s="7" t="n">
        <f aca="false">IF(OR(J336="DHS",J336="MICS"),1,0)</f>
        <v>1</v>
      </c>
    </row>
    <row r="337" customFormat="false" ht="15" hidden="false" customHeight="false" outlineLevel="0" collapsed="false">
      <c r="A337" s="7" t="s">
        <v>348</v>
      </c>
      <c r="B337" s="7" t="s">
        <v>352</v>
      </c>
      <c r="C337" s="7" t="s">
        <v>353</v>
      </c>
      <c r="D337" s="7" t="n">
        <v>1990</v>
      </c>
      <c r="E337" s="7" t="s">
        <v>67</v>
      </c>
      <c r="F337" s="7" t="s">
        <v>87</v>
      </c>
      <c r="G337" s="7" t="s">
        <v>66</v>
      </c>
      <c r="H337" s="7" t="n">
        <v>8.8</v>
      </c>
      <c r="I337" s="7" t="str">
        <f aca="false">IF(B337="",TRIM(C337),TRIM(B337))</f>
        <v>Cameroon Demographic and Health Survey 1991</v>
      </c>
      <c r="J337" s="7" t="str">
        <f aca="false">IF(ISNUMBER(SEARCH("Demographic and Health",I337)),"DHS",IF(OR(ISNUMBER(SEARCH("Multiple Indicator Cluster",I337)),ISNUMBER(SEARCH("MICS",I337))),"MICS","Other"))</f>
        <v>DHS</v>
      </c>
      <c r="K337" s="7" t="n">
        <f aca="false">IF(AND(F337="Record or Recall",G337="12-23 m"),1,0)</f>
        <v>0</v>
      </c>
      <c r="L337" s="7" t="n">
        <f aca="false">IF(OR(J337="DHS",J337="MICS"),1,0)</f>
        <v>1</v>
      </c>
    </row>
    <row r="338" customFormat="false" ht="15" hidden="false" customHeight="false" outlineLevel="0" collapsed="false">
      <c r="A338" s="7" t="s">
        <v>348</v>
      </c>
      <c r="B338" s="7" t="s">
        <v>352</v>
      </c>
      <c r="C338" s="7" t="s">
        <v>353</v>
      </c>
      <c r="D338" s="7" t="n">
        <v>1990</v>
      </c>
      <c r="E338" s="7" t="s">
        <v>82</v>
      </c>
      <c r="F338" s="7" t="s">
        <v>78</v>
      </c>
      <c r="G338" s="7" t="s">
        <v>66</v>
      </c>
      <c r="H338" s="7" t="n">
        <v>31.5</v>
      </c>
      <c r="I338" s="7" t="str">
        <f aca="false">IF(B338="",TRIM(C338),TRIM(B338))</f>
        <v>Cameroon Demographic and Health Survey 1991</v>
      </c>
      <c r="J338" s="7" t="str">
        <f aca="false">IF(ISNUMBER(SEARCH("Demographic and Health",I338)),"DHS",IF(OR(ISNUMBER(SEARCH("Multiple Indicator Cluster",I338)),ISNUMBER(SEARCH("MICS",I338))),"MICS","Other"))</f>
        <v>DHS</v>
      </c>
      <c r="K338" s="7" t="n">
        <f aca="false">IF(AND(F338="Record or Recall",G338="12-23 m"),1,0)</f>
        <v>0</v>
      </c>
      <c r="L338" s="7" t="n">
        <f aca="false">IF(OR(J338="DHS",J338="MICS"),1,0)</f>
        <v>1</v>
      </c>
    </row>
    <row r="339" customFormat="false" ht="15" hidden="false" customHeight="false" outlineLevel="0" collapsed="false">
      <c r="A339" s="7" t="s">
        <v>348</v>
      </c>
      <c r="B339" s="7" t="s">
        <v>352</v>
      </c>
      <c r="C339" s="7" t="s">
        <v>353</v>
      </c>
      <c r="D339" s="7" t="n">
        <v>1990</v>
      </c>
      <c r="E339" s="7" t="s">
        <v>82</v>
      </c>
      <c r="F339" s="7" t="s">
        <v>86</v>
      </c>
      <c r="G339" s="7" t="s">
        <v>66</v>
      </c>
      <c r="H339" s="7" t="n">
        <v>33.2</v>
      </c>
      <c r="I339" s="7" t="str">
        <f aca="false">IF(B339="",TRIM(C339),TRIM(B339))</f>
        <v>Cameroon Demographic and Health Survey 1991</v>
      </c>
      <c r="J339" s="7" t="str">
        <f aca="false">IF(ISNUMBER(SEARCH("Demographic and Health",I339)),"DHS",IF(OR(ISNUMBER(SEARCH("Multiple Indicator Cluster",I339)),ISNUMBER(SEARCH("MICS",I339))),"MICS","Other"))</f>
        <v>DHS</v>
      </c>
      <c r="K339" s="7" t="n">
        <f aca="false">IF(AND(F339="Record or Recall",G339="12-23 m"),1,0)</f>
        <v>0</v>
      </c>
      <c r="L339" s="7" t="n">
        <f aca="false">IF(OR(J339="DHS",J339="MICS"),1,0)</f>
        <v>1</v>
      </c>
    </row>
    <row r="340" customFormat="false" ht="15" hidden="false" customHeight="false" outlineLevel="0" collapsed="false">
      <c r="A340" s="7" t="s">
        <v>348</v>
      </c>
      <c r="B340" s="7" t="s">
        <v>352</v>
      </c>
      <c r="C340" s="7" t="s">
        <v>353</v>
      </c>
      <c r="D340" s="7" t="n">
        <v>1990</v>
      </c>
      <c r="E340" s="7" t="s">
        <v>82</v>
      </c>
      <c r="F340" s="7" t="s">
        <v>92</v>
      </c>
      <c r="G340" s="7" t="s">
        <v>66</v>
      </c>
      <c r="H340" s="7" t="n">
        <v>25.8</v>
      </c>
      <c r="I340" s="7" t="str">
        <f aca="false">IF(B340="",TRIM(C340),TRIM(B340))</f>
        <v>Cameroon Demographic and Health Survey 1991</v>
      </c>
      <c r="J340" s="7" t="str">
        <f aca="false">IF(ISNUMBER(SEARCH("Demographic and Health",I340)),"DHS",IF(OR(ISNUMBER(SEARCH("Multiple Indicator Cluster",I340)),ISNUMBER(SEARCH("MICS",I340))),"MICS","Other"))</f>
        <v>DHS</v>
      </c>
      <c r="K340" s="7" t="n">
        <f aca="false">IF(AND(F340="Record or Recall",G340="12-23 m"),1,0)</f>
        <v>0</v>
      </c>
      <c r="L340" s="7" t="n">
        <f aca="false">IF(OR(J340="DHS",J340="MICS"),1,0)</f>
        <v>1</v>
      </c>
    </row>
    <row r="341" customFormat="false" ht="15" hidden="false" customHeight="false" outlineLevel="0" collapsed="false">
      <c r="A341" s="7" t="s">
        <v>348</v>
      </c>
      <c r="B341" s="7" t="s">
        <v>352</v>
      </c>
      <c r="C341" s="7" t="s">
        <v>353</v>
      </c>
      <c r="D341" s="7" t="n">
        <v>1990</v>
      </c>
      <c r="E341" s="7" t="s">
        <v>82</v>
      </c>
      <c r="F341" s="7" t="s">
        <v>63</v>
      </c>
      <c r="G341" s="7" t="s">
        <v>66</v>
      </c>
      <c r="H341" s="7" t="n">
        <v>40.6</v>
      </c>
      <c r="I341" s="7" t="str">
        <f aca="false">IF(B341="",TRIM(C341),TRIM(B341))</f>
        <v>Cameroon Demographic and Health Survey 1991</v>
      </c>
      <c r="J341" s="7" t="str">
        <f aca="false">IF(ISNUMBER(SEARCH("Demographic and Health",I341)),"DHS",IF(OR(ISNUMBER(SEARCH("Multiple Indicator Cluster",I341)),ISNUMBER(SEARCH("MICS",I341))),"MICS","Other"))</f>
        <v>DHS</v>
      </c>
      <c r="K341" s="7" t="n">
        <f aca="false">IF(AND(F341="Record or Recall",G341="12-23 m"),1,0)</f>
        <v>1</v>
      </c>
      <c r="L341" s="7" t="n">
        <f aca="false">IF(OR(J341="DHS",J341="MICS"),1,0)</f>
        <v>1</v>
      </c>
    </row>
    <row r="342" customFormat="false" ht="15" hidden="false" customHeight="false" outlineLevel="0" collapsed="false">
      <c r="A342" s="7" t="s">
        <v>348</v>
      </c>
      <c r="B342" s="7" t="s">
        <v>352</v>
      </c>
      <c r="C342" s="7" t="s">
        <v>353</v>
      </c>
      <c r="D342" s="7" t="n">
        <v>1990</v>
      </c>
      <c r="E342" s="7" t="s">
        <v>82</v>
      </c>
      <c r="F342" s="7" t="s">
        <v>87</v>
      </c>
      <c r="G342" s="7" t="s">
        <v>66</v>
      </c>
      <c r="H342" s="7" t="n">
        <v>7.4</v>
      </c>
      <c r="I342" s="7" t="str">
        <f aca="false">IF(B342="",TRIM(C342),TRIM(B342))</f>
        <v>Cameroon Demographic and Health Survey 1991</v>
      </c>
      <c r="J342" s="7" t="str">
        <f aca="false">IF(ISNUMBER(SEARCH("Demographic and Health",I342)),"DHS",IF(OR(ISNUMBER(SEARCH("Multiple Indicator Cluster",I342)),ISNUMBER(SEARCH("MICS",I342))),"MICS","Other"))</f>
        <v>DHS</v>
      </c>
      <c r="K342" s="7" t="n">
        <f aca="false">IF(AND(F342="Record or Recall",G342="12-23 m"),1,0)</f>
        <v>0</v>
      </c>
      <c r="L342" s="7" t="n">
        <f aca="false">IF(OR(J342="DHS",J342="MICS"),1,0)</f>
        <v>1</v>
      </c>
    </row>
    <row r="343" customFormat="false" ht="15" hidden="false" customHeight="false" outlineLevel="0" collapsed="false">
      <c r="A343" s="7" t="s">
        <v>348</v>
      </c>
      <c r="B343" s="7" t="s">
        <v>352</v>
      </c>
      <c r="C343" s="7" t="s">
        <v>353</v>
      </c>
      <c r="D343" s="7" t="n">
        <v>1990</v>
      </c>
      <c r="E343" s="7" t="s">
        <v>68</v>
      </c>
      <c r="F343" s="7" t="s">
        <v>78</v>
      </c>
      <c r="G343" s="7" t="s">
        <v>66</v>
      </c>
      <c r="H343" s="7" t="n">
        <v>44.2</v>
      </c>
      <c r="I343" s="7" t="str">
        <f aca="false">IF(B343="",TRIM(C343),TRIM(B343))</f>
        <v>Cameroon Demographic and Health Survey 1991</v>
      </c>
      <c r="J343" s="7" t="str">
        <f aca="false">IF(ISNUMBER(SEARCH("Demographic and Health",I343)),"DHS",IF(OR(ISNUMBER(SEARCH("Multiple Indicator Cluster",I343)),ISNUMBER(SEARCH("MICS",I343))),"MICS","Other"))</f>
        <v>DHS</v>
      </c>
      <c r="K343" s="7" t="n">
        <f aca="false">IF(AND(F343="Record or Recall",G343="12-23 m"),1,0)</f>
        <v>0</v>
      </c>
      <c r="L343" s="7" t="n">
        <f aca="false">IF(OR(J343="DHS",J343="MICS"),1,0)</f>
        <v>1</v>
      </c>
    </row>
    <row r="344" customFormat="false" ht="15" hidden="false" customHeight="false" outlineLevel="0" collapsed="false">
      <c r="A344" s="7" t="s">
        <v>348</v>
      </c>
      <c r="B344" s="7" t="s">
        <v>352</v>
      </c>
      <c r="C344" s="7" t="s">
        <v>353</v>
      </c>
      <c r="D344" s="7" t="n">
        <v>1990</v>
      </c>
      <c r="E344" s="7" t="s">
        <v>68</v>
      </c>
      <c r="F344" s="7" t="s">
        <v>86</v>
      </c>
      <c r="G344" s="7" t="s">
        <v>66</v>
      </c>
      <c r="H344" s="7" t="n">
        <v>39.1</v>
      </c>
      <c r="I344" s="7" t="str">
        <f aca="false">IF(B344="",TRIM(C344),TRIM(B344))</f>
        <v>Cameroon Demographic and Health Survey 1991</v>
      </c>
      <c r="J344" s="7" t="str">
        <f aca="false">IF(ISNUMBER(SEARCH("Demographic and Health",I344)),"DHS",IF(OR(ISNUMBER(SEARCH("Multiple Indicator Cluster",I344)),ISNUMBER(SEARCH("MICS",I344))),"MICS","Other"))</f>
        <v>DHS</v>
      </c>
      <c r="K344" s="7" t="n">
        <f aca="false">IF(AND(F344="Record or Recall",G344="12-23 m"),1,0)</f>
        <v>0</v>
      </c>
      <c r="L344" s="7" t="n">
        <f aca="false">IF(OR(J344="DHS",J344="MICS"),1,0)</f>
        <v>1</v>
      </c>
    </row>
    <row r="345" customFormat="false" ht="15" hidden="false" customHeight="false" outlineLevel="0" collapsed="false">
      <c r="A345" s="7" t="s">
        <v>348</v>
      </c>
      <c r="B345" s="7" t="s">
        <v>352</v>
      </c>
      <c r="C345" s="7" t="s">
        <v>353</v>
      </c>
      <c r="D345" s="7" t="n">
        <v>1990</v>
      </c>
      <c r="E345" s="7" t="s">
        <v>68</v>
      </c>
      <c r="F345" s="7" t="s">
        <v>92</v>
      </c>
      <c r="G345" s="7" t="s">
        <v>66</v>
      </c>
      <c r="H345" s="7" t="n">
        <v>30.9</v>
      </c>
      <c r="I345" s="7" t="str">
        <f aca="false">IF(B345="",TRIM(C345),TRIM(B345))</f>
        <v>Cameroon Demographic and Health Survey 1991</v>
      </c>
      <c r="J345" s="7" t="str">
        <f aca="false">IF(ISNUMBER(SEARCH("Demographic and Health",I345)),"DHS",IF(OR(ISNUMBER(SEARCH("Multiple Indicator Cluster",I345)),ISNUMBER(SEARCH("MICS",I345))),"MICS","Other"))</f>
        <v>DHS</v>
      </c>
      <c r="K345" s="7" t="n">
        <f aca="false">IF(AND(F345="Record or Recall",G345="12-23 m"),1,0)</f>
        <v>0</v>
      </c>
      <c r="L345" s="7" t="n">
        <f aca="false">IF(OR(J345="DHS",J345="MICS"),1,0)</f>
        <v>1</v>
      </c>
    </row>
    <row r="346" customFormat="false" ht="15" hidden="false" customHeight="false" outlineLevel="0" collapsed="false">
      <c r="A346" s="7" t="s">
        <v>348</v>
      </c>
      <c r="B346" s="7" t="s">
        <v>352</v>
      </c>
      <c r="C346" s="7" t="s">
        <v>353</v>
      </c>
      <c r="D346" s="7" t="n">
        <v>1990</v>
      </c>
      <c r="E346" s="7" t="s">
        <v>68</v>
      </c>
      <c r="F346" s="7" t="s">
        <v>63</v>
      </c>
      <c r="G346" s="7" t="s">
        <v>66</v>
      </c>
      <c r="H346" s="7" t="n">
        <v>56</v>
      </c>
      <c r="I346" s="7" t="str">
        <f aca="false">IF(B346="",TRIM(C346),TRIM(B346))</f>
        <v>Cameroon Demographic and Health Survey 1991</v>
      </c>
      <c r="J346" s="7" t="str">
        <f aca="false">IF(ISNUMBER(SEARCH("Demographic and Health",I346)),"DHS",IF(OR(ISNUMBER(SEARCH("Multiple Indicator Cluster",I346)),ISNUMBER(SEARCH("MICS",I346))),"MICS","Other"))</f>
        <v>DHS</v>
      </c>
      <c r="K346" s="7" t="n">
        <f aca="false">IF(AND(F346="Record or Recall",G346="12-23 m"),1,0)</f>
        <v>1</v>
      </c>
      <c r="L346" s="7" t="n">
        <f aca="false">IF(OR(J346="DHS",J346="MICS"),1,0)</f>
        <v>1</v>
      </c>
    </row>
    <row r="347" customFormat="false" ht="15" hidden="false" customHeight="false" outlineLevel="0" collapsed="false">
      <c r="A347" s="7" t="s">
        <v>348</v>
      </c>
      <c r="B347" s="7" t="s">
        <v>352</v>
      </c>
      <c r="C347" s="7" t="s">
        <v>353</v>
      </c>
      <c r="D347" s="7" t="n">
        <v>1990</v>
      </c>
      <c r="E347" s="7" t="s">
        <v>68</v>
      </c>
      <c r="F347" s="7" t="s">
        <v>87</v>
      </c>
      <c r="G347" s="7" t="s">
        <v>66</v>
      </c>
      <c r="H347" s="7" t="n">
        <v>16.8</v>
      </c>
      <c r="I347" s="7" t="str">
        <f aca="false">IF(B347="",TRIM(C347),TRIM(B347))</f>
        <v>Cameroon Demographic and Health Survey 1991</v>
      </c>
      <c r="J347" s="7" t="str">
        <f aca="false">IF(ISNUMBER(SEARCH("Demographic and Health",I347)),"DHS",IF(OR(ISNUMBER(SEARCH("Multiple Indicator Cluster",I347)),ISNUMBER(SEARCH("MICS",I347))),"MICS","Other"))</f>
        <v>DHS</v>
      </c>
      <c r="K347" s="7" t="n">
        <f aca="false">IF(AND(F347="Record or Recall",G347="12-23 m"),1,0)</f>
        <v>0</v>
      </c>
      <c r="L347" s="7" t="n">
        <f aca="false">IF(OR(J347="DHS",J347="MICS"),1,0)</f>
        <v>1</v>
      </c>
    </row>
    <row r="348" customFormat="false" ht="15" hidden="false" customHeight="false" outlineLevel="0" collapsed="false">
      <c r="A348" s="7" t="s">
        <v>348</v>
      </c>
      <c r="B348" s="7" t="s">
        <v>352</v>
      </c>
      <c r="C348" s="7" t="s">
        <v>353</v>
      </c>
      <c r="D348" s="7" t="n">
        <v>1990</v>
      </c>
      <c r="E348" s="7" t="s">
        <v>69</v>
      </c>
      <c r="F348" s="7" t="s">
        <v>86</v>
      </c>
      <c r="G348" s="7" t="s">
        <v>66</v>
      </c>
      <c r="H348" s="7" t="n">
        <v>39.5</v>
      </c>
      <c r="I348" s="7" t="str">
        <f aca="false">IF(B348="",TRIM(C348),TRIM(B348))</f>
        <v>Cameroon Demographic and Health Survey 1991</v>
      </c>
      <c r="J348" s="7" t="str">
        <f aca="false">IF(ISNUMBER(SEARCH("Demographic and Health",I348)),"DHS",IF(OR(ISNUMBER(SEARCH("Multiple Indicator Cluster",I348)),ISNUMBER(SEARCH("MICS",I348))),"MICS","Other"))</f>
        <v>DHS</v>
      </c>
      <c r="K348" s="7" t="n">
        <f aca="false">IF(AND(F348="Record or Recall",G348="12-23 m"),1,0)</f>
        <v>0</v>
      </c>
      <c r="L348" s="7" t="n">
        <f aca="false">IF(OR(J348="DHS",J348="MICS"),1,0)</f>
        <v>1</v>
      </c>
    </row>
    <row r="349" customFormat="false" ht="15" hidden="false" customHeight="false" outlineLevel="0" collapsed="false">
      <c r="A349" s="7" t="s">
        <v>348</v>
      </c>
      <c r="B349" s="7" t="s">
        <v>352</v>
      </c>
      <c r="C349" s="7" t="s">
        <v>353</v>
      </c>
      <c r="D349" s="7" t="n">
        <v>1990</v>
      </c>
      <c r="E349" s="7" t="s">
        <v>69</v>
      </c>
      <c r="F349" s="7" t="s">
        <v>92</v>
      </c>
      <c r="G349" s="7" t="s">
        <v>66</v>
      </c>
      <c r="H349" s="7" t="n">
        <v>35.4</v>
      </c>
      <c r="I349" s="7" t="str">
        <f aca="false">IF(B349="",TRIM(C349),TRIM(B349))</f>
        <v>Cameroon Demographic and Health Survey 1991</v>
      </c>
      <c r="J349" s="7" t="str">
        <f aca="false">IF(ISNUMBER(SEARCH("Demographic and Health",I349)),"DHS",IF(OR(ISNUMBER(SEARCH("Multiple Indicator Cluster",I349)),ISNUMBER(SEARCH("MICS",I349))),"MICS","Other"))</f>
        <v>DHS</v>
      </c>
      <c r="K349" s="7" t="n">
        <f aca="false">IF(AND(F349="Record or Recall",G349="12-23 m"),1,0)</f>
        <v>0</v>
      </c>
      <c r="L349" s="7" t="n">
        <f aca="false">IF(OR(J349="DHS",J349="MICS"),1,0)</f>
        <v>1</v>
      </c>
    </row>
    <row r="350" customFormat="false" ht="15" hidden="false" customHeight="false" outlineLevel="0" collapsed="false">
      <c r="A350" s="7" t="s">
        <v>348</v>
      </c>
      <c r="B350" s="7" t="s">
        <v>352</v>
      </c>
      <c r="C350" s="7" t="s">
        <v>353</v>
      </c>
      <c r="D350" s="7" t="n">
        <v>1990</v>
      </c>
      <c r="E350" s="7" t="s">
        <v>69</v>
      </c>
      <c r="F350" s="7" t="s">
        <v>63</v>
      </c>
      <c r="G350" s="7" t="s">
        <v>66</v>
      </c>
      <c r="H350" s="7" t="n">
        <v>49.7</v>
      </c>
      <c r="I350" s="7" t="str">
        <f aca="false">IF(B350="",TRIM(C350),TRIM(B350))</f>
        <v>Cameroon Demographic and Health Survey 1991</v>
      </c>
      <c r="J350" s="7" t="str">
        <f aca="false">IF(ISNUMBER(SEARCH("Demographic and Health",I350)),"DHS",IF(OR(ISNUMBER(SEARCH("Multiple Indicator Cluster",I350)),ISNUMBER(SEARCH("MICS",I350))),"MICS","Other"))</f>
        <v>DHS</v>
      </c>
      <c r="K350" s="7" t="n">
        <f aca="false">IF(AND(F350="Record or Recall",G350="12-23 m"),1,0)</f>
        <v>1</v>
      </c>
      <c r="L350" s="7" t="n">
        <f aca="false">IF(OR(J350="DHS",J350="MICS"),1,0)</f>
        <v>1</v>
      </c>
    </row>
    <row r="351" customFormat="false" ht="15" hidden="false" customHeight="false" outlineLevel="0" collapsed="false">
      <c r="A351" s="7" t="s">
        <v>348</v>
      </c>
      <c r="B351" s="7" t="s">
        <v>352</v>
      </c>
      <c r="C351" s="7" t="s">
        <v>353</v>
      </c>
      <c r="D351" s="7" t="n">
        <v>1990</v>
      </c>
      <c r="E351" s="7" t="s">
        <v>69</v>
      </c>
      <c r="F351" s="7" t="s">
        <v>87</v>
      </c>
      <c r="G351" s="7" t="s">
        <v>66</v>
      </c>
      <c r="H351" s="7" t="n">
        <v>10.2</v>
      </c>
      <c r="I351" s="7" t="str">
        <f aca="false">IF(B351="",TRIM(C351),TRIM(B351))</f>
        <v>Cameroon Demographic and Health Survey 1991</v>
      </c>
      <c r="J351" s="7" t="str">
        <f aca="false">IF(ISNUMBER(SEARCH("Demographic and Health",I351)),"DHS",IF(OR(ISNUMBER(SEARCH("Multiple Indicator Cluster",I351)),ISNUMBER(SEARCH("MICS",I351))),"MICS","Other"))</f>
        <v>DHS</v>
      </c>
      <c r="K351" s="7" t="n">
        <f aca="false">IF(AND(F351="Record or Recall",G351="12-23 m"),1,0)</f>
        <v>0</v>
      </c>
      <c r="L351" s="7" t="n">
        <f aca="false">IF(OR(J351="DHS",J351="MICS"),1,0)</f>
        <v>1</v>
      </c>
    </row>
    <row r="352" customFormat="false" ht="15" hidden="false" customHeight="false" outlineLevel="0" collapsed="false">
      <c r="A352" s="7" t="s">
        <v>348</v>
      </c>
      <c r="B352" s="7" t="s">
        <v>352</v>
      </c>
      <c r="C352" s="7" t="s">
        <v>353</v>
      </c>
      <c r="D352" s="7" t="n">
        <v>1990</v>
      </c>
      <c r="E352" s="7" t="s">
        <v>69</v>
      </c>
      <c r="F352" s="7" t="s">
        <v>78</v>
      </c>
      <c r="G352" s="7" t="s">
        <v>66</v>
      </c>
      <c r="H352" s="7" t="n">
        <v>44.5</v>
      </c>
      <c r="I352" s="7" t="str">
        <f aca="false">IF(B352="",TRIM(C352),TRIM(B352))</f>
        <v>Cameroon Demographic and Health Survey 1991</v>
      </c>
      <c r="J352" s="7" t="str">
        <f aca="false">IF(ISNUMBER(SEARCH("Demographic and Health",I352)),"DHS",IF(OR(ISNUMBER(SEARCH("Multiple Indicator Cluster",I352)),ISNUMBER(SEARCH("MICS",I352))),"MICS","Other"))</f>
        <v>DHS</v>
      </c>
      <c r="K352" s="7" t="n">
        <f aca="false">IF(AND(F352="Record or Recall",G352="12-23 m"),1,0)</f>
        <v>0</v>
      </c>
      <c r="L352" s="7" t="n">
        <f aca="false">IF(OR(J352="DHS",J352="MICS"),1,0)</f>
        <v>1</v>
      </c>
    </row>
    <row r="353" customFormat="false" ht="15" hidden="false" customHeight="false" outlineLevel="0" collapsed="false">
      <c r="A353" s="7" t="s">
        <v>348</v>
      </c>
      <c r="C353" s="7" t="s">
        <v>354</v>
      </c>
      <c r="D353" s="7" t="n">
        <v>1990</v>
      </c>
      <c r="E353" s="7" t="s">
        <v>62</v>
      </c>
      <c r="F353" s="7" t="s">
        <v>90</v>
      </c>
      <c r="G353" s="7" t="s">
        <v>66</v>
      </c>
      <c r="H353" s="7" t="n">
        <v>60</v>
      </c>
      <c r="I353" s="7" t="str">
        <f aca="false">IF(B353="",TRIM(C353),TRIM(B353))</f>
        <v>WHO/EPI/CEIS/92.1</v>
      </c>
      <c r="J353" s="7" t="str">
        <f aca="false">IF(ISNUMBER(SEARCH("Demographic and Health",I353)),"DHS",IF(OR(ISNUMBER(SEARCH("Multiple Indicator Cluster",I353)),ISNUMBER(SEARCH("MICS",I353))),"MICS","Other"))</f>
        <v>Other</v>
      </c>
      <c r="K353" s="7" t="n">
        <f aca="false">IF(AND(F353="Record or Recall",G353="12-23 m"),1,0)</f>
        <v>0</v>
      </c>
      <c r="L353" s="7" t="n">
        <f aca="false">IF(OR(J353="DHS",J353="MICS"),1,0)</f>
        <v>0</v>
      </c>
    </row>
    <row r="354" customFormat="false" ht="15" hidden="false" customHeight="false" outlineLevel="0" collapsed="false">
      <c r="A354" s="7" t="s">
        <v>348</v>
      </c>
      <c r="C354" s="7" t="s">
        <v>354</v>
      </c>
      <c r="D354" s="7" t="n">
        <v>1990</v>
      </c>
      <c r="E354" s="7" t="s">
        <v>81</v>
      </c>
      <c r="F354" s="7" t="s">
        <v>90</v>
      </c>
      <c r="G354" s="7" t="s">
        <v>66</v>
      </c>
      <c r="H354" s="7" t="n">
        <v>64</v>
      </c>
      <c r="I354" s="7" t="str">
        <f aca="false">IF(B354="",TRIM(C354),TRIM(B354))</f>
        <v>WHO/EPI/CEIS/92.1</v>
      </c>
      <c r="J354" s="7" t="str">
        <f aca="false">IF(ISNUMBER(SEARCH("Demographic and Health",I354)),"DHS",IF(OR(ISNUMBER(SEARCH("Multiple Indicator Cluster",I354)),ISNUMBER(SEARCH("MICS",I354))),"MICS","Other"))</f>
        <v>Other</v>
      </c>
      <c r="K354" s="7" t="n">
        <f aca="false">IF(AND(F354="Record or Recall",G354="12-23 m"),1,0)</f>
        <v>0</v>
      </c>
      <c r="L354" s="7" t="n">
        <f aca="false">IF(OR(J354="DHS",J354="MICS"),1,0)</f>
        <v>0</v>
      </c>
    </row>
    <row r="355" customFormat="false" ht="15" hidden="false" customHeight="false" outlineLevel="0" collapsed="false">
      <c r="A355" s="7" t="s">
        <v>348</v>
      </c>
      <c r="C355" s="7" t="s">
        <v>354</v>
      </c>
      <c r="D355" s="7" t="n">
        <v>1990</v>
      </c>
      <c r="E355" s="7" t="s">
        <v>67</v>
      </c>
      <c r="F355" s="7" t="s">
        <v>90</v>
      </c>
      <c r="G355" s="7" t="s">
        <v>66</v>
      </c>
      <c r="H355" s="7" t="n">
        <v>50</v>
      </c>
      <c r="I355" s="7" t="str">
        <f aca="false">IF(B355="",TRIM(C355),TRIM(B355))</f>
        <v>WHO/EPI/CEIS/92.1</v>
      </c>
      <c r="J355" s="7" t="str">
        <f aca="false">IF(ISNUMBER(SEARCH("Demographic and Health",I355)),"DHS",IF(OR(ISNUMBER(SEARCH("Multiple Indicator Cluster",I355)),ISNUMBER(SEARCH("MICS",I355))),"MICS","Other"))</f>
        <v>Other</v>
      </c>
      <c r="K355" s="7" t="n">
        <f aca="false">IF(AND(F355="Record or Recall",G355="12-23 m"),1,0)</f>
        <v>0</v>
      </c>
      <c r="L355" s="7" t="n">
        <f aca="false">IF(OR(J355="DHS",J355="MICS"),1,0)</f>
        <v>0</v>
      </c>
    </row>
    <row r="356" customFormat="false" ht="15" hidden="false" customHeight="false" outlineLevel="0" collapsed="false">
      <c r="A356" s="7" t="s">
        <v>348</v>
      </c>
      <c r="C356" s="7" t="s">
        <v>354</v>
      </c>
      <c r="D356" s="7" t="n">
        <v>1990</v>
      </c>
      <c r="E356" s="7" t="s">
        <v>68</v>
      </c>
      <c r="F356" s="7" t="s">
        <v>90</v>
      </c>
      <c r="G356" s="7" t="s">
        <v>66</v>
      </c>
      <c r="H356" s="7" t="n">
        <v>50</v>
      </c>
      <c r="I356" s="7" t="str">
        <f aca="false">IF(B356="",TRIM(C356),TRIM(B356))</f>
        <v>WHO/EPI/CEIS/92.1</v>
      </c>
      <c r="J356" s="7" t="str">
        <f aca="false">IF(ISNUMBER(SEARCH("Demographic and Health",I356)),"DHS",IF(OR(ISNUMBER(SEARCH("Multiple Indicator Cluster",I356)),ISNUMBER(SEARCH("MICS",I356))),"MICS","Other"))</f>
        <v>Other</v>
      </c>
      <c r="K356" s="7" t="n">
        <f aca="false">IF(AND(F356="Record or Recall",G356="12-23 m"),1,0)</f>
        <v>0</v>
      </c>
      <c r="L356" s="7" t="n">
        <f aca="false">IF(OR(J356="DHS",J356="MICS"),1,0)</f>
        <v>0</v>
      </c>
    </row>
    <row r="357" customFormat="false" ht="15" hidden="false" customHeight="false" outlineLevel="0" collapsed="false">
      <c r="A357" s="7" t="s">
        <v>348</v>
      </c>
      <c r="C357" s="7" t="s">
        <v>354</v>
      </c>
      <c r="D357" s="7" t="n">
        <v>1990</v>
      </c>
      <c r="E357" s="7" t="s">
        <v>69</v>
      </c>
      <c r="F357" s="7" t="s">
        <v>90</v>
      </c>
      <c r="G357" s="7" t="s">
        <v>66</v>
      </c>
      <c r="H357" s="7" t="n">
        <v>48</v>
      </c>
      <c r="I357" s="7" t="str">
        <f aca="false">IF(B357="",TRIM(C357),TRIM(B357))</f>
        <v>WHO/EPI/CEIS/92.1</v>
      </c>
      <c r="J357" s="7" t="str">
        <f aca="false">IF(ISNUMBER(SEARCH("Demographic and Health",I357)),"DHS",IF(OR(ISNUMBER(SEARCH("Multiple Indicator Cluster",I357)),ISNUMBER(SEARCH("MICS",I357))),"MICS","Other"))</f>
        <v>Other</v>
      </c>
      <c r="K357" s="7" t="n">
        <f aca="false">IF(AND(F357="Record or Recall",G357="12-23 m"),1,0)</f>
        <v>0</v>
      </c>
      <c r="L357" s="7" t="n">
        <f aca="false">IF(OR(J357="DHS",J357="MICS"),1,0)</f>
        <v>0</v>
      </c>
    </row>
    <row r="358" customFormat="false" ht="15" hidden="false" customHeight="false" outlineLevel="0" collapsed="false">
      <c r="A358" s="7" t="s">
        <v>348</v>
      </c>
      <c r="B358" s="7" t="s">
        <v>355</v>
      </c>
      <c r="C358" s="7" t="s">
        <v>356</v>
      </c>
      <c r="D358" s="7" t="n">
        <v>1997</v>
      </c>
      <c r="E358" s="7" t="s">
        <v>62</v>
      </c>
      <c r="F358" s="7" t="s">
        <v>78</v>
      </c>
      <c r="G358" s="7" t="s">
        <v>66</v>
      </c>
      <c r="H358" s="7" t="n">
        <v>72.3</v>
      </c>
      <c r="I358" s="7" t="str">
        <f aca="false">IF(B358="",TRIM(C358),TRIM(B358))</f>
        <v>Cameroon Demographic and Health Survey 1998</v>
      </c>
      <c r="J358" s="7" t="str">
        <f aca="false">IF(ISNUMBER(SEARCH("Demographic and Health",I358)),"DHS",IF(OR(ISNUMBER(SEARCH("Multiple Indicator Cluster",I358)),ISNUMBER(SEARCH("MICS",I358))),"MICS","Other"))</f>
        <v>DHS</v>
      </c>
      <c r="K358" s="7" t="n">
        <f aca="false">IF(AND(F358="Record or Recall",G358="12-23 m"),1,0)</f>
        <v>0</v>
      </c>
      <c r="L358" s="7" t="n">
        <f aca="false">IF(OR(J358="DHS",J358="MICS"),1,0)</f>
        <v>1</v>
      </c>
    </row>
    <row r="359" customFormat="false" ht="15" hidden="false" customHeight="false" outlineLevel="0" collapsed="false">
      <c r="A359" s="7" t="s">
        <v>348</v>
      </c>
      <c r="B359" s="7" t="s">
        <v>355</v>
      </c>
      <c r="C359" s="7" t="s">
        <v>356</v>
      </c>
      <c r="D359" s="7" t="n">
        <v>1997</v>
      </c>
      <c r="E359" s="7" t="s">
        <v>62</v>
      </c>
      <c r="F359" s="7" t="s">
        <v>86</v>
      </c>
      <c r="G359" s="7" t="s">
        <v>66</v>
      </c>
      <c r="H359" s="7" t="n">
        <v>50.2</v>
      </c>
      <c r="I359" s="7" t="str">
        <f aca="false">IF(B359="",TRIM(C359),TRIM(B359))</f>
        <v>Cameroon Demographic and Health Survey 1998</v>
      </c>
      <c r="J359" s="7" t="str">
        <f aca="false">IF(ISNUMBER(SEARCH("Demographic and Health",I359)),"DHS",IF(OR(ISNUMBER(SEARCH("Multiple Indicator Cluster",I359)),ISNUMBER(SEARCH("MICS",I359))),"MICS","Other"))</f>
        <v>DHS</v>
      </c>
      <c r="K359" s="7" t="n">
        <f aca="false">IF(AND(F359="Record or Recall",G359="12-23 m"),1,0)</f>
        <v>0</v>
      </c>
      <c r="L359" s="7" t="n">
        <f aca="false">IF(OR(J359="DHS",J359="MICS"),1,0)</f>
        <v>1</v>
      </c>
    </row>
    <row r="360" customFormat="false" ht="15" hidden="false" customHeight="false" outlineLevel="0" collapsed="false">
      <c r="A360" s="7" t="s">
        <v>348</v>
      </c>
      <c r="B360" s="7" t="s">
        <v>355</v>
      </c>
      <c r="C360" s="7" t="s">
        <v>356</v>
      </c>
      <c r="D360" s="7" t="n">
        <v>1997</v>
      </c>
      <c r="E360" s="7" t="s">
        <v>62</v>
      </c>
      <c r="F360" s="7" t="s">
        <v>63</v>
      </c>
      <c r="G360" s="7" t="s">
        <v>66</v>
      </c>
      <c r="H360" s="7" t="n">
        <v>74.8</v>
      </c>
      <c r="I360" s="7" t="str">
        <f aca="false">IF(B360="",TRIM(C360),TRIM(B360))</f>
        <v>Cameroon Demographic and Health Survey 1998</v>
      </c>
      <c r="J360" s="7" t="str">
        <f aca="false">IF(ISNUMBER(SEARCH("Demographic and Health",I360)),"DHS",IF(OR(ISNUMBER(SEARCH("Multiple Indicator Cluster",I360)),ISNUMBER(SEARCH("MICS",I360))),"MICS","Other"))</f>
        <v>DHS</v>
      </c>
      <c r="K360" s="7" t="n">
        <f aca="false">IF(AND(F360="Record or Recall",G360="12-23 m"),1,0)</f>
        <v>1</v>
      </c>
      <c r="L360" s="7" t="n">
        <f aca="false">IF(OR(J360="DHS",J360="MICS"),1,0)</f>
        <v>1</v>
      </c>
    </row>
    <row r="361" customFormat="false" ht="15" hidden="false" customHeight="false" outlineLevel="0" collapsed="false">
      <c r="A361" s="7" t="s">
        <v>348</v>
      </c>
      <c r="B361" s="7" t="s">
        <v>355</v>
      </c>
      <c r="C361" s="7" t="s">
        <v>356</v>
      </c>
      <c r="D361" s="7" t="n">
        <v>1997</v>
      </c>
      <c r="E361" s="7" t="s">
        <v>62</v>
      </c>
      <c r="F361" s="7" t="s">
        <v>87</v>
      </c>
      <c r="G361" s="7" t="s">
        <v>66</v>
      </c>
      <c r="H361" s="7" t="n">
        <v>24.6</v>
      </c>
      <c r="I361" s="7" t="str">
        <f aca="false">IF(B361="",TRIM(C361),TRIM(B361))</f>
        <v>Cameroon Demographic and Health Survey 1998</v>
      </c>
      <c r="J361" s="7" t="str">
        <f aca="false">IF(ISNUMBER(SEARCH("Demographic and Health",I361)),"DHS",IF(OR(ISNUMBER(SEARCH("Multiple Indicator Cluster",I361)),ISNUMBER(SEARCH("MICS",I361))),"MICS","Other"))</f>
        <v>DHS</v>
      </c>
      <c r="K361" s="7" t="n">
        <f aca="false">IF(AND(F361="Record or Recall",G361="12-23 m"),1,0)</f>
        <v>0</v>
      </c>
      <c r="L361" s="7" t="n">
        <f aca="false">IF(OR(J361="DHS",J361="MICS"),1,0)</f>
        <v>1</v>
      </c>
    </row>
    <row r="362" customFormat="false" ht="15" hidden="false" customHeight="false" outlineLevel="0" collapsed="false">
      <c r="A362" s="7" t="s">
        <v>348</v>
      </c>
      <c r="B362" s="7" t="s">
        <v>355</v>
      </c>
      <c r="C362" s="7" t="s">
        <v>356</v>
      </c>
      <c r="D362" s="7" t="n">
        <v>1997</v>
      </c>
      <c r="E362" s="7" t="s">
        <v>81</v>
      </c>
      <c r="F362" s="7" t="s">
        <v>78</v>
      </c>
      <c r="G362" s="7" t="s">
        <v>66</v>
      </c>
      <c r="H362" s="7" t="n">
        <v>70.1</v>
      </c>
      <c r="I362" s="7" t="str">
        <f aca="false">IF(B362="",TRIM(C362),TRIM(B362))</f>
        <v>Cameroon Demographic and Health Survey 1998</v>
      </c>
      <c r="J362" s="7" t="str">
        <f aca="false">IF(ISNUMBER(SEARCH("Demographic and Health",I362)),"DHS",IF(OR(ISNUMBER(SEARCH("Multiple Indicator Cluster",I362)),ISNUMBER(SEARCH("MICS",I362))),"MICS","Other"))</f>
        <v>DHS</v>
      </c>
      <c r="K362" s="7" t="n">
        <f aca="false">IF(AND(F362="Record or Recall",G362="12-23 m"),1,0)</f>
        <v>0</v>
      </c>
      <c r="L362" s="7" t="n">
        <f aca="false">IF(OR(J362="DHS",J362="MICS"),1,0)</f>
        <v>1</v>
      </c>
    </row>
    <row r="363" customFormat="false" ht="15" hidden="false" customHeight="false" outlineLevel="0" collapsed="false">
      <c r="A363" s="7" t="s">
        <v>348</v>
      </c>
      <c r="B363" s="7" t="s">
        <v>355</v>
      </c>
      <c r="C363" s="7" t="s">
        <v>356</v>
      </c>
      <c r="D363" s="7" t="n">
        <v>1997</v>
      </c>
      <c r="E363" s="7" t="s">
        <v>81</v>
      </c>
      <c r="F363" s="7" t="s">
        <v>86</v>
      </c>
      <c r="G363" s="7" t="s">
        <v>66</v>
      </c>
      <c r="H363" s="7" t="n">
        <v>52</v>
      </c>
      <c r="I363" s="7" t="str">
        <f aca="false">IF(B363="",TRIM(C363),TRIM(B363))</f>
        <v>Cameroon Demographic and Health Survey 1998</v>
      </c>
      <c r="J363" s="7" t="str">
        <f aca="false">IF(ISNUMBER(SEARCH("Demographic and Health",I363)),"DHS",IF(OR(ISNUMBER(SEARCH("Multiple Indicator Cluster",I363)),ISNUMBER(SEARCH("MICS",I363))),"MICS","Other"))</f>
        <v>DHS</v>
      </c>
      <c r="K363" s="7" t="n">
        <f aca="false">IF(AND(F363="Record or Recall",G363="12-23 m"),1,0)</f>
        <v>0</v>
      </c>
      <c r="L363" s="7" t="n">
        <f aca="false">IF(OR(J363="DHS",J363="MICS"),1,0)</f>
        <v>1</v>
      </c>
    </row>
    <row r="364" customFormat="false" ht="15" hidden="false" customHeight="false" outlineLevel="0" collapsed="false">
      <c r="A364" s="7" t="s">
        <v>348</v>
      </c>
      <c r="B364" s="7" t="s">
        <v>355</v>
      </c>
      <c r="C364" s="7" t="s">
        <v>356</v>
      </c>
      <c r="D364" s="7" t="n">
        <v>1997</v>
      </c>
      <c r="E364" s="7" t="s">
        <v>81</v>
      </c>
      <c r="F364" s="7" t="s">
        <v>63</v>
      </c>
      <c r="G364" s="7" t="s">
        <v>66</v>
      </c>
      <c r="H364" s="7" t="n">
        <v>73.3</v>
      </c>
      <c r="I364" s="7" t="str">
        <f aca="false">IF(B364="",TRIM(C364),TRIM(B364))</f>
        <v>Cameroon Demographic and Health Survey 1998</v>
      </c>
      <c r="J364" s="7" t="str">
        <f aca="false">IF(ISNUMBER(SEARCH("Demographic and Health",I364)),"DHS",IF(OR(ISNUMBER(SEARCH("Multiple Indicator Cluster",I364)),ISNUMBER(SEARCH("MICS",I364))),"MICS","Other"))</f>
        <v>DHS</v>
      </c>
      <c r="K364" s="7" t="n">
        <f aca="false">IF(AND(F364="Record or Recall",G364="12-23 m"),1,0)</f>
        <v>1</v>
      </c>
      <c r="L364" s="7" t="n">
        <f aca="false">IF(OR(J364="DHS",J364="MICS"),1,0)</f>
        <v>1</v>
      </c>
    </row>
    <row r="365" customFormat="false" ht="15" hidden="false" customHeight="false" outlineLevel="0" collapsed="false">
      <c r="A365" s="7" t="s">
        <v>348</v>
      </c>
      <c r="B365" s="7" t="s">
        <v>355</v>
      </c>
      <c r="C365" s="7" t="s">
        <v>356</v>
      </c>
      <c r="D365" s="7" t="n">
        <v>1997</v>
      </c>
      <c r="E365" s="7" t="s">
        <v>81</v>
      </c>
      <c r="F365" s="7" t="s">
        <v>87</v>
      </c>
      <c r="G365" s="7" t="s">
        <v>66</v>
      </c>
      <c r="H365" s="7" t="n">
        <v>21.3</v>
      </c>
      <c r="I365" s="7" t="str">
        <f aca="false">IF(B365="",TRIM(C365),TRIM(B365))</f>
        <v>Cameroon Demographic and Health Survey 1998</v>
      </c>
      <c r="J365" s="7" t="str">
        <f aca="false">IF(ISNUMBER(SEARCH("Demographic and Health",I365)),"DHS",IF(OR(ISNUMBER(SEARCH("Multiple Indicator Cluster",I365)),ISNUMBER(SEARCH("MICS",I365))),"MICS","Other"))</f>
        <v>DHS</v>
      </c>
      <c r="K365" s="7" t="n">
        <f aca="false">IF(AND(F365="Record or Recall",G365="12-23 m"),1,0)</f>
        <v>0</v>
      </c>
      <c r="L365" s="7" t="n">
        <f aca="false">IF(OR(J365="DHS",J365="MICS"),1,0)</f>
        <v>1</v>
      </c>
    </row>
    <row r="366" customFormat="false" ht="15" hidden="false" customHeight="false" outlineLevel="0" collapsed="false">
      <c r="A366" s="7" t="s">
        <v>348</v>
      </c>
      <c r="B366" s="7" t="s">
        <v>355</v>
      </c>
      <c r="C366" s="7" t="s">
        <v>356</v>
      </c>
      <c r="D366" s="7" t="n">
        <v>1997</v>
      </c>
      <c r="E366" s="7" t="s">
        <v>67</v>
      </c>
      <c r="F366" s="7" t="s">
        <v>78</v>
      </c>
      <c r="G366" s="7" t="s">
        <v>66</v>
      </c>
      <c r="H366" s="7" t="n">
        <v>45.8</v>
      </c>
      <c r="I366" s="7" t="str">
        <f aca="false">IF(B366="",TRIM(C366),TRIM(B366))</f>
        <v>Cameroon Demographic and Health Survey 1998</v>
      </c>
      <c r="J366" s="7" t="str">
        <f aca="false">IF(ISNUMBER(SEARCH("Demographic and Health",I366)),"DHS",IF(OR(ISNUMBER(SEARCH("Multiple Indicator Cluster",I366)),ISNUMBER(SEARCH("MICS",I366))),"MICS","Other"))</f>
        <v>DHS</v>
      </c>
      <c r="K366" s="7" t="n">
        <f aca="false">IF(AND(F366="Record or Recall",G366="12-23 m"),1,0)</f>
        <v>0</v>
      </c>
      <c r="L366" s="7" t="n">
        <f aca="false">IF(OR(J366="DHS",J366="MICS"),1,0)</f>
        <v>1</v>
      </c>
    </row>
    <row r="367" customFormat="false" ht="15" hidden="false" customHeight="false" outlineLevel="0" collapsed="false">
      <c r="A367" s="7" t="s">
        <v>348</v>
      </c>
      <c r="B367" s="7" t="s">
        <v>355</v>
      </c>
      <c r="C367" s="7" t="s">
        <v>356</v>
      </c>
      <c r="D367" s="7" t="n">
        <v>1997</v>
      </c>
      <c r="E367" s="7" t="s">
        <v>67</v>
      </c>
      <c r="F367" s="7" t="s">
        <v>86</v>
      </c>
      <c r="G367" s="7" t="s">
        <v>66</v>
      </c>
      <c r="H367" s="7" t="n">
        <v>41.7</v>
      </c>
      <c r="I367" s="7" t="str">
        <f aca="false">IF(B367="",TRIM(C367),TRIM(B367))</f>
        <v>Cameroon Demographic and Health Survey 1998</v>
      </c>
      <c r="J367" s="7" t="str">
        <f aca="false">IF(ISNUMBER(SEARCH("Demographic and Health",I367)),"DHS",IF(OR(ISNUMBER(SEARCH("Multiple Indicator Cluster",I367)),ISNUMBER(SEARCH("MICS",I367))),"MICS","Other"))</f>
        <v>DHS</v>
      </c>
      <c r="K367" s="7" t="n">
        <f aca="false">IF(AND(F367="Record or Recall",G367="12-23 m"),1,0)</f>
        <v>0</v>
      </c>
      <c r="L367" s="7" t="n">
        <f aca="false">IF(OR(J367="DHS",J367="MICS"),1,0)</f>
        <v>1</v>
      </c>
    </row>
    <row r="368" customFormat="false" ht="15" hidden="false" customHeight="false" outlineLevel="0" collapsed="false">
      <c r="A368" s="7" t="s">
        <v>348</v>
      </c>
      <c r="B368" s="7" t="s">
        <v>355</v>
      </c>
      <c r="C368" s="7" t="s">
        <v>356</v>
      </c>
      <c r="D368" s="7" t="n">
        <v>1997</v>
      </c>
      <c r="E368" s="7" t="s">
        <v>67</v>
      </c>
      <c r="F368" s="7" t="s">
        <v>63</v>
      </c>
      <c r="G368" s="7" t="s">
        <v>66</v>
      </c>
      <c r="H368" s="7" t="n">
        <v>50.5</v>
      </c>
      <c r="I368" s="7" t="str">
        <f aca="false">IF(B368="",TRIM(C368),TRIM(B368))</f>
        <v>Cameroon Demographic and Health Survey 1998</v>
      </c>
      <c r="J368" s="7" t="str">
        <f aca="false">IF(ISNUMBER(SEARCH("Demographic and Health",I368)),"DHS",IF(OR(ISNUMBER(SEARCH("Multiple Indicator Cluster",I368)),ISNUMBER(SEARCH("MICS",I368))),"MICS","Other"))</f>
        <v>DHS</v>
      </c>
      <c r="K368" s="7" t="n">
        <f aca="false">IF(AND(F368="Record or Recall",G368="12-23 m"),1,0)</f>
        <v>1</v>
      </c>
      <c r="L368" s="7" t="n">
        <f aca="false">IF(OR(J368="DHS",J368="MICS"),1,0)</f>
        <v>1</v>
      </c>
    </row>
    <row r="369" customFormat="false" ht="15" hidden="false" customHeight="false" outlineLevel="0" collapsed="false">
      <c r="A369" s="7" t="s">
        <v>348</v>
      </c>
      <c r="B369" s="7" t="s">
        <v>355</v>
      </c>
      <c r="C369" s="7" t="s">
        <v>356</v>
      </c>
      <c r="D369" s="7" t="n">
        <v>1997</v>
      </c>
      <c r="E369" s="7" t="s">
        <v>67</v>
      </c>
      <c r="F369" s="7" t="s">
        <v>87</v>
      </c>
      <c r="G369" s="7" t="s">
        <v>66</v>
      </c>
      <c r="H369" s="7" t="n">
        <v>8.9</v>
      </c>
      <c r="I369" s="7" t="str">
        <f aca="false">IF(B369="",TRIM(C369),TRIM(B369))</f>
        <v>Cameroon Demographic and Health Survey 1998</v>
      </c>
      <c r="J369" s="7" t="str">
        <f aca="false">IF(ISNUMBER(SEARCH("Demographic and Health",I369)),"DHS",IF(OR(ISNUMBER(SEARCH("Multiple Indicator Cluster",I369)),ISNUMBER(SEARCH("MICS",I369))),"MICS","Other"))</f>
        <v>DHS</v>
      </c>
      <c r="K369" s="7" t="n">
        <f aca="false">IF(AND(F369="Record or Recall",G369="12-23 m"),1,0)</f>
        <v>0</v>
      </c>
      <c r="L369" s="7" t="n">
        <f aca="false">IF(OR(J369="DHS",J369="MICS"),1,0)</f>
        <v>1</v>
      </c>
    </row>
    <row r="370" customFormat="false" ht="15" hidden="false" customHeight="false" outlineLevel="0" collapsed="false">
      <c r="A370" s="7" t="s">
        <v>348</v>
      </c>
      <c r="B370" s="7" t="s">
        <v>355</v>
      </c>
      <c r="C370" s="7" t="s">
        <v>356</v>
      </c>
      <c r="D370" s="7" t="n">
        <v>1997</v>
      </c>
      <c r="E370" s="7" t="s">
        <v>82</v>
      </c>
      <c r="F370" s="7" t="s">
        <v>78</v>
      </c>
      <c r="G370" s="7" t="s">
        <v>66</v>
      </c>
      <c r="H370" s="7" t="n">
        <v>29.4</v>
      </c>
      <c r="I370" s="7" t="str">
        <f aca="false">IF(B370="",TRIM(C370),TRIM(B370))</f>
        <v>Cameroon Demographic and Health Survey 1998</v>
      </c>
      <c r="J370" s="7" t="str">
        <f aca="false">IF(ISNUMBER(SEARCH("Demographic and Health",I370)),"DHS",IF(OR(ISNUMBER(SEARCH("Multiple Indicator Cluster",I370)),ISNUMBER(SEARCH("MICS",I370))),"MICS","Other"))</f>
        <v>DHS</v>
      </c>
      <c r="K370" s="7" t="n">
        <f aca="false">IF(AND(F370="Record or Recall",G370="12-23 m"),1,0)</f>
        <v>0</v>
      </c>
      <c r="L370" s="7" t="n">
        <f aca="false">IF(OR(J370="DHS",J370="MICS"),1,0)</f>
        <v>1</v>
      </c>
    </row>
    <row r="371" customFormat="false" ht="15" hidden="false" customHeight="false" outlineLevel="0" collapsed="false">
      <c r="A371" s="7" t="s">
        <v>348</v>
      </c>
      <c r="B371" s="7" t="s">
        <v>355</v>
      </c>
      <c r="C371" s="7" t="s">
        <v>356</v>
      </c>
      <c r="D371" s="7" t="n">
        <v>1997</v>
      </c>
      <c r="E371" s="7" t="s">
        <v>82</v>
      </c>
      <c r="F371" s="7" t="s">
        <v>86</v>
      </c>
      <c r="G371" s="7" t="s">
        <v>66</v>
      </c>
      <c r="H371" s="7" t="n">
        <v>33.7</v>
      </c>
      <c r="I371" s="7" t="str">
        <f aca="false">IF(B371="",TRIM(C371),TRIM(B371))</f>
        <v>Cameroon Demographic and Health Survey 1998</v>
      </c>
      <c r="J371" s="7" t="str">
        <f aca="false">IF(ISNUMBER(SEARCH("Demographic and Health",I371)),"DHS",IF(OR(ISNUMBER(SEARCH("Multiple Indicator Cluster",I371)),ISNUMBER(SEARCH("MICS",I371))),"MICS","Other"))</f>
        <v>DHS</v>
      </c>
      <c r="K371" s="7" t="n">
        <f aca="false">IF(AND(F371="Record or Recall",G371="12-23 m"),1,0)</f>
        <v>0</v>
      </c>
      <c r="L371" s="7" t="n">
        <f aca="false">IF(OR(J371="DHS",J371="MICS"),1,0)</f>
        <v>1</v>
      </c>
    </row>
    <row r="372" customFormat="false" ht="15" hidden="false" customHeight="false" outlineLevel="0" collapsed="false">
      <c r="A372" s="7" t="s">
        <v>348</v>
      </c>
      <c r="B372" s="7" t="s">
        <v>355</v>
      </c>
      <c r="C372" s="7" t="s">
        <v>356</v>
      </c>
      <c r="D372" s="7" t="n">
        <v>1997</v>
      </c>
      <c r="E372" s="7" t="s">
        <v>82</v>
      </c>
      <c r="F372" s="7" t="s">
        <v>63</v>
      </c>
      <c r="G372" s="7" t="s">
        <v>66</v>
      </c>
      <c r="H372" s="7" t="n">
        <v>35.8</v>
      </c>
      <c r="I372" s="7" t="str">
        <f aca="false">IF(B372="",TRIM(C372),TRIM(B372))</f>
        <v>Cameroon Demographic and Health Survey 1998</v>
      </c>
      <c r="J372" s="7" t="str">
        <f aca="false">IF(ISNUMBER(SEARCH("Demographic and Health",I372)),"DHS",IF(OR(ISNUMBER(SEARCH("Multiple Indicator Cluster",I372)),ISNUMBER(SEARCH("MICS",I372))),"MICS","Other"))</f>
        <v>DHS</v>
      </c>
      <c r="K372" s="7" t="n">
        <f aca="false">IF(AND(F372="Record or Recall",G372="12-23 m"),1,0)</f>
        <v>1</v>
      </c>
      <c r="L372" s="7" t="n">
        <f aca="false">IF(OR(J372="DHS",J372="MICS"),1,0)</f>
        <v>1</v>
      </c>
    </row>
    <row r="373" customFormat="false" ht="15" hidden="false" customHeight="false" outlineLevel="0" collapsed="false">
      <c r="A373" s="7" t="s">
        <v>348</v>
      </c>
      <c r="B373" s="7" t="s">
        <v>355</v>
      </c>
      <c r="C373" s="7" t="s">
        <v>356</v>
      </c>
      <c r="D373" s="7" t="n">
        <v>1997</v>
      </c>
      <c r="E373" s="7" t="s">
        <v>82</v>
      </c>
      <c r="F373" s="7" t="s">
        <v>87</v>
      </c>
      <c r="G373" s="7" t="s">
        <v>66</v>
      </c>
      <c r="H373" s="7" t="n">
        <v>2.2</v>
      </c>
      <c r="I373" s="7" t="str">
        <f aca="false">IF(B373="",TRIM(C373),TRIM(B373))</f>
        <v>Cameroon Demographic and Health Survey 1998</v>
      </c>
      <c r="J373" s="7" t="str">
        <f aca="false">IF(ISNUMBER(SEARCH("Demographic and Health",I373)),"DHS",IF(OR(ISNUMBER(SEARCH("Multiple Indicator Cluster",I373)),ISNUMBER(SEARCH("MICS",I373))),"MICS","Other"))</f>
        <v>DHS</v>
      </c>
      <c r="K373" s="7" t="n">
        <f aca="false">IF(AND(F373="Record or Recall",G373="12-23 m"),1,0)</f>
        <v>0</v>
      </c>
      <c r="L373" s="7" t="n">
        <f aca="false">IF(OR(J373="DHS",J373="MICS"),1,0)</f>
        <v>1</v>
      </c>
    </row>
    <row r="374" customFormat="false" ht="15" hidden="false" customHeight="false" outlineLevel="0" collapsed="false">
      <c r="A374" s="7" t="s">
        <v>348</v>
      </c>
      <c r="B374" s="7" t="s">
        <v>355</v>
      </c>
      <c r="C374" s="7" t="s">
        <v>356</v>
      </c>
      <c r="D374" s="7" t="n">
        <v>1997</v>
      </c>
      <c r="E374" s="7" t="s">
        <v>68</v>
      </c>
      <c r="F374" s="7" t="s">
        <v>78</v>
      </c>
      <c r="G374" s="7" t="s">
        <v>66</v>
      </c>
      <c r="H374" s="7" t="n">
        <v>43.6</v>
      </c>
      <c r="I374" s="7" t="str">
        <f aca="false">IF(B374="",TRIM(C374),TRIM(B374))</f>
        <v>Cameroon Demographic and Health Survey 1998</v>
      </c>
      <c r="J374" s="7" t="str">
        <f aca="false">IF(ISNUMBER(SEARCH("Demographic and Health",I374)),"DHS",IF(OR(ISNUMBER(SEARCH("Multiple Indicator Cluster",I374)),ISNUMBER(SEARCH("MICS",I374))),"MICS","Other"))</f>
        <v>DHS</v>
      </c>
      <c r="K374" s="7" t="n">
        <f aca="false">IF(AND(F374="Record or Recall",G374="12-23 m"),1,0)</f>
        <v>0</v>
      </c>
      <c r="L374" s="7" t="n">
        <f aca="false">IF(OR(J374="DHS",J374="MICS"),1,0)</f>
        <v>1</v>
      </c>
    </row>
    <row r="375" customFormat="false" ht="15" hidden="false" customHeight="false" outlineLevel="0" collapsed="false">
      <c r="A375" s="7" t="s">
        <v>348</v>
      </c>
      <c r="B375" s="7" t="s">
        <v>355</v>
      </c>
      <c r="C375" s="7" t="s">
        <v>356</v>
      </c>
      <c r="D375" s="7" t="n">
        <v>1997</v>
      </c>
      <c r="E375" s="7" t="s">
        <v>68</v>
      </c>
      <c r="F375" s="7" t="s">
        <v>86</v>
      </c>
      <c r="G375" s="7" t="s">
        <v>66</v>
      </c>
      <c r="H375" s="7" t="n">
        <v>38.6</v>
      </c>
      <c r="I375" s="7" t="str">
        <f aca="false">IF(B375="",TRIM(C375),TRIM(B375))</f>
        <v>Cameroon Demographic and Health Survey 1998</v>
      </c>
      <c r="J375" s="7" t="str">
        <f aca="false">IF(ISNUMBER(SEARCH("Demographic and Health",I375)),"DHS",IF(OR(ISNUMBER(SEARCH("Multiple Indicator Cluster",I375)),ISNUMBER(SEARCH("MICS",I375))),"MICS","Other"))</f>
        <v>DHS</v>
      </c>
      <c r="K375" s="7" t="n">
        <f aca="false">IF(AND(F375="Record or Recall",G375="12-23 m"),1,0)</f>
        <v>0</v>
      </c>
      <c r="L375" s="7" t="n">
        <f aca="false">IF(OR(J375="DHS",J375="MICS"),1,0)</f>
        <v>1</v>
      </c>
    </row>
    <row r="376" customFormat="false" ht="15" hidden="false" customHeight="false" outlineLevel="0" collapsed="false">
      <c r="A376" s="7" t="s">
        <v>348</v>
      </c>
      <c r="B376" s="7" t="s">
        <v>355</v>
      </c>
      <c r="C376" s="7" t="s">
        <v>356</v>
      </c>
      <c r="D376" s="7" t="n">
        <v>1997</v>
      </c>
      <c r="E376" s="7" t="s">
        <v>68</v>
      </c>
      <c r="F376" s="7" t="s">
        <v>63</v>
      </c>
      <c r="G376" s="7" t="s">
        <v>66</v>
      </c>
      <c r="H376" s="7" t="n">
        <v>54.2</v>
      </c>
      <c r="I376" s="7" t="str">
        <f aca="false">IF(B376="",TRIM(C376),TRIM(B376))</f>
        <v>Cameroon Demographic and Health Survey 1998</v>
      </c>
      <c r="J376" s="7" t="str">
        <f aca="false">IF(ISNUMBER(SEARCH("Demographic and Health",I376)),"DHS",IF(OR(ISNUMBER(SEARCH("Multiple Indicator Cluster",I376)),ISNUMBER(SEARCH("MICS",I376))),"MICS","Other"))</f>
        <v>DHS</v>
      </c>
      <c r="K376" s="7" t="n">
        <f aca="false">IF(AND(F376="Record or Recall",G376="12-23 m"),1,0)</f>
        <v>1</v>
      </c>
      <c r="L376" s="7" t="n">
        <f aca="false">IF(OR(J376="DHS",J376="MICS"),1,0)</f>
        <v>1</v>
      </c>
    </row>
    <row r="377" customFormat="false" ht="15" hidden="false" customHeight="false" outlineLevel="0" collapsed="false">
      <c r="A377" s="7" t="s">
        <v>348</v>
      </c>
      <c r="B377" s="7" t="s">
        <v>355</v>
      </c>
      <c r="C377" s="7" t="s">
        <v>356</v>
      </c>
      <c r="D377" s="7" t="n">
        <v>1997</v>
      </c>
      <c r="E377" s="7" t="s">
        <v>68</v>
      </c>
      <c r="F377" s="7" t="s">
        <v>87</v>
      </c>
      <c r="G377" s="7" t="s">
        <v>66</v>
      </c>
      <c r="H377" s="7" t="n">
        <v>15.6</v>
      </c>
      <c r="I377" s="7" t="str">
        <f aca="false">IF(B377="",TRIM(C377),TRIM(B377))</f>
        <v>Cameroon Demographic and Health Survey 1998</v>
      </c>
      <c r="J377" s="7" t="str">
        <f aca="false">IF(ISNUMBER(SEARCH("Demographic and Health",I377)),"DHS",IF(OR(ISNUMBER(SEARCH("Multiple Indicator Cluster",I377)),ISNUMBER(SEARCH("MICS",I377))),"MICS","Other"))</f>
        <v>DHS</v>
      </c>
      <c r="K377" s="7" t="n">
        <f aca="false">IF(AND(F377="Record or Recall",G377="12-23 m"),1,0)</f>
        <v>0</v>
      </c>
      <c r="L377" s="7" t="n">
        <f aca="false">IF(OR(J377="DHS",J377="MICS"),1,0)</f>
        <v>1</v>
      </c>
    </row>
    <row r="378" customFormat="false" ht="15" hidden="false" customHeight="false" outlineLevel="0" collapsed="false">
      <c r="A378" s="7" t="s">
        <v>348</v>
      </c>
      <c r="B378" s="7" t="s">
        <v>355</v>
      </c>
      <c r="C378" s="7" t="s">
        <v>356</v>
      </c>
      <c r="D378" s="7" t="n">
        <v>1997</v>
      </c>
      <c r="E378" s="7" t="s">
        <v>69</v>
      </c>
      <c r="F378" s="7" t="s">
        <v>78</v>
      </c>
      <c r="G378" s="7" t="s">
        <v>66</v>
      </c>
      <c r="H378" s="7" t="n">
        <v>42.4</v>
      </c>
      <c r="I378" s="7" t="str">
        <f aca="false">IF(B378="",TRIM(C378),TRIM(B378))</f>
        <v>Cameroon Demographic and Health Survey 1998</v>
      </c>
      <c r="J378" s="7" t="str">
        <f aca="false">IF(ISNUMBER(SEARCH("Demographic and Health",I378)),"DHS",IF(OR(ISNUMBER(SEARCH("Multiple Indicator Cluster",I378)),ISNUMBER(SEARCH("MICS",I378))),"MICS","Other"))</f>
        <v>DHS</v>
      </c>
      <c r="K378" s="7" t="n">
        <f aca="false">IF(AND(F378="Record or Recall",G378="12-23 m"),1,0)</f>
        <v>0</v>
      </c>
      <c r="L378" s="7" t="n">
        <f aca="false">IF(OR(J378="DHS",J378="MICS"),1,0)</f>
        <v>1</v>
      </c>
    </row>
    <row r="379" customFormat="false" ht="15" hidden="false" customHeight="false" outlineLevel="0" collapsed="false">
      <c r="A379" s="7" t="s">
        <v>348</v>
      </c>
      <c r="B379" s="7" t="s">
        <v>355</v>
      </c>
      <c r="C379" s="7" t="s">
        <v>356</v>
      </c>
      <c r="D379" s="7" t="n">
        <v>1997</v>
      </c>
      <c r="E379" s="7" t="s">
        <v>69</v>
      </c>
      <c r="F379" s="7" t="s">
        <v>86</v>
      </c>
      <c r="G379" s="7" t="s">
        <v>66</v>
      </c>
      <c r="H379" s="7" t="n">
        <v>42</v>
      </c>
      <c r="I379" s="7" t="str">
        <f aca="false">IF(B379="",TRIM(C379),TRIM(B379))</f>
        <v>Cameroon Demographic and Health Survey 1998</v>
      </c>
      <c r="J379" s="7" t="str">
        <f aca="false">IF(ISNUMBER(SEARCH("Demographic and Health",I379)),"DHS",IF(OR(ISNUMBER(SEARCH("Multiple Indicator Cluster",I379)),ISNUMBER(SEARCH("MICS",I379))),"MICS","Other"))</f>
        <v>DHS</v>
      </c>
      <c r="K379" s="7" t="n">
        <f aca="false">IF(AND(F379="Record or Recall",G379="12-23 m"),1,0)</f>
        <v>0</v>
      </c>
      <c r="L379" s="7" t="n">
        <f aca="false">IF(OR(J379="DHS",J379="MICS"),1,0)</f>
        <v>1</v>
      </c>
    </row>
    <row r="380" customFormat="false" ht="15" hidden="false" customHeight="false" outlineLevel="0" collapsed="false">
      <c r="A380" s="7" t="s">
        <v>348</v>
      </c>
      <c r="B380" s="7" t="s">
        <v>355</v>
      </c>
      <c r="C380" s="7" t="s">
        <v>356</v>
      </c>
      <c r="D380" s="7" t="n">
        <v>1997</v>
      </c>
      <c r="E380" s="7" t="s">
        <v>69</v>
      </c>
      <c r="F380" s="7" t="s">
        <v>63</v>
      </c>
      <c r="G380" s="7" t="s">
        <v>66</v>
      </c>
      <c r="H380" s="7" t="n">
        <v>47.1</v>
      </c>
      <c r="I380" s="7" t="str">
        <f aca="false">IF(B380="",TRIM(C380),TRIM(B380))</f>
        <v>Cameroon Demographic and Health Survey 1998</v>
      </c>
      <c r="J380" s="7" t="str">
        <f aca="false">IF(ISNUMBER(SEARCH("Demographic and Health",I380)),"DHS",IF(OR(ISNUMBER(SEARCH("Multiple Indicator Cluster",I380)),ISNUMBER(SEARCH("MICS",I380))),"MICS","Other"))</f>
        <v>DHS</v>
      </c>
      <c r="K380" s="7" t="n">
        <f aca="false">IF(AND(F380="Record or Recall",G380="12-23 m"),1,0)</f>
        <v>1</v>
      </c>
      <c r="L380" s="7" t="n">
        <f aca="false">IF(OR(J380="DHS",J380="MICS"),1,0)</f>
        <v>1</v>
      </c>
    </row>
    <row r="381" customFormat="false" ht="15" hidden="false" customHeight="false" outlineLevel="0" collapsed="false">
      <c r="A381" s="7" t="s">
        <v>348</v>
      </c>
      <c r="B381" s="7" t="s">
        <v>355</v>
      </c>
      <c r="C381" s="7" t="s">
        <v>356</v>
      </c>
      <c r="D381" s="7" t="n">
        <v>1997</v>
      </c>
      <c r="E381" s="7" t="s">
        <v>69</v>
      </c>
      <c r="F381" s="7" t="s">
        <v>87</v>
      </c>
      <c r="G381" s="7" t="s">
        <v>66</v>
      </c>
      <c r="H381" s="7" t="n">
        <v>5.1</v>
      </c>
      <c r="I381" s="7" t="str">
        <f aca="false">IF(B381="",TRIM(C381),TRIM(B381))</f>
        <v>Cameroon Demographic and Health Survey 1998</v>
      </c>
      <c r="J381" s="7" t="str">
        <f aca="false">IF(ISNUMBER(SEARCH("Demographic and Health",I381)),"DHS",IF(OR(ISNUMBER(SEARCH("Multiple Indicator Cluster",I381)),ISNUMBER(SEARCH("MICS",I381))),"MICS","Other"))</f>
        <v>DHS</v>
      </c>
      <c r="K381" s="7" t="n">
        <f aca="false">IF(AND(F381="Record or Recall",G381="12-23 m"),1,0)</f>
        <v>0</v>
      </c>
      <c r="L381" s="7" t="n">
        <f aca="false">IF(OR(J381="DHS",J381="MICS"),1,0)</f>
        <v>1</v>
      </c>
    </row>
    <row r="382" customFormat="false" ht="15" hidden="false" customHeight="false" outlineLevel="0" collapsed="false">
      <c r="A382" s="7" t="s">
        <v>348</v>
      </c>
      <c r="B382" s="7" t="s">
        <v>357</v>
      </c>
      <c r="C382" s="7" t="s">
        <v>358</v>
      </c>
      <c r="D382" s="7" t="n">
        <v>1999</v>
      </c>
      <c r="E382" s="7" t="s">
        <v>62</v>
      </c>
      <c r="F382" s="7" t="s">
        <v>78</v>
      </c>
      <c r="G382" s="7" t="s">
        <v>66</v>
      </c>
      <c r="H382" s="7" t="n">
        <v>75.7</v>
      </c>
      <c r="I382" s="7" t="str">
        <f aca="false">IF(B382="",TRIM(C382),TRIM(B382))</f>
        <v>Cameroon Multiple Indicator Cluster Survey 2000</v>
      </c>
      <c r="J382" s="7" t="str">
        <f aca="false">IF(ISNUMBER(SEARCH("Demographic and Health",I382)),"DHS",IF(OR(ISNUMBER(SEARCH("Multiple Indicator Cluster",I382)),ISNUMBER(SEARCH("MICS",I382))),"MICS","Other"))</f>
        <v>MICS</v>
      </c>
      <c r="K382" s="7" t="n">
        <f aca="false">IF(AND(F382="Record or Recall",G382="12-23 m"),1,0)</f>
        <v>0</v>
      </c>
      <c r="L382" s="7" t="n">
        <f aca="false">IF(OR(J382="DHS",J382="MICS"),1,0)</f>
        <v>1</v>
      </c>
    </row>
    <row r="383" customFormat="false" ht="15" hidden="false" customHeight="false" outlineLevel="0" collapsed="false">
      <c r="A383" s="7" t="s">
        <v>348</v>
      </c>
      <c r="B383" s="7" t="s">
        <v>357</v>
      </c>
      <c r="C383" s="7" t="s">
        <v>358</v>
      </c>
      <c r="D383" s="7" t="n">
        <v>1999</v>
      </c>
      <c r="E383" s="7" t="s">
        <v>62</v>
      </c>
      <c r="F383" s="7" t="s">
        <v>86</v>
      </c>
      <c r="G383" s="7" t="s">
        <v>66</v>
      </c>
      <c r="H383" s="7" t="n">
        <v>41.2</v>
      </c>
      <c r="I383" s="7" t="str">
        <f aca="false">IF(B383="",TRIM(C383),TRIM(B383))</f>
        <v>Cameroon Multiple Indicator Cluster Survey 2000</v>
      </c>
      <c r="J383" s="7" t="str">
        <f aca="false">IF(ISNUMBER(SEARCH("Demographic and Health",I383)),"DHS",IF(OR(ISNUMBER(SEARCH("Multiple Indicator Cluster",I383)),ISNUMBER(SEARCH("MICS",I383))),"MICS","Other"))</f>
        <v>MICS</v>
      </c>
      <c r="K383" s="7" t="n">
        <f aca="false">IF(AND(F383="Record or Recall",G383="12-23 m"),1,0)</f>
        <v>0</v>
      </c>
      <c r="L383" s="7" t="n">
        <f aca="false">IF(OR(J383="DHS",J383="MICS"),1,0)</f>
        <v>1</v>
      </c>
    </row>
    <row r="384" customFormat="false" ht="15" hidden="false" customHeight="false" outlineLevel="0" collapsed="false">
      <c r="A384" s="7" t="s">
        <v>348</v>
      </c>
      <c r="B384" s="7" t="s">
        <v>357</v>
      </c>
      <c r="C384" s="7" t="s">
        <v>358</v>
      </c>
      <c r="D384" s="7" t="n">
        <v>1999</v>
      </c>
      <c r="E384" s="7" t="s">
        <v>62</v>
      </c>
      <c r="F384" s="7" t="s">
        <v>63</v>
      </c>
      <c r="G384" s="7" t="s">
        <v>66</v>
      </c>
      <c r="H384" s="7" t="n">
        <v>78</v>
      </c>
      <c r="I384" s="7" t="str">
        <f aca="false">IF(B384="",TRIM(C384),TRIM(B384))</f>
        <v>Cameroon Multiple Indicator Cluster Survey 2000</v>
      </c>
      <c r="J384" s="7" t="str">
        <f aca="false">IF(ISNUMBER(SEARCH("Demographic and Health",I384)),"DHS",IF(OR(ISNUMBER(SEARCH("Multiple Indicator Cluster",I384)),ISNUMBER(SEARCH("MICS",I384))),"MICS","Other"))</f>
        <v>MICS</v>
      </c>
      <c r="K384" s="7" t="n">
        <f aca="false">IF(AND(F384="Record or Recall",G384="12-23 m"),1,0)</f>
        <v>1</v>
      </c>
      <c r="L384" s="7" t="n">
        <f aca="false">IF(OR(J384="DHS",J384="MICS"),1,0)</f>
        <v>1</v>
      </c>
    </row>
    <row r="385" customFormat="false" ht="15" hidden="false" customHeight="false" outlineLevel="0" collapsed="false">
      <c r="A385" s="7" t="s">
        <v>348</v>
      </c>
      <c r="B385" s="7" t="s">
        <v>357</v>
      </c>
      <c r="C385" s="7" t="s">
        <v>358</v>
      </c>
      <c r="D385" s="7" t="n">
        <v>1999</v>
      </c>
      <c r="E385" s="7" t="s">
        <v>62</v>
      </c>
      <c r="F385" s="7" t="s">
        <v>87</v>
      </c>
      <c r="G385" s="7" t="s">
        <v>66</v>
      </c>
      <c r="H385" s="7" t="n">
        <v>36.8</v>
      </c>
      <c r="I385" s="7" t="str">
        <f aca="false">IF(B385="",TRIM(C385),TRIM(B385))</f>
        <v>Cameroon Multiple Indicator Cluster Survey 2000</v>
      </c>
      <c r="J385" s="7" t="str">
        <f aca="false">IF(ISNUMBER(SEARCH("Demographic and Health",I385)),"DHS",IF(OR(ISNUMBER(SEARCH("Multiple Indicator Cluster",I385)),ISNUMBER(SEARCH("MICS",I385))),"MICS","Other"))</f>
        <v>MICS</v>
      </c>
      <c r="K385" s="7" t="n">
        <f aca="false">IF(AND(F385="Record or Recall",G385="12-23 m"),1,0)</f>
        <v>0</v>
      </c>
      <c r="L385" s="7" t="n">
        <f aca="false">IF(OR(J385="DHS",J385="MICS"),1,0)</f>
        <v>1</v>
      </c>
    </row>
    <row r="386" customFormat="false" ht="15" hidden="false" customHeight="false" outlineLevel="0" collapsed="false">
      <c r="A386" s="7" t="s">
        <v>348</v>
      </c>
      <c r="B386" s="7" t="s">
        <v>357</v>
      </c>
      <c r="C386" s="7" t="s">
        <v>358</v>
      </c>
      <c r="D386" s="7" t="n">
        <v>1999</v>
      </c>
      <c r="E386" s="7" t="s">
        <v>81</v>
      </c>
      <c r="F386" s="7" t="s">
        <v>78</v>
      </c>
      <c r="G386" s="7" t="s">
        <v>66</v>
      </c>
      <c r="H386" s="7" t="n">
        <v>66.2</v>
      </c>
      <c r="I386" s="7" t="str">
        <f aca="false">IF(B386="",TRIM(C386),TRIM(B386))</f>
        <v>Cameroon Multiple Indicator Cluster Survey 2000</v>
      </c>
      <c r="J386" s="7" t="str">
        <f aca="false">IF(ISNUMBER(SEARCH("Demographic and Health",I386)),"DHS",IF(OR(ISNUMBER(SEARCH("Multiple Indicator Cluster",I386)),ISNUMBER(SEARCH("MICS",I386))),"MICS","Other"))</f>
        <v>MICS</v>
      </c>
      <c r="K386" s="7" t="n">
        <f aca="false">IF(AND(F386="Record or Recall",G386="12-23 m"),1,0)</f>
        <v>0</v>
      </c>
      <c r="L386" s="7" t="n">
        <f aca="false">IF(OR(J386="DHS",J386="MICS"),1,0)</f>
        <v>1</v>
      </c>
    </row>
    <row r="387" customFormat="false" ht="15" hidden="false" customHeight="false" outlineLevel="0" collapsed="false">
      <c r="A387" s="7" t="s">
        <v>348</v>
      </c>
      <c r="B387" s="7" t="s">
        <v>357</v>
      </c>
      <c r="C387" s="7" t="s">
        <v>358</v>
      </c>
      <c r="D387" s="7" t="n">
        <v>1999</v>
      </c>
      <c r="E387" s="7" t="s">
        <v>81</v>
      </c>
      <c r="F387" s="7" t="s">
        <v>86</v>
      </c>
      <c r="G387" s="7" t="s">
        <v>66</v>
      </c>
      <c r="H387" s="7" t="n">
        <v>42.1</v>
      </c>
      <c r="I387" s="7" t="str">
        <f aca="false">IF(B387="",TRIM(C387),TRIM(B387))</f>
        <v>Cameroon Multiple Indicator Cluster Survey 2000</v>
      </c>
      <c r="J387" s="7" t="str">
        <f aca="false">IF(ISNUMBER(SEARCH("Demographic and Health",I387)),"DHS",IF(OR(ISNUMBER(SEARCH("Multiple Indicator Cluster",I387)),ISNUMBER(SEARCH("MICS",I387))),"MICS","Other"))</f>
        <v>MICS</v>
      </c>
      <c r="K387" s="7" t="n">
        <f aca="false">IF(AND(F387="Record or Recall",G387="12-23 m"),1,0)</f>
        <v>0</v>
      </c>
      <c r="L387" s="7" t="n">
        <f aca="false">IF(OR(J387="DHS",J387="MICS"),1,0)</f>
        <v>1</v>
      </c>
    </row>
    <row r="388" customFormat="false" ht="15" hidden="false" customHeight="false" outlineLevel="0" collapsed="false">
      <c r="A388" s="7" t="s">
        <v>348</v>
      </c>
      <c r="B388" s="7" t="s">
        <v>357</v>
      </c>
      <c r="C388" s="7" t="s">
        <v>358</v>
      </c>
      <c r="D388" s="7" t="n">
        <v>1999</v>
      </c>
      <c r="E388" s="7" t="s">
        <v>81</v>
      </c>
      <c r="F388" s="7" t="s">
        <v>63</v>
      </c>
      <c r="G388" s="7" t="s">
        <v>66</v>
      </c>
      <c r="H388" s="7" t="n">
        <v>69.4</v>
      </c>
      <c r="I388" s="7" t="str">
        <f aca="false">IF(B388="",TRIM(C388),TRIM(B388))</f>
        <v>Cameroon Multiple Indicator Cluster Survey 2000</v>
      </c>
      <c r="J388" s="7" t="str">
        <f aca="false">IF(ISNUMBER(SEARCH("Demographic and Health",I388)),"DHS",IF(OR(ISNUMBER(SEARCH("Multiple Indicator Cluster",I388)),ISNUMBER(SEARCH("MICS",I388))),"MICS","Other"))</f>
        <v>MICS</v>
      </c>
      <c r="K388" s="7" t="n">
        <f aca="false">IF(AND(F388="Record or Recall",G388="12-23 m"),1,0)</f>
        <v>1</v>
      </c>
      <c r="L388" s="7" t="n">
        <f aca="false">IF(OR(J388="DHS",J388="MICS"),1,0)</f>
        <v>1</v>
      </c>
    </row>
    <row r="389" customFormat="false" ht="15" hidden="false" customHeight="false" outlineLevel="0" collapsed="false">
      <c r="A389" s="7" t="s">
        <v>348</v>
      </c>
      <c r="B389" s="7" t="s">
        <v>357</v>
      </c>
      <c r="C389" s="7" t="s">
        <v>358</v>
      </c>
      <c r="D389" s="7" t="n">
        <v>1999</v>
      </c>
      <c r="E389" s="7" t="s">
        <v>81</v>
      </c>
      <c r="F389" s="7" t="s">
        <v>87</v>
      </c>
      <c r="G389" s="7" t="s">
        <v>66</v>
      </c>
      <c r="H389" s="7" t="n">
        <v>27.3</v>
      </c>
      <c r="I389" s="7" t="str">
        <f aca="false">IF(B389="",TRIM(C389),TRIM(B389))</f>
        <v>Cameroon Multiple Indicator Cluster Survey 2000</v>
      </c>
      <c r="J389" s="7" t="str">
        <f aca="false">IF(ISNUMBER(SEARCH("Demographic and Health",I389)),"DHS",IF(OR(ISNUMBER(SEARCH("Multiple Indicator Cluster",I389)),ISNUMBER(SEARCH("MICS",I389))),"MICS","Other"))</f>
        <v>MICS</v>
      </c>
      <c r="K389" s="7" t="n">
        <f aca="false">IF(AND(F389="Record or Recall",G389="12-23 m"),1,0)</f>
        <v>0</v>
      </c>
      <c r="L389" s="7" t="n">
        <f aca="false">IF(OR(J389="DHS",J389="MICS"),1,0)</f>
        <v>1</v>
      </c>
    </row>
    <row r="390" customFormat="false" ht="15" hidden="false" customHeight="false" outlineLevel="0" collapsed="false">
      <c r="A390" s="7" t="s">
        <v>348</v>
      </c>
      <c r="B390" s="7" t="s">
        <v>357</v>
      </c>
      <c r="C390" s="7" t="s">
        <v>358</v>
      </c>
      <c r="D390" s="7" t="n">
        <v>1999</v>
      </c>
      <c r="E390" s="7" t="s">
        <v>67</v>
      </c>
      <c r="F390" s="7" t="s">
        <v>78</v>
      </c>
      <c r="G390" s="7" t="s">
        <v>66</v>
      </c>
      <c r="H390" s="7" t="n">
        <v>42.6</v>
      </c>
      <c r="I390" s="7" t="str">
        <f aca="false">IF(B390="",TRIM(C390),TRIM(B390))</f>
        <v>Cameroon Multiple Indicator Cluster Survey 2000</v>
      </c>
      <c r="J390" s="7" t="str">
        <f aca="false">IF(ISNUMBER(SEARCH("Demographic and Health",I390)),"DHS",IF(OR(ISNUMBER(SEARCH("Multiple Indicator Cluster",I390)),ISNUMBER(SEARCH("MICS",I390))),"MICS","Other"))</f>
        <v>MICS</v>
      </c>
      <c r="K390" s="7" t="n">
        <f aca="false">IF(AND(F390="Record or Recall",G390="12-23 m"),1,0)</f>
        <v>0</v>
      </c>
      <c r="L390" s="7" t="n">
        <f aca="false">IF(OR(J390="DHS",J390="MICS"),1,0)</f>
        <v>1</v>
      </c>
    </row>
    <row r="391" customFormat="false" ht="15" hidden="false" customHeight="false" outlineLevel="0" collapsed="false">
      <c r="A391" s="7" t="s">
        <v>348</v>
      </c>
      <c r="B391" s="7" t="s">
        <v>357</v>
      </c>
      <c r="C391" s="7" t="s">
        <v>358</v>
      </c>
      <c r="D391" s="7" t="n">
        <v>1999</v>
      </c>
      <c r="E391" s="7" t="s">
        <v>67</v>
      </c>
      <c r="F391" s="7" t="s">
        <v>86</v>
      </c>
      <c r="G391" s="7" t="s">
        <v>66</v>
      </c>
      <c r="H391" s="7" t="n">
        <v>35.5</v>
      </c>
      <c r="I391" s="7" t="str">
        <f aca="false">IF(B391="",TRIM(C391),TRIM(B391))</f>
        <v>Cameroon Multiple Indicator Cluster Survey 2000</v>
      </c>
      <c r="J391" s="7" t="str">
        <f aca="false">IF(ISNUMBER(SEARCH("Demographic and Health",I391)),"DHS",IF(OR(ISNUMBER(SEARCH("Multiple Indicator Cluster",I391)),ISNUMBER(SEARCH("MICS",I391))),"MICS","Other"))</f>
        <v>MICS</v>
      </c>
      <c r="K391" s="7" t="n">
        <f aca="false">IF(AND(F391="Record or Recall",G391="12-23 m"),1,0)</f>
        <v>0</v>
      </c>
      <c r="L391" s="7" t="n">
        <f aca="false">IF(OR(J391="DHS",J391="MICS"),1,0)</f>
        <v>1</v>
      </c>
    </row>
    <row r="392" customFormat="false" ht="15" hidden="false" customHeight="false" outlineLevel="0" collapsed="false">
      <c r="A392" s="7" t="s">
        <v>348</v>
      </c>
      <c r="B392" s="7" t="s">
        <v>357</v>
      </c>
      <c r="C392" s="7" t="s">
        <v>358</v>
      </c>
      <c r="D392" s="7" t="n">
        <v>1999</v>
      </c>
      <c r="E392" s="7" t="s">
        <v>67</v>
      </c>
      <c r="F392" s="7" t="s">
        <v>63</v>
      </c>
      <c r="G392" s="7" t="s">
        <v>66</v>
      </c>
      <c r="H392" s="7" t="n">
        <v>44.8</v>
      </c>
      <c r="I392" s="7" t="str">
        <f aca="false">IF(B392="",TRIM(C392),TRIM(B392))</f>
        <v>Cameroon Multiple Indicator Cluster Survey 2000</v>
      </c>
      <c r="J392" s="7" t="str">
        <f aca="false">IF(ISNUMBER(SEARCH("Demographic and Health",I392)),"DHS",IF(OR(ISNUMBER(SEARCH("Multiple Indicator Cluster",I392)),ISNUMBER(SEARCH("MICS",I392))),"MICS","Other"))</f>
        <v>MICS</v>
      </c>
      <c r="K392" s="7" t="n">
        <f aca="false">IF(AND(F392="Record or Recall",G392="12-23 m"),1,0)</f>
        <v>1</v>
      </c>
      <c r="L392" s="7" t="n">
        <f aca="false">IF(OR(J392="DHS",J392="MICS"),1,0)</f>
        <v>1</v>
      </c>
    </row>
    <row r="393" customFormat="false" ht="15" hidden="false" customHeight="false" outlineLevel="0" collapsed="false">
      <c r="A393" s="7" t="s">
        <v>348</v>
      </c>
      <c r="B393" s="7" t="s">
        <v>357</v>
      </c>
      <c r="C393" s="7" t="s">
        <v>358</v>
      </c>
      <c r="D393" s="7" t="n">
        <v>1999</v>
      </c>
      <c r="E393" s="7" t="s">
        <v>67</v>
      </c>
      <c r="F393" s="7" t="s">
        <v>87</v>
      </c>
      <c r="G393" s="7" t="s">
        <v>66</v>
      </c>
      <c r="H393" s="7" t="n">
        <v>9.3</v>
      </c>
      <c r="I393" s="7" t="str">
        <f aca="false">IF(B393="",TRIM(C393),TRIM(B393))</f>
        <v>Cameroon Multiple Indicator Cluster Survey 2000</v>
      </c>
      <c r="J393" s="7" t="str">
        <f aca="false">IF(ISNUMBER(SEARCH("Demographic and Health",I393)),"DHS",IF(OR(ISNUMBER(SEARCH("Multiple Indicator Cluster",I393)),ISNUMBER(SEARCH("MICS",I393))),"MICS","Other"))</f>
        <v>MICS</v>
      </c>
      <c r="K393" s="7" t="n">
        <f aca="false">IF(AND(F393="Record or Recall",G393="12-23 m"),1,0)</f>
        <v>0</v>
      </c>
      <c r="L393" s="7" t="n">
        <f aca="false">IF(OR(J393="DHS",J393="MICS"),1,0)</f>
        <v>1</v>
      </c>
    </row>
    <row r="394" customFormat="false" ht="15" hidden="false" customHeight="false" outlineLevel="0" collapsed="false">
      <c r="A394" s="7" t="s">
        <v>348</v>
      </c>
      <c r="B394" s="7" t="s">
        <v>357</v>
      </c>
      <c r="C394" s="7" t="s">
        <v>358</v>
      </c>
      <c r="D394" s="7" t="n">
        <v>1999</v>
      </c>
      <c r="E394" s="7" t="s">
        <v>82</v>
      </c>
      <c r="F394" s="7" t="s">
        <v>87</v>
      </c>
      <c r="G394" s="7" t="s">
        <v>66</v>
      </c>
      <c r="H394" s="7" t="n">
        <v>6.9</v>
      </c>
      <c r="I394" s="7" t="str">
        <f aca="false">IF(B394="",TRIM(C394),TRIM(B394))</f>
        <v>Cameroon Multiple Indicator Cluster Survey 2000</v>
      </c>
      <c r="J394" s="7" t="str">
        <f aca="false">IF(ISNUMBER(SEARCH("Demographic and Health",I394)),"DHS",IF(OR(ISNUMBER(SEARCH("Multiple Indicator Cluster",I394)),ISNUMBER(SEARCH("MICS",I394))),"MICS","Other"))</f>
        <v>MICS</v>
      </c>
      <c r="K394" s="7" t="n">
        <f aca="false">IF(AND(F394="Record or Recall",G394="12-23 m"),1,0)</f>
        <v>0</v>
      </c>
      <c r="L394" s="7" t="n">
        <f aca="false">IF(OR(J394="DHS",J394="MICS"),1,0)</f>
        <v>1</v>
      </c>
    </row>
    <row r="395" customFormat="false" ht="15" hidden="false" customHeight="false" outlineLevel="0" collapsed="false">
      <c r="A395" s="7" t="s">
        <v>348</v>
      </c>
      <c r="B395" s="7" t="s">
        <v>357</v>
      </c>
      <c r="C395" s="7" t="s">
        <v>358</v>
      </c>
      <c r="D395" s="7" t="n">
        <v>1999</v>
      </c>
      <c r="E395" s="7" t="s">
        <v>82</v>
      </c>
      <c r="F395" s="7" t="s">
        <v>78</v>
      </c>
      <c r="G395" s="7" t="s">
        <v>66</v>
      </c>
      <c r="H395" s="7" t="n">
        <v>29.9</v>
      </c>
      <c r="I395" s="7" t="str">
        <f aca="false">IF(B395="",TRIM(C395),TRIM(B395))</f>
        <v>Cameroon Multiple Indicator Cluster Survey 2000</v>
      </c>
      <c r="J395" s="7" t="str">
        <f aca="false">IF(ISNUMBER(SEARCH("Demographic and Health",I395)),"DHS",IF(OR(ISNUMBER(SEARCH("Multiple Indicator Cluster",I395)),ISNUMBER(SEARCH("MICS",I395))),"MICS","Other"))</f>
        <v>MICS</v>
      </c>
      <c r="K395" s="7" t="n">
        <f aca="false">IF(AND(F395="Record or Recall",G395="12-23 m"),1,0)</f>
        <v>0</v>
      </c>
      <c r="L395" s="7" t="n">
        <f aca="false">IF(OR(J395="DHS",J395="MICS"),1,0)</f>
        <v>1</v>
      </c>
    </row>
    <row r="396" customFormat="false" ht="15" hidden="false" customHeight="false" outlineLevel="0" collapsed="false">
      <c r="A396" s="7" t="s">
        <v>348</v>
      </c>
      <c r="B396" s="7" t="s">
        <v>357</v>
      </c>
      <c r="C396" s="7" t="s">
        <v>358</v>
      </c>
      <c r="D396" s="7" t="n">
        <v>1999</v>
      </c>
      <c r="E396" s="7" t="s">
        <v>82</v>
      </c>
      <c r="F396" s="7" t="s">
        <v>86</v>
      </c>
      <c r="G396" s="7" t="s">
        <v>66</v>
      </c>
      <c r="H396" s="7" t="n">
        <v>29.4</v>
      </c>
      <c r="I396" s="7" t="str">
        <f aca="false">IF(B396="",TRIM(C396),TRIM(B396))</f>
        <v>Cameroon Multiple Indicator Cluster Survey 2000</v>
      </c>
      <c r="J396" s="7" t="str">
        <f aca="false">IF(ISNUMBER(SEARCH("Demographic and Health",I396)),"DHS",IF(OR(ISNUMBER(SEARCH("Multiple Indicator Cluster",I396)),ISNUMBER(SEARCH("MICS",I396))),"MICS","Other"))</f>
        <v>MICS</v>
      </c>
      <c r="K396" s="7" t="n">
        <f aca="false">IF(AND(F396="Record or Recall",G396="12-23 m"),1,0)</f>
        <v>0</v>
      </c>
      <c r="L396" s="7" t="n">
        <f aca="false">IF(OR(J396="DHS",J396="MICS"),1,0)</f>
        <v>1</v>
      </c>
    </row>
    <row r="397" customFormat="false" ht="15" hidden="false" customHeight="false" outlineLevel="0" collapsed="false">
      <c r="A397" s="7" t="s">
        <v>348</v>
      </c>
      <c r="B397" s="7" t="s">
        <v>357</v>
      </c>
      <c r="C397" s="7" t="s">
        <v>358</v>
      </c>
      <c r="D397" s="7" t="n">
        <v>1999</v>
      </c>
      <c r="E397" s="7" t="s">
        <v>82</v>
      </c>
      <c r="F397" s="7" t="s">
        <v>63</v>
      </c>
      <c r="G397" s="7" t="s">
        <v>66</v>
      </c>
      <c r="H397" s="7" t="n">
        <v>36.3</v>
      </c>
      <c r="I397" s="7" t="str">
        <f aca="false">IF(B397="",TRIM(C397),TRIM(B397))</f>
        <v>Cameroon Multiple Indicator Cluster Survey 2000</v>
      </c>
      <c r="J397" s="7" t="str">
        <f aca="false">IF(ISNUMBER(SEARCH("Demographic and Health",I397)),"DHS",IF(OR(ISNUMBER(SEARCH("Multiple Indicator Cluster",I397)),ISNUMBER(SEARCH("MICS",I397))),"MICS","Other"))</f>
        <v>MICS</v>
      </c>
      <c r="K397" s="7" t="n">
        <f aca="false">IF(AND(F397="Record or Recall",G397="12-23 m"),1,0)</f>
        <v>1</v>
      </c>
      <c r="L397" s="7" t="n">
        <f aca="false">IF(OR(J397="DHS",J397="MICS"),1,0)</f>
        <v>1</v>
      </c>
    </row>
    <row r="398" customFormat="false" ht="15" hidden="false" customHeight="false" outlineLevel="0" collapsed="false">
      <c r="A398" s="7" t="s">
        <v>348</v>
      </c>
      <c r="B398" s="7" t="s">
        <v>357</v>
      </c>
      <c r="C398" s="7" t="s">
        <v>358</v>
      </c>
      <c r="D398" s="7" t="n">
        <v>1999</v>
      </c>
      <c r="E398" s="7" t="s">
        <v>68</v>
      </c>
      <c r="F398" s="7" t="s">
        <v>78</v>
      </c>
      <c r="G398" s="7" t="s">
        <v>66</v>
      </c>
      <c r="H398" s="7" t="n">
        <v>56.4</v>
      </c>
      <c r="I398" s="7" t="str">
        <f aca="false">IF(B398="",TRIM(C398),TRIM(B398))</f>
        <v>Cameroon Multiple Indicator Cluster Survey 2000</v>
      </c>
      <c r="J398" s="7" t="str">
        <f aca="false">IF(ISNUMBER(SEARCH("Demographic and Health",I398)),"DHS",IF(OR(ISNUMBER(SEARCH("Multiple Indicator Cluster",I398)),ISNUMBER(SEARCH("MICS",I398))),"MICS","Other"))</f>
        <v>MICS</v>
      </c>
      <c r="K398" s="7" t="n">
        <f aca="false">IF(AND(F398="Record or Recall",G398="12-23 m"),1,0)</f>
        <v>0</v>
      </c>
      <c r="L398" s="7" t="n">
        <f aca="false">IF(OR(J398="DHS",J398="MICS"),1,0)</f>
        <v>1</v>
      </c>
    </row>
    <row r="399" customFormat="false" ht="15" hidden="false" customHeight="false" outlineLevel="0" collapsed="false">
      <c r="A399" s="7" t="s">
        <v>348</v>
      </c>
      <c r="B399" s="7" t="s">
        <v>357</v>
      </c>
      <c r="C399" s="7" t="s">
        <v>358</v>
      </c>
      <c r="D399" s="7" t="n">
        <v>1999</v>
      </c>
      <c r="E399" s="7" t="s">
        <v>68</v>
      </c>
      <c r="F399" s="7" t="s">
        <v>86</v>
      </c>
      <c r="G399" s="7" t="s">
        <v>66</v>
      </c>
      <c r="H399" s="7" t="n">
        <v>33.2</v>
      </c>
      <c r="I399" s="7" t="str">
        <f aca="false">IF(B399="",TRIM(C399),TRIM(B399))</f>
        <v>Cameroon Multiple Indicator Cluster Survey 2000</v>
      </c>
      <c r="J399" s="7" t="str">
        <f aca="false">IF(ISNUMBER(SEARCH("Demographic and Health",I399)),"DHS",IF(OR(ISNUMBER(SEARCH("Multiple Indicator Cluster",I399)),ISNUMBER(SEARCH("MICS",I399))),"MICS","Other"))</f>
        <v>MICS</v>
      </c>
      <c r="K399" s="7" t="n">
        <f aca="false">IF(AND(F399="Record or Recall",G399="12-23 m"),1,0)</f>
        <v>0</v>
      </c>
      <c r="L399" s="7" t="n">
        <f aca="false">IF(OR(J399="DHS",J399="MICS"),1,0)</f>
        <v>1</v>
      </c>
    </row>
    <row r="400" customFormat="false" ht="15" hidden="false" customHeight="false" outlineLevel="0" collapsed="false">
      <c r="A400" s="7" t="s">
        <v>348</v>
      </c>
      <c r="B400" s="7" t="s">
        <v>357</v>
      </c>
      <c r="C400" s="7" t="s">
        <v>358</v>
      </c>
      <c r="D400" s="7" t="n">
        <v>1999</v>
      </c>
      <c r="E400" s="7" t="s">
        <v>68</v>
      </c>
      <c r="F400" s="7" t="s">
        <v>63</v>
      </c>
      <c r="G400" s="7" t="s">
        <v>66</v>
      </c>
      <c r="H400" s="7" t="n">
        <v>61.9</v>
      </c>
      <c r="I400" s="7" t="str">
        <f aca="false">IF(B400="",TRIM(C400),TRIM(B400))</f>
        <v>Cameroon Multiple Indicator Cluster Survey 2000</v>
      </c>
      <c r="J400" s="7" t="str">
        <f aca="false">IF(ISNUMBER(SEARCH("Demographic and Health",I400)),"DHS",IF(OR(ISNUMBER(SEARCH("Multiple Indicator Cluster",I400)),ISNUMBER(SEARCH("MICS",I400))),"MICS","Other"))</f>
        <v>MICS</v>
      </c>
      <c r="K400" s="7" t="n">
        <f aca="false">IF(AND(F400="Record or Recall",G400="12-23 m"),1,0)</f>
        <v>1</v>
      </c>
      <c r="L400" s="7" t="n">
        <f aca="false">IF(OR(J400="DHS",J400="MICS"),1,0)</f>
        <v>1</v>
      </c>
    </row>
    <row r="401" customFormat="false" ht="15" hidden="false" customHeight="false" outlineLevel="0" collapsed="false">
      <c r="A401" s="7" t="s">
        <v>348</v>
      </c>
      <c r="B401" s="7" t="s">
        <v>357</v>
      </c>
      <c r="C401" s="7" t="s">
        <v>358</v>
      </c>
      <c r="D401" s="7" t="n">
        <v>1999</v>
      </c>
      <c r="E401" s="7" t="s">
        <v>68</v>
      </c>
      <c r="F401" s="7" t="s">
        <v>87</v>
      </c>
      <c r="G401" s="7" t="s">
        <v>66</v>
      </c>
      <c r="H401" s="7" t="n">
        <v>28.7</v>
      </c>
      <c r="I401" s="7" t="str">
        <f aca="false">IF(B401="",TRIM(C401),TRIM(B401))</f>
        <v>Cameroon Multiple Indicator Cluster Survey 2000</v>
      </c>
      <c r="J401" s="7" t="str">
        <f aca="false">IF(ISNUMBER(SEARCH("Demographic and Health",I401)),"DHS",IF(OR(ISNUMBER(SEARCH("Multiple Indicator Cluster",I401)),ISNUMBER(SEARCH("MICS",I401))),"MICS","Other"))</f>
        <v>MICS</v>
      </c>
      <c r="K401" s="7" t="n">
        <f aca="false">IF(AND(F401="Record or Recall",G401="12-23 m"),1,0)</f>
        <v>0</v>
      </c>
      <c r="L401" s="7" t="n">
        <f aca="false">IF(OR(J401="DHS",J401="MICS"),1,0)</f>
        <v>1</v>
      </c>
    </row>
    <row r="402" customFormat="false" ht="15" hidden="false" customHeight="false" outlineLevel="0" collapsed="false">
      <c r="A402" s="7" t="s">
        <v>348</v>
      </c>
      <c r="B402" s="7" t="s">
        <v>357</v>
      </c>
      <c r="C402" s="7" t="s">
        <v>358</v>
      </c>
      <c r="D402" s="7" t="n">
        <v>1999</v>
      </c>
      <c r="E402" s="7" t="s">
        <v>69</v>
      </c>
      <c r="F402" s="7" t="s">
        <v>78</v>
      </c>
      <c r="G402" s="7" t="s">
        <v>66</v>
      </c>
      <c r="H402" s="7" t="n">
        <v>47.2</v>
      </c>
      <c r="I402" s="7" t="str">
        <f aca="false">IF(B402="",TRIM(C402),TRIM(B402))</f>
        <v>Cameroon Multiple Indicator Cluster Survey 2000</v>
      </c>
      <c r="J402" s="7" t="str">
        <f aca="false">IF(ISNUMBER(SEARCH("Demographic and Health",I402)),"DHS",IF(OR(ISNUMBER(SEARCH("Multiple Indicator Cluster",I402)),ISNUMBER(SEARCH("MICS",I402))),"MICS","Other"))</f>
        <v>MICS</v>
      </c>
      <c r="K402" s="7" t="n">
        <f aca="false">IF(AND(F402="Record or Recall",G402="12-23 m"),1,0)</f>
        <v>0</v>
      </c>
      <c r="L402" s="7" t="n">
        <f aca="false">IF(OR(J402="DHS",J402="MICS"),1,0)</f>
        <v>1</v>
      </c>
    </row>
    <row r="403" customFormat="false" ht="15" hidden="false" customHeight="false" outlineLevel="0" collapsed="false">
      <c r="A403" s="7" t="s">
        <v>348</v>
      </c>
      <c r="B403" s="7" t="s">
        <v>357</v>
      </c>
      <c r="C403" s="7" t="s">
        <v>358</v>
      </c>
      <c r="D403" s="7" t="n">
        <v>1999</v>
      </c>
      <c r="E403" s="7" t="s">
        <v>69</v>
      </c>
      <c r="F403" s="7" t="s">
        <v>86</v>
      </c>
      <c r="G403" s="7" t="s">
        <v>66</v>
      </c>
      <c r="H403" s="7" t="n">
        <v>35.4</v>
      </c>
      <c r="I403" s="7" t="str">
        <f aca="false">IF(B403="",TRIM(C403),TRIM(B403))</f>
        <v>Cameroon Multiple Indicator Cluster Survey 2000</v>
      </c>
      <c r="J403" s="7" t="str">
        <f aca="false">IF(ISNUMBER(SEARCH("Demographic and Health",I403)),"DHS",IF(OR(ISNUMBER(SEARCH("Multiple Indicator Cluster",I403)),ISNUMBER(SEARCH("MICS",I403))),"MICS","Other"))</f>
        <v>MICS</v>
      </c>
      <c r="K403" s="7" t="n">
        <f aca="false">IF(AND(F403="Record or Recall",G403="12-23 m"),1,0)</f>
        <v>0</v>
      </c>
      <c r="L403" s="7" t="n">
        <f aca="false">IF(OR(J403="DHS",J403="MICS"),1,0)</f>
        <v>1</v>
      </c>
    </row>
    <row r="404" customFormat="false" ht="15" hidden="false" customHeight="false" outlineLevel="0" collapsed="false">
      <c r="A404" s="7" t="s">
        <v>348</v>
      </c>
      <c r="B404" s="7" t="s">
        <v>357</v>
      </c>
      <c r="C404" s="7" t="s">
        <v>358</v>
      </c>
      <c r="D404" s="7" t="n">
        <v>1999</v>
      </c>
      <c r="E404" s="7" t="s">
        <v>69</v>
      </c>
      <c r="F404" s="7" t="s">
        <v>63</v>
      </c>
      <c r="G404" s="7" t="s">
        <v>66</v>
      </c>
      <c r="H404" s="7" t="n">
        <v>49.7</v>
      </c>
      <c r="I404" s="7" t="str">
        <f aca="false">IF(B404="",TRIM(C404),TRIM(B404))</f>
        <v>Cameroon Multiple Indicator Cluster Survey 2000</v>
      </c>
      <c r="J404" s="7" t="str">
        <f aca="false">IF(ISNUMBER(SEARCH("Demographic and Health",I404)),"DHS",IF(OR(ISNUMBER(SEARCH("Multiple Indicator Cluster",I404)),ISNUMBER(SEARCH("MICS",I404))),"MICS","Other"))</f>
        <v>MICS</v>
      </c>
      <c r="K404" s="7" t="n">
        <f aca="false">IF(AND(F404="Record or Recall",G404="12-23 m"),1,0)</f>
        <v>1</v>
      </c>
      <c r="L404" s="7" t="n">
        <f aca="false">IF(OR(J404="DHS",J404="MICS"),1,0)</f>
        <v>1</v>
      </c>
    </row>
    <row r="405" customFormat="false" ht="15" hidden="false" customHeight="false" outlineLevel="0" collapsed="false">
      <c r="A405" s="7" t="s">
        <v>348</v>
      </c>
      <c r="B405" s="7" t="s">
        <v>357</v>
      </c>
      <c r="C405" s="7" t="s">
        <v>358</v>
      </c>
      <c r="D405" s="7" t="n">
        <v>1999</v>
      </c>
      <c r="E405" s="7" t="s">
        <v>69</v>
      </c>
      <c r="F405" s="7" t="s">
        <v>87</v>
      </c>
      <c r="G405" s="7" t="s">
        <v>66</v>
      </c>
      <c r="H405" s="7" t="n">
        <v>14.3</v>
      </c>
      <c r="I405" s="7" t="str">
        <f aca="false">IF(B405="",TRIM(C405),TRIM(B405))</f>
        <v>Cameroon Multiple Indicator Cluster Survey 2000</v>
      </c>
      <c r="J405" s="7" t="str">
        <f aca="false">IF(ISNUMBER(SEARCH("Demographic and Health",I405)),"DHS",IF(OR(ISNUMBER(SEARCH("Multiple Indicator Cluster",I405)),ISNUMBER(SEARCH("MICS",I405))),"MICS","Other"))</f>
        <v>MICS</v>
      </c>
      <c r="K405" s="7" t="n">
        <f aca="false">IF(AND(F405="Record or Recall",G405="12-23 m"),1,0)</f>
        <v>0</v>
      </c>
      <c r="L405" s="7" t="n">
        <f aca="false">IF(OR(J405="DHS",J405="MICS"),1,0)</f>
        <v>1</v>
      </c>
    </row>
    <row r="406" customFormat="false" ht="15" hidden="false" customHeight="false" outlineLevel="0" collapsed="false">
      <c r="A406" s="7" t="s">
        <v>348</v>
      </c>
      <c r="B406" s="7" t="s">
        <v>359</v>
      </c>
      <c r="C406" s="7" t="s">
        <v>360</v>
      </c>
      <c r="D406" s="7" t="n">
        <v>2003</v>
      </c>
      <c r="E406" s="7" t="s">
        <v>62</v>
      </c>
      <c r="F406" s="7" t="s">
        <v>78</v>
      </c>
      <c r="G406" s="7" t="s">
        <v>66</v>
      </c>
      <c r="H406" s="7" t="n">
        <v>84.9</v>
      </c>
      <c r="I406" s="7" t="str">
        <f aca="false">IF(B406="",TRIM(C406),TRIM(B406))</f>
        <v>Cameroon Demographic and Health Survey</v>
      </c>
      <c r="J406" s="7" t="str">
        <f aca="false">IF(ISNUMBER(SEARCH("Demographic and Health",I406)),"DHS",IF(OR(ISNUMBER(SEARCH("Multiple Indicator Cluster",I406)),ISNUMBER(SEARCH("MICS",I406))),"MICS","Other"))</f>
        <v>DHS</v>
      </c>
      <c r="K406" s="7" t="n">
        <f aca="false">IF(AND(F406="Record or Recall",G406="12-23 m"),1,0)</f>
        <v>0</v>
      </c>
      <c r="L406" s="7" t="n">
        <f aca="false">IF(OR(J406="DHS",J406="MICS"),1,0)</f>
        <v>1</v>
      </c>
    </row>
    <row r="407" customFormat="false" ht="15" hidden="false" customHeight="false" outlineLevel="0" collapsed="false">
      <c r="A407" s="7" t="s">
        <v>348</v>
      </c>
      <c r="B407" s="7" t="s">
        <v>359</v>
      </c>
      <c r="C407" s="7" t="s">
        <v>360</v>
      </c>
      <c r="D407" s="7" t="n">
        <v>2003</v>
      </c>
      <c r="E407" s="7" t="s">
        <v>62</v>
      </c>
      <c r="F407" s="7" t="s">
        <v>86</v>
      </c>
      <c r="G407" s="7" t="s">
        <v>66</v>
      </c>
      <c r="H407" s="7" t="n">
        <v>55.5</v>
      </c>
      <c r="I407" s="7" t="str">
        <f aca="false">IF(B407="",TRIM(C407),TRIM(B407))</f>
        <v>Cameroon Demographic and Health Survey</v>
      </c>
      <c r="J407" s="7" t="str">
        <f aca="false">IF(ISNUMBER(SEARCH("Demographic and Health",I407)),"DHS",IF(OR(ISNUMBER(SEARCH("Multiple Indicator Cluster",I407)),ISNUMBER(SEARCH("MICS",I407))),"MICS","Other"))</f>
        <v>DHS</v>
      </c>
      <c r="K407" s="7" t="n">
        <f aca="false">IF(AND(F407="Record or Recall",G407="12-23 m"),1,0)</f>
        <v>0</v>
      </c>
      <c r="L407" s="7" t="n">
        <f aca="false">IF(OR(J407="DHS",J407="MICS"),1,0)</f>
        <v>1</v>
      </c>
    </row>
    <row r="408" customFormat="false" ht="15" hidden="false" customHeight="false" outlineLevel="0" collapsed="false">
      <c r="A408" s="7" t="s">
        <v>348</v>
      </c>
      <c r="B408" s="7" t="s">
        <v>359</v>
      </c>
      <c r="C408" s="7" t="s">
        <v>360</v>
      </c>
      <c r="D408" s="7" t="n">
        <v>2003</v>
      </c>
      <c r="E408" s="7" t="s">
        <v>62</v>
      </c>
      <c r="F408" s="7" t="s">
        <v>63</v>
      </c>
      <c r="G408" s="7" t="s">
        <v>66</v>
      </c>
      <c r="H408" s="7" t="n">
        <v>85.7</v>
      </c>
      <c r="I408" s="7" t="str">
        <f aca="false">IF(B408="",TRIM(C408),TRIM(B408))</f>
        <v>Cameroon Demographic and Health Survey</v>
      </c>
      <c r="J408" s="7" t="str">
        <f aca="false">IF(ISNUMBER(SEARCH("Demographic and Health",I408)),"DHS",IF(OR(ISNUMBER(SEARCH("Multiple Indicator Cluster",I408)),ISNUMBER(SEARCH("MICS",I408))),"MICS","Other"))</f>
        <v>DHS</v>
      </c>
      <c r="K408" s="7" t="n">
        <f aca="false">IF(AND(F408="Record or Recall",G408="12-23 m"),1,0)</f>
        <v>1</v>
      </c>
      <c r="L408" s="7" t="n">
        <f aca="false">IF(OR(J408="DHS",J408="MICS"),1,0)</f>
        <v>1</v>
      </c>
    </row>
    <row r="409" customFormat="false" ht="15" hidden="false" customHeight="false" outlineLevel="0" collapsed="false">
      <c r="A409" s="7" t="s">
        <v>348</v>
      </c>
      <c r="B409" s="7" t="s">
        <v>359</v>
      </c>
      <c r="C409" s="7" t="s">
        <v>360</v>
      </c>
      <c r="D409" s="7" t="n">
        <v>2003</v>
      </c>
      <c r="E409" s="7" t="s">
        <v>62</v>
      </c>
      <c r="F409" s="7" t="s">
        <v>87</v>
      </c>
      <c r="G409" s="7" t="s">
        <v>66</v>
      </c>
      <c r="H409" s="7" t="n">
        <v>30.2</v>
      </c>
      <c r="I409" s="7" t="str">
        <f aca="false">IF(B409="",TRIM(C409),TRIM(B409))</f>
        <v>Cameroon Demographic and Health Survey</v>
      </c>
      <c r="J409" s="7" t="str">
        <f aca="false">IF(ISNUMBER(SEARCH("Demographic and Health",I409)),"DHS",IF(OR(ISNUMBER(SEARCH("Multiple Indicator Cluster",I409)),ISNUMBER(SEARCH("MICS",I409))),"MICS","Other"))</f>
        <v>DHS</v>
      </c>
      <c r="K409" s="7" t="n">
        <f aca="false">IF(AND(F409="Record or Recall",G409="12-23 m"),1,0)</f>
        <v>0</v>
      </c>
      <c r="L409" s="7" t="n">
        <f aca="false">IF(OR(J409="DHS",J409="MICS"),1,0)</f>
        <v>1</v>
      </c>
    </row>
    <row r="410" customFormat="false" ht="15" hidden="false" customHeight="false" outlineLevel="0" collapsed="false">
      <c r="A410" s="7" t="s">
        <v>348</v>
      </c>
      <c r="B410" s="7" t="s">
        <v>359</v>
      </c>
      <c r="C410" s="7" t="s">
        <v>360</v>
      </c>
      <c r="D410" s="7" t="n">
        <v>2003</v>
      </c>
      <c r="E410" s="7" t="s">
        <v>81</v>
      </c>
      <c r="F410" s="7" t="s">
        <v>78</v>
      </c>
      <c r="G410" s="7" t="s">
        <v>66</v>
      </c>
      <c r="H410" s="7" t="n">
        <v>81.1</v>
      </c>
      <c r="I410" s="7" t="str">
        <f aca="false">IF(B410="",TRIM(C410),TRIM(B410))</f>
        <v>Cameroon Demographic and Health Survey</v>
      </c>
      <c r="J410" s="7" t="str">
        <f aca="false">IF(ISNUMBER(SEARCH("Demographic and Health",I410)),"DHS",IF(OR(ISNUMBER(SEARCH("Multiple Indicator Cluster",I410)),ISNUMBER(SEARCH("MICS",I410))),"MICS","Other"))</f>
        <v>DHS</v>
      </c>
      <c r="K410" s="7" t="n">
        <f aca="false">IF(AND(F410="Record or Recall",G410="12-23 m"),1,0)</f>
        <v>0</v>
      </c>
      <c r="L410" s="7" t="n">
        <f aca="false">IF(OR(J410="DHS",J410="MICS"),1,0)</f>
        <v>1</v>
      </c>
    </row>
    <row r="411" customFormat="false" ht="15" hidden="false" customHeight="false" outlineLevel="0" collapsed="false">
      <c r="A411" s="7" t="s">
        <v>348</v>
      </c>
      <c r="B411" s="7" t="s">
        <v>359</v>
      </c>
      <c r="C411" s="7" t="s">
        <v>360</v>
      </c>
      <c r="D411" s="7" t="n">
        <v>2003</v>
      </c>
      <c r="E411" s="7" t="s">
        <v>81</v>
      </c>
      <c r="F411" s="7" t="s">
        <v>86</v>
      </c>
      <c r="G411" s="7" t="s">
        <v>66</v>
      </c>
      <c r="H411" s="7" t="n">
        <v>55.6</v>
      </c>
      <c r="I411" s="7" t="str">
        <f aca="false">IF(B411="",TRIM(C411),TRIM(B411))</f>
        <v>Cameroon Demographic and Health Survey</v>
      </c>
      <c r="J411" s="7" t="str">
        <f aca="false">IF(ISNUMBER(SEARCH("Demographic and Health",I411)),"DHS",IF(OR(ISNUMBER(SEARCH("Multiple Indicator Cluster",I411)),ISNUMBER(SEARCH("MICS",I411))),"MICS","Other"))</f>
        <v>DHS</v>
      </c>
      <c r="K411" s="7" t="n">
        <f aca="false">IF(AND(F411="Record or Recall",G411="12-23 m"),1,0)</f>
        <v>0</v>
      </c>
      <c r="L411" s="7" t="n">
        <f aca="false">IF(OR(J411="DHS",J411="MICS"),1,0)</f>
        <v>1</v>
      </c>
    </row>
    <row r="412" customFormat="false" ht="15" hidden="false" customHeight="false" outlineLevel="0" collapsed="false">
      <c r="A412" s="7" t="s">
        <v>348</v>
      </c>
      <c r="B412" s="7" t="s">
        <v>359</v>
      </c>
      <c r="C412" s="7" t="s">
        <v>360</v>
      </c>
      <c r="D412" s="7" t="n">
        <v>2003</v>
      </c>
      <c r="E412" s="7" t="s">
        <v>81</v>
      </c>
      <c r="F412" s="7" t="s">
        <v>63</v>
      </c>
      <c r="G412" s="7" t="s">
        <v>66</v>
      </c>
      <c r="H412" s="7" t="n">
        <v>82.6</v>
      </c>
      <c r="I412" s="7" t="str">
        <f aca="false">IF(B412="",TRIM(C412),TRIM(B412))</f>
        <v>Cameroon Demographic and Health Survey</v>
      </c>
      <c r="J412" s="7" t="str">
        <f aca="false">IF(ISNUMBER(SEARCH("Demographic and Health",I412)),"DHS",IF(OR(ISNUMBER(SEARCH("Multiple Indicator Cluster",I412)),ISNUMBER(SEARCH("MICS",I412))),"MICS","Other"))</f>
        <v>DHS</v>
      </c>
      <c r="K412" s="7" t="n">
        <f aca="false">IF(AND(F412="Record or Recall",G412="12-23 m"),1,0)</f>
        <v>1</v>
      </c>
      <c r="L412" s="7" t="n">
        <f aca="false">IF(OR(J412="DHS",J412="MICS"),1,0)</f>
        <v>1</v>
      </c>
    </row>
    <row r="413" customFormat="false" ht="15" hidden="false" customHeight="false" outlineLevel="0" collapsed="false">
      <c r="A413" s="7" t="s">
        <v>348</v>
      </c>
      <c r="B413" s="7" t="s">
        <v>359</v>
      </c>
      <c r="C413" s="7" t="s">
        <v>360</v>
      </c>
      <c r="D413" s="7" t="n">
        <v>2003</v>
      </c>
      <c r="E413" s="7" t="s">
        <v>81</v>
      </c>
      <c r="F413" s="7" t="s">
        <v>87</v>
      </c>
      <c r="G413" s="7" t="s">
        <v>66</v>
      </c>
      <c r="H413" s="7" t="n">
        <v>27.1</v>
      </c>
      <c r="I413" s="7" t="str">
        <f aca="false">IF(B413="",TRIM(C413),TRIM(B413))</f>
        <v>Cameroon Demographic and Health Survey</v>
      </c>
      <c r="J413" s="7" t="str">
        <f aca="false">IF(ISNUMBER(SEARCH("Demographic and Health",I413)),"DHS",IF(OR(ISNUMBER(SEARCH("Multiple Indicator Cluster",I413)),ISNUMBER(SEARCH("MICS",I413))),"MICS","Other"))</f>
        <v>DHS</v>
      </c>
      <c r="K413" s="7" t="n">
        <f aca="false">IF(AND(F413="Record or Recall",G413="12-23 m"),1,0)</f>
        <v>0</v>
      </c>
      <c r="L413" s="7" t="n">
        <f aca="false">IF(OR(J413="DHS",J413="MICS"),1,0)</f>
        <v>1</v>
      </c>
    </row>
    <row r="414" customFormat="false" ht="15" hidden="false" customHeight="false" outlineLevel="0" collapsed="false">
      <c r="A414" s="7" t="s">
        <v>348</v>
      </c>
      <c r="B414" s="7" t="s">
        <v>359</v>
      </c>
      <c r="C414" s="7" t="s">
        <v>360</v>
      </c>
      <c r="D414" s="7" t="n">
        <v>2003</v>
      </c>
      <c r="E414" s="7" t="s">
        <v>67</v>
      </c>
      <c r="F414" s="7" t="s">
        <v>78</v>
      </c>
      <c r="G414" s="7" t="s">
        <v>66</v>
      </c>
      <c r="H414" s="7" t="n">
        <v>62.7</v>
      </c>
      <c r="I414" s="7" t="str">
        <f aca="false">IF(B414="",TRIM(C414),TRIM(B414))</f>
        <v>Cameroon Demographic and Health Survey</v>
      </c>
      <c r="J414" s="7" t="str">
        <f aca="false">IF(ISNUMBER(SEARCH("Demographic and Health",I414)),"DHS",IF(OR(ISNUMBER(SEARCH("Multiple Indicator Cluster",I414)),ISNUMBER(SEARCH("MICS",I414))),"MICS","Other"))</f>
        <v>DHS</v>
      </c>
      <c r="K414" s="7" t="n">
        <f aca="false">IF(AND(F414="Record or Recall",G414="12-23 m"),1,0)</f>
        <v>0</v>
      </c>
      <c r="L414" s="7" t="n">
        <f aca="false">IF(OR(J414="DHS",J414="MICS"),1,0)</f>
        <v>1</v>
      </c>
    </row>
    <row r="415" customFormat="false" ht="15" hidden="false" customHeight="false" outlineLevel="0" collapsed="false">
      <c r="A415" s="7" t="s">
        <v>348</v>
      </c>
      <c r="B415" s="7" t="s">
        <v>359</v>
      </c>
      <c r="C415" s="7" t="s">
        <v>360</v>
      </c>
      <c r="D415" s="7" t="n">
        <v>2003</v>
      </c>
      <c r="E415" s="7" t="s">
        <v>67</v>
      </c>
      <c r="F415" s="7" t="s">
        <v>86</v>
      </c>
      <c r="G415" s="7" t="s">
        <v>66</v>
      </c>
      <c r="H415" s="7" t="n">
        <v>49.8</v>
      </c>
      <c r="I415" s="7" t="str">
        <f aca="false">IF(B415="",TRIM(C415),TRIM(B415))</f>
        <v>Cameroon Demographic and Health Survey</v>
      </c>
      <c r="J415" s="7" t="str">
        <f aca="false">IF(ISNUMBER(SEARCH("Demographic and Health",I415)),"DHS",IF(OR(ISNUMBER(SEARCH("Multiple Indicator Cluster",I415)),ISNUMBER(SEARCH("MICS",I415))),"MICS","Other"))</f>
        <v>DHS</v>
      </c>
      <c r="K415" s="7" t="n">
        <f aca="false">IF(AND(F415="Record or Recall",G415="12-23 m"),1,0)</f>
        <v>0</v>
      </c>
      <c r="L415" s="7" t="n">
        <f aca="false">IF(OR(J415="DHS",J415="MICS"),1,0)</f>
        <v>1</v>
      </c>
    </row>
    <row r="416" customFormat="false" ht="15" hidden="false" customHeight="false" outlineLevel="0" collapsed="false">
      <c r="A416" s="7" t="s">
        <v>348</v>
      </c>
      <c r="B416" s="7" t="s">
        <v>359</v>
      </c>
      <c r="C416" s="7" t="s">
        <v>360</v>
      </c>
      <c r="D416" s="7" t="n">
        <v>2003</v>
      </c>
      <c r="E416" s="7" t="s">
        <v>67</v>
      </c>
      <c r="F416" s="7" t="s">
        <v>63</v>
      </c>
      <c r="G416" s="7" t="s">
        <v>66</v>
      </c>
      <c r="H416" s="7" t="n">
        <v>65.4</v>
      </c>
      <c r="I416" s="7" t="str">
        <f aca="false">IF(B416="",TRIM(C416),TRIM(B416))</f>
        <v>Cameroon Demographic and Health Survey</v>
      </c>
      <c r="J416" s="7" t="str">
        <f aca="false">IF(ISNUMBER(SEARCH("Demographic and Health",I416)),"DHS",IF(OR(ISNUMBER(SEARCH("Multiple Indicator Cluster",I416)),ISNUMBER(SEARCH("MICS",I416))),"MICS","Other"))</f>
        <v>DHS</v>
      </c>
      <c r="K416" s="7" t="n">
        <f aca="false">IF(AND(F416="Record or Recall",G416="12-23 m"),1,0)</f>
        <v>1</v>
      </c>
      <c r="L416" s="7" t="n">
        <f aca="false">IF(OR(J416="DHS",J416="MICS"),1,0)</f>
        <v>1</v>
      </c>
    </row>
    <row r="417" customFormat="false" ht="15" hidden="false" customHeight="false" outlineLevel="0" collapsed="false">
      <c r="A417" s="7" t="s">
        <v>348</v>
      </c>
      <c r="B417" s="7" t="s">
        <v>359</v>
      </c>
      <c r="C417" s="7" t="s">
        <v>360</v>
      </c>
      <c r="D417" s="7" t="n">
        <v>2003</v>
      </c>
      <c r="E417" s="7" t="s">
        <v>67</v>
      </c>
      <c r="F417" s="7" t="s">
        <v>87</v>
      </c>
      <c r="G417" s="7" t="s">
        <v>66</v>
      </c>
      <c r="H417" s="7" t="n">
        <v>15.6</v>
      </c>
      <c r="I417" s="7" t="str">
        <f aca="false">IF(B417="",TRIM(C417),TRIM(B417))</f>
        <v>Cameroon Demographic and Health Survey</v>
      </c>
      <c r="J417" s="7" t="str">
        <f aca="false">IF(ISNUMBER(SEARCH("Demographic and Health",I417)),"DHS",IF(OR(ISNUMBER(SEARCH("Multiple Indicator Cluster",I417)),ISNUMBER(SEARCH("MICS",I417))),"MICS","Other"))</f>
        <v>DHS</v>
      </c>
      <c r="K417" s="7" t="n">
        <f aca="false">IF(AND(F417="Record or Recall",G417="12-23 m"),1,0)</f>
        <v>0</v>
      </c>
      <c r="L417" s="7" t="n">
        <f aca="false">IF(OR(J417="DHS",J417="MICS"),1,0)</f>
        <v>1</v>
      </c>
    </row>
    <row r="418" customFormat="false" ht="15" hidden="false" customHeight="false" outlineLevel="0" collapsed="false">
      <c r="A418" s="7" t="s">
        <v>348</v>
      </c>
      <c r="B418" s="7" t="s">
        <v>359</v>
      </c>
      <c r="C418" s="7" t="s">
        <v>360</v>
      </c>
      <c r="D418" s="7" t="n">
        <v>2003</v>
      </c>
      <c r="E418" s="7" t="s">
        <v>82</v>
      </c>
      <c r="F418" s="7" t="s">
        <v>78</v>
      </c>
      <c r="G418" s="7" t="s">
        <v>66</v>
      </c>
      <c r="H418" s="7" t="n">
        <v>42.5</v>
      </c>
      <c r="I418" s="7" t="str">
        <f aca="false">IF(B418="",TRIM(C418),TRIM(B418))</f>
        <v>Cameroon Demographic and Health Survey</v>
      </c>
      <c r="J418" s="7" t="str">
        <f aca="false">IF(ISNUMBER(SEARCH("Demographic and Health",I418)),"DHS",IF(OR(ISNUMBER(SEARCH("Multiple Indicator Cluster",I418)),ISNUMBER(SEARCH("MICS",I418))),"MICS","Other"))</f>
        <v>DHS</v>
      </c>
      <c r="K418" s="7" t="n">
        <f aca="false">IF(AND(F418="Record or Recall",G418="12-23 m"),1,0)</f>
        <v>0</v>
      </c>
      <c r="L418" s="7" t="n">
        <f aca="false">IF(OR(J418="DHS",J418="MICS"),1,0)</f>
        <v>1</v>
      </c>
    </row>
    <row r="419" customFormat="false" ht="15" hidden="false" customHeight="false" outlineLevel="0" collapsed="false">
      <c r="A419" s="7" t="s">
        <v>348</v>
      </c>
      <c r="B419" s="7" t="s">
        <v>359</v>
      </c>
      <c r="C419" s="7" t="s">
        <v>360</v>
      </c>
      <c r="D419" s="7" t="n">
        <v>2003</v>
      </c>
      <c r="E419" s="7" t="s">
        <v>82</v>
      </c>
      <c r="F419" s="7" t="s">
        <v>86</v>
      </c>
      <c r="G419" s="7" t="s">
        <v>66</v>
      </c>
      <c r="H419" s="7" t="n">
        <v>41.3</v>
      </c>
      <c r="I419" s="7" t="str">
        <f aca="false">IF(B419="",TRIM(C419),TRIM(B419))</f>
        <v>Cameroon Demographic and Health Survey</v>
      </c>
      <c r="J419" s="7" t="str">
        <f aca="false">IF(ISNUMBER(SEARCH("Demographic and Health",I419)),"DHS",IF(OR(ISNUMBER(SEARCH("Multiple Indicator Cluster",I419)),ISNUMBER(SEARCH("MICS",I419))),"MICS","Other"))</f>
        <v>DHS</v>
      </c>
      <c r="K419" s="7" t="n">
        <f aca="false">IF(AND(F419="Record or Recall",G419="12-23 m"),1,0)</f>
        <v>0</v>
      </c>
      <c r="L419" s="7" t="n">
        <f aca="false">IF(OR(J419="DHS",J419="MICS"),1,0)</f>
        <v>1</v>
      </c>
    </row>
    <row r="420" customFormat="false" ht="15" hidden="false" customHeight="false" outlineLevel="0" collapsed="false">
      <c r="A420" s="7" t="s">
        <v>348</v>
      </c>
      <c r="B420" s="7" t="s">
        <v>359</v>
      </c>
      <c r="C420" s="7" t="s">
        <v>360</v>
      </c>
      <c r="D420" s="7" t="n">
        <v>2003</v>
      </c>
      <c r="E420" s="7" t="s">
        <v>82</v>
      </c>
      <c r="F420" s="7" t="s">
        <v>63</v>
      </c>
      <c r="G420" s="7" t="s">
        <v>66</v>
      </c>
      <c r="H420" s="7" t="n">
        <v>48.2</v>
      </c>
      <c r="I420" s="7" t="str">
        <f aca="false">IF(B420="",TRIM(C420),TRIM(B420))</f>
        <v>Cameroon Demographic and Health Survey</v>
      </c>
      <c r="J420" s="7" t="str">
        <f aca="false">IF(ISNUMBER(SEARCH("Demographic and Health",I420)),"DHS",IF(OR(ISNUMBER(SEARCH("Multiple Indicator Cluster",I420)),ISNUMBER(SEARCH("MICS",I420))),"MICS","Other"))</f>
        <v>DHS</v>
      </c>
      <c r="K420" s="7" t="n">
        <f aca="false">IF(AND(F420="Record or Recall",G420="12-23 m"),1,0)</f>
        <v>1</v>
      </c>
      <c r="L420" s="7" t="n">
        <f aca="false">IF(OR(J420="DHS",J420="MICS"),1,0)</f>
        <v>1</v>
      </c>
    </row>
    <row r="421" customFormat="false" ht="15" hidden="false" customHeight="false" outlineLevel="0" collapsed="false">
      <c r="A421" s="7" t="s">
        <v>348</v>
      </c>
      <c r="B421" s="7" t="s">
        <v>359</v>
      </c>
      <c r="C421" s="7" t="s">
        <v>360</v>
      </c>
      <c r="D421" s="7" t="n">
        <v>2003</v>
      </c>
      <c r="E421" s="7" t="s">
        <v>82</v>
      </c>
      <c r="F421" s="7" t="s">
        <v>87</v>
      </c>
      <c r="G421" s="7" t="s">
        <v>66</v>
      </c>
      <c r="H421" s="7" t="n">
        <v>6.8</v>
      </c>
      <c r="I421" s="7" t="str">
        <f aca="false">IF(B421="",TRIM(C421),TRIM(B421))</f>
        <v>Cameroon Demographic and Health Survey</v>
      </c>
      <c r="J421" s="7" t="str">
        <f aca="false">IF(ISNUMBER(SEARCH("Demographic and Health",I421)),"DHS",IF(OR(ISNUMBER(SEARCH("Multiple Indicator Cluster",I421)),ISNUMBER(SEARCH("MICS",I421))),"MICS","Other"))</f>
        <v>DHS</v>
      </c>
      <c r="K421" s="7" t="n">
        <f aca="false">IF(AND(F421="Record or Recall",G421="12-23 m"),1,0)</f>
        <v>0</v>
      </c>
      <c r="L421" s="7" t="n">
        <f aca="false">IF(OR(J421="DHS",J421="MICS"),1,0)</f>
        <v>1</v>
      </c>
    </row>
    <row r="422" customFormat="false" ht="15" hidden="false" customHeight="false" outlineLevel="0" collapsed="false">
      <c r="A422" s="7" t="s">
        <v>348</v>
      </c>
      <c r="B422" s="7" t="s">
        <v>359</v>
      </c>
      <c r="C422" s="7" t="s">
        <v>360</v>
      </c>
      <c r="D422" s="7" t="n">
        <v>2003</v>
      </c>
      <c r="E422" s="7" t="s">
        <v>68</v>
      </c>
      <c r="F422" s="7" t="s">
        <v>78</v>
      </c>
      <c r="G422" s="7" t="s">
        <v>66</v>
      </c>
      <c r="H422" s="7" t="n">
        <v>55.7</v>
      </c>
      <c r="I422" s="7" t="str">
        <f aca="false">IF(B422="",TRIM(C422),TRIM(B422))</f>
        <v>Cameroon Demographic and Health Survey</v>
      </c>
      <c r="J422" s="7" t="str">
        <f aca="false">IF(ISNUMBER(SEARCH("Demographic and Health",I422)),"DHS",IF(OR(ISNUMBER(SEARCH("Multiple Indicator Cluster",I422)),ISNUMBER(SEARCH("MICS",I422))),"MICS","Other"))</f>
        <v>DHS</v>
      </c>
      <c r="K422" s="7" t="n">
        <f aca="false">IF(AND(F422="Record or Recall",G422="12-23 m"),1,0)</f>
        <v>0</v>
      </c>
      <c r="L422" s="7" t="n">
        <f aca="false">IF(OR(J422="DHS",J422="MICS"),1,0)</f>
        <v>1</v>
      </c>
    </row>
    <row r="423" customFormat="false" ht="15" hidden="false" customHeight="false" outlineLevel="0" collapsed="false">
      <c r="A423" s="7" t="s">
        <v>348</v>
      </c>
      <c r="B423" s="7" t="s">
        <v>359</v>
      </c>
      <c r="C423" s="7" t="s">
        <v>360</v>
      </c>
      <c r="D423" s="7" t="n">
        <v>2003</v>
      </c>
      <c r="E423" s="7" t="s">
        <v>68</v>
      </c>
      <c r="F423" s="7" t="s">
        <v>86</v>
      </c>
      <c r="G423" s="7" t="s">
        <v>66</v>
      </c>
      <c r="H423" s="7" t="n">
        <v>44.1</v>
      </c>
      <c r="I423" s="7" t="str">
        <f aca="false">IF(B423="",TRIM(C423),TRIM(B423))</f>
        <v>Cameroon Demographic and Health Survey</v>
      </c>
      <c r="J423" s="7" t="str">
        <f aca="false">IF(ISNUMBER(SEARCH("Demographic and Health",I423)),"DHS",IF(OR(ISNUMBER(SEARCH("Multiple Indicator Cluster",I423)),ISNUMBER(SEARCH("MICS",I423))),"MICS","Other"))</f>
        <v>DHS</v>
      </c>
      <c r="K423" s="7" t="n">
        <f aca="false">IF(AND(F423="Record or Recall",G423="12-23 m"),1,0)</f>
        <v>0</v>
      </c>
      <c r="L423" s="7" t="n">
        <f aca="false">IF(OR(J423="DHS",J423="MICS"),1,0)</f>
        <v>1</v>
      </c>
    </row>
    <row r="424" customFormat="false" ht="15" hidden="false" customHeight="false" outlineLevel="0" collapsed="false">
      <c r="A424" s="7" t="s">
        <v>348</v>
      </c>
      <c r="B424" s="7" t="s">
        <v>359</v>
      </c>
      <c r="C424" s="7" t="s">
        <v>360</v>
      </c>
      <c r="D424" s="7" t="n">
        <v>2003</v>
      </c>
      <c r="E424" s="7" t="s">
        <v>68</v>
      </c>
      <c r="F424" s="7" t="s">
        <v>63</v>
      </c>
      <c r="G424" s="7" t="s">
        <v>66</v>
      </c>
      <c r="H424" s="7" t="n">
        <v>64.8</v>
      </c>
      <c r="I424" s="7" t="str">
        <f aca="false">IF(B424="",TRIM(C424),TRIM(B424))</f>
        <v>Cameroon Demographic and Health Survey</v>
      </c>
      <c r="J424" s="7" t="str">
        <f aca="false">IF(ISNUMBER(SEARCH("Demographic and Health",I424)),"DHS",IF(OR(ISNUMBER(SEARCH("Multiple Indicator Cluster",I424)),ISNUMBER(SEARCH("MICS",I424))),"MICS","Other"))</f>
        <v>DHS</v>
      </c>
      <c r="K424" s="7" t="n">
        <f aca="false">IF(AND(F424="Record or Recall",G424="12-23 m"),1,0)</f>
        <v>1</v>
      </c>
      <c r="L424" s="7" t="n">
        <f aca="false">IF(OR(J424="DHS",J424="MICS"),1,0)</f>
        <v>1</v>
      </c>
    </row>
    <row r="425" customFormat="false" ht="15" hidden="false" customHeight="false" outlineLevel="0" collapsed="false">
      <c r="A425" s="7" t="s">
        <v>348</v>
      </c>
      <c r="B425" s="7" t="s">
        <v>359</v>
      </c>
      <c r="C425" s="7" t="s">
        <v>360</v>
      </c>
      <c r="D425" s="7" t="n">
        <v>2003</v>
      </c>
      <c r="E425" s="7" t="s">
        <v>68</v>
      </c>
      <c r="F425" s="7" t="s">
        <v>87</v>
      </c>
      <c r="G425" s="7" t="s">
        <v>66</v>
      </c>
      <c r="H425" s="7" t="n">
        <v>20.7</v>
      </c>
      <c r="I425" s="7" t="str">
        <f aca="false">IF(B425="",TRIM(C425),TRIM(B425))</f>
        <v>Cameroon Demographic and Health Survey</v>
      </c>
      <c r="J425" s="7" t="str">
        <f aca="false">IF(ISNUMBER(SEARCH("Demographic and Health",I425)),"DHS",IF(OR(ISNUMBER(SEARCH("Multiple Indicator Cluster",I425)),ISNUMBER(SEARCH("MICS",I425))),"MICS","Other"))</f>
        <v>DHS</v>
      </c>
      <c r="K425" s="7" t="n">
        <f aca="false">IF(AND(F425="Record or Recall",G425="12-23 m"),1,0)</f>
        <v>0</v>
      </c>
      <c r="L425" s="7" t="n">
        <f aca="false">IF(OR(J425="DHS",J425="MICS"),1,0)</f>
        <v>1</v>
      </c>
    </row>
    <row r="426" customFormat="false" ht="15" hidden="false" customHeight="false" outlineLevel="0" collapsed="false">
      <c r="A426" s="7" t="s">
        <v>348</v>
      </c>
      <c r="B426" s="7" t="s">
        <v>359</v>
      </c>
      <c r="C426" s="7" t="s">
        <v>360</v>
      </c>
      <c r="D426" s="7" t="n">
        <v>2003</v>
      </c>
      <c r="E426" s="7" t="s">
        <v>69</v>
      </c>
      <c r="F426" s="7" t="s">
        <v>78</v>
      </c>
      <c r="G426" s="7" t="s">
        <v>66</v>
      </c>
      <c r="H426" s="7" t="n">
        <v>65.1</v>
      </c>
      <c r="I426" s="7" t="str">
        <f aca="false">IF(B426="",TRIM(C426),TRIM(B426))</f>
        <v>Cameroon Demographic and Health Survey</v>
      </c>
      <c r="J426" s="7" t="str">
        <f aca="false">IF(ISNUMBER(SEARCH("Demographic and Health",I426)),"DHS",IF(OR(ISNUMBER(SEARCH("Multiple Indicator Cluster",I426)),ISNUMBER(SEARCH("MICS",I426))),"MICS","Other"))</f>
        <v>DHS</v>
      </c>
      <c r="K426" s="7" t="n">
        <f aca="false">IF(AND(F426="Record or Recall",G426="12-23 m"),1,0)</f>
        <v>0</v>
      </c>
      <c r="L426" s="7" t="n">
        <f aca="false">IF(OR(J426="DHS",J426="MICS"),1,0)</f>
        <v>1</v>
      </c>
    </row>
    <row r="427" customFormat="false" ht="15" hidden="false" customHeight="false" outlineLevel="0" collapsed="false">
      <c r="A427" s="7" t="s">
        <v>348</v>
      </c>
      <c r="B427" s="7" t="s">
        <v>359</v>
      </c>
      <c r="C427" s="7" t="s">
        <v>360</v>
      </c>
      <c r="D427" s="7" t="n">
        <v>2003</v>
      </c>
      <c r="E427" s="7" t="s">
        <v>69</v>
      </c>
      <c r="F427" s="7" t="s">
        <v>86</v>
      </c>
      <c r="G427" s="7" t="s">
        <v>66</v>
      </c>
      <c r="H427" s="7" t="n">
        <v>50.3</v>
      </c>
      <c r="I427" s="7" t="str">
        <f aca="false">IF(B427="",TRIM(C427),TRIM(B427))</f>
        <v>Cameroon Demographic and Health Survey</v>
      </c>
      <c r="J427" s="7" t="str">
        <f aca="false">IF(ISNUMBER(SEARCH("Demographic and Health",I427)),"DHS",IF(OR(ISNUMBER(SEARCH("Multiple Indicator Cluster",I427)),ISNUMBER(SEARCH("MICS",I427))),"MICS","Other"))</f>
        <v>DHS</v>
      </c>
      <c r="K427" s="7" t="n">
        <f aca="false">IF(AND(F427="Record or Recall",G427="12-23 m"),1,0)</f>
        <v>0</v>
      </c>
      <c r="L427" s="7" t="n">
        <f aca="false">IF(OR(J427="DHS",J427="MICS"),1,0)</f>
        <v>1</v>
      </c>
    </row>
    <row r="428" customFormat="false" ht="15" hidden="false" customHeight="false" outlineLevel="0" collapsed="false">
      <c r="A428" s="7" t="s">
        <v>348</v>
      </c>
      <c r="B428" s="7" t="s">
        <v>359</v>
      </c>
      <c r="C428" s="7" t="s">
        <v>360</v>
      </c>
      <c r="D428" s="7" t="n">
        <v>2003</v>
      </c>
      <c r="E428" s="7" t="s">
        <v>69</v>
      </c>
      <c r="F428" s="7" t="s">
        <v>63</v>
      </c>
      <c r="G428" s="7" t="s">
        <v>66</v>
      </c>
      <c r="H428" s="7" t="n">
        <v>67.4</v>
      </c>
      <c r="I428" s="7" t="str">
        <f aca="false">IF(B428="",TRIM(C428),TRIM(B428))</f>
        <v>Cameroon Demographic and Health Survey</v>
      </c>
      <c r="J428" s="7" t="str">
        <f aca="false">IF(ISNUMBER(SEARCH("Demographic and Health",I428)),"DHS",IF(OR(ISNUMBER(SEARCH("Multiple Indicator Cluster",I428)),ISNUMBER(SEARCH("MICS",I428))),"MICS","Other"))</f>
        <v>DHS</v>
      </c>
      <c r="K428" s="7" t="n">
        <f aca="false">IF(AND(F428="Record or Recall",G428="12-23 m"),1,0)</f>
        <v>1</v>
      </c>
      <c r="L428" s="7" t="n">
        <f aca="false">IF(OR(J428="DHS",J428="MICS"),1,0)</f>
        <v>1</v>
      </c>
    </row>
    <row r="429" customFormat="false" ht="15" hidden="false" customHeight="false" outlineLevel="0" collapsed="false">
      <c r="A429" s="7" t="s">
        <v>348</v>
      </c>
      <c r="B429" s="7" t="s">
        <v>359</v>
      </c>
      <c r="C429" s="7" t="s">
        <v>360</v>
      </c>
      <c r="D429" s="7" t="n">
        <v>2003</v>
      </c>
      <c r="E429" s="7" t="s">
        <v>69</v>
      </c>
      <c r="F429" s="7" t="s">
        <v>87</v>
      </c>
      <c r="G429" s="7" t="s">
        <v>66</v>
      </c>
      <c r="H429" s="7" t="n">
        <v>17.2</v>
      </c>
      <c r="I429" s="7" t="str">
        <f aca="false">IF(B429="",TRIM(C429),TRIM(B429))</f>
        <v>Cameroon Demographic and Health Survey</v>
      </c>
      <c r="J429" s="7" t="str">
        <f aca="false">IF(ISNUMBER(SEARCH("Demographic and Health",I429)),"DHS",IF(OR(ISNUMBER(SEARCH("Multiple Indicator Cluster",I429)),ISNUMBER(SEARCH("MICS",I429))),"MICS","Other"))</f>
        <v>DHS</v>
      </c>
      <c r="K429" s="7" t="n">
        <f aca="false">IF(AND(F429="Record or Recall",G429="12-23 m"),1,0)</f>
        <v>0</v>
      </c>
      <c r="L429" s="7" t="n">
        <f aca="false">IF(OR(J429="DHS",J429="MICS"),1,0)</f>
        <v>1</v>
      </c>
    </row>
    <row r="430" customFormat="false" ht="15" hidden="false" customHeight="false" outlineLevel="0" collapsed="false">
      <c r="A430" s="7" t="s">
        <v>348</v>
      </c>
      <c r="B430" s="7" t="s">
        <v>361</v>
      </c>
      <c r="C430" s="7" t="s">
        <v>362</v>
      </c>
      <c r="D430" s="7" t="n">
        <v>2004</v>
      </c>
      <c r="E430" s="7" t="s">
        <v>62</v>
      </c>
      <c r="F430" s="7" t="s">
        <v>86</v>
      </c>
      <c r="G430" s="7" t="s">
        <v>66</v>
      </c>
      <c r="H430" s="7" t="n">
        <v>50.8</v>
      </c>
      <c r="I430" s="7" t="str">
        <f aca="false">IF(B430="",TRIM(C430),TRIM(B430))</f>
        <v>Cameroon National Evaluation of Immunization Coverage among Children Aged 12 to 23 Months</v>
      </c>
      <c r="J430" s="7" t="str">
        <f aca="false">IF(ISNUMBER(SEARCH("Demographic and Health",I430)),"DHS",IF(OR(ISNUMBER(SEARCH("Multiple Indicator Cluster",I430)),ISNUMBER(SEARCH("MICS",I430))),"MICS","Other"))</f>
        <v>Other</v>
      </c>
      <c r="K430" s="7" t="n">
        <f aca="false">IF(AND(F430="Record or Recall",G430="12-23 m"),1,0)</f>
        <v>0</v>
      </c>
      <c r="L430" s="7" t="n">
        <f aca="false">IF(OR(J430="DHS",J430="MICS"),1,0)</f>
        <v>0</v>
      </c>
    </row>
    <row r="431" customFormat="false" ht="15" hidden="false" customHeight="false" outlineLevel="0" collapsed="false">
      <c r="A431" s="7" t="s">
        <v>348</v>
      </c>
      <c r="B431" s="7" t="s">
        <v>361</v>
      </c>
      <c r="C431" s="7" t="s">
        <v>362</v>
      </c>
      <c r="D431" s="7" t="n">
        <v>2004</v>
      </c>
      <c r="E431" s="7" t="s">
        <v>62</v>
      </c>
      <c r="F431" s="7" t="s">
        <v>63</v>
      </c>
      <c r="G431" s="7" t="s">
        <v>66</v>
      </c>
      <c r="H431" s="7" t="n">
        <v>89.5</v>
      </c>
      <c r="I431" s="7" t="str">
        <f aca="false">IF(B431="",TRIM(C431),TRIM(B431))</f>
        <v>Cameroon National Evaluation of Immunization Coverage among Children Aged 12 to 23 Months</v>
      </c>
      <c r="J431" s="7" t="str">
        <f aca="false">IF(ISNUMBER(SEARCH("Demographic and Health",I431)),"DHS",IF(OR(ISNUMBER(SEARCH("Multiple Indicator Cluster",I431)),ISNUMBER(SEARCH("MICS",I431))),"MICS","Other"))</f>
        <v>Other</v>
      </c>
      <c r="K431" s="7" t="n">
        <f aca="false">IF(AND(F431="Record or Recall",G431="12-23 m"),1,0)</f>
        <v>1</v>
      </c>
      <c r="L431" s="7" t="n">
        <f aca="false">IF(OR(J431="DHS",J431="MICS"),1,0)</f>
        <v>0</v>
      </c>
    </row>
    <row r="432" customFormat="false" ht="15" hidden="false" customHeight="false" outlineLevel="0" collapsed="false">
      <c r="A432" s="7" t="s">
        <v>348</v>
      </c>
      <c r="B432" s="7" t="s">
        <v>361</v>
      </c>
      <c r="C432" s="7" t="s">
        <v>362</v>
      </c>
      <c r="D432" s="7" t="n">
        <v>2004</v>
      </c>
      <c r="E432" s="7" t="s">
        <v>81</v>
      </c>
      <c r="F432" s="7" t="s">
        <v>86</v>
      </c>
      <c r="G432" s="7" t="s">
        <v>66</v>
      </c>
      <c r="H432" s="7" t="n">
        <v>50.1</v>
      </c>
      <c r="I432" s="7" t="str">
        <f aca="false">IF(B432="",TRIM(C432),TRIM(B432))</f>
        <v>Cameroon National Evaluation of Immunization Coverage among Children Aged 12 to 23 Months</v>
      </c>
      <c r="J432" s="7" t="str">
        <f aca="false">IF(ISNUMBER(SEARCH("Demographic and Health",I432)),"DHS",IF(OR(ISNUMBER(SEARCH("Multiple Indicator Cluster",I432)),ISNUMBER(SEARCH("MICS",I432))),"MICS","Other"))</f>
        <v>Other</v>
      </c>
      <c r="K432" s="7" t="n">
        <f aca="false">IF(AND(F432="Record or Recall",G432="12-23 m"),1,0)</f>
        <v>0</v>
      </c>
      <c r="L432" s="7" t="n">
        <f aca="false">IF(OR(J432="DHS",J432="MICS"),1,0)</f>
        <v>0</v>
      </c>
    </row>
    <row r="433" customFormat="false" ht="15" hidden="false" customHeight="false" outlineLevel="0" collapsed="false">
      <c r="A433" s="7" t="s">
        <v>348</v>
      </c>
      <c r="B433" s="7" t="s">
        <v>361</v>
      </c>
      <c r="C433" s="7" t="s">
        <v>362</v>
      </c>
      <c r="D433" s="7" t="n">
        <v>2004</v>
      </c>
      <c r="E433" s="7" t="s">
        <v>81</v>
      </c>
      <c r="F433" s="7" t="s">
        <v>63</v>
      </c>
      <c r="G433" s="7" t="s">
        <v>66</v>
      </c>
      <c r="H433" s="7" t="n">
        <v>84.4</v>
      </c>
      <c r="I433" s="7" t="str">
        <f aca="false">IF(B433="",TRIM(C433),TRIM(B433))</f>
        <v>Cameroon National Evaluation of Immunization Coverage among Children Aged 12 to 23 Months</v>
      </c>
      <c r="J433" s="7" t="str">
        <f aca="false">IF(ISNUMBER(SEARCH("Demographic and Health",I433)),"DHS",IF(OR(ISNUMBER(SEARCH("Multiple Indicator Cluster",I433)),ISNUMBER(SEARCH("MICS",I433))),"MICS","Other"))</f>
        <v>Other</v>
      </c>
      <c r="K433" s="7" t="n">
        <f aca="false">IF(AND(F433="Record or Recall",G433="12-23 m"),1,0)</f>
        <v>1</v>
      </c>
      <c r="L433" s="7" t="n">
        <f aca="false">IF(OR(J433="DHS",J433="MICS"),1,0)</f>
        <v>0</v>
      </c>
    </row>
    <row r="434" customFormat="false" ht="15" hidden="false" customHeight="false" outlineLevel="0" collapsed="false">
      <c r="A434" s="7" t="s">
        <v>348</v>
      </c>
      <c r="B434" s="7" t="s">
        <v>361</v>
      </c>
      <c r="C434" s="7" t="s">
        <v>362</v>
      </c>
      <c r="D434" s="7" t="n">
        <v>2004</v>
      </c>
      <c r="E434" s="7" t="s">
        <v>67</v>
      </c>
      <c r="F434" s="7" t="s">
        <v>86</v>
      </c>
      <c r="G434" s="7" t="s">
        <v>66</v>
      </c>
      <c r="H434" s="7" t="n">
        <v>44.6</v>
      </c>
      <c r="I434" s="7" t="str">
        <f aca="false">IF(B434="",TRIM(C434),TRIM(B434))</f>
        <v>Cameroon National Evaluation of Immunization Coverage among Children Aged 12 to 23 Months</v>
      </c>
      <c r="J434" s="7" t="str">
        <f aca="false">IF(ISNUMBER(SEARCH("Demographic and Health",I434)),"DHS",IF(OR(ISNUMBER(SEARCH("Multiple Indicator Cluster",I434)),ISNUMBER(SEARCH("MICS",I434))),"MICS","Other"))</f>
        <v>Other</v>
      </c>
      <c r="K434" s="7" t="n">
        <f aca="false">IF(AND(F434="Record or Recall",G434="12-23 m"),1,0)</f>
        <v>0</v>
      </c>
      <c r="L434" s="7" t="n">
        <f aca="false">IF(OR(J434="DHS",J434="MICS"),1,0)</f>
        <v>0</v>
      </c>
    </row>
    <row r="435" customFormat="false" ht="15" hidden="false" customHeight="false" outlineLevel="0" collapsed="false">
      <c r="A435" s="7" t="s">
        <v>348</v>
      </c>
      <c r="B435" s="7" t="s">
        <v>361</v>
      </c>
      <c r="C435" s="7" t="s">
        <v>362</v>
      </c>
      <c r="D435" s="7" t="n">
        <v>2004</v>
      </c>
      <c r="E435" s="7" t="s">
        <v>67</v>
      </c>
      <c r="F435" s="7" t="s">
        <v>63</v>
      </c>
      <c r="G435" s="7" t="s">
        <v>66</v>
      </c>
      <c r="H435" s="7" t="n">
        <v>74.5</v>
      </c>
      <c r="I435" s="7" t="str">
        <f aca="false">IF(B435="",TRIM(C435),TRIM(B435))</f>
        <v>Cameroon National Evaluation of Immunization Coverage among Children Aged 12 to 23 Months</v>
      </c>
      <c r="J435" s="7" t="str">
        <f aca="false">IF(ISNUMBER(SEARCH("Demographic and Health",I435)),"DHS",IF(OR(ISNUMBER(SEARCH("Multiple Indicator Cluster",I435)),ISNUMBER(SEARCH("MICS",I435))),"MICS","Other"))</f>
        <v>Other</v>
      </c>
      <c r="K435" s="7" t="n">
        <f aca="false">IF(AND(F435="Record or Recall",G435="12-23 m"),1,0)</f>
        <v>1</v>
      </c>
      <c r="L435" s="7" t="n">
        <f aca="false">IF(OR(J435="DHS",J435="MICS"),1,0)</f>
        <v>0</v>
      </c>
    </row>
    <row r="436" customFormat="false" ht="15" hidden="false" customHeight="false" outlineLevel="0" collapsed="false">
      <c r="A436" s="7" t="s">
        <v>348</v>
      </c>
      <c r="B436" s="7" t="s">
        <v>361</v>
      </c>
      <c r="C436" s="7" t="s">
        <v>362</v>
      </c>
      <c r="D436" s="7" t="n">
        <v>2004</v>
      </c>
      <c r="E436" s="7" t="s">
        <v>68</v>
      </c>
      <c r="F436" s="7" t="s">
        <v>86</v>
      </c>
      <c r="G436" s="7" t="s">
        <v>66</v>
      </c>
      <c r="H436" s="7" t="n">
        <v>40.4</v>
      </c>
      <c r="I436" s="7" t="str">
        <f aca="false">IF(B436="",TRIM(C436),TRIM(B436))</f>
        <v>Cameroon National Evaluation of Immunization Coverage among Children Aged 12 to 23 Months</v>
      </c>
      <c r="J436" s="7" t="str">
        <f aca="false">IF(ISNUMBER(SEARCH("Demographic and Health",I436)),"DHS",IF(OR(ISNUMBER(SEARCH("Multiple Indicator Cluster",I436)),ISNUMBER(SEARCH("MICS",I436))),"MICS","Other"))</f>
        <v>Other</v>
      </c>
      <c r="K436" s="7" t="n">
        <f aca="false">IF(AND(F436="Record or Recall",G436="12-23 m"),1,0)</f>
        <v>0</v>
      </c>
      <c r="L436" s="7" t="n">
        <f aca="false">IF(OR(J436="DHS",J436="MICS"),1,0)</f>
        <v>0</v>
      </c>
    </row>
    <row r="437" customFormat="false" ht="15" hidden="false" customHeight="false" outlineLevel="0" collapsed="false">
      <c r="A437" s="7" t="s">
        <v>348</v>
      </c>
      <c r="B437" s="7" t="s">
        <v>361</v>
      </c>
      <c r="C437" s="7" t="s">
        <v>362</v>
      </c>
      <c r="D437" s="7" t="n">
        <v>2004</v>
      </c>
      <c r="E437" s="7" t="s">
        <v>68</v>
      </c>
      <c r="F437" s="7" t="s">
        <v>63</v>
      </c>
      <c r="G437" s="7" t="s">
        <v>66</v>
      </c>
      <c r="H437" s="7" t="n">
        <v>70.7</v>
      </c>
      <c r="I437" s="7" t="str">
        <f aca="false">IF(B437="",TRIM(C437),TRIM(B437))</f>
        <v>Cameroon National Evaluation of Immunization Coverage among Children Aged 12 to 23 Months</v>
      </c>
      <c r="J437" s="7" t="str">
        <f aca="false">IF(ISNUMBER(SEARCH("Demographic and Health",I437)),"DHS",IF(OR(ISNUMBER(SEARCH("Multiple Indicator Cluster",I437)),ISNUMBER(SEARCH("MICS",I437))),"MICS","Other"))</f>
        <v>Other</v>
      </c>
      <c r="K437" s="7" t="n">
        <f aca="false">IF(AND(F437="Record or Recall",G437="12-23 m"),1,0)</f>
        <v>1</v>
      </c>
      <c r="L437" s="7" t="n">
        <f aca="false">IF(OR(J437="DHS",J437="MICS"),1,0)</f>
        <v>0</v>
      </c>
    </row>
    <row r="438" customFormat="false" ht="15" hidden="false" customHeight="false" outlineLevel="0" collapsed="false">
      <c r="A438" s="7" t="s">
        <v>348</v>
      </c>
      <c r="B438" s="7" t="s">
        <v>361</v>
      </c>
      <c r="C438" s="7" t="s">
        <v>362</v>
      </c>
      <c r="D438" s="7" t="n">
        <v>2004</v>
      </c>
      <c r="E438" s="7" t="s">
        <v>69</v>
      </c>
      <c r="F438" s="7" t="s">
        <v>86</v>
      </c>
      <c r="G438" s="7" t="s">
        <v>66</v>
      </c>
      <c r="H438" s="7" t="n">
        <v>45.1</v>
      </c>
      <c r="I438" s="7" t="str">
        <f aca="false">IF(B438="",TRIM(C438),TRIM(B438))</f>
        <v>Cameroon National Evaluation of Immunization Coverage among Children Aged 12 to 23 Months</v>
      </c>
      <c r="J438" s="7" t="str">
        <f aca="false">IF(ISNUMBER(SEARCH("Demographic and Health",I438)),"DHS",IF(OR(ISNUMBER(SEARCH("Multiple Indicator Cluster",I438)),ISNUMBER(SEARCH("MICS",I438))),"MICS","Other"))</f>
        <v>Other</v>
      </c>
      <c r="K438" s="7" t="n">
        <f aca="false">IF(AND(F438="Record or Recall",G438="12-23 m"),1,0)</f>
        <v>0</v>
      </c>
      <c r="L438" s="7" t="n">
        <f aca="false">IF(OR(J438="DHS",J438="MICS"),1,0)</f>
        <v>0</v>
      </c>
    </row>
    <row r="439" customFormat="false" ht="15" hidden="false" customHeight="false" outlineLevel="0" collapsed="false">
      <c r="A439" s="7" t="s">
        <v>348</v>
      </c>
      <c r="B439" s="7" t="s">
        <v>361</v>
      </c>
      <c r="C439" s="7" t="s">
        <v>362</v>
      </c>
      <c r="D439" s="7" t="n">
        <v>2004</v>
      </c>
      <c r="E439" s="7" t="s">
        <v>69</v>
      </c>
      <c r="F439" s="7" t="s">
        <v>63</v>
      </c>
      <c r="G439" s="7" t="s">
        <v>66</v>
      </c>
      <c r="H439" s="7" t="n">
        <v>72.8</v>
      </c>
      <c r="I439" s="7" t="str">
        <f aca="false">IF(B439="",TRIM(C439),TRIM(B439))</f>
        <v>Cameroon National Evaluation of Immunization Coverage among Children Aged 12 to 23 Months</v>
      </c>
      <c r="J439" s="7" t="str">
        <f aca="false">IF(ISNUMBER(SEARCH("Demographic and Health",I439)),"DHS",IF(OR(ISNUMBER(SEARCH("Multiple Indicator Cluster",I439)),ISNUMBER(SEARCH("MICS",I439))),"MICS","Other"))</f>
        <v>Other</v>
      </c>
      <c r="K439" s="7" t="n">
        <f aca="false">IF(AND(F439="Record or Recall",G439="12-23 m"),1,0)</f>
        <v>1</v>
      </c>
      <c r="L439" s="7" t="n">
        <f aca="false">IF(OR(J439="DHS",J439="MICS"),1,0)</f>
        <v>0</v>
      </c>
    </row>
    <row r="440" customFormat="false" ht="15" hidden="false" customHeight="false" outlineLevel="0" collapsed="false">
      <c r="A440" s="7" t="s">
        <v>348</v>
      </c>
      <c r="B440" s="7" t="s">
        <v>363</v>
      </c>
      <c r="C440" s="7" t="s">
        <v>364</v>
      </c>
      <c r="D440" s="7" t="n">
        <v>2005</v>
      </c>
      <c r="E440" s="7" t="s">
        <v>62</v>
      </c>
      <c r="F440" s="7" t="s">
        <v>78</v>
      </c>
      <c r="G440" s="7" t="s">
        <v>66</v>
      </c>
      <c r="H440" s="7" t="n">
        <v>88.9</v>
      </c>
      <c r="I440" s="7" t="str">
        <f aca="false">IF(B440="",TRIM(C440),TRIM(B440))</f>
        <v>Cameroon Multiple Indicator Cluster Survey 2006</v>
      </c>
      <c r="J440" s="7" t="str">
        <f aca="false">IF(ISNUMBER(SEARCH("Demographic and Health",I440)),"DHS",IF(OR(ISNUMBER(SEARCH("Multiple Indicator Cluster",I440)),ISNUMBER(SEARCH("MICS",I440))),"MICS","Other"))</f>
        <v>MICS</v>
      </c>
      <c r="K440" s="7" t="n">
        <f aca="false">IF(AND(F440="Record or Recall",G440="12-23 m"),1,0)</f>
        <v>0</v>
      </c>
      <c r="L440" s="7" t="n">
        <f aca="false">IF(OR(J440="DHS",J440="MICS"),1,0)</f>
        <v>1</v>
      </c>
    </row>
    <row r="441" customFormat="false" ht="15" hidden="false" customHeight="false" outlineLevel="0" collapsed="false">
      <c r="A441" s="7" t="s">
        <v>348</v>
      </c>
      <c r="B441" s="7" t="s">
        <v>363</v>
      </c>
      <c r="C441" s="7" t="s">
        <v>364</v>
      </c>
      <c r="D441" s="7" t="n">
        <v>2005</v>
      </c>
      <c r="E441" s="7" t="s">
        <v>62</v>
      </c>
      <c r="F441" s="7" t="s">
        <v>86</v>
      </c>
      <c r="G441" s="7" t="s">
        <v>66</v>
      </c>
      <c r="H441" s="7" t="n">
        <v>64.6</v>
      </c>
      <c r="I441" s="7" t="str">
        <f aca="false">IF(B441="",TRIM(C441),TRIM(B441))</f>
        <v>Cameroon Multiple Indicator Cluster Survey 2006</v>
      </c>
      <c r="J441" s="7" t="str">
        <f aca="false">IF(ISNUMBER(SEARCH("Demographic and Health",I441)),"DHS",IF(OR(ISNUMBER(SEARCH("Multiple Indicator Cluster",I441)),ISNUMBER(SEARCH("MICS",I441))),"MICS","Other"))</f>
        <v>MICS</v>
      </c>
      <c r="K441" s="7" t="n">
        <f aca="false">IF(AND(F441="Record or Recall",G441="12-23 m"),1,0)</f>
        <v>0</v>
      </c>
      <c r="L441" s="7" t="n">
        <f aca="false">IF(OR(J441="DHS",J441="MICS"),1,0)</f>
        <v>1</v>
      </c>
    </row>
    <row r="442" customFormat="false" ht="15" hidden="false" customHeight="false" outlineLevel="0" collapsed="false">
      <c r="A442" s="7" t="s">
        <v>348</v>
      </c>
      <c r="B442" s="7" t="s">
        <v>363</v>
      </c>
      <c r="C442" s="7" t="s">
        <v>364</v>
      </c>
      <c r="D442" s="7" t="n">
        <v>2005</v>
      </c>
      <c r="E442" s="7" t="s">
        <v>62</v>
      </c>
      <c r="F442" s="7" t="s">
        <v>63</v>
      </c>
      <c r="G442" s="7" t="s">
        <v>66</v>
      </c>
      <c r="H442" s="7" t="n">
        <v>90</v>
      </c>
      <c r="I442" s="7" t="str">
        <f aca="false">IF(B442="",TRIM(C442),TRIM(B442))</f>
        <v>Cameroon Multiple Indicator Cluster Survey 2006</v>
      </c>
      <c r="J442" s="7" t="str">
        <f aca="false">IF(ISNUMBER(SEARCH("Demographic and Health",I442)),"DHS",IF(OR(ISNUMBER(SEARCH("Multiple Indicator Cluster",I442)),ISNUMBER(SEARCH("MICS",I442))),"MICS","Other"))</f>
        <v>MICS</v>
      </c>
      <c r="K442" s="7" t="n">
        <f aca="false">IF(AND(F442="Record or Recall",G442="12-23 m"),1,0)</f>
        <v>1</v>
      </c>
      <c r="L442" s="7" t="n">
        <f aca="false">IF(OR(J442="DHS",J442="MICS"),1,0)</f>
        <v>1</v>
      </c>
    </row>
    <row r="443" customFormat="false" ht="15" hidden="false" customHeight="false" outlineLevel="0" collapsed="false">
      <c r="A443" s="7" t="s">
        <v>348</v>
      </c>
      <c r="B443" s="7" t="s">
        <v>363</v>
      </c>
      <c r="C443" s="7" t="s">
        <v>364</v>
      </c>
      <c r="D443" s="7" t="n">
        <v>2005</v>
      </c>
      <c r="E443" s="7" t="s">
        <v>62</v>
      </c>
      <c r="F443" s="7" t="s">
        <v>87</v>
      </c>
      <c r="G443" s="7" t="s">
        <v>66</v>
      </c>
      <c r="H443" s="7" t="n">
        <v>25.4</v>
      </c>
      <c r="I443" s="7" t="str">
        <f aca="false">IF(B443="",TRIM(C443),TRIM(B443))</f>
        <v>Cameroon Multiple Indicator Cluster Survey 2006</v>
      </c>
      <c r="J443" s="7" t="str">
        <f aca="false">IF(ISNUMBER(SEARCH("Demographic and Health",I443)),"DHS",IF(OR(ISNUMBER(SEARCH("Multiple Indicator Cluster",I443)),ISNUMBER(SEARCH("MICS",I443))),"MICS","Other"))</f>
        <v>MICS</v>
      </c>
      <c r="K443" s="7" t="n">
        <f aca="false">IF(AND(F443="Record or Recall",G443="12-23 m"),1,0)</f>
        <v>0</v>
      </c>
      <c r="L443" s="7" t="n">
        <f aca="false">IF(OR(J443="DHS",J443="MICS"),1,0)</f>
        <v>1</v>
      </c>
    </row>
    <row r="444" customFormat="false" ht="15" hidden="false" customHeight="false" outlineLevel="0" collapsed="false">
      <c r="A444" s="7" t="s">
        <v>348</v>
      </c>
      <c r="B444" s="7" t="s">
        <v>363</v>
      </c>
      <c r="C444" s="7" t="s">
        <v>364</v>
      </c>
      <c r="D444" s="7" t="n">
        <v>2005</v>
      </c>
      <c r="E444" s="7" t="s">
        <v>81</v>
      </c>
      <c r="F444" s="7" t="s">
        <v>78</v>
      </c>
      <c r="G444" s="7" t="s">
        <v>66</v>
      </c>
      <c r="H444" s="7" t="n">
        <v>87.1</v>
      </c>
      <c r="I444" s="7" t="str">
        <f aca="false">IF(B444="",TRIM(C444),TRIM(B444))</f>
        <v>Cameroon Multiple Indicator Cluster Survey 2006</v>
      </c>
      <c r="J444" s="7" t="str">
        <f aca="false">IF(ISNUMBER(SEARCH("Demographic and Health",I444)),"DHS",IF(OR(ISNUMBER(SEARCH("Multiple Indicator Cluster",I444)),ISNUMBER(SEARCH("MICS",I444))),"MICS","Other"))</f>
        <v>MICS</v>
      </c>
      <c r="K444" s="7" t="n">
        <f aca="false">IF(AND(F444="Record or Recall",G444="12-23 m"),1,0)</f>
        <v>0</v>
      </c>
      <c r="L444" s="7" t="n">
        <f aca="false">IF(OR(J444="DHS",J444="MICS"),1,0)</f>
        <v>1</v>
      </c>
    </row>
    <row r="445" customFormat="false" ht="15" hidden="false" customHeight="false" outlineLevel="0" collapsed="false">
      <c r="A445" s="7" t="s">
        <v>348</v>
      </c>
      <c r="B445" s="7" t="s">
        <v>363</v>
      </c>
      <c r="C445" s="7" t="s">
        <v>364</v>
      </c>
      <c r="D445" s="7" t="n">
        <v>2005</v>
      </c>
      <c r="E445" s="7" t="s">
        <v>81</v>
      </c>
      <c r="F445" s="7" t="s">
        <v>86</v>
      </c>
      <c r="G445" s="7" t="s">
        <v>66</v>
      </c>
      <c r="H445" s="7" t="n">
        <v>64.9</v>
      </c>
      <c r="I445" s="7" t="str">
        <f aca="false">IF(B445="",TRIM(C445),TRIM(B445))</f>
        <v>Cameroon Multiple Indicator Cluster Survey 2006</v>
      </c>
      <c r="J445" s="7" t="str">
        <f aca="false">IF(ISNUMBER(SEARCH("Demographic and Health",I445)),"DHS",IF(OR(ISNUMBER(SEARCH("Multiple Indicator Cluster",I445)),ISNUMBER(SEARCH("MICS",I445))),"MICS","Other"))</f>
        <v>MICS</v>
      </c>
      <c r="K445" s="7" t="n">
        <f aca="false">IF(AND(F445="Record or Recall",G445="12-23 m"),1,0)</f>
        <v>0</v>
      </c>
      <c r="L445" s="7" t="n">
        <f aca="false">IF(OR(J445="DHS",J445="MICS"),1,0)</f>
        <v>1</v>
      </c>
    </row>
    <row r="446" customFormat="false" ht="15" hidden="false" customHeight="false" outlineLevel="0" collapsed="false">
      <c r="A446" s="7" t="s">
        <v>348</v>
      </c>
      <c r="B446" s="7" t="s">
        <v>363</v>
      </c>
      <c r="C446" s="7" t="s">
        <v>364</v>
      </c>
      <c r="D446" s="7" t="n">
        <v>2005</v>
      </c>
      <c r="E446" s="7" t="s">
        <v>81</v>
      </c>
      <c r="F446" s="7" t="s">
        <v>63</v>
      </c>
      <c r="G446" s="7" t="s">
        <v>66</v>
      </c>
      <c r="H446" s="7" t="n">
        <v>88.3</v>
      </c>
      <c r="I446" s="7" t="str">
        <f aca="false">IF(B446="",TRIM(C446),TRIM(B446))</f>
        <v>Cameroon Multiple Indicator Cluster Survey 2006</v>
      </c>
      <c r="J446" s="7" t="str">
        <f aca="false">IF(ISNUMBER(SEARCH("Demographic and Health",I446)),"DHS",IF(OR(ISNUMBER(SEARCH("Multiple Indicator Cluster",I446)),ISNUMBER(SEARCH("MICS",I446))),"MICS","Other"))</f>
        <v>MICS</v>
      </c>
      <c r="K446" s="7" t="n">
        <f aca="false">IF(AND(F446="Record or Recall",G446="12-23 m"),1,0)</f>
        <v>1</v>
      </c>
      <c r="L446" s="7" t="n">
        <f aca="false">IF(OR(J446="DHS",J446="MICS"),1,0)</f>
        <v>1</v>
      </c>
    </row>
    <row r="447" customFormat="false" ht="15" hidden="false" customHeight="false" outlineLevel="0" collapsed="false">
      <c r="A447" s="7" t="s">
        <v>348</v>
      </c>
      <c r="B447" s="7" t="s">
        <v>363</v>
      </c>
      <c r="C447" s="7" t="s">
        <v>364</v>
      </c>
      <c r="D447" s="7" t="n">
        <v>2005</v>
      </c>
      <c r="E447" s="7" t="s">
        <v>81</v>
      </c>
      <c r="F447" s="7" t="s">
        <v>87</v>
      </c>
      <c r="G447" s="7" t="s">
        <v>66</v>
      </c>
      <c r="H447" s="7" t="n">
        <v>23.4</v>
      </c>
      <c r="I447" s="7" t="str">
        <f aca="false">IF(B447="",TRIM(C447),TRIM(B447))</f>
        <v>Cameroon Multiple Indicator Cluster Survey 2006</v>
      </c>
      <c r="J447" s="7" t="str">
        <f aca="false">IF(ISNUMBER(SEARCH("Demographic and Health",I447)),"DHS",IF(OR(ISNUMBER(SEARCH("Multiple Indicator Cluster",I447)),ISNUMBER(SEARCH("MICS",I447))),"MICS","Other"))</f>
        <v>MICS</v>
      </c>
      <c r="K447" s="7" t="n">
        <f aca="false">IF(AND(F447="Record or Recall",G447="12-23 m"),1,0)</f>
        <v>0</v>
      </c>
      <c r="L447" s="7" t="n">
        <f aca="false">IF(OR(J447="DHS",J447="MICS"),1,0)</f>
        <v>1</v>
      </c>
    </row>
    <row r="448" customFormat="false" ht="15" hidden="false" customHeight="false" outlineLevel="0" collapsed="false">
      <c r="A448" s="7" t="s">
        <v>348</v>
      </c>
      <c r="B448" s="7" t="s">
        <v>363</v>
      </c>
      <c r="C448" s="7" t="s">
        <v>364</v>
      </c>
      <c r="D448" s="7" t="n">
        <v>2005</v>
      </c>
      <c r="E448" s="7" t="s">
        <v>67</v>
      </c>
      <c r="F448" s="7" t="s">
        <v>78</v>
      </c>
      <c r="G448" s="7" t="s">
        <v>66</v>
      </c>
      <c r="H448" s="7" t="n">
        <v>72.3</v>
      </c>
      <c r="I448" s="7" t="str">
        <f aca="false">IF(B448="",TRIM(C448),TRIM(B448))</f>
        <v>Cameroon Multiple Indicator Cluster Survey 2006</v>
      </c>
      <c r="J448" s="7" t="str">
        <f aca="false">IF(ISNUMBER(SEARCH("Demographic and Health",I448)),"DHS",IF(OR(ISNUMBER(SEARCH("Multiple Indicator Cluster",I448)),ISNUMBER(SEARCH("MICS",I448))),"MICS","Other"))</f>
        <v>MICS</v>
      </c>
      <c r="K448" s="7" t="n">
        <f aca="false">IF(AND(F448="Record or Recall",G448="12-23 m"),1,0)</f>
        <v>0</v>
      </c>
      <c r="L448" s="7" t="n">
        <f aca="false">IF(OR(J448="DHS",J448="MICS"),1,0)</f>
        <v>1</v>
      </c>
    </row>
    <row r="449" customFormat="false" ht="15" hidden="false" customHeight="false" outlineLevel="0" collapsed="false">
      <c r="A449" s="7" t="s">
        <v>348</v>
      </c>
      <c r="B449" s="7" t="s">
        <v>363</v>
      </c>
      <c r="C449" s="7" t="s">
        <v>364</v>
      </c>
      <c r="D449" s="7" t="n">
        <v>2005</v>
      </c>
      <c r="E449" s="7" t="s">
        <v>67</v>
      </c>
      <c r="F449" s="7" t="s">
        <v>86</v>
      </c>
      <c r="G449" s="7" t="s">
        <v>66</v>
      </c>
      <c r="H449" s="7" t="n">
        <v>58.9</v>
      </c>
      <c r="I449" s="7" t="str">
        <f aca="false">IF(B449="",TRIM(C449),TRIM(B449))</f>
        <v>Cameroon Multiple Indicator Cluster Survey 2006</v>
      </c>
      <c r="J449" s="7" t="str">
        <f aca="false">IF(ISNUMBER(SEARCH("Demographic and Health",I449)),"DHS",IF(OR(ISNUMBER(SEARCH("Multiple Indicator Cluster",I449)),ISNUMBER(SEARCH("MICS",I449))),"MICS","Other"))</f>
        <v>MICS</v>
      </c>
      <c r="K449" s="7" t="n">
        <f aca="false">IF(AND(F449="Record or Recall",G449="12-23 m"),1,0)</f>
        <v>0</v>
      </c>
      <c r="L449" s="7" t="n">
        <f aca="false">IF(OR(J449="DHS",J449="MICS"),1,0)</f>
        <v>1</v>
      </c>
    </row>
    <row r="450" customFormat="false" ht="15" hidden="false" customHeight="false" outlineLevel="0" collapsed="false">
      <c r="A450" s="7" t="s">
        <v>348</v>
      </c>
      <c r="B450" s="7" t="s">
        <v>363</v>
      </c>
      <c r="C450" s="7" t="s">
        <v>364</v>
      </c>
      <c r="D450" s="7" t="n">
        <v>2005</v>
      </c>
      <c r="E450" s="7" t="s">
        <v>67</v>
      </c>
      <c r="F450" s="7" t="s">
        <v>63</v>
      </c>
      <c r="G450" s="7" t="s">
        <v>66</v>
      </c>
      <c r="H450" s="7" t="n">
        <v>75.2</v>
      </c>
      <c r="I450" s="7" t="str">
        <f aca="false">IF(B450="",TRIM(C450),TRIM(B450))</f>
        <v>Cameroon Multiple Indicator Cluster Survey 2006</v>
      </c>
      <c r="J450" s="7" t="str">
        <f aca="false">IF(ISNUMBER(SEARCH("Demographic and Health",I450)),"DHS",IF(OR(ISNUMBER(SEARCH("Multiple Indicator Cluster",I450)),ISNUMBER(SEARCH("MICS",I450))),"MICS","Other"))</f>
        <v>MICS</v>
      </c>
      <c r="K450" s="7" t="n">
        <f aca="false">IF(AND(F450="Record or Recall",G450="12-23 m"),1,0)</f>
        <v>1</v>
      </c>
      <c r="L450" s="7" t="n">
        <f aca="false">IF(OR(J450="DHS",J450="MICS"),1,0)</f>
        <v>1</v>
      </c>
    </row>
    <row r="451" customFormat="false" ht="15" hidden="false" customHeight="false" outlineLevel="0" collapsed="false">
      <c r="A451" s="7" t="s">
        <v>348</v>
      </c>
      <c r="B451" s="7" t="s">
        <v>363</v>
      </c>
      <c r="C451" s="7" t="s">
        <v>364</v>
      </c>
      <c r="D451" s="7" t="n">
        <v>2005</v>
      </c>
      <c r="E451" s="7" t="s">
        <v>67</v>
      </c>
      <c r="F451" s="7" t="s">
        <v>87</v>
      </c>
      <c r="G451" s="7" t="s">
        <v>66</v>
      </c>
      <c r="H451" s="7" t="n">
        <v>16.3</v>
      </c>
      <c r="I451" s="7" t="str">
        <f aca="false">IF(B451="",TRIM(C451),TRIM(B451))</f>
        <v>Cameroon Multiple Indicator Cluster Survey 2006</v>
      </c>
      <c r="J451" s="7" t="str">
        <f aca="false">IF(ISNUMBER(SEARCH("Demographic and Health",I451)),"DHS",IF(OR(ISNUMBER(SEARCH("Multiple Indicator Cluster",I451)),ISNUMBER(SEARCH("MICS",I451))),"MICS","Other"))</f>
        <v>MICS</v>
      </c>
      <c r="K451" s="7" t="n">
        <f aca="false">IF(AND(F451="Record or Recall",G451="12-23 m"),1,0)</f>
        <v>0</v>
      </c>
      <c r="L451" s="7" t="n">
        <f aca="false">IF(OR(J451="DHS",J451="MICS"),1,0)</f>
        <v>1</v>
      </c>
    </row>
    <row r="452" customFormat="false" ht="15" hidden="false" customHeight="false" outlineLevel="0" collapsed="false">
      <c r="A452" s="7" t="s">
        <v>348</v>
      </c>
      <c r="B452" s="7" t="s">
        <v>363</v>
      </c>
      <c r="C452" s="7" t="s">
        <v>364</v>
      </c>
      <c r="D452" s="7" t="n">
        <v>2005</v>
      </c>
      <c r="E452" s="7" t="s">
        <v>82</v>
      </c>
      <c r="F452" s="7" t="s">
        <v>78</v>
      </c>
      <c r="G452" s="7" t="s">
        <v>66</v>
      </c>
      <c r="H452" s="7" t="n">
        <v>48.7</v>
      </c>
      <c r="I452" s="7" t="str">
        <f aca="false">IF(B452="",TRIM(C452),TRIM(B452))</f>
        <v>Cameroon Multiple Indicator Cluster Survey 2006</v>
      </c>
      <c r="J452" s="7" t="str">
        <f aca="false">IF(ISNUMBER(SEARCH("Demographic and Health",I452)),"DHS",IF(OR(ISNUMBER(SEARCH("Multiple Indicator Cluster",I452)),ISNUMBER(SEARCH("MICS",I452))),"MICS","Other"))</f>
        <v>MICS</v>
      </c>
      <c r="K452" s="7" t="n">
        <f aca="false">IF(AND(F452="Record or Recall",G452="12-23 m"),1,0)</f>
        <v>0</v>
      </c>
      <c r="L452" s="7" t="n">
        <f aca="false">IF(OR(J452="DHS",J452="MICS"),1,0)</f>
        <v>1</v>
      </c>
    </row>
    <row r="453" customFormat="false" ht="15" hidden="false" customHeight="false" outlineLevel="0" collapsed="false">
      <c r="A453" s="7" t="s">
        <v>348</v>
      </c>
      <c r="B453" s="7" t="s">
        <v>363</v>
      </c>
      <c r="C453" s="7" t="s">
        <v>364</v>
      </c>
      <c r="D453" s="7" t="n">
        <v>2005</v>
      </c>
      <c r="E453" s="7" t="s">
        <v>82</v>
      </c>
      <c r="F453" s="7" t="s">
        <v>86</v>
      </c>
      <c r="G453" s="7" t="s">
        <v>66</v>
      </c>
      <c r="H453" s="7" t="n">
        <v>52.7</v>
      </c>
      <c r="I453" s="7" t="str">
        <f aca="false">IF(B453="",TRIM(C453),TRIM(B453))</f>
        <v>Cameroon Multiple Indicator Cluster Survey 2006</v>
      </c>
      <c r="J453" s="7" t="str">
        <f aca="false">IF(ISNUMBER(SEARCH("Demographic and Health",I453)),"DHS",IF(OR(ISNUMBER(SEARCH("Multiple Indicator Cluster",I453)),ISNUMBER(SEARCH("MICS",I453))),"MICS","Other"))</f>
        <v>MICS</v>
      </c>
      <c r="K453" s="7" t="n">
        <f aca="false">IF(AND(F453="Record or Recall",G453="12-23 m"),1,0)</f>
        <v>0</v>
      </c>
      <c r="L453" s="7" t="n">
        <f aca="false">IF(OR(J453="DHS",J453="MICS"),1,0)</f>
        <v>1</v>
      </c>
    </row>
    <row r="454" customFormat="false" ht="15" hidden="false" customHeight="false" outlineLevel="0" collapsed="false">
      <c r="A454" s="7" t="s">
        <v>348</v>
      </c>
      <c r="B454" s="7" t="s">
        <v>363</v>
      </c>
      <c r="C454" s="7" t="s">
        <v>364</v>
      </c>
      <c r="D454" s="7" t="n">
        <v>2005</v>
      </c>
      <c r="E454" s="7" t="s">
        <v>82</v>
      </c>
      <c r="F454" s="7" t="s">
        <v>63</v>
      </c>
      <c r="G454" s="7" t="s">
        <v>66</v>
      </c>
      <c r="H454" s="7" t="n">
        <v>56.8</v>
      </c>
      <c r="I454" s="7" t="str">
        <f aca="false">IF(B454="",TRIM(C454),TRIM(B454))</f>
        <v>Cameroon Multiple Indicator Cluster Survey 2006</v>
      </c>
      <c r="J454" s="7" t="str">
        <f aca="false">IF(ISNUMBER(SEARCH("Demographic and Health",I454)),"DHS",IF(OR(ISNUMBER(SEARCH("Multiple Indicator Cluster",I454)),ISNUMBER(SEARCH("MICS",I454))),"MICS","Other"))</f>
        <v>MICS</v>
      </c>
      <c r="K454" s="7" t="n">
        <f aca="false">IF(AND(F454="Record or Recall",G454="12-23 m"),1,0)</f>
        <v>1</v>
      </c>
      <c r="L454" s="7" t="n">
        <f aca="false">IF(OR(J454="DHS",J454="MICS"),1,0)</f>
        <v>1</v>
      </c>
    </row>
    <row r="455" customFormat="false" ht="15" hidden="false" customHeight="false" outlineLevel="0" collapsed="false">
      <c r="A455" s="7" t="s">
        <v>348</v>
      </c>
      <c r="B455" s="7" t="s">
        <v>363</v>
      </c>
      <c r="C455" s="7" t="s">
        <v>364</v>
      </c>
      <c r="D455" s="7" t="n">
        <v>2005</v>
      </c>
      <c r="E455" s="7" t="s">
        <v>82</v>
      </c>
      <c r="F455" s="7" t="s">
        <v>87</v>
      </c>
      <c r="G455" s="7" t="s">
        <v>66</v>
      </c>
      <c r="H455" s="7" t="n">
        <v>4.1</v>
      </c>
      <c r="I455" s="7" t="str">
        <f aca="false">IF(B455="",TRIM(C455),TRIM(B455))</f>
        <v>Cameroon Multiple Indicator Cluster Survey 2006</v>
      </c>
      <c r="J455" s="7" t="str">
        <f aca="false">IF(ISNUMBER(SEARCH("Demographic and Health",I455)),"DHS",IF(OR(ISNUMBER(SEARCH("Multiple Indicator Cluster",I455)),ISNUMBER(SEARCH("MICS",I455))),"MICS","Other"))</f>
        <v>MICS</v>
      </c>
      <c r="K455" s="7" t="n">
        <f aca="false">IF(AND(F455="Record or Recall",G455="12-23 m"),1,0)</f>
        <v>0</v>
      </c>
      <c r="L455" s="7" t="n">
        <f aca="false">IF(OR(J455="DHS",J455="MICS"),1,0)</f>
        <v>1</v>
      </c>
    </row>
    <row r="456" customFormat="false" ht="15" hidden="false" customHeight="false" outlineLevel="0" collapsed="false">
      <c r="A456" s="7" t="s">
        <v>348</v>
      </c>
      <c r="B456" s="7" t="s">
        <v>363</v>
      </c>
      <c r="C456" s="7" t="s">
        <v>364</v>
      </c>
      <c r="D456" s="7" t="n">
        <v>2005</v>
      </c>
      <c r="E456" s="7" t="s">
        <v>68</v>
      </c>
      <c r="F456" s="7" t="s">
        <v>78</v>
      </c>
      <c r="G456" s="7" t="s">
        <v>66</v>
      </c>
      <c r="H456" s="7" t="n">
        <v>72.5</v>
      </c>
      <c r="I456" s="7" t="str">
        <f aca="false">IF(B456="",TRIM(C456),TRIM(B456))</f>
        <v>Cameroon Multiple Indicator Cluster Survey 2006</v>
      </c>
      <c r="J456" s="7" t="str">
        <f aca="false">IF(ISNUMBER(SEARCH("Demographic and Health",I456)),"DHS",IF(OR(ISNUMBER(SEARCH("Multiple Indicator Cluster",I456)),ISNUMBER(SEARCH("MICS",I456))),"MICS","Other"))</f>
        <v>MICS</v>
      </c>
      <c r="K456" s="7" t="n">
        <f aca="false">IF(AND(F456="Record or Recall",G456="12-23 m"),1,0)</f>
        <v>0</v>
      </c>
      <c r="L456" s="7" t="n">
        <f aca="false">IF(OR(J456="DHS",J456="MICS"),1,0)</f>
        <v>1</v>
      </c>
    </row>
    <row r="457" customFormat="false" ht="15" hidden="false" customHeight="false" outlineLevel="0" collapsed="false">
      <c r="A457" s="7" t="s">
        <v>348</v>
      </c>
      <c r="B457" s="7" t="s">
        <v>363</v>
      </c>
      <c r="C457" s="7" t="s">
        <v>364</v>
      </c>
      <c r="D457" s="7" t="n">
        <v>2005</v>
      </c>
      <c r="E457" s="7" t="s">
        <v>68</v>
      </c>
      <c r="F457" s="7" t="s">
        <v>86</v>
      </c>
      <c r="G457" s="7" t="s">
        <v>66</v>
      </c>
      <c r="H457" s="7" t="n">
        <v>49.7</v>
      </c>
      <c r="I457" s="7" t="str">
        <f aca="false">IF(B457="",TRIM(C457),TRIM(B457))</f>
        <v>Cameroon Multiple Indicator Cluster Survey 2006</v>
      </c>
      <c r="J457" s="7" t="str">
        <f aca="false">IF(ISNUMBER(SEARCH("Demographic and Health",I457)),"DHS",IF(OR(ISNUMBER(SEARCH("Multiple Indicator Cluster",I457)),ISNUMBER(SEARCH("MICS",I457))),"MICS","Other"))</f>
        <v>MICS</v>
      </c>
      <c r="K457" s="7" t="n">
        <f aca="false">IF(AND(F457="Record or Recall",G457="12-23 m"),1,0)</f>
        <v>0</v>
      </c>
      <c r="L457" s="7" t="n">
        <f aca="false">IF(OR(J457="DHS",J457="MICS"),1,0)</f>
        <v>1</v>
      </c>
    </row>
    <row r="458" customFormat="false" ht="15" hidden="false" customHeight="false" outlineLevel="0" collapsed="false">
      <c r="A458" s="7" t="s">
        <v>348</v>
      </c>
      <c r="B458" s="7" t="s">
        <v>363</v>
      </c>
      <c r="C458" s="7" t="s">
        <v>364</v>
      </c>
      <c r="D458" s="7" t="n">
        <v>2005</v>
      </c>
      <c r="E458" s="7" t="s">
        <v>68</v>
      </c>
      <c r="F458" s="7" t="s">
        <v>63</v>
      </c>
      <c r="G458" s="7" t="s">
        <v>66</v>
      </c>
      <c r="H458" s="7" t="n">
        <v>78.8</v>
      </c>
      <c r="I458" s="7" t="str">
        <f aca="false">IF(B458="",TRIM(C458),TRIM(B458))</f>
        <v>Cameroon Multiple Indicator Cluster Survey 2006</v>
      </c>
      <c r="J458" s="7" t="str">
        <f aca="false">IF(ISNUMBER(SEARCH("Demographic and Health",I458)),"DHS",IF(OR(ISNUMBER(SEARCH("Multiple Indicator Cluster",I458)),ISNUMBER(SEARCH("MICS",I458))),"MICS","Other"))</f>
        <v>MICS</v>
      </c>
      <c r="K458" s="7" t="n">
        <f aca="false">IF(AND(F458="Record or Recall",G458="12-23 m"),1,0)</f>
        <v>1</v>
      </c>
      <c r="L458" s="7" t="n">
        <f aca="false">IF(OR(J458="DHS",J458="MICS"),1,0)</f>
        <v>1</v>
      </c>
    </row>
    <row r="459" customFormat="false" ht="15" hidden="false" customHeight="false" outlineLevel="0" collapsed="false">
      <c r="A459" s="7" t="s">
        <v>348</v>
      </c>
      <c r="B459" s="7" t="s">
        <v>363</v>
      </c>
      <c r="C459" s="7" t="s">
        <v>364</v>
      </c>
      <c r="D459" s="7" t="n">
        <v>2005</v>
      </c>
      <c r="E459" s="7" t="s">
        <v>68</v>
      </c>
      <c r="F459" s="7" t="s">
        <v>87</v>
      </c>
      <c r="G459" s="7" t="s">
        <v>66</v>
      </c>
      <c r="H459" s="7" t="n">
        <v>29.2</v>
      </c>
      <c r="I459" s="7" t="str">
        <f aca="false">IF(B459="",TRIM(C459),TRIM(B459))</f>
        <v>Cameroon Multiple Indicator Cluster Survey 2006</v>
      </c>
      <c r="J459" s="7" t="str">
        <f aca="false">IF(ISNUMBER(SEARCH("Demographic and Health",I459)),"DHS",IF(OR(ISNUMBER(SEARCH("Multiple Indicator Cluster",I459)),ISNUMBER(SEARCH("MICS",I459))),"MICS","Other"))</f>
        <v>MICS</v>
      </c>
      <c r="K459" s="7" t="n">
        <f aca="false">IF(AND(F459="Record or Recall",G459="12-23 m"),1,0)</f>
        <v>0</v>
      </c>
      <c r="L459" s="7" t="n">
        <f aca="false">IF(OR(J459="DHS",J459="MICS"),1,0)</f>
        <v>1</v>
      </c>
    </row>
    <row r="460" customFormat="false" ht="15" hidden="false" customHeight="false" outlineLevel="0" collapsed="false">
      <c r="A460" s="7" t="s">
        <v>348</v>
      </c>
      <c r="B460" s="7" t="s">
        <v>363</v>
      </c>
      <c r="C460" s="7" t="s">
        <v>364</v>
      </c>
      <c r="D460" s="7" t="n">
        <v>2005</v>
      </c>
      <c r="E460" s="7" t="s">
        <v>69</v>
      </c>
      <c r="F460" s="7" t="s">
        <v>78</v>
      </c>
      <c r="G460" s="7" t="s">
        <v>66</v>
      </c>
      <c r="H460" s="7" t="n">
        <v>67.4</v>
      </c>
      <c r="I460" s="7" t="str">
        <f aca="false">IF(B460="",TRIM(C460),TRIM(B460))</f>
        <v>Cameroon Multiple Indicator Cluster Survey 2006</v>
      </c>
      <c r="J460" s="7" t="str">
        <f aca="false">IF(ISNUMBER(SEARCH("Demographic and Health",I460)),"DHS",IF(OR(ISNUMBER(SEARCH("Multiple Indicator Cluster",I460)),ISNUMBER(SEARCH("MICS",I460))),"MICS","Other"))</f>
        <v>MICS</v>
      </c>
      <c r="K460" s="7" t="n">
        <f aca="false">IF(AND(F460="Record or Recall",G460="12-23 m"),1,0)</f>
        <v>0</v>
      </c>
      <c r="L460" s="7" t="n">
        <f aca="false">IF(OR(J460="DHS",J460="MICS"),1,0)</f>
        <v>1</v>
      </c>
    </row>
    <row r="461" customFormat="false" ht="15" hidden="false" customHeight="false" outlineLevel="0" collapsed="false">
      <c r="A461" s="7" t="s">
        <v>348</v>
      </c>
      <c r="B461" s="7" t="s">
        <v>363</v>
      </c>
      <c r="C461" s="7" t="s">
        <v>364</v>
      </c>
      <c r="D461" s="7" t="n">
        <v>2005</v>
      </c>
      <c r="E461" s="7" t="s">
        <v>69</v>
      </c>
      <c r="F461" s="7" t="s">
        <v>86</v>
      </c>
      <c r="G461" s="7" t="s">
        <v>66</v>
      </c>
      <c r="H461" s="7" t="n">
        <v>55.8</v>
      </c>
      <c r="I461" s="7" t="str">
        <f aca="false">IF(B461="",TRIM(C461),TRIM(B461))</f>
        <v>Cameroon Multiple Indicator Cluster Survey 2006</v>
      </c>
      <c r="J461" s="7" t="str">
        <f aca="false">IF(ISNUMBER(SEARCH("Demographic and Health",I461)),"DHS",IF(OR(ISNUMBER(SEARCH("Multiple Indicator Cluster",I461)),ISNUMBER(SEARCH("MICS",I461))),"MICS","Other"))</f>
        <v>MICS</v>
      </c>
      <c r="K461" s="7" t="n">
        <f aca="false">IF(AND(F461="Record or Recall",G461="12-23 m"),1,0)</f>
        <v>0</v>
      </c>
      <c r="L461" s="7" t="n">
        <f aca="false">IF(OR(J461="DHS",J461="MICS"),1,0)</f>
        <v>1</v>
      </c>
    </row>
    <row r="462" customFormat="false" ht="15" hidden="false" customHeight="false" outlineLevel="0" collapsed="false">
      <c r="A462" s="7" t="s">
        <v>348</v>
      </c>
      <c r="B462" s="7" t="s">
        <v>363</v>
      </c>
      <c r="C462" s="7" t="s">
        <v>364</v>
      </c>
      <c r="D462" s="7" t="n">
        <v>2005</v>
      </c>
      <c r="E462" s="7" t="s">
        <v>69</v>
      </c>
      <c r="F462" s="7" t="s">
        <v>63</v>
      </c>
      <c r="G462" s="7" t="s">
        <v>66</v>
      </c>
      <c r="H462" s="7" t="n">
        <v>69.5</v>
      </c>
      <c r="I462" s="7" t="str">
        <f aca="false">IF(B462="",TRIM(C462),TRIM(B462))</f>
        <v>Cameroon Multiple Indicator Cluster Survey 2006</v>
      </c>
      <c r="J462" s="7" t="str">
        <f aca="false">IF(ISNUMBER(SEARCH("Demographic and Health",I462)),"DHS",IF(OR(ISNUMBER(SEARCH("Multiple Indicator Cluster",I462)),ISNUMBER(SEARCH("MICS",I462))),"MICS","Other"))</f>
        <v>MICS</v>
      </c>
      <c r="K462" s="7" t="n">
        <f aca="false">IF(AND(F462="Record or Recall",G462="12-23 m"),1,0)</f>
        <v>1</v>
      </c>
      <c r="L462" s="7" t="n">
        <f aca="false">IF(OR(J462="DHS",J462="MICS"),1,0)</f>
        <v>1</v>
      </c>
    </row>
    <row r="463" customFormat="false" ht="15" hidden="false" customHeight="false" outlineLevel="0" collapsed="false">
      <c r="A463" s="7" t="s">
        <v>348</v>
      </c>
      <c r="B463" s="7" t="s">
        <v>363</v>
      </c>
      <c r="C463" s="7" t="s">
        <v>364</v>
      </c>
      <c r="D463" s="7" t="n">
        <v>2005</v>
      </c>
      <c r="E463" s="7" t="s">
        <v>69</v>
      </c>
      <c r="F463" s="7" t="s">
        <v>87</v>
      </c>
      <c r="G463" s="7" t="s">
        <v>66</v>
      </c>
      <c r="H463" s="7" t="n">
        <v>13.7</v>
      </c>
      <c r="I463" s="7" t="str">
        <f aca="false">IF(B463="",TRIM(C463),TRIM(B463))</f>
        <v>Cameroon Multiple Indicator Cluster Survey 2006</v>
      </c>
      <c r="J463" s="7" t="str">
        <f aca="false">IF(ISNUMBER(SEARCH("Demographic and Health",I463)),"DHS",IF(OR(ISNUMBER(SEARCH("Multiple Indicator Cluster",I463)),ISNUMBER(SEARCH("MICS",I463))),"MICS","Other"))</f>
        <v>MICS</v>
      </c>
      <c r="K463" s="7" t="n">
        <f aca="false">IF(AND(F463="Record or Recall",G463="12-23 m"),1,0)</f>
        <v>0</v>
      </c>
      <c r="L463" s="7" t="n">
        <f aca="false">IF(OR(J463="DHS",J463="MICS"),1,0)</f>
        <v>1</v>
      </c>
    </row>
    <row r="464" customFormat="false" ht="15" hidden="false" customHeight="false" outlineLevel="0" collapsed="false">
      <c r="A464" s="7" t="s">
        <v>348</v>
      </c>
      <c r="B464" s="7" t="s">
        <v>365</v>
      </c>
      <c r="C464" s="7" t="s">
        <v>366</v>
      </c>
      <c r="D464" s="7" t="n">
        <v>2010</v>
      </c>
      <c r="E464" s="7" t="s">
        <v>62</v>
      </c>
      <c r="F464" s="7" t="s">
        <v>78</v>
      </c>
      <c r="G464" s="7" t="s">
        <v>66</v>
      </c>
      <c r="H464" s="7" t="n">
        <v>86</v>
      </c>
      <c r="I464" s="7" t="str">
        <f aca="false">IF(B464="",TRIM(C464),TRIM(B464))</f>
        <v>Cameroon Demographic and Health Survey 2011</v>
      </c>
      <c r="J464" s="7" t="str">
        <f aca="false">IF(ISNUMBER(SEARCH("Demographic and Health",I464)),"DHS",IF(OR(ISNUMBER(SEARCH("Multiple Indicator Cluster",I464)),ISNUMBER(SEARCH("MICS",I464))),"MICS","Other"))</f>
        <v>DHS</v>
      </c>
      <c r="K464" s="7" t="n">
        <f aca="false">IF(AND(F464="Record or Recall",G464="12-23 m"),1,0)</f>
        <v>0</v>
      </c>
      <c r="L464" s="7" t="n">
        <f aca="false">IF(OR(J464="DHS",J464="MICS"),1,0)</f>
        <v>1</v>
      </c>
    </row>
    <row r="465" customFormat="false" ht="15" hidden="false" customHeight="false" outlineLevel="0" collapsed="false">
      <c r="A465" s="7" t="s">
        <v>348</v>
      </c>
      <c r="B465" s="7" t="s">
        <v>365</v>
      </c>
      <c r="C465" s="7" t="s">
        <v>366</v>
      </c>
      <c r="D465" s="7" t="n">
        <v>2010</v>
      </c>
      <c r="E465" s="7" t="s">
        <v>62</v>
      </c>
      <c r="F465" s="7" t="s">
        <v>86</v>
      </c>
      <c r="G465" s="7" t="s">
        <v>66</v>
      </c>
      <c r="H465" s="7" t="n">
        <v>55.1</v>
      </c>
      <c r="I465" s="7" t="str">
        <f aca="false">IF(B465="",TRIM(C465),TRIM(B465))</f>
        <v>Cameroon Demographic and Health Survey 2011</v>
      </c>
      <c r="J465" s="7" t="str">
        <f aca="false">IF(ISNUMBER(SEARCH("Demographic and Health",I465)),"DHS",IF(OR(ISNUMBER(SEARCH("Multiple Indicator Cluster",I465)),ISNUMBER(SEARCH("MICS",I465))),"MICS","Other"))</f>
        <v>DHS</v>
      </c>
      <c r="K465" s="7" t="n">
        <f aca="false">IF(AND(F465="Record or Recall",G465="12-23 m"),1,0)</f>
        <v>0</v>
      </c>
      <c r="L465" s="7" t="n">
        <f aca="false">IF(OR(J465="DHS",J465="MICS"),1,0)</f>
        <v>1</v>
      </c>
    </row>
    <row r="466" customFormat="false" ht="15" hidden="false" customHeight="false" outlineLevel="0" collapsed="false">
      <c r="A466" s="7" t="s">
        <v>348</v>
      </c>
      <c r="B466" s="7" t="s">
        <v>365</v>
      </c>
      <c r="C466" s="7" t="s">
        <v>366</v>
      </c>
      <c r="D466" s="7" t="n">
        <v>2010</v>
      </c>
      <c r="E466" s="7" t="s">
        <v>62</v>
      </c>
      <c r="F466" s="7" t="s">
        <v>63</v>
      </c>
      <c r="G466" s="7" t="s">
        <v>66</v>
      </c>
      <c r="H466" s="7" t="n">
        <v>87.1</v>
      </c>
      <c r="I466" s="7" t="str">
        <f aca="false">IF(B466="",TRIM(C466),TRIM(B466))</f>
        <v>Cameroon Demographic and Health Survey 2011</v>
      </c>
      <c r="J466" s="7" t="str">
        <f aca="false">IF(ISNUMBER(SEARCH("Demographic and Health",I466)),"DHS",IF(OR(ISNUMBER(SEARCH("Multiple Indicator Cluster",I466)),ISNUMBER(SEARCH("MICS",I466))),"MICS","Other"))</f>
        <v>DHS</v>
      </c>
      <c r="K466" s="7" t="n">
        <f aca="false">IF(AND(F466="Record or Recall",G466="12-23 m"),1,0)</f>
        <v>1</v>
      </c>
      <c r="L466" s="7" t="n">
        <f aca="false">IF(OR(J466="DHS",J466="MICS"),1,0)</f>
        <v>1</v>
      </c>
    </row>
    <row r="467" customFormat="false" ht="15" hidden="false" customHeight="false" outlineLevel="0" collapsed="false">
      <c r="A467" s="7" t="s">
        <v>348</v>
      </c>
      <c r="B467" s="7" t="s">
        <v>365</v>
      </c>
      <c r="C467" s="7" t="s">
        <v>366</v>
      </c>
      <c r="D467" s="7" t="n">
        <v>2010</v>
      </c>
      <c r="E467" s="7" t="s">
        <v>62</v>
      </c>
      <c r="F467" s="7" t="s">
        <v>87</v>
      </c>
      <c r="G467" s="7" t="s">
        <v>66</v>
      </c>
      <c r="H467" s="7" t="n">
        <v>32</v>
      </c>
      <c r="I467" s="7" t="str">
        <f aca="false">IF(B467="",TRIM(C467),TRIM(B467))</f>
        <v>Cameroon Demographic and Health Survey 2011</v>
      </c>
      <c r="J467" s="7" t="str">
        <f aca="false">IF(ISNUMBER(SEARCH("Demographic and Health",I467)),"DHS",IF(OR(ISNUMBER(SEARCH("Multiple Indicator Cluster",I467)),ISNUMBER(SEARCH("MICS",I467))),"MICS","Other"))</f>
        <v>DHS</v>
      </c>
      <c r="K467" s="7" t="n">
        <f aca="false">IF(AND(F467="Record or Recall",G467="12-23 m"),1,0)</f>
        <v>0</v>
      </c>
      <c r="L467" s="7" t="n">
        <f aca="false">IF(OR(J467="DHS",J467="MICS"),1,0)</f>
        <v>1</v>
      </c>
    </row>
    <row r="468" customFormat="false" ht="15" hidden="false" customHeight="false" outlineLevel="0" collapsed="false">
      <c r="A468" s="7" t="s">
        <v>348</v>
      </c>
      <c r="B468" s="7" t="s">
        <v>365</v>
      </c>
      <c r="C468" s="7" t="s">
        <v>366</v>
      </c>
      <c r="D468" s="7" t="n">
        <v>2010</v>
      </c>
      <c r="E468" s="7" t="s">
        <v>81</v>
      </c>
      <c r="F468" s="7" t="s">
        <v>78</v>
      </c>
      <c r="G468" s="7" t="s">
        <v>66</v>
      </c>
      <c r="H468" s="7" t="n">
        <v>84.7</v>
      </c>
      <c r="I468" s="7" t="str">
        <f aca="false">IF(B468="",TRIM(C468),TRIM(B468))</f>
        <v>Cameroon Demographic and Health Survey 2011</v>
      </c>
      <c r="J468" s="7" t="str">
        <f aca="false">IF(ISNUMBER(SEARCH("Demographic and Health",I468)),"DHS",IF(OR(ISNUMBER(SEARCH("Multiple Indicator Cluster",I468)),ISNUMBER(SEARCH("MICS",I468))),"MICS","Other"))</f>
        <v>DHS</v>
      </c>
      <c r="K468" s="7" t="n">
        <f aca="false">IF(AND(F468="Record or Recall",G468="12-23 m"),1,0)</f>
        <v>0</v>
      </c>
      <c r="L468" s="7" t="n">
        <f aca="false">IF(OR(J468="DHS",J468="MICS"),1,0)</f>
        <v>1</v>
      </c>
    </row>
    <row r="469" customFormat="false" ht="15" hidden="false" customHeight="false" outlineLevel="0" collapsed="false">
      <c r="A469" s="7" t="s">
        <v>348</v>
      </c>
      <c r="B469" s="7" t="s">
        <v>365</v>
      </c>
      <c r="C469" s="7" t="s">
        <v>366</v>
      </c>
      <c r="D469" s="7" t="n">
        <v>2010</v>
      </c>
      <c r="E469" s="7" t="s">
        <v>81</v>
      </c>
      <c r="F469" s="7" t="s">
        <v>86</v>
      </c>
      <c r="G469" s="7" t="s">
        <v>66</v>
      </c>
      <c r="H469" s="7" t="n">
        <v>56</v>
      </c>
      <c r="I469" s="7" t="str">
        <f aca="false">IF(B469="",TRIM(C469),TRIM(B469))</f>
        <v>Cameroon Demographic and Health Survey 2011</v>
      </c>
      <c r="J469" s="7" t="str">
        <f aca="false">IF(ISNUMBER(SEARCH("Demographic and Health",I469)),"DHS",IF(OR(ISNUMBER(SEARCH("Multiple Indicator Cluster",I469)),ISNUMBER(SEARCH("MICS",I469))),"MICS","Other"))</f>
        <v>DHS</v>
      </c>
      <c r="K469" s="7" t="n">
        <f aca="false">IF(AND(F469="Record or Recall",G469="12-23 m"),1,0)</f>
        <v>0</v>
      </c>
      <c r="L469" s="7" t="n">
        <f aca="false">IF(OR(J469="DHS",J469="MICS"),1,0)</f>
        <v>1</v>
      </c>
    </row>
    <row r="470" customFormat="false" ht="15" hidden="false" customHeight="false" outlineLevel="0" collapsed="false">
      <c r="A470" s="7" t="s">
        <v>348</v>
      </c>
      <c r="B470" s="7" t="s">
        <v>365</v>
      </c>
      <c r="C470" s="7" t="s">
        <v>366</v>
      </c>
      <c r="D470" s="7" t="n">
        <v>2010</v>
      </c>
      <c r="E470" s="7" t="s">
        <v>81</v>
      </c>
      <c r="F470" s="7" t="s">
        <v>63</v>
      </c>
      <c r="G470" s="7" t="s">
        <v>66</v>
      </c>
      <c r="H470" s="7" t="n">
        <v>85.5</v>
      </c>
      <c r="I470" s="7" t="str">
        <f aca="false">IF(B470="",TRIM(C470),TRIM(B470))</f>
        <v>Cameroon Demographic and Health Survey 2011</v>
      </c>
      <c r="J470" s="7" t="str">
        <f aca="false">IF(ISNUMBER(SEARCH("Demographic and Health",I470)),"DHS",IF(OR(ISNUMBER(SEARCH("Multiple Indicator Cluster",I470)),ISNUMBER(SEARCH("MICS",I470))),"MICS","Other"))</f>
        <v>DHS</v>
      </c>
      <c r="K470" s="7" t="n">
        <f aca="false">IF(AND(F470="Record or Recall",G470="12-23 m"),1,0)</f>
        <v>1</v>
      </c>
      <c r="L470" s="7" t="n">
        <f aca="false">IF(OR(J470="DHS",J470="MICS"),1,0)</f>
        <v>1</v>
      </c>
    </row>
    <row r="471" customFormat="false" ht="15" hidden="false" customHeight="false" outlineLevel="0" collapsed="false">
      <c r="A471" s="7" t="s">
        <v>348</v>
      </c>
      <c r="B471" s="7" t="s">
        <v>365</v>
      </c>
      <c r="C471" s="7" t="s">
        <v>366</v>
      </c>
      <c r="D471" s="7" t="n">
        <v>2010</v>
      </c>
      <c r="E471" s="7" t="s">
        <v>81</v>
      </c>
      <c r="F471" s="7" t="s">
        <v>87</v>
      </c>
      <c r="G471" s="7" t="s">
        <v>66</v>
      </c>
      <c r="H471" s="7" t="n">
        <v>29.5</v>
      </c>
      <c r="I471" s="7" t="str">
        <f aca="false">IF(B471="",TRIM(C471),TRIM(B471))</f>
        <v>Cameroon Demographic and Health Survey 2011</v>
      </c>
      <c r="J471" s="7" t="str">
        <f aca="false">IF(ISNUMBER(SEARCH("Demographic and Health",I471)),"DHS",IF(OR(ISNUMBER(SEARCH("Multiple Indicator Cluster",I471)),ISNUMBER(SEARCH("MICS",I471))),"MICS","Other"))</f>
        <v>DHS</v>
      </c>
      <c r="K471" s="7" t="n">
        <f aca="false">IF(AND(F471="Record or Recall",G471="12-23 m"),1,0)</f>
        <v>0</v>
      </c>
      <c r="L471" s="7" t="n">
        <f aca="false">IF(OR(J471="DHS",J471="MICS"),1,0)</f>
        <v>1</v>
      </c>
    </row>
    <row r="472" customFormat="false" ht="15" hidden="false" customHeight="false" outlineLevel="0" collapsed="false">
      <c r="A472" s="7" t="s">
        <v>348</v>
      </c>
      <c r="B472" s="7" t="s">
        <v>365</v>
      </c>
      <c r="C472" s="7" t="s">
        <v>366</v>
      </c>
      <c r="D472" s="7" t="n">
        <v>2010</v>
      </c>
      <c r="E472" s="7" t="s">
        <v>67</v>
      </c>
      <c r="F472" s="7" t="s">
        <v>78</v>
      </c>
      <c r="G472" s="7" t="s">
        <v>66</v>
      </c>
      <c r="H472" s="7" t="n">
        <v>66.3</v>
      </c>
      <c r="I472" s="7" t="str">
        <f aca="false">IF(B472="",TRIM(C472),TRIM(B472))</f>
        <v>Cameroon Demographic and Health Survey 2011</v>
      </c>
      <c r="J472" s="7" t="str">
        <f aca="false">IF(ISNUMBER(SEARCH("Demographic and Health",I472)),"DHS",IF(OR(ISNUMBER(SEARCH("Multiple Indicator Cluster",I472)),ISNUMBER(SEARCH("MICS",I472))),"MICS","Other"))</f>
        <v>DHS</v>
      </c>
      <c r="K472" s="7" t="n">
        <f aca="false">IF(AND(F472="Record or Recall",G472="12-23 m"),1,0)</f>
        <v>0</v>
      </c>
      <c r="L472" s="7" t="n">
        <f aca="false">IF(OR(J472="DHS",J472="MICS"),1,0)</f>
        <v>1</v>
      </c>
    </row>
    <row r="473" customFormat="false" ht="15" hidden="false" customHeight="false" outlineLevel="0" collapsed="false">
      <c r="A473" s="7" t="s">
        <v>348</v>
      </c>
      <c r="B473" s="7" t="s">
        <v>365</v>
      </c>
      <c r="C473" s="7" t="s">
        <v>366</v>
      </c>
      <c r="D473" s="7" t="n">
        <v>2010</v>
      </c>
      <c r="E473" s="7" t="s">
        <v>67</v>
      </c>
      <c r="F473" s="7" t="s">
        <v>86</v>
      </c>
      <c r="G473" s="7" t="s">
        <v>66</v>
      </c>
      <c r="H473" s="7" t="n">
        <v>49.1</v>
      </c>
      <c r="I473" s="7" t="str">
        <f aca="false">IF(B473="",TRIM(C473),TRIM(B473))</f>
        <v>Cameroon Demographic and Health Survey 2011</v>
      </c>
      <c r="J473" s="7" t="str">
        <f aca="false">IF(ISNUMBER(SEARCH("Demographic and Health",I473)),"DHS",IF(OR(ISNUMBER(SEARCH("Multiple Indicator Cluster",I473)),ISNUMBER(SEARCH("MICS",I473))),"MICS","Other"))</f>
        <v>DHS</v>
      </c>
      <c r="K473" s="7" t="n">
        <f aca="false">IF(AND(F473="Record or Recall",G473="12-23 m"),1,0)</f>
        <v>0</v>
      </c>
      <c r="L473" s="7" t="n">
        <f aca="false">IF(OR(J473="DHS",J473="MICS"),1,0)</f>
        <v>1</v>
      </c>
    </row>
    <row r="474" customFormat="false" ht="15" hidden="false" customHeight="false" outlineLevel="0" collapsed="false">
      <c r="A474" s="7" t="s">
        <v>348</v>
      </c>
      <c r="B474" s="7" t="s">
        <v>365</v>
      </c>
      <c r="C474" s="7" t="s">
        <v>366</v>
      </c>
      <c r="D474" s="7" t="n">
        <v>2010</v>
      </c>
      <c r="E474" s="7" t="s">
        <v>67</v>
      </c>
      <c r="F474" s="7" t="s">
        <v>63</v>
      </c>
      <c r="G474" s="7" t="s">
        <v>66</v>
      </c>
      <c r="H474" s="7" t="n">
        <v>68.4</v>
      </c>
      <c r="I474" s="7" t="str">
        <f aca="false">IF(B474="",TRIM(C474),TRIM(B474))</f>
        <v>Cameroon Demographic and Health Survey 2011</v>
      </c>
      <c r="J474" s="7" t="str">
        <f aca="false">IF(ISNUMBER(SEARCH("Demographic and Health",I474)),"DHS",IF(OR(ISNUMBER(SEARCH("Multiple Indicator Cluster",I474)),ISNUMBER(SEARCH("MICS",I474))),"MICS","Other"))</f>
        <v>DHS</v>
      </c>
      <c r="K474" s="7" t="n">
        <f aca="false">IF(AND(F474="Record or Recall",G474="12-23 m"),1,0)</f>
        <v>1</v>
      </c>
      <c r="L474" s="7" t="n">
        <f aca="false">IF(OR(J474="DHS",J474="MICS"),1,0)</f>
        <v>1</v>
      </c>
    </row>
    <row r="475" customFormat="false" ht="15" hidden="false" customHeight="false" outlineLevel="0" collapsed="false">
      <c r="A475" s="7" t="s">
        <v>348</v>
      </c>
      <c r="B475" s="7" t="s">
        <v>365</v>
      </c>
      <c r="C475" s="7" t="s">
        <v>366</v>
      </c>
      <c r="D475" s="7" t="n">
        <v>2010</v>
      </c>
      <c r="E475" s="7" t="s">
        <v>67</v>
      </c>
      <c r="F475" s="7" t="s">
        <v>87</v>
      </c>
      <c r="G475" s="7" t="s">
        <v>66</v>
      </c>
      <c r="H475" s="7" t="n">
        <v>19.2</v>
      </c>
      <c r="I475" s="7" t="str">
        <f aca="false">IF(B475="",TRIM(C475),TRIM(B475))</f>
        <v>Cameroon Demographic and Health Survey 2011</v>
      </c>
      <c r="J475" s="7" t="str">
        <f aca="false">IF(ISNUMBER(SEARCH("Demographic and Health",I475)),"DHS",IF(OR(ISNUMBER(SEARCH("Multiple Indicator Cluster",I475)),ISNUMBER(SEARCH("MICS",I475))),"MICS","Other"))</f>
        <v>DHS</v>
      </c>
      <c r="K475" s="7" t="n">
        <f aca="false">IF(AND(F475="Record or Recall",G475="12-23 m"),1,0)</f>
        <v>0</v>
      </c>
      <c r="L475" s="7" t="n">
        <f aca="false">IF(OR(J475="DHS",J475="MICS"),1,0)</f>
        <v>1</v>
      </c>
    </row>
    <row r="476" customFormat="false" ht="15" hidden="false" customHeight="false" outlineLevel="0" collapsed="false">
      <c r="A476" s="7" t="s">
        <v>348</v>
      </c>
      <c r="B476" s="7" t="s">
        <v>365</v>
      </c>
      <c r="C476" s="7" t="s">
        <v>366</v>
      </c>
      <c r="D476" s="7" t="n">
        <v>2010</v>
      </c>
      <c r="E476" s="7" t="s">
        <v>82</v>
      </c>
      <c r="F476" s="7" t="s">
        <v>78</v>
      </c>
      <c r="G476" s="7" t="s">
        <v>66</v>
      </c>
      <c r="H476" s="7" t="n">
        <v>48.2</v>
      </c>
      <c r="I476" s="7" t="str">
        <f aca="false">IF(B476="",TRIM(C476),TRIM(B476))</f>
        <v>Cameroon Demographic and Health Survey 2011</v>
      </c>
      <c r="J476" s="7" t="str">
        <f aca="false">IF(ISNUMBER(SEARCH("Demographic and Health",I476)),"DHS",IF(OR(ISNUMBER(SEARCH("Multiple Indicator Cluster",I476)),ISNUMBER(SEARCH("MICS",I476))),"MICS","Other"))</f>
        <v>DHS</v>
      </c>
      <c r="K476" s="7" t="n">
        <f aca="false">IF(AND(F476="Record or Recall",G476="12-23 m"),1,0)</f>
        <v>0</v>
      </c>
      <c r="L476" s="7" t="n">
        <f aca="false">IF(OR(J476="DHS",J476="MICS"),1,0)</f>
        <v>1</v>
      </c>
    </row>
    <row r="477" customFormat="false" ht="15" hidden="false" customHeight="false" outlineLevel="0" collapsed="false">
      <c r="A477" s="7" t="s">
        <v>348</v>
      </c>
      <c r="B477" s="7" t="s">
        <v>365</v>
      </c>
      <c r="C477" s="7" t="s">
        <v>366</v>
      </c>
      <c r="D477" s="7" t="n">
        <v>2010</v>
      </c>
      <c r="E477" s="7" t="s">
        <v>82</v>
      </c>
      <c r="F477" s="7" t="s">
        <v>86</v>
      </c>
      <c r="G477" s="7" t="s">
        <v>66</v>
      </c>
      <c r="H477" s="7" t="n">
        <v>41.8</v>
      </c>
      <c r="I477" s="7" t="str">
        <f aca="false">IF(B477="",TRIM(C477),TRIM(B477))</f>
        <v>Cameroon Demographic and Health Survey 2011</v>
      </c>
      <c r="J477" s="7" t="str">
        <f aca="false">IF(ISNUMBER(SEARCH("Demographic and Health",I477)),"DHS",IF(OR(ISNUMBER(SEARCH("Multiple Indicator Cluster",I477)),ISNUMBER(SEARCH("MICS",I477))),"MICS","Other"))</f>
        <v>DHS</v>
      </c>
      <c r="K477" s="7" t="n">
        <f aca="false">IF(AND(F477="Record or Recall",G477="12-23 m"),1,0)</f>
        <v>0</v>
      </c>
      <c r="L477" s="7" t="n">
        <f aca="false">IF(OR(J477="DHS",J477="MICS"),1,0)</f>
        <v>1</v>
      </c>
    </row>
    <row r="478" customFormat="false" ht="15" hidden="false" customHeight="false" outlineLevel="0" collapsed="false">
      <c r="A478" s="7" t="s">
        <v>348</v>
      </c>
      <c r="B478" s="7" t="s">
        <v>365</v>
      </c>
      <c r="C478" s="7" t="s">
        <v>366</v>
      </c>
      <c r="D478" s="7" t="n">
        <v>2010</v>
      </c>
      <c r="E478" s="7" t="s">
        <v>82</v>
      </c>
      <c r="F478" s="7" t="s">
        <v>63</v>
      </c>
      <c r="G478" s="7" t="s">
        <v>66</v>
      </c>
      <c r="H478" s="7" t="n">
        <v>53.2</v>
      </c>
      <c r="I478" s="7" t="str">
        <f aca="false">IF(B478="",TRIM(C478),TRIM(B478))</f>
        <v>Cameroon Demographic and Health Survey 2011</v>
      </c>
      <c r="J478" s="7" t="str">
        <f aca="false">IF(ISNUMBER(SEARCH("Demographic and Health",I478)),"DHS",IF(OR(ISNUMBER(SEARCH("Multiple Indicator Cluster",I478)),ISNUMBER(SEARCH("MICS",I478))),"MICS","Other"))</f>
        <v>DHS</v>
      </c>
      <c r="K478" s="7" t="n">
        <f aca="false">IF(AND(F478="Record or Recall",G478="12-23 m"),1,0)</f>
        <v>1</v>
      </c>
      <c r="L478" s="7" t="n">
        <f aca="false">IF(OR(J478="DHS",J478="MICS"),1,0)</f>
        <v>1</v>
      </c>
    </row>
    <row r="479" customFormat="false" ht="15" hidden="false" customHeight="false" outlineLevel="0" collapsed="false">
      <c r="A479" s="7" t="s">
        <v>348</v>
      </c>
      <c r="B479" s="7" t="s">
        <v>365</v>
      </c>
      <c r="C479" s="7" t="s">
        <v>366</v>
      </c>
      <c r="D479" s="7" t="n">
        <v>2010</v>
      </c>
      <c r="E479" s="7" t="s">
        <v>82</v>
      </c>
      <c r="F479" s="7" t="s">
        <v>87</v>
      </c>
      <c r="G479" s="7" t="s">
        <v>66</v>
      </c>
      <c r="H479" s="7" t="n">
        <v>11.4</v>
      </c>
      <c r="I479" s="7" t="str">
        <f aca="false">IF(B479="",TRIM(C479),TRIM(B479))</f>
        <v>Cameroon Demographic and Health Survey 2011</v>
      </c>
      <c r="J479" s="7" t="str">
        <f aca="false">IF(ISNUMBER(SEARCH("Demographic and Health",I479)),"DHS",IF(OR(ISNUMBER(SEARCH("Multiple Indicator Cluster",I479)),ISNUMBER(SEARCH("MICS",I479))),"MICS","Other"))</f>
        <v>DHS</v>
      </c>
      <c r="K479" s="7" t="n">
        <f aca="false">IF(AND(F479="Record or Recall",G479="12-23 m"),1,0)</f>
        <v>0</v>
      </c>
      <c r="L479" s="7" t="n">
        <f aca="false">IF(OR(J479="DHS",J479="MICS"),1,0)</f>
        <v>1</v>
      </c>
    </row>
    <row r="480" customFormat="false" ht="15" hidden="false" customHeight="false" outlineLevel="0" collapsed="false">
      <c r="A480" s="7" t="s">
        <v>348</v>
      </c>
      <c r="B480" s="7" t="s">
        <v>365</v>
      </c>
      <c r="C480" s="7" t="s">
        <v>366</v>
      </c>
      <c r="D480" s="7" t="n">
        <v>2010</v>
      </c>
      <c r="E480" s="7" t="s">
        <v>68</v>
      </c>
      <c r="F480" s="7" t="s">
        <v>78</v>
      </c>
      <c r="G480" s="7" t="s">
        <v>66</v>
      </c>
      <c r="H480" s="7" t="n">
        <v>64</v>
      </c>
      <c r="I480" s="7" t="str">
        <f aca="false">IF(B480="",TRIM(C480),TRIM(B480))</f>
        <v>Cameroon Demographic and Health Survey 2011</v>
      </c>
      <c r="J480" s="7" t="str">
        <f aca="false">IF(ISNUMBER(SEARCH("Demographic and Health",I480)),"DHS",IF(OR(ISNUMBER(SEARCH("Multiple Indicator Cluster",I480)),ISNUMBER(SEARCH("MICS",I480))),"MICS","Other"))</f>
        <v>DHS</v>
      </c>
      <c r="K480" s="7" t="n">
        <f aca="false">IF(AND(F480="Record or Recall",G480="12-23 m"),1,0)</f>
        <v>0</v>
      </c>
      <c r="L480" s="7" t="n">
        <f aca="false">IF(OR(J480="DHS",J480="MICS"),1,0)</f>
        <v>1</v>
      </c>
    </row>
    <row r="481" customFormat="false" ht="15" hidden="false" customHeight="false" outlineLevel="0" collapsed="false">
      <c r="A481" s="7" t="s">
        <v>348</v>
      </c>
      <c r="B481" s="7" t="s">
        <v>365</v>
      </c>
      <c r="C481" s="7" t="s">
        <v>366</v>
      </c>
      <c r="D481" s="7" t="n">
        <v>2010</v>
      </c>
      <c r="E481" s="7" t="s">
        <v>68</v>
      </c>
      <c r="F481" s="7" t="s">
        <v>86</v>
      </c>
      <c r="G481" s="7" t="s">
        <v>66</v>
      </c>
      <c r="H481" s="7" t="n">
        <v>44.9</v>
      </c>
      <c r="I481" s="7" t="str">
        <f aca="false">IF(B481="",TRIM(C481),TRIM(B481))</f>
        <v>Cameroon Demographic and Health Survey 2011</v>
      </c>
      <c r="J481" s="7" t="str">
        <f aca="false">IF(ISNUMBER(SEARCH("Demographic and Health",I481)),"DHS",IF(OR(ISNUMBER(SEARCH("Multiple Indicator Cluster",I481)),ISNUMBER(SEARCH("MICS",I481))),"MICS","Other"))</f>
        <v>DHS</v>
      </c>
      <c r="K481" s="7" t="n">
        <f aca="false">IF(AND(F481="Record or Recall",G481="12-23 m"),1,0)</f>
        <v>0</v>
      </c>
      <c r="L481" s="7" t="n">
        <f aca="false">IF(OR(J481="DHS",J481="MICS"),1,0)</f>
        <v>1</v>
      </c>
    </row>
    <row r="482" customFormat="false" ht="15" hidden="false" customHeight="false" outlineLevel="0" collapsed="false">
      <c r="A482" s="7" t="s">
        <v>348</v>
      </c>
      <c r="B482" s="7" t="s">
        <v>365</v>
      </c>
      <c r="C482" s="7" t="s">
        <v>366</v>
      </c>
      <c r="D482" s="7" t="n">
        <v>2010</v>
      </c>
      <c r="E482" s="7" t="s">
        <v>68</v>
      </c>
      <c r="F482" s="7" t="s">
        <v>63</v>
      </c>
      <c r="G482" s="7" t="s">
        <v>66</v>
      </c>
      <c r="H482" s="7" t="n">
        <v>70.6</v>
      </c>
      <c r="I482" s="7" t="str">
        <f aca="false">IF(B482="",TRIM(C482),TRIM(B482))</f>
        <v>Cameroon Demographic and Health Survey 2011</v>
      </c>
      <c r="J482" s="7" t="str">
        <f aca="false">IF(ISNUMBER(SEARCH("Demographic and Health",I482)),"DHS",IF(OR(ISNUMBER(SEARCH("Multiple Indicator Cluster",I482)),ISNUMBER(SEARCH("MICS",I482))),"MICS","Other"))</f>
        <v>DHS</v>
      </c>
      <c r="K482" s="7" t="n">
        <f aca="false">IF(AND(F482="Record or Recall",G482="12-23 m"),1,0)</f>
        <v>1</v>
      </c>
      <c r="L482" s="7" t="n">
        <f aca="false">IF(OR(J482="DHS",J482="MICS"),1,0)</f>
        <v>1</v>
      </c>
    </row>
    <row r="483" customFormat="false" ht="15" hidden="false" customHeight="false" outlineLevel="0" collapsed="false">
      <c r="A483" s="7" t="s">
        <v>348</v>
      </c>
      <c r="B483" s="7" t="s">
        <v>365</v>
      </c>
      <c r="C483" s="7" t="s">
        <v>366</v>
      </c>
      <c r="D483" s="7" t="n">
        <v>2010</v>
      </c>
      <c r="E483" s="7" t="s">
        <v>68</v>
      </c>
      <c r="F483" s="7" t="s">
        <v>87</v>
      </c>
      <c r="G483" s="7" t="s">
        <v>66</v>
      </c>
      <c r="H483" s="7" t="n">
        <v>25.7</v>
      </c>
      <c r="I483" s="7" t="str">
        <f aca="false">IF(B483="",TRIM(C483),TRIM(B483))</f>
        <v>Cameroon Demographic and Health Survey 2011</v>
      </c>
      <c r="J483" s="7" t="str">
        <f aca="false">IF(ISNUMBER(SEARCH("Demographic and Health",I483)),"DHS",IF(OR(ISNUMBER(SEARCH("Multiple Indicator Cluster",I483)),ISNUMBER(SEARCH("MICS",I483))),"MICS","Other"))</f>
        <v>DHS</v>
      </c>
      <c r="K483" s="7" t="n">
        <f aca="false">IF(AND(F483="Record or Recall",G483="12-23 m"),1,0)</f>
        <v>0</v>
      </c>
      <c r="L483" s="7" t="n">
        <f aca="false">IF(OR(J483="DHS",J483="MICS"),1,0)</f>
        <v>1</v>
      </c>
    </row>
    <row r="484" customFormat="false" ht="15" hidden="false" customHeight="false" outlineLevel="0" collapsed="false">
      <c r="A484" s="7" t="s">
        <v>348</v>
      </c>
      <c r="B484" s="7" t="s">
        <v>365</v>
      </c>
      <c r="C484" s="7" t="s">
        <v>366</v>
      </c>
      <c r="D484" s="7" t="n">
        <v>2010</v>
      </c>
      <c r="E484" s="7" t="s">
        <v>69</v>
      </c>
      <c r="F484" s="7" t="s">
        <v>78</v>
      </c>
      <c r="G484" s="7" t="s">
        <v>66</v>
      </c>
      <c r="H484" s="7" t="n">
        <v>67.7</v>
      </c>
      <c r="I484" s="7" t="str">
        <f aca="false">IF(B484="",TRIM(C484),TRIM(B484))</f>
        <v>Cameroon Demographic and Health Survey 2011</v>
      </c>
      <c r="J484" s="7" t="str">
        <f aca="false">IF(ISNUMBER(SEARCH("Demographic and Health",I484)),"DHS",IF(OR(ISNUMBER(SEARCH("Multiple Indicator Cluster",I484)),ISNUMBER(SEARCH("MICS",I484))),"MICS","Other"))</f>
        <v>DHS</v>
      </c>
      <c r="K484" s="7" t="n">
        <f aca="false">IF(AND(F484="Record or Recall",G484="12-23 m"),1,0)</f>
        <v>0</v>
      </c>
      <c r="L484" s="7" t="n">
        <f aca="false">IF(OR(J484="DHS",J484="MICS"),1,0)</f>
        <v>1</v>
      </c>
    </row>
    <row r="485" customFormat="false" ht="15" hidden="false" customHeight="false" outlineLevel="0" collapsed="false">
      <c r="A485" s="7" t="s">
        <v>348</v>
      </c>
      <c r="B485" s="7" t="s">
        <v>365</v>
      </c>
      <c r="C485" s="7" t="s">
        <v>366</v>
      </c>
      <c r="D485" s="7" t="n">
        <v>2010</v>
      </c>
      <c r="E485" s="7" t="s">
        <v>69</v>
      </c>
      <c r="F485" s="7" t="s">
        <v>86</v>
      </c>
      <c r="G485" s="7" t="s">
        <v>66</v>
      </c>
      <c r="H485" s="7" t="n">
        <v>49.5</v>
      </c>
      <c r="I485" s="7" t="str">
        <f aca="false">IF(B485="",TRIM(C485),TRIM(B485))</f>
        <v>Cameroon Demographic and Health Survey 2011</v>
      </c>
      <c r="J485" s="7" t="str">
        <f aca="false">IF(ISNUMBER(SEARCH("Demographic and Health",I485)),"DHS",IF(OR(ISNUMBER(SEARCH("Multiple Indicator Cluster",I485)),ISNUMBER(SEARCH("MICS",I485))),"MICS","Other"))</f>
        <v>DHS</v>
      </c>
      <c r="K485" s="7" t="n">
        <f aca="false">IF(AND(F485="Record or Recall",G485="12-23 m"),1,0)</f>
        <v>0</v>
      </c>
      <c r="L485" s="7" t="n">
        <f aca="false">IF(OR(J485="DHS",J485="MICS"),1,0)</f>
        <v>1</v>
      </c>
    </row>
    <row r="486" customFormat="false" ht="15" hidden="false" customHeight="false" outlineLevel="0" collapsed="false">
      <c r="A486" s="7" t="s">
        <v>348</v>
      </c>
      <c r="B486" s="7" t="s">
        <v>365</v>
      </c>
      <c r="C486" s="7" t="s">
        <v>366</v>
      </c>
      <c r="D486" s="7" t="n">
        <v>2010</v>
      </c>
      <c r="E486" s="7" t="s">
        <v>69</v>
      </c>
      <c r="F486" s="7" t="s">
        <v>63</v>
      </c>
      <c r="G486" s="7" t="s">
        <v>66</v>
      </c>
      <c r="H486" s="7" t="n">
        <v>69.8</v>
      </c>
      <c r="I486" s="7" t="str">
        <f aca="false">IF(B486="",TRIM(C486),TRIM(B486))</f>
        <v>Cameroon Demographic and Health Survey 2011</v>
      </c>
      <c r="J486" s="7" t="str">
        <f aca="false">IF(ISNUMBER(SEARCH("Demographic and Health",I486)),"DHS",IF(OR(ISNUMBER(SEARCH("Multiple Indicator Cluster",I486)),ISNUMBER(SEARCH("MICS",I486))),"MICS","Other"))</f>
        <v>DHS</v>
      </c>
      <c r="K486" s="7" t="n">
        <f aca="false">IF(AND(F486="Record or Recall",G486="12-23 m"),1,0)</f>
        <v>1</v>
      </c>
      <c r="L486" s="7" t="n">
        <f aca="false">IF(OR(J486="DHS",J486="MICS"),1,0)</f>
        <v>1</v>
      </c>
    </row>
    <row r="487" customFormat="false" ht="15" hidden="false" customHeight="false" outlineLevel="0" collapsed="false">
      <c r="A487" s="7" t="s">
        <v>348</v>
      </c>
      <c r="B487" s="7" t="s">
        <v>365</v>
      </c>
      <c r="C487" s="7" t="s">
        <v>366</v>
      </c>
      <c r="D487" s="7" t="n">
        <v>2010</v>
      </c>
      <c r="E487" s="7" t="s">
        <v>69</v>
      </c>
      <c r="F487" s="7" t="s">
        <v>87</v>
      </c>
      <c r="G487" s="7" t="s">
        <v>66</v>
      </c>
      <c r="H487" s="7" t="n">
        <v>20.2</v>
      </c>
      <c r="I487" s="7" t="str">
        <f aca="false">IF(B487="",TRIM(C487),TRIM(B487))</f>
        <v>Cameroon Demographic and Health Survey 2011</v>
      </c>
      <c r="J487" s="7" t="str">
        <f aca="false">IF(ISNUMBER(SEARCH("Demographic and Health",I487)),"DHS",IF(OR(ISNUMBER(SEARCH("Multiple Indicator Cluster",I487)),ISNUMBER(SEARCH("MICS",I487))),"MICS","Other"))</f>
        <v>DHS</v>
      </c>
      <c r="K487" s="7" t="n">
        <f aca="false">IF(AND(F487="Record or Recall",G487="12-23 m"),1,0)</f>
        <v>0</v>
      </c>
      <c r="L487" s="7" t="n">
        <f aca="false">IF(OR(J487="DHS",J487="MICS"),1,0)</f>
        <v>1</v>
      </c>
    </row>
    <row r="488" customFormat="false" ht="15" hidden="false" customHeight="false" outlineLevel="0" collapsed="false">
      <c r="A488" s="7" t="s">
        <v>348</v>
      </c>
      <c r="B488" s="7" t="s">
        <v>367</v>
      </c>
      <c r="C488" s="7" t="s">
        <v>368</v>
      </c>
      <c r="D488" s="7" t="n">
        <v>2010</v>
      </c>
      <c r="E488" s="7" t="s">
        <v>62</v>
      </c>
      <c r="F488" s="7" t="s">
        <v>78</v>
      </c>
      <c r="G488" s="7" t="s">
        <v>66</v>
      </c>
      <c r="H488" s="7" t="n">
        <v>88.1</v>
      </c>
      <c r="I488" s="7" t="str">
        <f aca="false">IF(B488="",TRIM(C488),TRIM(B488))</f>
        <v>Cameroon Post-Campaign Vaccination Coverage Survey 2011</v>
      </c>
      <c r="J488" s="7" t="str">
        <f aca="false">IF(ISNUMBER(SEARCH("Demographic and Health",I488)),"DHS",IF(OR(ISNUMBER(SEARCH("Multiple Indicator Cluster",I488)),ISNUMBER(SEARCH("MICS",I488))),"MICS","Other"))</f>
        <v>Other</v>
      </c>
      <c r="K488" s="7" t="n">
        <f aca="false">IF(AND(F488="Record or Recall",G488="12-23 m"),1,0)</f>
        <v>0</v>
      </c>
      <c r="L488" s="7" t="n">
        <f aca="false">IF(OR(J488="DHS",J488="MICS"),1,0)</f>
        <v>0</v>
      </c>
    </row>
    <row r="489" customFormat="false" ht="15" hidden="false" customHeight="false" outlineLevel="0" collapsed="false">
      <c r="A489" s="7" t="s">
        <v>348</v>
      </c>
      <c r="B489" s="7" t="s">
        <v>367</v>
      </c>
      <c r="C489" s="7" t="s">
        <v>368</v>
      </c>
      <c r="D489" s="7" t="n">
        <v>2010</v>
      </c>
      <c r="E489" s="7" t="s">
        <v>62</v>
      </c>
      <c r="F489" s="7" t="s">
        <v>86</v>
      </c>
      <c r="G489" s="7" t="s">
        <v>66</v>
      </c>
      <c r="H489" s="7" t="n">
        <v>56</v>
      </c>
      <c r="I489" s="7" t="str">
        <f aca="false">IF(B489="",TRIM(C489),TRIM(B489))</f>
        <v>Cameroon Post-Campaign Vaccination Coverage Survey 2011</v>
      </c>
      <c r="J489" s="7" t="str">
        <f aca="false">IF(ISNUMBER(SEARCH("Demographic and Health",I489)),"DHS",IF(OR(ISNUMBER(SEARCH("Multiple Indicator Cluster",I489)),ISNUMBER(SEARCH("MICS",I489))),"MICS","Other"))</f>
        <v>Other</v>
      </c>
      <c r="K489" s="7" t="n">
        <f aca="false">IF(AND(F489="Record or Recall",G489="12-23 m"),1,0)</f>
        <v>0</v>
      </c>
      <c r="L489" s="7" t="n">
        <f aca="false">IF(OR(J489="DHS",J489="MICS"),1,0)</f>
        <v>0</v>
      </c>
    </row>
    <row r="490" customFormat="false" ht="15" hidden="false" customHeight="false" outlineLevel="0" collapsed="false">
      <c r="A490" s="7" t="s">
        <v>348</v>
      </c>
      <c r="B490" s="7" t="s">
        <v>367</v>
      </c>
      <c r="C490" s="7" t="s">
        <v>368</v>
      </c>
      <c r="D490" s="7" t="n">
        <v>2010</v>
      </c>
      <c r="E490" s="7" t="s">
        <v>62</v>
      </c>
      <c r="F490" s="7" t="s">
        <v>63</v>
      </c>
      <c r="G490" s="7" t="s">
        <v>66</v>
      </c>
      <c r="H490" s="7" t="n">
        <v>90.7</v>
      </c>
      <c r="I490" s="7" t="str">
        <f aca="false">IF(B490="",TRIM(C490),TRIM(B490))</f>
        <v>Cameroon Post-Campaign Vaccination Coverage Survey 2011</v>
      </c>
      <c r="J490" s="7" t="str">
        <f aca="false">IF(ISNUMBER(SEARCH("Demographic and Health",I490)),"DHS",IF(OR(ISNUMBER(SEARCH("Multiple Indicator Cluster",I490)),ISNUMBER(SEARCH("MICS",I490))),"MICS","Other"))</f>
        <v>Other</v>
      </c>
      <c r="K490" s="7" t="n">
        <f aca="false">IF(AND(F490="Record or Recall",G490="12-23 m"),1,0)</f>
        <v>1</v>
      </c>
      <c r="L490" s="7" t="n">
        <f aca="false">IF(OR(J490="DHS",J490="MICS"),1,0)</f>
        <v>0</v>
      </c>
    </row>
    <row r="491" customFormat="false" ht="15" hidden="false" customHeight="false" outlineLevel="0" collapsed="false">
      <c r="A491" s="7" t="s">
        <v>348</v>
      </c>
      <c r="B491" s="7" t="s">
        <v>367</v>
      </c>
      <c r="C491" s="7" t="s">
        <v>368</v>
      </c>
      <c r="D491" s="7" t="n">
        <v>2010</v>
      </c>
      <c r="E491" s="7" t="s">
        <v>62</v>
      </c>
      <c r="F491" s="7" t="s">
        <v>87</v>
      </c>
      <c r="G491" s="7" t="s">
        <v>66</v>
      </c>
      <c r="H491" s="7" t="n">
        <v>34.7</v>
      </c>
      <c r="I491" s="7" t="str">
        <f aca="false">IF(B491="",TRIM(C491),TRIM(B491))</f>
        <v>Cameroon Post-Campaign Vaccination Coverage Survey 2011</v>
      </c>
      <c r="J491" s="7" t="str">
        <f aca="false">IF(ISNUMBER(SEARCH("Demographic and Health",I491)),"DHS",IF(OR(ISNUMBER(SEARCH("Multiple Indicator Cluster",I491)),ISNUMBER(SEARCH("MICS",I491))),"MICS","Other"))</f>
        <v>Other</v>
      </c>
      <c r="K491" s="7" t="n">
        <f aca="false">IF(AND(F491="Record or Recall",G491="12-23 m"),1,0)</f>
        <v>0</v>
      </c>
      <c r="L491" s="7" t="n">
        <f aca="false">IF(OR(J491="DHS",J491="MICS"),1,0)</f>
        <v>0</v>
      </c>
    </row>
    <row r="492" customFormat="false" ht="15" hidden="false" customHeight="false" outlineLevel="0" collapsed="false">
      <c r="A492" s="7" t="s">
        <v>348</v>
      </c>
      <c r="B492" s="7" t="s">
        <v>367</v>
      </c>
      <c r="C492" s="7" t="s">
        <v>368</v>
      </c>
      <c r="D492" s="7" t="n">
        <v>2010</v>
      </c>
      <c r="E492" s="7" t="s">
        <v>81</v>
      </c>
      <c r="F492" s="7" t="s">
        <v>78</v>
      </c>
      <c r="G492" s="7" t="s">
        <v>66</v>
      </c>
      <c r="H492" s="7" t="n">
        <v>84.3</v>
      </c>
      <c r="I492" s="7" t="str">
        <f aca="false">IF(B492="",TRIM(C492),TRIM(B492))</f>
        <v>Cameroon Post-Campaign Vaccination Coverage Survey 2011</v>
      </c>
      <c r="J492" s="7" t="str">
        <f aca="false">IF(ISNUMBER(SEARCH("Demographic and Health",I492)),"DHS",IF(OR(ISNUMBER(SEARCH("Multiple Indicator Cluster",I492)),ISNUMBER(SEARCH("MICS",I492))),"MICS","Other"))</f>
        <v>Other</v>
      </c>
      <c r="K492" s="7" t="n">
        <f aca="false">IF(AND(F492="Record or Recall",G492="12-23 m"),1,0)</f>
        <v>0</v>
      </c>
      <c r="L492" s="7" t="n">
        <f aca="false">IF(OR(J492="DHS",J492="MICS"),1,0)</f>
        <v>0</v>
      </c>
    </row>
    <row r="493" customFormat="false" ht="15" hidden="false" customHeight="false" outlineLevel="0" collapsed="false">
      <c r="A493" s="7" t="s">
        <v>348</v>
      </c>
      <c r="B493" s="7" t="s">
        <v>367</v>
      </c>
      <c r="C493" s="7" t="s">
        <v>368</v>
      </c>
      <c r="D493" s="7" t="n">
        <v>2010</v>
      </c>
      <c r="E493" s="7" t="s">
        <v>81</v>
      </c>
      <c r="F493" s="7" t="s">
        <v>86</v>
      </c>
      <c r="G493" s="7" t="s">
        <v>66</v>
      </c>
      <c r="H493" s="7" t="n">
        <v>54.5</v>
      </c>
      <c r="I493" s="7" t="str">
        <f aca="false">IF(B493="",TRIM(C493),TRIM(B493))</f>
        <v>Cameroon Post-Campaign Vaccination Coverage Survey 2011</v>
      </c>
      <c r="J493" s="7" t="str">
        <f aca="false">IF(ISNUMBER(SEARCH("Demographic and Health",I493)),"DHS",IF(OR(ISNUMBER(SEARCH("Multiple Indicator Cluster",I493)),ISNUMBER(SEARCH("MICS",I493))),"MICS","Other"))</f>
        <v>Other</v>
      </c>
      <c r="K493" s="7" t="n">
        <f aca="false">IF(AND(F493="Record or Recall",G493="12-23 m"),1,0)</f>
        <v>0</v>
      </c>
      <c r="L493" s="7" t="n">
        <f aca="false">IF(OR(J493="DHS",J493="MICS"),1,0)</f>
        <v>0</v>
      </c>
    </row>
    <row r="494" customFormat="false" ht="15" hidden="false" customHeight="false" outlineLevel="0" collapsed="false">
      <c r="A494" s="7" t="s">
        <v>348</v>
      </c>
      <c r="B494" s="7" t="s">
        <v>367</v>
      </c>
      <c r="C494" s="7" t="s">
        <v>368</v>
      </c>
      <c r="D494" s="7" t="n">
        <v>2010</v>
      </c>
      <c r="E494" s="7" t="s">
        <v>81</v>
      </c>
      <c r="F494" s="7" t="s">
        <v>63</v>
      </c>
      <c r="G494" s="7" t="s">
        <v>66</v>
      </c>
      <c r="H494" s="7" t="n">
        <v>85.2</v>
      </c>
      <c r="I494" s="7" t="str">
        <f aca="false">IF(B494="",TRIM(C494),TRIM(B494))</f>
        <v>Cameroon Post-Campaign Vaccination Coverage Survey 2011</v>
      </c>
      <c r="J494" s="7" t="str">
        <f aca="false">IF(ISNUMBER(SEARCH("Demographic and Health",I494)),"DHS",IF(OR(ISNUMBER(SEARCH("Multiple Indicator Cluster",I494)),ISNUMBER(SEARCH("MICS",I494))),"MICS","Other"))</f>
        <v>Other</v>
      </c>
      <c r="K494" s="7" t="n">
        <f aca="false">IF(AND(F494="Record or Recall",G494="12-23 m"),1,0)</f>
        <v>1</v>
      </c>
      <c r="L494" s="7" t="n">
        <f aca="false">IF(OR(J494="DHS",J494="MICS"),1,0)</f>
        <v>0</v>
      </c>
    </row>
    <row r="495" customFormat="false" ht="15" hidden="false" customHeight="false" outlineLevel="0" collapsed="false">
      <c r="A495" s="7" t="s">
        <v>348</v>
      </c>
      <c r="B495" s="7" t="s">
        <v>367</v>
      </c>
      <c r="C495" s="7" t="s">
        <v>368</v>
      </c>
      <c r="D495" s="7" t="n">
        <v>2010</v>
      </c>
      <c r="E495" s="7" t="s">
        <v>81</v>
      </c>
      <c r="F495" s="7" t="s">
        <v>87</v>
      </c>
      <c r="G495" s="7" t="s">
        <v>66</v>
      </c>
      <c r="H495" s="7" t="n">
        <v>30.7</v>
      </c>
      <c r="I495" s="7" t="str">
        <f aca="false">IF(B495="",TRIM(C495),TRIM(B495))</f>
        <v>Cameroon Post-Campaign Vaccination Coverage Survey 2011</v>
      </c>
      <c r="J495" s="7" t="str">
        <f aca="false">IF(ISNUMBER(SEARCH("Demographic and Health",I495)),"DHS",IF(OR(ISNUMBER(SEARCH("Multiple Indicator Cluster",I495)),ISNUMBER(SEARCH("MICS",I495))),"MICS","Other"))</f>
        <v>Other</v>
      </c>
      <c r="K495" s="7" t="n">
        <f aca="false">IF(AND(F495="Record or Recall",G495="12-23 m"),1,0)</f>
        <v>0</v>
      </c>
      <c r="L495" s="7" t="n">
        <f aca="false">IF(OR(J495="DHS",J495="MICS"),1,0)</f>
        <v>0</v>
      </c>
    </row>
    <row r="496" customFormat="false" ht="15" hidden="false" customHeight="false" outlineLevel="0" collapsed="false">
      <c r="A496" s="7" t="s">
        <v>348</v>
      </c>
      <c r="B496" s="7" t="s">
        <v>367</v>
      </c>
      <c r="C496" s="7" t="s">
        <v>368</v>
      </c>
      <c r="D496" s="7" t="n">
        <v>2010</v>
      </c>
      <c r="E496" s="7" t="s">
        <v>67</v>
      </c>
      <c r="F496" s="7" t="s">
        <v>78</v>
      </c>
      <c r="G496" s="7" t="s">
        <v>66</v>
      </c>
      <c r="H496" s="7" t="n">
        <v>76.6</v>
      </c>
      <c r="I496" s="7" t="str">
        <f aca="false">IF(B496="",TRIM(C496),TRIM(B496))</f>
        <v>Cameroon Post-Campaign Vaccination Coverage Survey 2011</v>
      </c>
      <c r="J496" s="7" t="str">
        <f aca="false">IF(ISNUMBER(SEARCH("Demographic and Health",I496)),"DHS",IF(OR(ISNUMBER(SEARCH("Multiple Indicator Cluster",I496)),ISNUMBER(SEARCH("MICS",I496))),"MICS","Other"))</f>
        <v>Other</v>
      </c>
      <c r="K496" s="7" t="n">
        <f aca="false">IF(AND(F496="Record or Recall",G496="12-23 m"),1,0)</f>
        <v>0</v>
      </c>
      <c r="L496" s="7" t="n">
        <f aca="false">IF(OR(J496="DHS",J496="MICS"),1,0)</f>
        <v>0</v>
      </c>
    </row>
    <row r="497" customFormat="false" ht="15" hidden="false" customHeight="false" outlineLevel="0" collapsed="false">
      <c r="A497" s="7" t="s">
        <v>348</v>
      </c>
      <c r="B497" s="7" t="s">
        <v>367</v>
      </c>
      <c r="C497" s="7" t="s">
        <v>368</v>
      </c>
      <c r="D497" s="7" t="n">
        <v>2010</v>
      </c>
      <c r="E497" s="7" t="s">
        <v>67</v>
      </c>
      <c r="F497" s="7" t="s">
        <v>86</v>
      </c>
      <c r="G497" s="7" t="s">
        <v>66</v>
      </c>
      <c r="H497" s="7" t="n">
        <v>48.1</v>
      </c>
      <c r="I497" s="7" t="str">
        <f aca="false">IF(B497="",TRIM(C497),TRIM(B497))</f>
        <v>Cameroon Post-Campaign Vaccination Coverage Survey 2011</v>
      </c>
      <c r="J497" s="7" t="str">
        <f aca="false">IF(ISNUMBER(SEARCH("Demographic and Health",I497)),"DHS",IF(OR(ISNUMBER(SEARCH("Multiple Indicator Cluster",I497)),ISNUMBER(SEARCH("MICS",I497))),"MICS","Other"))</f>
        <v>Other</v>
      </c>
      <c r="K497" s="7" t="n">
        <f aca="false">IF(AND(F497="Record or Recall",G497="12-23 m"),1,0)</f>
        <v>0</v>
      </c>
      <c r="L497" s="7" t="n">
        <f aca="false">IF(OR(J497="DHS",J497="MICS"),1,0)</f>
        <v>0</v>
      </c>
    </row>
    <row r="498" customFormat="false" ht="15" hidden="false" customHeight="false" outlineLevel="0" collapsed="false">
      <c r="A498" s="7" t="s">
        <v>348</v>
      </c>
      <c r="B498" s="7" t="s">
        <v>367</v>
      </c>
      <c r="C498" s="7" t="s">
        <v>368</v>
      </c>
      <c r="D498" s="7" t="n">
        <v>2010</v>
      </c>
      <c r="E498" s="7" t="s">
        <v>67</v>
      </c>
      <c r="F498" s="7" t="s">
        <v>63</v>
      </c>
      <c r="G498" s="7" t="s">
        <v>66</v>
      </c>
      <c r="H498" s="7" t="n">
        <v>78.2</v>
      </c>
      <c r="I498" s="7" t="str">
        <f aca="false">IF(B498="",TRIM(C498),TRIM(B498))</f>
        <v>Cameroon Post-Campaign Vaccination Coverage Survey 2011</v>
      </c>
      <c r="J498" s="7" t="str">
        <f aca="false">IF(ISNUMBER(SEARCH("Demographic and Health",I498)),"DHS",IF(OR(ISNUMBER(SEARCH("Multiple Indicator Cluster",I498)),ISNUMBER(SEARCH("MICS",I498))),"MICS","Other"))</f>
        <v>Other</v>
      </c>
      <c r="K498" s="7" t="n">
        <f aca="false">IF(AND(F498="Record or Recall",G498="12-23 m"),1,0)</f>
        <v>1</v>
      </c>
      <c r="L498" s="7" t="n">
        <f aca="false">IF(OR(J498="DHS",J498="MICS"),1,0)</f>
        <v>0</v>
      </c>
    </row>
    <row r="499" customFormat="false" ht="15" hidden="false" customHeight="false" outlineLevel="0" collapsed="false">
      <c r="A499" s="7" t="s">
        <v>348</v>
      </c>
      <c r="B499" s="7" t="s">
        <v>367</v>
      </c>
      <c r="C499" s="7" t="s">
        <v>368</v>
      </c>
      <c r="D499" s="7" t="n">
        <v>2010</v>
      </c>
      <c r="E499" s="7" t="s">
        <v>67</v>
      </c>
      <c r="F499" s="7" t="s">
        <v>87</v>
      </c>
      <c r="G499" s="7" t="s">
        <v>66</v>
      </c>
      <c r="H499" s="7" t="n">
        <v>30.1</v>
      </c>
      <c r="I499" s="7" t="str">
        <f aca="false">IF(B499="",TRIM(C499),TRIM(B499))</f>
        <v>Cameroon Post-Campaign Vaccination Coverage Survey 2011</v>
      </c>
      <c r="J499" s="7" t="str">
        <f aca="false">IF(ISNUMBER(SEARCH("Demographic and Health",I499)),"DHS",IF(OR(ISNUMBER(SEARCH("Multiple Indicator Cluster",I499)),ISNUMBER(SEARCH("MICS",I499))),"MICS","Other"))</f>
        <v>Other</v>
      </c>
      <c r="K499" s="7" t="n">
        <f aca="false">IF(AND(F499="Record or Recall",G499="12-23 m"),1,0)</f>
        <v>0</v>
      </c>
      <c r="L499" s="7" t="n">
        <f aca="false">IF(OR(J499="DHS",J499="MICS"),1,0)</f>
        <v>0</v>
      </c>
    </row>
    <row r="500" customFormat="false" ht="15" hidden="false" customHeight="false" outlineLevel="0" collapsed="false">
      <c r="A500" s="7" t="s">
        <v>348</v>
      </c>
      <c r="B500" s="7" t="s">
        <v>367</v>
      </c>
      <c r="C500" s="7" t="s">
        <v>368</v>
      </c>
      <c r="D500" s="7" t="n">
        <v>2010</v>
      </c>
      <c r="E500" s="7" t="s">
        <v>82</v>
      </c>
      <c r="F500" s="7" t="s">
        <v>78</v>
      </c>
      <c r="G500" s="7" t="s">
        <v>66</v>
      </c>
      <c r="H500" s="7" t="n">
        <v>52.3</v>
      </c>
      <c r="I500" s="7" t="str">
        <f aca="false">IF(B500="",TRIM(C500),TRIM(B500))</f>
        <v>Cameroon Post-Campaign Vaccination Coverage Survey 2011</v>
      </c>
      <c r="J500" s="7" t="str">
        <f aca="false">IF(ISNUMBER(SEARCH("Demographic and Health",I500)),"DHS",IF(OR(ISNUMBER(SEARCH("Multiple Indicator Cluster",I500)),ISNUMBER(SEARCH("MICS",I500))),"MICS","Other"))</f>
        <v>Other</v>
      </c>
      <c r="K500" s="7" t="n">
        <f aca="false">IF(AND(F500="Record or Recall",G500="12-23 m"),1,0)</f>
        <v>0</v>
      </c>
      <c r="L500" s="7" t="n">
        <f aca="false">IF(OR(J500="DHS",J500="MICS"),1,0)</f>
        <v>0</v>
      </c>
    </row>
    <row r="501" customFormat="false" ht="15" hidden="false" customHeight="false" outlineLevel="0" collapsed="false">
      <c r="A501" s="7" t="s">
        <v>348</v>
      </c>
      <c r="B501" s="7" t="s">
        <v>367</v>
      </c>
      <c r="C501" s="7" t="s">
        <v>368</v>
      </c>
      <c r="D501" s="7" t="n">
        <v>2010</v>
      </c>
      <c r="E501" s="7" t="s">
        <v>82</v>
      </c>
      <c r="F501" s="7" t="s">
        <v>86</v>
      </c>
      <c r="G501" s="7" t="s">
        <v>66</v>
      </c>
      <c r="H501" s="7" t="n">
        <v>24.1</v>
      </c>
      <c r="I501" s="7" t="str">
        <f aca="false">IF(B501="",TRIM(C501),TRIM(B501))</f>
        <v>Cameroon Post-Campaign Vaccination Coverage Survey 2011</v>
      </c>
      <c r="J501" s="7" t="str">
        <f aca="false">IF(ISNUMBER(SEARCH("Demographic and Health",I501)),"DHS",IF(OR(ISNUMBER(SEARCH("Multiple Indicator Cluster",I501)),ISNUMBER(SEARCH("MICS",I501))),"MICS","Other"))</f>
        <v>Other</v>
      </c>
      <c r="K501" s="7" t="n">
        <f aca="false">IF(AND(F501="Record or Recall",G501="12-23 m"),1,0)</f>
        <v>0</v>
      </c>
      <c r="L501" s="7" t="n">
        <f aca="false">IF(OR(J501="DHS",J501="MICS"),1,0)</f>
        <v>0</v>
      </c>
    </row>
    <row r="502" customFormat="false" ht="15" hidden="false" customHeight="false" outlineLevel="0" collapsed="false">
      <c r="A502" s="7" t="s">
        <v>348</v>
      </c>
      <c r="B502" s="7" t="s">
        <v>367</v>
      </c>
      <c r="C502" s="7" t="s">
        <v>368</v>
      </c>
      <c r="D502" s="7" t="n">
        <v>2010</v>
      </c>
      <c r="E502" s="7" t="s">
        <v>82</v>
      </c>
      <c r="F502" s="7" t="s">
        <v>63</v>
      </c>
      <c r="G502" s="7" t="s">
        <v>66</v>
      </c>
      <c r="H502" s="7" t="n">
        <v>57.6</v>
      </c>
      <c r="I502" s="7" t="str">
        <f aca="false">IF(B502="",TRIM(C502),TRIM(B502))</f>
        <v>Cameroon Post-Campaign Vaccination Coverage Survey 2011</v>
      </c>
      <c r="J502" s="7" t="str">
        <f aca="false">IF(ISNUMBER(SEARCH("Demographic and Health",I502)),"DHS",IF(OR(ISNUMBER(SEARCH("Multiple Indicator Cluster",I502)),ISNUMBER(SEARCH("MICS",I502))),"MICS","Other"))</f>
        <v>Other</v>
      </c>
      <c r="K502" s="7" t="n">
        <f aca="false">IF(AND(F502="Record or Recall",G502="12-23 m"),1,0)</f>
        <v>1</v>
      </c>
      <c r="L502" s="7" t="n">
        <f aca="false">IF(OR(J502="DHS",J502="MICS"),1,0)</f>
        <v>0</v>
      </c>
    </row>
    <row r="503" customFormat="false" ht="15" hidden="false" customHeight="false" outlineLevel="0" collapsed="false">
      <c r="A503" s="7" t="s">
        <v>348</v>
      </c>
      <c r="B503" s="7" t="s">
        <v>367</v>
      </c>
      <c r="C503" s="7" t="s">
        <v>368</v>
      </c>
      <c r="D503" s="7" t="n">
        <v>2010</v>
      </c>
      <c r="E503" s="7" t="s">
        <v>82</v>
      </c>
      <c r="F503" s="7" t="s">
        <v>87</v>
      </c>
      <c r="G503" s="7" t="s">
        <v>66</v>
      </c>
      <c r="H503" s="7" t="n">
        <v>33.5</v>
      </c>
      <c r="I503" s="7" t="str">
        <f aca="false">IF(B503="",TRIM(C503),TRIM(B503))</f>
        <v>Cameroon Post-Campaign Vaccination Coverage Survey 2011</v>
      </c>
      <c r="J503" s="7" t="str">
        <f aca="false">IF(ISNUMBER(SEARCH("Demographic and Health",I503)),"DHS",IF(OR(ISNUMBER(SEARCH("Multiple Indicator Cluster",I503)),ISNUMBER(SEARCH("MICS",I503))),"MICS","Other"))</f>
        <v>Other</v>
      </c>
      <c r="K503" s="7" t="n">
        <f aca="false">IF(AND(F503="Record or Recall",G503="12-23 m"),1,0)</f>
        <v>0</v>
      </c>
      <c r="L503" s="7" t="n">
        <f aca="false">IF(OR(J503="DHS",J503="MICS"),1,0)</f>
        <v>0</v>
      </c>
    </row>
    <row r="504" customFormat="false" ht="15" hidden="false" customHeight="false" outlineLevel="0" collapsed="false">
      <c r="A504" s="7" t="s">
        <v>348</v>
      </c>
      <c r="B504" s="7" t="s">
        <v>367</v>
      </c>
      <c r="C504" s="7" t="s">
        <v>368</v>
      </c>
      <c r="D504" s="7" t="n">
        <v>2010</v>
      </c>
      <c r="E504" s="7" t="s">
        <v>68</v>
      </c>
      <c r="F504" s="7" t="s">
        <v>78</v>
      </c>
      <c r="G504" s="7" t="s">
        <v>66</v>
      </c>
      <c r="H504" s="7" t="n">
        <v>74.1</v>
      </c>
      <c r="I504" s="7" t="str">
        <f aca="false">IF(B504="",TRIM(C504),TRIM(B504))</f>
        <v>Cameroon Post-Campaign Vaccination Coverage Survey 2011</v>
      </c>
      <c r="J504" s="7" t="str">
        <f aca="false">IF(ISNUMBER(SEARCH("Demographic and Health",I504)),"DHS",IF(OR(ISNUMBER(SEARCH("Multiple Indicator Cluster",I504)),ISNUMBER(SEARCH("MICS",I504))),"MICS","Other"))</f>
        <v>Other</v>
      </c>
      <c r="K504" s="7" t="n">
        <f aca="false">IF(AND(F504="Record or Recall",G504="12-23 m"),1,0)</f>
        <v>0</v>
      </c>
      <c r="L504" s="7" t="n">
        <f aca="false">IF(OR(J504="DHS",J504="MICS"),1,0)</f>
        <v>0</v>
      </c>
    </row>
    <row r="505" customFormat="false" ht="15" hidden="false" customHeight="false" outlineLevel="0" collapsed="false">
      <c r="A505" s="7" t="s">
        <v>348</v>
      </c>
      <c r="B505" s="7" t="s">
        <v>367</v>
      </c>
      <c r="C505" s="7" t="s">
        <v>368</v>
      </c>
      <c r="D505" s="7" t="n">
        <v>2010</v>
      </c>
      <c r="E505" s="7" t="s">
        <v>68</v>
      </c>
      <c r="F505" s="7" t="s">
        <v>86</v>
      </c>
      <c r="G505" s="7" t="s">
        <v>66</v>
      </c>
      <c r="H505" s="7" t="n">
        <v>47.9</v>
      </c>
      <c r="I505" s="7" t="str">
        <f aca="false">IF(B505="",TRIM(C505),TRIM(B505))</f>
        <v>Cameroon Post-Campaign Vaccination Coverage Survey 2011</v>
      </c>
      <c r="J505" s="7" t="str">
        <f aca="false">IF(ISNUMBER(SEARCH("Demographic and Health",I505)),"DHS",IF(OR(ISNUMBER(SEARCH("Multiple Indicator Cluster",I505)),ISNUMBER(SEARCH("MICS",I505))),"MICS","Other"))</f>
        <v>Other</v>
      </c>
      <c r="K505" s="7" t="n">
        <f aca="false">IF(AND(F505="Record or Recall",G505="12-23 m"),1,0)</f>
        <v>0</v>
      </c>
      <c r="L505" s="7" t="n">
        <f aca="false">IF(OR(J505="DHS",J505="MICS"),1,0)</f>
        <v>0</v>
      </c>
    </row>
    <row r="506" customFormat="false" ht="15" hidden="false" customHeight="false" outlineLevel="0" collapsed="false">
      <c r="A506" s="7" t="s">
        <v>348</v>
      </c>
      <c r="B506" s="7" t="s">
        <v>367</v>
      </c>
      <c r="C506" s="7" t="s">
        <v>368</v>
      </c>
      <c r="D506" s="7" t="n">
        <v>2010</v>
      </c>
      <c r="E506" s="7" t="s">
        <v>68</v>
      </c>
      <c r="F506" s="7" t="s">
        <v>63</v>
      </c>
      <c r="G506" s="7" t="s">
        <v>66</v>
      </c>
      <c r="H506" s="7" t="n">
        <v>74.6</v>
      </c>
      <c r="I506" s="7" t="str">
        <f aca="false">IF(B506="",TRIM(C506),TRIM(B506))</f>
        <v>Cameroon Post-Campaign Vaccination Coverage Survey 2011</v>
      </c>
      <c r="J506" s="7" t="str">
        <f aca="false">IF(ISNUMBER(SEARCH("Demographic and Health",I506)),"DHS",IF(OR(ISNUMBER(SEARCH("Multiple Indicator Cluster",I506)),ISNUMBER(SEARCH("MICS",I506))),"MICS","Other"))</f>
        <v>Other</v>
      </c>
      <c r="K506" s="7" t="n">
        <f aca="false">IF(AND(F506="Record or Recall",G506="12-23 m"),1,0)</f>
        <v>1</v>
      </c>
      <c r="L506" s="7" t="n">
        <f aca="false">IF(OR(J506="DHS",J506="MICS"),1,0)</f>
        <v>0</v>
      </c>
    </row>
    <row r="507" customFormat="false" ht="15" hidden="false" customHeight="false" outlineLevel="0" collapsed="false">
      <c r="A507" s="7" t="s">
        <v>348</v>
      </c>
      <c r="B507" s="7" t="s">
        <v>367</v>
      </c>
      <c r="C507" s="7" t="s">
        <v>368</v>
      </c>
      <c r="D507" s="7" t="n">
        <v>2010</v>
      </c>
      <c r="E507" s="7" t="s">
        <v>68</v>
      </c>
      <c r="F507" s="7" t="s">
        <v>87</v>
      </c>
      <c r="G507" s="7" t="s">
        <v>66</v>
      </c>
      <c r="H507" s="7" t="n">
        <v>26.7</v>
      </c>
      <c r="I507" s="7" t="str">
        <f aca="false">IF(B507="",TRIM(C507),TRIM(B507))</f>
        <v>Cameroon Post-Campaign Vaccination Coverage Survey 2011</v>
      </c>
      <c r="J507" s="7" t="str">
        <f aca="false">IF(ISNUMBER(SEARCH("Demographic and Health",I507)),"DHS",IF(OR(ISNUMBER(SEARCH("Multiple Indicator Cluster",I507)),ISNUMBER(SEARCH("MICS",I507))),"MICS","Other"))</f>
        <v>Other</v>
      </c>
      <c r="K507" s="7" t="n">
        <f aca="false">IF(AND(F507="Record or Recall",G507="12-23 m"),1,0)</f>
        <v>0</v>
      </c>
      <c r="L507" s="7" t="n">
        <f aca="false">IF(OR(J507="DHS",J507="MICS"),1,0)</f>
        <v>0</v>
      </c>
    </row>
    <row r="508" customFormat="false" ht="15" hidden="false" customHeight="false" outlineLevel="0" collapsed="false">
      <c r="A508" s="7" t="s">
        <v>348</v>
      </c>
      <c r="B508" s="7" t="s">
        <v>367</v>
      </c>
      <c r="C508" s="7" t="s">
        <v>368</v>
      </c>
      <c r="D508" s="7" t="n">
        <v>2010</v>
      </c>
      <c r="E508" s="7" t="s">
        <v>69</v>
      </c>
      <c r="F508" s="7" t="s">
        <v>78</v>
      </c>
      <c r="G508" s="7" t="s">
        <v>66</v>
      </c>
      <c r="H508" s="7" t="n">
        <v>76.5</v>
      </c>
      <c r="I508" s="7" t="str">
        <f aca="false">IF(B508="",TRIM(C508),TRIM(B508))</f>
        <v>Cameroon Post-Campaign Vaccination Coverage Survey 2011</v>
      </c>
      <c r="J508" s="7" t="str">
        <f aca="false">IF(ISNUMBER(SEARCH("Demographic and Health",I508)),"DHS",IF(OR(ISNUMBER(SEARCH("Multiple Indicator Cluster",I508)),ISNUMBER(SEARCH("MICS",I508))),"MICS","Other"))</f>
        <v>Other</v>
      </c>
      <c r="K508" s="7" t="n">
        <f aca="false">IF(AND(F508="Record or Recall",G508="12-23 m"),1,0)</f>
        <v>0</v>
      </c>
      <c r="L508" s="7" t="n">
        <f aca="false">IF(OR(J508="DHS",J508="MICS"),1,0)</f>
        <v>0</v>
      </c>
    </row>
    <row r="509" customFormat="false" ht="15" hidden="false" customHeight="false" outlineLevel="0" collapsed="false">
      <c r="A509" s="7" t="s">
        <v>348</v>
      </c>
      <c r="B509" s="7" t="s">
        <v>367</v>
      </c>
      <c r="C509" s="7" t="s">
        <v>368</v>
      </c>
      <c r="D509" s="7" t="n">
        <v>2010</v>
      </c>
      <c r="E509" s="7" t="s">
        <v>69</v>
      </c>
      <c r="F509" s="7" t="s">
        <v>86</v>
      </c>
      <c r="G509" s="7" t="s">
        <v>66</v>
      </c>
      <c r="H509" s="7" t="n">
        <v>49.8</v>
      </c>
      <c r="I509" s="7" t="str">
        <f aca="false">IF(B509="",TRIM(C509),TRIM(B509))</f>
        <v>Cameroon Post-Campaign Vaccination Coverage Survey 2011</v>
      </c>
      <c r="J509" s="7" t="str">
        <f aca="false">IF(ISNUMBER(SEARCH("Demographic and Health",I509)),"DHS",IF(OR(ISNUMBER(SEARCH("Multiple Indicator Cluster",I509)),ISNUMBER(SEARCH("MICS",I509))),"MICS","Other"))</f>
        <v>Other</v>
      </c>
      <c r="K509" s="7" t="n">
        <f aca="false">IF(AND(F509="Record or Recall",G509="12-23 m"),1,0)</f>
        <v>0</v>
      </c>
      <c r="L509" s="7" t="n">
        <f aca="false">IF(OR(J509="DHS",J509="MICS"),1,0)</f>
        <v>0</v>
      </c>
    </row>
    <row r="510" customFormat="false" ht="15" hidden="false" customHeight="false" outlineLevel="0" collapsed="false">
      <c r="A510" s="7" t="s">
        <v>348</v>
      </c>
      <c r="B510" s="7" t="s">
        <v>367</v>
      </c>
      <c r="C510" s="7" t="s">
        <v>368</v>
      </c>
      <c r="D510" s="7" t="n">
        <v>2010</v>
      </c>
      <c r="E510" s="7" t="s">
        <v>69</v>
      </c>
      <c r="F510" s="7" t="s">
        <v>63</v>
      </c>
      <c r="G510" s="7" t="s">
        <v>66</v>
      </c>
      <c r="H510" s="7" t="n">
        <v>80.6</v>
      </c>
      <c r="I510" s="7" t="str">
        <f aca="false">IF(B510="",TRIM(C510),TRIM(B510))</f>
        <v>Cameroon Post-Campaign Vaccination Coverage Survey 2011</v>
      </c>
      <c r="J510" s="7" t="str">
        <f aca="false">IF(ISNUMBER(SEARCH("Demographic and Health",I510)),"DHS",IF(OR(ISNUMBER(SEARCH("Multiple Indicator Cluster",I510)),ISNUMBER(SEARCH("MICS",I510))),"MICS","Other"))</f>
        <v>Other</v>
      </c>
      <c r="K510" s="7" t="n">
        <f aca="false">IF(AND(F510="Record or Recall",G510="12-23 m"),1,0)</f>
        <v>1</v>
      </c>
      <c r="L510" s="7" t="n">
        <f aca="false">IF(OR(J510="DHS",J510="MICS"),1,0)</f>
        <v>0</v>
      </c>
    </row>
    <row r="511" customFormat="false" ht="15" hidden="false" customHeight="false" outlineLevel="0" collapsed="false">
      <c r="A511" s="7" t="s">
        <v>348</v>
      </c>
      <c r="B511" s="7" t="s">
        <v>367</v>
      </c>
      <c r="C511" s="7" t="s">
        <v>368</v>
      </c>
      <c r="D511" s="7" t="n">
        <v>2010</v>
      </c>
      <c r="E511" s="7" t="s">
        <v>69</v>
      </c>
      <c r="F511" s="7" t="s">
        <v>87</v>
      </c>
      <c r="G511" s="7" t="s">
        <v>66</v>
      </c>
      <c r="H511" s="7" t="n">
        <v>30.8</v>
      </c>
      <c r="I511" s="7" t="str">
        <f aca="false">IF(B511="",TRIM(C511),TRIM(B511))</f>
        <v>Cameroon Post-Campaign Vaccination Coverage Survey 2011</v>
      </c>
      <c r="J511" s="7" t="str">
        <f aca="false">IF(ISNUMBER(SEARCH("Demographic and Health",I511)),"DHS",IF(OR(ISNUMBER(SEARCH("Multiple Indicator Cluster",I511)),ISNUMBER(SEARCH("MICS",I511))),"MICS","Other"))</f>
        <v>Other</v>
      </c>
      <c r="K511" s="7" t="n">
        <f aca="false">IF(AND(F511="Record or Recall",G511="12-23 m"),1,0)</f>
        <v>0</v>
      </c>
      <c r="L511" s="7" t="n">
        <f aca="false">IF(OR(J511="DHS",J511="MICS"),1,0)</f>
        <v>0</v>
      </c>
    </row>
    <row r="512" customFormat="false" ht="15" hidden="false" customHeight="false" outlineLevel="0" collapsed="false">
      <c r="A512" s="7" t="s">
        <v>348</v>
      </c>
      <c r="B512" s="7" t="s">
        <v>369</v>
      </c>
      <c r="C512" s="7" t="s">
        <v>370</v>
      </c>
      <c r="D512" s="7" t="n">
        <v>2012</v>
      </c>
      <c r="E512" s="7" t="s">
        <v>62</v>
      </c>
      <c r="F512" s="7" t="s">
        <v>78</v>
      </c>
      <c r="G512" s="7" t="s">
        <v>91</v>
      </c>
      <c r="H512" s="7" t="n">
        <v>87.5</v>
      </c>
      <c r="I512" s="7" t="str">
        <f aca="false">IF(B512="",TRIM(C512),TRIM(B512))</f>
        <v>Cameroon Multiple Indicator Cluster Survey 2014</v>
      </c>
      <c r="J512" s="7" t="str">
        <f aca="false">IF(ISNUMBER(SEARCH("Demographic and Health",I512)),"DHS",IF(OR(ISNUMBER(SEARCH("Multiple Indicator Cluster",I512)),ISNUMBER(SEARCH("MICS",I512))),"MICS","Other"))</f>
        <v>MICS</v>
      </c>
      <c r="K512" s="7" t="n">
        <f aca="false">IF(AND(F512="Record or Recall",G512="12-23 m"),1,0)</f>
        <v>0</v>
      </c>
      <c r="L512" s="7" t="n">
        <f aca="false">IF(OR(J512="DHS",J512="MICS"),1,0)</f>
        <v>1</v>
      </c>
    </row>
    <row r="513" customFormat="false" ht="15" hidden="false" customHeight="false" outlineLevel="0" collapsed="false">
      <c r="A513" s="7" t="s">
        <v>348</v>
      </c>
      <c r="B513" s="7" t="s">
        <v>369</v>
      </c>
      <c r="C513" s="7" t="s">
        <v>370</v>
      </c>
      <c r="D513" s="7" t="n">
        <v>2012</v>
      </c>
      <c r="E513" s="7" t="s">
        <v>62</v>
      </c>
      <c r="F513" s="7" t="s">
        <v>86</v>
      </c>
      <c r="G513" s="7" t="s">
        <v>91</v>
      </c>
      <c r="H513" s="7" t="n">
        <v>55.2</v>
      </c>
      <c r="I513" s="7" t="str">
        <f aca="false">IF(B513="",TRIM(C513),TRIM(B513))</f>
        <v>Cameroon Multiple Indicator Cluster Survey 2014</v>
      </c>
      <c r="J513" s="7" t="str">
        <f aca="false">IF(ISNUMBER(SEARCH("Demographic and Health",I513)),"DHS",IF(OR(ISNUMBER(SEARCH("Multiple Indicator Cluster",I513)),ISNUMBER(SEARCH("MICS",I513))),"MICS","Other"))</f>
        <v>MICS</v>
      </c>
      <c r="K513" s="7" t="n">
        <f aca="false">IF(AND(F513="Record or Recall",G513="12-23 m"),1,0)</f>
        <v>0</v>
      </c>
      <c r="L513" s="7" t="n">
        <f aca="false">IF(OR(J513="DHS",J513="MICS"),1,0)</f>
        <v>1</v>
      </c>
    </row>
    <row r="514" customFormat="false" ht="15" hidden="false" customHeight="false" outlineLevel="0" collapsed="false">
      <c r="A514" s="7" t="s">
        <v>348</v>
      </c>
      <c r="B514" s="7" t="s">
        <v>369</v>
      </c>
      <c r="C514" s="7" t="s">
        <v>370</v>
      </c>
      <c r="D514" s="7" t="n">
        <v>2012</v>
      </c>
      <c r="E514" s="7" t="s">
        <v>62</v>
      </c>
      <c r="F514" s="7" t="s">
        <v>63</v>
      </c>
      <c r="G514" s="7" t="s">
        <v>91</v>
      </c>
      <c r="H514" s="7" t="n">
        <v>89.9</v>
      </c>
      <c r="I514" s="7" t="str">
        <f aca="false">IF(B514="",TRIM(C514),TRIM(B514))</f>
        <v>Cameroon Multiple Indicator Cluster Survey 2014</v>
      </c>
      <c r="J514" s="7" t="str">
        <f aca="false">IF(ISNUMBER(SEARCH("Demographic and Health",I514)),"DHS",IF(OR(ISNUMBER(SEARCH("Multiple Indicator Cluster",I514)),ISNUMBER(SEARCH("MICS",I514))),"MICS","Other"))</f>
        <v>MICS</v>
      </c>
      <c r="K514" s="7" t="n">
        <f aca="false">IF(AND(F514="Record or Recall",G514="12-23 m"),1,0)</f>
        <v>0</v>
      </c>
      <c r="L514" s="7" t="n">
        <f aca="false">IF(OR(J514="DHS",J514="MICS"),1,0)</f>
        <v>1</v>
      </c>
    </row>
    <row r="515" customFormat="false" ht="15" hidden="false" customHeight="false" outlineLevel="0" collapsed="false">
      <c r="A515" s="7" t="s">
        <v>348</v>
      </c>
      <c r="B515" s="7" t="s">
        <v>369</v>
      </c>
      <c r="C515" s="7" t="s">
        <v>370</v>
      </c>
      <c r="D515" s="7" t="n">
        <v>2012</v>
      </c>
      <c r="E515" s="7" t="s">
        <v>81</v>
      </c>
      <c r="F515" s="7" t="s">
        <v>78</v>
      </c>
      <c r="G515" s="7" t="s">
        <v>91</v>
      </c>
      <c r="H515" s="7" t="n">
        <v>85.9</v>
      </c>
      <c r="I515" s="7" t="str">
        <f aca="false">IF(B515="",TRIM(C515),TRIM(B515))</f>
        <v>Cameroon Multiple Indicator Cluster Survey 2014</v>
      </c>
      <c r="J515" s="7" t="str">
        <f aca="false">IF(ISNUMBER(SEARCH("Demographic and Health",I515)),"DHS",IF(OR(ISNUMBER(SEARCH("Multiple Indicator Cluster",I515)),ISNUMBER(SEARCH("MICS",I515))),"MICS","Other"))</f>
        <v>MICS</v>
      </c>
      <c r="K515" s="7" t="n">
        <f aca="false">IF(AND(F515="Record or Recall",G515="12-23 m"),1,0)</f>
        <v>0</v>
      </c>
      <c r="L515" s="7" t="n">
        <f aca="false">IF(OR(J515="DHS",J515="MICS"),1,0)</f>
        <v>1</v>
      </c>
    </row>
    <row r="516" customFormat="false" ht="15" hidden="false" customHeight="false" outlineLevel="0" collapsed="false">
      <c r="A516" s="7" t="s">
        <v>348</v>
      </c>
      <c r="B516" s="7" t="s">
        <v>369</v>
      </c>
      <c r="C516" s="7" t="s">
        <v>370</v>
      </c>
      <c r="D516" s="7" t="n">
        <v>2012</v>
      </c>
      <c r="E516" s="7" t="s">
        <v>81</v>
      </c>
      <c r="F516" s="7" t="s">
        <v>86</v>
      </c>
      <c r="G516" s="7" t="s">
        <v>91</v>
      </c>
      <c r="H516" s="7" t="n">
        <v>55.3</v>
      </c>
      <c r="I516" s="7" t="str">
        <f aca="false">IF(B516="",TRIM(C516),TRIM(B516))</f>
        <v>Cameroon Multiple Indicator Cluster Survey 2014</v>
      </c>
      <c r="J516" s="7" t="str">
        <f aca="false">IF(ISNUMBER(SEARCH("Demographic and Health",I516)),"DHS",IF(OR(ISNUMBER(SEARCH("Multiple Indicator Cluster",I516)),ISNUMBER(SEARCH("MICS",I516))),"MICS","Other"))</f>
        <v>MICS</v>
      </c>
      <c r="K516" s="7" t="n">
        <f aca="false">IF(AND(F516="Record or Recall",G516="12-23 m"),1,0)</f>
        <v>0</v>
      </c>
      <c r="L516" s="7" t="n">
        <f aca="false">IF(OR(J516="DHS",J516="MICS"),1,0)</f>
        <v>1</v>
      </c>
    </row>
    <row r="517" customFormat="false" ht="15" hidden="false" customHeight="false" outlineLevel="0" collapsed="false">
      <c r="A517" s="7" t="s">
        <v>348</v>
      </c>
      <c r="B517" s="7" t="s">
        <v>369</v>
      </c>
      <c r="C517" s="7" t="s">
        <v>370</v>
      </c>
      <c r="D517" s="7" t="n">
        <v>2012</v>
      </c>
      <c r="E517" s="7" t="s">
        <v>81</v>
      </c>
      <c r="F517" s="7" t="s">
        <v>63</v>
      </c>
      <c r="G517" s="7" t="s">
        <v>91</v>
      </c>
      <c r="H517" s="7" t="n">
        <v>88.3</v>
      </c>
      <c r="I517" s="7" t="str">
        <f aca="false">IF(B517="",TRIM(C517),TRIM(B517))</f>
        <v>Cameroon Multiple Indicator Cluster Survey 2014</v>
      </c>
      <c r="J517" s="7" t="str">
        <f aca="false">IF(ISNUMBER(SEARCH("Demographic and Health",I517)),"DHS",IF(OR(ISNUMBER(SEARCH("Multiple Indicator Cluster",I517)),ISNUMBER(SEARCH("MICS",I517))),"MICS","Other"))</f>
        <v>MICS</v>
      </c>
      <c r="K517" s="7" t="n">
        <f aca="false">IF(AND(F517="Record or Recall",G517="12-23 m"),1,0)</f>
        <v>0</v>
      </c>
      <c r="L517" s="7" t="n">
        <f aca="false">IF(OR(J517="DHS",J517="MICS"),1,0)</f>
        <v>1</v>
      </c>
    </row>
    <row r="518" customFormat="false" ht="15" hidden="false" customHeight="false" outlineLevel="0" collapsed="false">
      <c r="A518" s="7" t="s">
        <v>348</v>
      </c>
      <c r="B518" s="7" t="s">
        <v>369</v>
      </c>
      <c r="C518" s="7" t="s">
        <v>370</v>
      </c>
      <c r="D518" s="7" t="n">
        <v>2012</v>
      </c>
      <c r="E518" s="7" t="s">
        <v>67</v>
      </c>
      <c r="F518" s="7" t="s">
        <v>78</v>
      </c>
      <c r="G518" s="7" t="s">
        <v>91</v>
      </c>
      <c r="H518" s="7" t="n">
        <v>74.1</v>
      </c>
      <c r="I518" s="7" t="str">
        <f aca="false">IF(B518="",TRIM(C518),TRIM(B518))</f>
        <v>Cameroon Multiple Indicator Cluster Survey 2014</v>
      </c>
      <c r="J518" s="7" t="str">
        <f aca="false">IF(ISNUMBER(SEARCH("Demographic and Health",I518)),"DHS",IF(OR(ISNUMBER(SEARCH("Multiple Indicator Cluster",I518)),ISNUMBER(SEARCH("MICS",I518))),"MICS","Other"))</f>
        <v>MICS</v>
      </c>
      <c r="K518" s="7" t="n">
        <f aca="false">IF(AND(F518="Record or Recall",G518="12-23 m"),1,0)</f>
        <v>0</v>
      </c>
      <c r="L518" s="7" t="n">
        <f aca="false">IF(OR(J518="DHS",J518="MICS"),1,0)</f>
        <v>1</v>
      </c>
    </row>
    <row r="519" customFormat="false" ht="15" hidden="false" customHeight="false" outlineLevel="0" collapsed="false">
      <c r="A519" s="7" t="s">
        <v>348</v>
      </c>
      <c r="B519" s="7" t="s">
        <v>369</v>
      </c>
      <c r="C519" s="7" t="s">
        <v>370</v>
      </c>
      <c r="D519" s="7" t="n">
        <v>2012</v>
      </c>
      <c r="E519" s="7" t="s">
        <v>67</v>
      </c>
      <c r="F519" s="7" t="s">
        <v>86</v>
      </c>
      <c r="G519" s="7" t="s">
        <v>91</v>
      </c>
      <c r="H519" s="7" t="n">
        <v>54.7</v>
      </c>
      <c r="I519" s="7" t="str">
        <f aca="false">IF(B519="",TRIM(C519),TRIM(B519))</f>
        <v>Cameroon Multiple Indicator Cluster Survey 2014</v>
      </c>
      <c r="J519" s="7" t="str">
        <f aca="false">IF(ISNUMBER(SEARCH("Demographic and Health",I519)),"DHS",IF(OR(ISNUMBER(SEARCH("Multiple Indicator Cluster",I519)),ISNUMBER(SEARCH("MICS",I519))),"MICS","Other"))</f>
        <v>MICS</v>
      </c>
      <c r="K519" s="7" t="n">
        <f aca="false">IF(AND(F519="Record or Recall",G519="12-23 m"),1,0)</f>
        <v>0</v>
      </c>
      <c r="L519" s="7" t="n">
        <f aca="false">IF(OR(J519="DHS",J519="MICS"),1,0)</f>
        <v>1</v>
      </c>
    </row>
    <row r="520" customFormat="false" ht="15" hidden="false" customHeight="false" outlineLevel="0" collapsed="false">
      <c r="A520" s="7" t="s">
        <v>348</v>
      </c>
      <c r="B520" s="7" t="s">
        <v>369</v>
      </c>
      <c r="C520" s="7" t="s">
        <v>370</v>
      </c>
      <c r="D520" s="7" t="n">
        <v>2012</v>
      </c>
      <c r="E520" s="7" t="s">
        <v>67</v>
      </c>
      <c r="F520" s="7" t="s">
        <v>63</v>
      </c>
      <c r="G520" s="7" t="s">
        <v>91</v>
      </c>
      <c r="H520" s="7" t="n">
        <v>78.4</v>
      </c>
      <c r="I520" s="7" t="str">
        <f aca="false">IF(B520="",TRIM(C520),TRIM(B520))</f>
        <v>Cameroon Multiple Indicator Cluster Survey 2014</v>
      </c>
      <c r="J520" s="7" t="str">
        <f aca="false">IF(ISNUMBER(SEARCH("Demographic and Health",I520)),"DHS",IF(OR(ISNUMBER(SEARCH("Multiple Indicator Cluster",I520)),ISNUMBER(SEARCH("MICS",I520))),"MICS","Other"))</f>
        <v>MICS</v>
      </c>
      <c r="K520" s="7" t="n">
        <f aca="false">IF(AND(F520="Record or Recall",G520="12-23 m"),1,0)</f>
        <v>0</v>
      </c>
      <c r="L520" s="7" t="n">
        <f aca="false">IF(OR(J520="DHS",J520="MICS"),1,0)</f>
        <v>1</v>
      </c>
    </row>
    <row r="521" customFormat="false" ht="15" hidden="false" customHeight="false" outlineLevel="0" collapsed="false">
      <c r="A521" s="7" t="s">
        <v>348</v>
      </c>
      <c r="B521" s="7" t="s">
        <v>369</v>
      </c>
      <c r="C521" s="7" t="s">
        <v>370</v>
      </c>
      <c r="D521" s="7" t="n">
        <v>2012</v>
      </c>
      <c r="E521" s="7" t="s">
        <v>82</v>
      </c>
      <c r="F521" s="7" t="s">
        <v>78</v>
      </c>
      <c r="G521" s="7" t="s">
        <v>91</v>
      </c>
      <c r="H521" s="7" t="n">
        <v>56.2</v>
      </c>
      <c r="I521" s="7" t="str">
        <f aca="false">IF(B521="",TRIM(C521),TRIM(B521))</f>
        <v>Cameroon Multiple Indicator Cluster Survey 2014</v>
      </c>
      <c r="J521" s="7" t="str">
        <f aca="false">IF(ISNUMBER(SEARCH("Demographic and Health",I521)),"DHS",IF(OR(ISNUMBER(SEARCH("Multiple Indicator Cluster",I521)),ISNUMBER(SEARCH("MICS",I521))),"MICS","Other"))</f>
        <v>MICS</v>
      </c>
      <c r="K521" s="7" t="n">
        <f aca="false">IF(AND(F521="Record or Recall",G521="12-23 m"),1,0)</f>
        <v>0</v>
      </c>
      <c r="L521" s="7" t="n">
        <f aca="false">IF(OR(J521="DHS",J521="MICS"),1,0)</f>
        <v>1</v>
      </c>
    </row>
    <row r="522" customFormat="false" ht="15" hidden="false" customHeight="false" outlineLevel="0" collapsed="false">
      <c r="A522" s="7" t="s">
        <v>348</v>
      </c>
      <c r="B522" s="7" t="s">
        <v>369</v>
      </c>
      <c r="C522" s="7" t="s">
        <v>370</v>
      </c>
      <c r="D522" s="7" t="n">
        <v>2012</v>
      </c>
      <c r="E522" s="7" t="s">
        <v>82</v>
      </c>
      <c r="F522" s="7" t="s">
        <v>86</v>
      </c>
      <c r="G522" s="7" t="s">
        <v>91</v>
      </c>
      <c r="H522" s="7" t="n">
        <v>56</v>
      </c>
      <c r="I522" s="7" t="str">
        <f aca="false">IF(B522="",TRIM(C522),TRIM(B522))</f>
        <v>Cameroon Multiple Indicator Cluster Survey 2014</v>
      </c>
      <c r="J522" s="7" t="str">
        <f aca="false">IF(ISNUMBER(SEARCH("Demographic and Health",I522)),"DHS",IF(OR(ISNUMBER(SEARCH("Multiple Indicator Cluster",I522)),ISNUMBER(SEARCH("MICS",I522))),"MICS","Other"))</f>
        <v>MICS</v>
      </c>
      <c r="K522" s="7" t="n">
        <f aca="false">IF(AND(F522="Record or Recall",G522="12-23 m"),1,0)</f>
        <v>0</v>
      </c>
      <c r="L522" s="7" t="n">
        <f aca="false">IF(OR(J522="DHS",J522="MICS"),1,0)</f>
        <v>1</v>
      </c>
    </row>
    <row r="523" customFormat="false" ht="15" hidden="false" customHeight="false" outlineLevel="0" collapsed="false">
      <c r="A523" s="7" t="s">
        <v>348</v>
      </c>
      <c r="B523" s="7" t="s">
        <v>369</v>
      </c>
      <c r="C523" s="7" t="s">
        <v>370</v>
      </c>
      <c r="D523" s="7" t="n">
        <v>2012</v>
      </c>
      <c r="E523" s="7" t="s">
        <v>82</v>
      </c>
      <c r="F523" s="7" t="s">
        <v>63</v>
      </c>
      <c r="G523" s="7" t="s">
        <v>91</v>
      </c>
      <c r="H523" s="7" t="n">
        <v>67.9</v>
      </c>
      <c r="I523" s="7" t="str">
        <f aca="false">IF(B523="",TRIM(C523),TRIM(B523))</f>
        <v>Cameroon Multiple Indicator Cluster Survey 2014</v>
      </c>
      <c r="J523" s="7" t="str">
        <f aca="false">IF(ISNUMBER(SEARCH("Demographic and Health",I523)),"DHS",IF(OR(ISNUMBER(SEARCH("Multiple Indicator Cluster",I523)),ISNUMBER(SEARCH("MICS",I523))),"MICS","Other"))</f>
        <v>MICS</v>
      </c>
      <c r="K523" s="7" t="n">
        <f aca="false">IF(AND(F523="Record or Recall",G523="12-23 m"),1,0)</f>
        <v>0</v>
      </c>
      <c r="L523" s="7" t="n">
        <f aca="false">IF(OR(J523="DHS",J523="MICS"),1,0)</f>
        <v>1</v>
      </c>
    </row>
    <row r="524" customFormat="false" ht="15" hidden="false" customHeight="false" outlineLevel="0" collapsed="false">
      <c r="A524" s="7" t="s">
        <v>348</v>
      </c>
      <c r="B524" s="7" t="s">
        <v>369</v>
      </c>
      <c r="C524" s="7" t="s">
        <v>370</v>
      </c>
      <c r="D524" s="7" t="n">
        <v>2012</v>
      </c>
      <c r="E524" s="7" t="s">
        <v>68</v>
      </c>
      <c r="F524" s="7" t="s">
        <v>78</v>
      </c>
      <c r="G524" s="7" t="s">
        <v>91</v>
      </c>
      <c r="H524" s="7" t="n">
        <v>75.1</v>
      </c>
      <c r="I524" s="7" t="str">
        <f aca="false">IF(B524="",TRIM(C524),TRIM(B524))</f>
        <v>Cameroon Multiple Indicator Cluster Survey 2014</v>
      </c>
      <c r="J524" s="7" t="str">
        <f aca="false">IF(ISNUMBER(SEARCH("Demographic and Health",I524)),"DHS",IF(OR(ISNUMBER(SEARCH("Multiple Indicator Cluster",I524)),ISNUMBER(SEARCH("MICS",I524))),"MICS","Other"))</f>
        <v>MICS</v>
      </c>
      <c r="K524" s="7" t="n">
        <f aca="false">IF(AND(F524="Record or Recall",G524="12-23 m"),1,0)</f>
        <v>0</v>
      </c>
      <c r="L524" s="7" t="n">
        <f aca="false">IF(OR(J524="DHS",J524="MICS"),1,0)</f>
        <v>1</v>
      </c>
    </row>
    <row r="525" customFormat="false" ht="15" hidden="false" customHeight="false" outlineLevel="0" collapsed="false">
      <c r="A525" s="7" t="s">
        <v>348</v>
      </c>
      <c r="B525" s="7" t="s">
        <v>369</v>
      </c>
      <c r="C525" s="7" t="s">
        <v>370</v>
      </c>
      <c r="D525" s="7" t="n">
        <v>2012</v>
      </c>
      <c r="E525" s="7" t="s">
        <v>68</v>
      </c>
      <c r="F525" s="7" t="s">
        <v>86</v>
      </c>
      <c r="G525" s="7" t="s">
        <v>91</v>
      </c>
      <c r="H525" s="7" t="n">
        <v>53.1</v>
      </c>
      <c r="I525" s="7" t="str">
        <f aca="false">IF(B525="",TRIM(C525),TRIM(B525))</f>
        <v>Cameroon Multiple Indicator Cluster Survey 2014</v>
      </c>
      <c r="J525" s="7" t="str">
        <f aca="false">IF(ISNUMBER(SEARCH("Demographic and Health",I525)),"DHS",IF(OR(ISNUMBER(SEARCH("Multiple Indicator Cluster",I525)),ISNUMBER(SEARCH("MICS",I525))),"MICS","Other"))</f>
        <v>MICS</v>
      </c>
      <c r="K525" s="7" t="n">
        <f aca="false">IF(AND(F525="Record or Recall",G525="12-23 m"),1,0)</f>
        <v>0</v>
      </c>
      <c r="L525" s="7" t="n">
        <f aca="false">IF(OR(J525="DHS",J525="MICS"),1,0)</f>
        <v>1</v>
      </c>
    </row>
    <row r="526" customFormat="false" ht="15" hidden="false" customHeight="false" outlineLevel="0" collapsed="false">
      <c r="A526" s="7" t="s">
        <v>348</v>
      </c>
      <c r="B526" s="7" t="s">
        <v>369</v>
      </c>
      <c r="C526" s="7" t="s">
        <v>370</v>
      </c>
      <c r="D526" s="7" t="n">
        <v>2012</v>
      </c>
      <c r="E526" s="7" t="s">
        <v>68</v>
      </c>
      <c r="F526" s="7" t="s">
        <v>63</v>
      </c>
      <c r="G526" s="7" t="s">
        <v>91</v>
      </c>
      <c r="H526" s="7" t="n">
        <v>84.5</v>
      </c>
      <c r="I526" s="7" t="str">
        <f aca="false">IF(B526="",TRIM(C526),TRIM(B526))</f>
        <v>Cameroon Multiple Indicator Cluster Survey 2014</v>
      </c>
      <c r="J526" s="7" t="str">
        <f aca="false">IF(ISNUMBER(SEARCH("Demographic and Health",I526)),"DHS",IF(OR(ISNUMBER(SEARCH("Multiple Indicator Cluster",I526)),ISNUMBER(SEARCH("MICS",I526))),"MICS","Other"))</f>
        <v>MICS</v>
      </c>
      <c r="K526" s="7" t="n">
        <f aca="false">IF(AND(F526="Record or Recall",G526="12-23 m"),1,0)</f>
        <v>0</v>
      </c>
      <c r="L526" s="7" t="n">
        <f aca="false">IF(OR(J526="DHS",J526="MICS"),1,0)</f>
        <v>1</v>
      </c>
    </row>
    <row r="527" customFormat="false" ht="15" hidden="false" customHeight="false" outlineLevel="0" collapsed="false">
      <c r="A527" s="7" t="s">
        <v>348</v>
      </c>
      <c r="B527" s="7" t="s">
        <v>369</v>
      </c>
      <c r="C527" s="7" t="s">
        <v>370</v>
      </c>
      <c r="D527" s="7" t="n">
        <v>2012</v>
      </c>
      <c r="E527" s="7" t="s">
        <v>69</v>
      </c>
      <c r="F527" s="7" t="s">
        <v>78</v>
      </c>
      <c r="G527" s="7" t="s">
        <v>91</v>
      </c>
      <c r="H527" s="7" t="n">
        <v>77.4</v>
      </c>
      <c r="I527" s="7" t="str">
        <f aca="false">IF(B527="",TRIM(C527),TRIM(B527))</f>
        <v>Cameroon Multiple Indicator Cluster Survey 2014</v>
      </c>
      <c r="J527" s="7" t="str">
        <f aca="false">IF(ISNUMBER(SEARCH("Demographic and Health",I527)),"DHS",IF(OR(ISNUMBER(SEARCH("Multiple Indicator Cluster",I527)),ISNUMBER(SEARCH("MICS",I527))),"MICS","Other"))</f>
        <v>MICS</v>
      </c>
      <c r="K527" s="7" t="n">
        <f aca="false">IF(AND(F527="Record or Recall",G527="12-23 m"),1,0)</f>
        <v>0</v>
      </c>
      <c r="L527" s="7" t="n">
        <f aca="false">IF(OR(J527="DHS",J527="MICS"),1,0)</f>
        <v>1</v>
      </c>
    </row>
    <row r="528" customFormat="false" ht="15" hidden="false" customHeight="false" outlineLevel="0" collapsed="false">
      <c r="A528" s="7" t="s">
        <v>348</v>
      </c>
      <c r="B528" s="7" t="s">
        <v>369</v>
      </c>
      <c r="C528" s="7" t="s">
        <v>370</v>
      </c>
      <c r="D528" s="7" t="n">
        <v>2012</v>
      </c>
      <c r="E528" s="7" t="s">
        <v>69</v>
      </c>
      <c r="F528" s="7" t="s">
        <v>86</v>
      </c>
      <c r="G528" s="7" t="s">
        <v>91</v>
      </c>
      <c r="H528" s="7" t="n">
        <v>53.8</v>
      </c>
      <c r="I528" s="7" t="str">
        <f aca="false">IF(B528="",TRIM(C528),TRIM(B528))</f>
        <v>Cameroon Multiple Indicator Cluster Survey 2014</v>
      </c>
      <c r="J528" s="7" t="str">
        <f aca="false">IF(ISNUMBER(SEARCH("Demographic and Health",I528)),"DHS",IF(OR(ISNUMBER(SEARCH("Multiple Indicator Cluster",I528)),ISNUMBER(SEARCH("MICS",I528))),"MICS","Other"))</f>
        <v>MICS</v>
      </c>
      <c r="K528" s="7" t="n">
        <f aca="false">IF(AND(F528="Record or Recall",G528="12-23 m"),1,0)</f>
        <v>0</v>
      </c>
      <c r="L528" s="7" t="n">
        <f aca="false">IF(OR(J528="DHS",J528="MICS"),1,0)</f>
        <v>1</v>
      </c>
    </row>
    <row r="529" customFormat="false" ht="15" hidden="false" customHeight="false" outlineLevel="0" collapsed="false">
      <c r="A529" s="7" t="s">
        <v>348</v>
      </c>
      <c r="B529" s="7" t="s">
        <v>369</v>
      </c>
      <c r="C529" s="7" t="s">
        <v>370</v>
      </c>
      <c r="D529" s="7" t="n">
        <v>2012</v>
      </c>
      <c r="E529" s="7" t="s">
        <v>69</v>
      </c>
      <c r="F529" s="7" t="s">
        <v>63</v>
      </c>
      <c r="G529" s="7" t="s">
        <v>91</v>
      </c>
      <c r="H529" s="7" t="n">
        <v>81.6</v>
      </c>
      <c r="I529" s="7" t="str">
        <f aca="false">IF(B529="",TRIM(C529),TRIM(B529))</f>
        <v>Cameroon Multiple Indicator Cluster Survey 2014</v>
      </c>
      <c r="J529" s="7" t="str">
        <f aca="false">IF(ISNUMBER(SEARCH("Demographic and Health",I529)),"DHS",IF(OR(ISNUMBER(SEARCH("Multiple Indicator Cluster",I529)),ISNUMBER(SEARCH("MICS",I529))),"MICS","Other"))</f>
        <v>MICS</v>
      </c>
      <c r="K529" s="7" t="n">
        <f aca="false">IF(AND(F529="Record or Recall",G529="12-23 m"),1,0)</f>
        <v>0</v>
      </c>
      <c r="L529" s="7" t="n">
        <f aca="false">IF(OR(J529="DHS",J529="MICS"),1,0)</f>
        <v>1</v>
      </c>
    </row>
    <row r="530" customFormat="false" ht="15" hidden="false" customHeight="false" outlineLevel="0" collapsed="false">
      <c r="A530" s="7" t="s">
        <v>348</v>
      </c>
      <c r="B530" s="7" t="s">
        <v>369</v>
      </c>
      <c r="C530" s="7" t="s">
        <v>370</v>
      </c>
      <c r="D530" s="7" t="n">
        <v>2013</v>
      </c>
      <c r="E530" s="7" t="s">
        <v>62</v>
      </c>
      <c r="F530" s="7" t="s">
        <v>78</v>
      </c>
      <c r="G530" s="7" t="s">
        <v>66</v>
      </c>
      <c r="H530" s="7" t="n">
        <v>91.2</v>
      </c>
      <c r="I530" s="7" t="str">
        <f aca="false">IF(B530="",TRIM(C530),TRIM(B530))</f>
        <v>Cameroon Multiple Indicator Cluster Survey 2014</v>
      </c>
      <c r="J530" s="7" t="str">
        <f aca="false">IF(ISNUMBER(SEARCH("Demographic and Health",I530)),"DHS",IF(OR(ISNUMBER(SEARCH("Multiple Indicator Cluster",I530)),ISNUMBER(SEARCH("MICS",I530))),"MICS","Other"))</f>
        <v>MICS</v>
      </c>
      <c r="K530" s="7" t="n">
        <f aca="false">IF(AND(F530="Record or Recall",G530="12-23 m"),1,0)</f>
        <v>0</v>
      </c>
      <c r="L530" s="7" t="n">
        <f aca="false">IF(OR(J530="DHS",J530="MICS"),1,0)</f>
        <v>1</v>
      </c>
    </row>
    <row r="531" customFormat="false" ht="15" hidden="false" customHeight="false" outlineLevel="0" collapsed="false">
      <c r="A531" s="7" t="s">
        <v>348</v>
      </c>
      <c r="B531" s="7" t="s">
        <v>369</v>
      </c>
      <c r="C531" s="7" t="s">
        <v>370</v>
      </c>
      <c r="D531" s="7" t="n">
        <v>2013</v>
      </c>
      <c r="E531" s="7" t="s">
        <v>62</v>
      </c>
      <c r="F531" s="7" t="s">
        <v>86</v>
      </c>
      <c r="G531" s="7" t="s">
        <v>66</v>
      </c>
      <c r="H531" s="7" t="n">
        <v>66</v>
      </c>
      <c r="I531" s="7" t="str">
        <f aca="false">IF(B531="",TRIM(C531),TRIM(B531))</f>
        <v>Cameroon Multiple Indicator Cluster Survey 2014</v>
      </c>
      <c r="J531" s="7" t="str">
        <f aca="false">IF(ISNUMBER(SEARCH("Demographic and Health",I531)),"DHS",IF(OR(ISNUMBER(SEARCH("Multiple Indicator Cluster",I531)),ISNUMBER(SEARCH("MICS",I531))),"MICS","Other"))</f>
        <v>MICS</v>
      </c>
      <c r="K531" s="7" t="n">
        <f aca="false">IF(AND(F531="Record or Recall",G531="12-23 m"),1,0)</f>
        <v>0</v>
      </c>
      <c r="L531" s="7" t="n">
        <f aca="false">IF(OR(J531="DHS",J531="MICS"),1,0)</f>
        <v>1</v>
      </c>
    </row>
    <row r="532" customFormat="false" ht="15" hidden="false" customHeight="false" outlineLevel="0" collapsed="false">
      <c r="A532" s="7" t="s">
        <v>348</v>
      </c>
      <c r="B532" s="7" t="s">
        <v>369</v>
      </c>
      <c r="C532" s="7" t="s">
        <v>370</v>
      </c>
      <c r="D532" s="7" t="n">
        <v>2013</v>
      </c>
      <c r="E532" s="7" t="s">
        <v>62</v>
      </c>
      <c r="F532" s="7" t="s">
        <v>63</v>
      </c>
      <c r="G532" s="7" t="s">
        <v>66</v>
      </c>
      <c r="H532" s="7" t="n">
        <v>91.7</v>
      </c>
      <c r="I532" s="7" t="str">
        <f aca="false">IF(B532="",TRIM(C532),TRIM(B532))</f>
        <v>Cameroon Multiple Indicator Cluster Survey 2014</v>
      </c>
      <c r="J532" s="7" t="str">
        <f aca="false">IF(ISNUMBER(SEARCH("Demographic and Health",I532)),"DHS",IF(OR(ISNUMBER(SEARCH("Multiple Indicator Cluster",I532)),ISNUMBER(SEARCH("MICS",I532))),"MICS","Other"))</f>
        <v>MICS</v>
      </c>
      <c r="K532" s="7" t="n">
        <f aca="false">IF(AND(F532="Record or Recall",G532="12-23 m"),1,0)</f>
        <v>1</v>
      </c>
      <c r="L532" s="7" t="n">
        <f aca="false">IF(OR(J532="DHS",J532="MICS"),1,0)</f>
        <v>1</v>
      </c>
    </row>
    <row r="533" customFormat="false" ht="15" hidden="false" customHeight="false" outlineLevel="0" collapsed="false">
      <c r="A533" s="7" t="s">
        <v>348</v>
      </c>
      <c r="B533" s="7" t="s">
        <v>369</v>
      </c>
      <c r="C533" s="7" t="s">
        <v>370</v>
      </c>
      <c r="D533" s="7" t="n">
        <v>2013</v>
      </c>
      <c r="E533" s="7" t="s">
        <v>81</v>
      </c>
      <c r="F533" s="7" t="s">
        <v>78</v>
      </c>
      <c r="G533" s="7" t="s">
        <v>66</v>
      </c>
      <c r="H533" s="7" t="n">
        <v>88.3</v>
      </c>
      <c r="I533" s="7" t="str">
        <f aca="false">IF(B533="",TRIM(C533),TRIM(B533))</f>
        <v>Cameroon Multiple Indicator Cluster Survey 2014</v>
      </c>
      <c r="J533" s="7" t="str">
        <f aca="false">IF(ISNUMBER(SEARCH("Demographic and Health",I533)),"DHS",IF(OR(ISNUMBER(SEARCH("Multiple Indicator Cluster",I533)),ISNUMBER(SEARCH("MICS",I533))),"MICS","Other"))</f>
        <v>MICS</v>
      </c>
      <c r="K533" s="7" t="n">
        <f aca="false">IF(AND(F533="Record or Recall",G533="12-23 m"),1,0)</f>
        <v>0</v>
      </c>
      <c r="L533" s="7" t="n">
        <f aca="false">IF(OR(J533="DHS",J533="MICS"),1,0)</f>
        <v>1</v>
      </c>
    </row>
    <row r="534" customFormat="false" ht="15" hidden="false" customHeight="false" outlineLevel="0" collapsed="false">
      <c r="A534" s="7" t="s">
        <v>348</v>
      </c>
      <c r="B534" s="7" t="s">
        <v>369</v>
      </c>
      <c r="C534" s="7" t="s">
        <v>370</v>
      </c>
      <c r="D534" s="7" t="n">
        <v>2013</v>
      </c>
      <c r="E534" s="7" t="s">
        <v>81</v>
      </c>
      <c r="F534" s="7" t="s">
        <v>86</v>
      </c>
      <c r="G534" s="7" t="s">
        <v>66</v>
      </c>
      <c r="H534" s="7" t="n">
        <v>66.8</v>
      </c>
      <c r="I534" s="7" t="str">
        <f aca="false">IF(B534="",TRIM(C534),TRIM(B534))</f>
        <v>Cameroon Multiple Indicator Cluster Survey 2014</v>
      </c>
      <c r="J534" s="7" t="str">
        <f aca="false">IF(ISNUMBER(SEARCH("Demographic and Health",I534)),"DHS",IF(OR(ISNUMBER(SEARCH("Multiple Indicator Cluster",I534)),ISNUMBER(SEARCH("MICS",I534))),"MICS","Other"))</f>
        <v>MICS</v>
      </c>
      <c r="K534" s="7" t="n">
        <f aca="false">IF(AND(F534="Record or Recall",G534="12-23 m"),1,0)</f>
        <v>0</v>
      </c>
      <c r="L534" s="7" t="n">
        <f aca="false">IF(OR(J534="DHS",J534="MICS"),1,0)</f>
        <v>1</v>
      </c>
    </row>
    <row r="535" customFormat="false" ht="15" hidden="false" customHeight="false" outlineLevel="0" collapsed="false">
      <c r="A535" s="7" t="s">
        <v>348</v>
      </c>
      <c r="B535" s="7" t="s">
        <v>369</v>
      </c>
      <c r="C535" s="7" t="s">
        <v>370</v>
      </c>
      <c r="D535" s="7" t="n">
        <v>2013</v>
      </c>
      <c r="E535" s="7" t="s">
        <v>81</v>
      </c>
      <c r="F535" s="7" t="s">
        <v>63</v>
      </c>
      <c r="G535" s="7" t="s">
        <v>66</v>
      </c>
      <c r="H535" s="7" t="n">
        <v>89.3</v>
      </c>
      <c r="I535" s="7" t="str">
        <f aca="false">IF(B535="",TRIM(C535),TRIM(B535))</f>
        <v>Cameroon Multiple Indicator Cluster Survey 2014</v>
      </c>
      <c r="J535" s="7" t="str">
        <f aca="false">IF(ISNUMBER(SEARCH("Demographic and Health",I535)),"DHS",IF(OR(ISNUMBER(SEARCH("Multiple Indicator Cluster",I535)),ISNUMBER(SEARCH("MICS",I535))),"MICS","Other"))</f>
        <v>MICS</v>
      </c>
      <c r="K535" s="7" t="n">
        <f aca="false">IF(AND(F535="Record or Recall",G535="12-23 m"),1,0)</f>
        <v>1</v>
      </c>
      <c r="L535" s="7" t="n">
        <f aca="false">IF(OR(J535="DHS",J535="MICS"),1,0)</f>
        <v>1</v>
      </c>
    </row>
    <row r="536" customFormat="false" ht="15" hidden="false" customHeight="false" outlineLevel="0" collapsed="false">
      <c r="A536" s="7" t="s">
        <v>348</v>
      </c>
      <c r="B536" s="7" t="s">
        <v>369</v>
      </c>
      <c r="C536" s="7" t="s">
        <v>370</v>
      </c>
      <c r="D536" s="7" t="n">
        <v>2013</v>
      </c>
      <c r="E536" s="7" t="s">
        <v>67</v>
      </c>
      <c r="F536" s="7" t="s">
        <v>78</v>
      </c>
      <c r="G536" s="7" t="s">
        <v>66</v>
      </c>
      <c r="H536" s="7" t="n">
        <v>79.6</v>
      </c>
      <c r="I536" s="7" t="str">
        <f aca="false">IF(B536="",TRIM(C536),TRIM(B536))</f>
        <v>Cameroon Multiple Indicator Cluster Survey 2014</v>
      </c>
      <c r="J536" s="7" t="str">
        <f aca="false">IF(ISNUMBER(SEARCH("Demographic and Health",I536)),"DHS",IF(OR(ISNUMBER(SEARCH("Multiple Indicator Cluster",I536)),ISNUMBER(SEARCH("MICS",I536))),"MICS","Other"))</f>
        <v>MICS</v>
      </c>
      <c r="K536" s="7" t="n">
        <f aca="false">IF(AND(F536="Record or Recall",G536="12-23 m"),1,0)</f>
        <v>0</v>
      </c>
      <c r="L536" s="7" t="n">
        <f aca="false">IF(OR(J536="DHS",J536="MICS"),1,0)</f>
        <v>1</v>
      </c>
    </row>
    <row r="537" customFormat="false" ht="15" hidden="false" customHeight="false" outlineLevel="0" collapsed="false">
      <c r="A537" s="7" t="s">
        <v>348</v>
      </c>
      <c r="B537" s="7" t="s">
        <v>369</v>
      </c>
      <c r="C537" s="7" t="s">
        <v>370</v>
      </c>
      <c r="D537" s="7" t="n">
        <v>2013</v>
      </c>
      <c r="E537" s="7" t="s">
        <v>67</v>
      </c>
      <c r="F537" s="7" t="s">
        <v>86</v>
      </c>
      <c r="G537" s="7" t="s">
        <v>66</v>
      </c>
      <c r="H537" s="7" t="n">
        <v>65.5</v>
      </c>
      <c r="I537" s="7" t="str">
        <f aca="false">IF(B537="",TRIM(C537),TRIM(B537))</f>
        <v>Cameroon Multiple Indicator Cluster Survey 2014</v>
      </c>
      <c r="J537" s="7" t="str">
        <f aca="false">IF(ISNUMBER(SEARCH("Demographic and Health",I537)),"DHS",IF(OR(ISNUMBER(SEARCH("Multiple Indicator Cluster",I537)),ISNUMBER(SEARCH("MICS",I537))),"MICS","Other"))</f>
        <v>MICS</v>
      </c>
      <c r="K537" s="7" t="n">
        <f aca="false">IF(AND(F537="Record or Recall",G537="12-23 m"),1,0)</f>
        <v>0</v>
      </c>
      <c r="L537" s="7" t="n">
        <f aca="false">IF(OR(J537="DHS",J537="MICS"),1,0)</f>
        <v>1</v>
      </c>
    </row>
    <row r="538" customFormat="false" ht="15" hidden="false" customHeight="false" outlineLevel="0" collapsed="false">
      <c r="A538" s="7" t="s">
        <v>348</v>
      </c>
      <c r="B538" s="7" t="s">
        <v>369</v>
      </c>
      <c r="C538" s="7" t="s">
        <v>370</v>
      </c>
      <c r="D538" s="7" t="n">
        <v>2013</v>
      </c>
      <c r="E538" s="7" t="s">
        <v>67</v>
      </c>
      <c r="F538" s="7" t="s">
        <v>63</v>
      </c>
      <c r="G538" s="7" t="s">
        <v>66</v>
      </c>
      <c r="H538" s="7" t="n">
        <v>81.7</v>
      </c>
      <c r="I538" s="7" t="str">
        <f aca="false">IF(B538="",TRIM(C538),TRIM(B538))</f>
        <v>Cameroon Multiple Indicator Cluster Survey 2014</v>
      </c>
      <c r="J538" s="7" t="str">
        <f aca="false">IF(ISNUMBER(SEARCH("Demographic and Health",I538)),"DHS",IF(OR(ISNUMBER(SEARCH("Multiple Indicator Cluster",I538)),ISNUMBER(SEARCH("MICS",I538))),"MICS","Other"))</f>
        <v>MICS</v>
      </c>
      <c r="K538" s="7" t="n">
        <f aca="false">IF(AND(F538="Record or Recall",G538="12-23 m"),1,0)</f>
        <v>1</v>
      </c>
      <c r="L538" s="7" t="n">
        <f aca="false">IF(OR(J538="DHS",J538="MICS"),1,0)</f>
        <v>1</v>
      </c>
    </row>
    <row r="539" customFormat="false" ht="15" hidden="false" customHeight="false" outlineLevel="0" collapsed="false">
      <c r="A539" s="7" t="s">
        <v>348</v>
      </c>
      <c r="B539" s="7" t="s">
        <v>369</v>
      </c>
      <c r="C539" s="7" t="s">
        <v>370</v>
      </c>
      <c r="D539" s="7" t="n">
        <v>2013</v>
      </c>
      <c r="E539" s="7" t="s">
        <v>82</v>
      </c>
      <c r="F539" s="7" t="s">
        <v>78</v>
      </c>
      <c r="G539" s="7" t="s">
        <v>66</v>
      </c>
      <c r="H539" s="7" t="n">
        <v>64.4</v>
      </c>
      <c r="I539" s="7" t="str">
        <f aca="false">IF(B539="",TRIM(C539),TRIM(B539))</f>
        <v>Cameroon Multiple Indicator Cluster Survey 2014</v>
      </c>
      <c r="J539" s="7" t="str">
        <f aca="false">IF(ISNUMBER(SEARCH("Demographic and Health",I539)),"DHS",IF(OR(ISNUMBER(SEARCH("Multiple Indicator Cluster",I539)),ISNUMBER(SEARCH("MICS",I539))),"MICS","Other"))</f>
        <v>MICS</v>
      </c>
      <c r="K539" s="7" t="n">
        <f aca="false">IF(AND(F539="Record or Recall",G539="12-23 m"),1,0)</f>
        <v>0</v>
      </c>
      <c r="L539" s="7" t="n">
        <f aca="false">IF(OR(J539="DHS",J539="MICS"),1,0)</f>
        <v>1</v>
      </c>
    </row>
    <row r="540" customFormat="false" ht="15" hidden="false" customHeight="false" outlineLevel="0" collapsed="false">
      <c r="A540" s="7" t="s">
        <v>348</v>
      </c>
      <c r="B540" s="7" t="s">
        <v>369</v>
      </c>
      <c r="C540" s="7" t="s">
        <v>370</v>
      </c>
      <c r="D540" s="7" t="n">
        <v>2013</v>
      </c>
      <c r="E540" s="7" t="s">
        <v>82</v>
      </c>
      <c r="F540" s="7" t="s">
        <v>86</v>
      </c>
      <c r="G540" s="7" t="s">
        <v>66</v>
      </c>
      <c r="H540" s="7" t="n">
        <v>67.1</v>
      </c>
      <c r="I540" s="7" t="str">
        <f aca="false">IF(B540="",TRIM(C540),TRIM(B540))</f>
        <v>Cameroon Multiple Indicator Cluster Survey 2014</v>
      </c>
      <c r="J540" s="7" t="str">
        <f aca="false">IF(ISNUMBER(SEARCH("Demographic and Health",I540)),"DHS",IF(OR(ISNUMBER(SEARCH("Multiple Indicator Cluster",I540)),ISNUMBER(SEARCH("MICS",I540))),"MICS","Other"))</f>
        <v>MICS</v>
      </c>
      <c r="K540" s="7" t="n">
        <f aca="false">IF(AND(F540="Record or Recall",G540="12-23 m"),1,0)</f>
        <v>0</v>
      </c>
      <c r="L540" s="7" t="n">
        <f aca="false">IF(OR(J540="DHS",J540="MICS"),1,0)</f>
        <v>1</v>
      </c>
    </row>
    <row r="541" customFormat="false" ht="15" hidden="false" customHeight="false" outlineLevel="0" collapsed="false">
      <c r="A541" s="7" t="s">
        <v>348</v>
      </c>
      <c r="B541" s="7" t="s">
        <v>369</v>
      </c>
      <c r="C541" s="7" t="s">
        <v>370</v>
      </c>
      <c r="D541" s="7" t="n">
        <v>2013</v>
      </c>
      <c r="E541" s="7" t="s">
        <v>82</v>
      </c>
      <c r="F541" s="7" t="s">
        <v>63</v>
      </c>
      <c r="G541" s="7" t="s">
        <v>66</v>
      </c>
      <c r="H541" s="7" t="n">
        <v>75.3</v>
      </c>
      <c r="I541" s="7" t="str">
        <f aca="false">IF(B541="",TRIM(C541),TRIM(B541))</f>
        <v>Cameroon Multiple Indicator Cluster Survey 2014</v>
      </c>
      <c r="J541" s="7" t="str">
        <f aca="false">IF(ISNUMBER(SEARCH("Demographic and Health",I541)),"DHS",IF(OR(ISNUMBER(SEARCH("Multiple Indicator Cluster",I541)),ISNUMBER(SEARCH("MICS",I541))),"MICS","Other"))</f>
        <v>MICS</v>
      </c>
      <c r="K541" s="7" t="n">
        <f aca="false">IF(AND(F541="Record or Recall",G541="12-23 m"),1,0)</f>
        <v>1</v>
      </c>
      <c r="L541" s="7" t="n">
        <f aca="false">IF(OR(J541="DHS",J541="MICS"),1,0)</f>
        <v>1</v>
      </c>
    </row>
    <row r="542" customFormat="false" ht="15" hidden="false" customHeight="false" outlineLevel="0" collapsed="false">
      <c r="A542" s="7" t="s">
        <v>348</v>
      </c>
      <c r="B542" s="7" t="s">
        <v>369</v>
      </c>
      <c r="C542" s="7" t="s">
        <v>370</v>
      </c>
      <c r="D542" s="7" t="n">
        <v>2013</v>
      </c>
      <c r="E542" s="7" t="s">
        <v>68</v>
      </c>
      <c r="F542" s="7" t="s">
        <v>78</v>
      </c>
      <c r="G542" s="7" t="s">
        <v>66</v>
      </c>
      <c r="H542" s="7" t="n">
        <v>79.9</v>
      </c>
      <c r="I542" s="7" t="str">
        <f aca="false">IF(B542="",TRIM(C542),TRIM(B542))</f>
        <v>Cameroon Multiple Indicator Cluster Survey 2014</v>
      </c>
      <c r="J542" s="7" t="str">
        <f aca="false">IF(ISNUMBER(SEARCH("Demographic and Health",I542)),"DHS",IF(OR(ISNUMBER(SEARCH("Multiple Indicator Cluster",I542)),ISNUMBER(SEARCH("MICS",I542))),"MICS","Other"))</f>
        <v>MICS</v>
      </c>
      <c r="K542" s="7" t="n">
        <f aca="false">IF(AND(F542="Record or Recall",G542="12-23 m"),1,0)</f>
        <v>0</v>
      </c>
      <c r="L542" s="7" t="n">
        <f aca="false">IF(OR(J542="DHS",J542="MICS"),1,0)</f>
        <v>1</v>
      </c>
    </row>
    <row r="543" customFormat="false" ht="15" hidden="false" customHeight="false" outlineLevel="0" collapsed="false">
      <c r="A543" s="7" t="s">
        <v>348</v>
      </c>
      <c r="B543" s="7" t="s">
        <v>369</v>
      </c>
      <c r="C543" s="7" t="s">
        <v>370</v>
      </c>
      <c r="D543" s="7" t="n">
        <v>2013</v>
      </c>
      <c r="E543" s="7" t="s">
        <v>68</v>
      </c>
      <c r="F543" s="7" t="s">
        <v>86</v>
      </c>
      <c r="G543" s="7" t="s">
        <v>66</v>
      </c>
      <c r="H543" s="7" t="n">
        <v>63.4</v>
      </c>
      <c r="I543" s="7" t="str">
        <f aca="false">IF(B543="",TRIM(C543),TRIM(B543))</f>
        <v>Cameroon Multiple Indicator Cluster Survey 2014</v>
      </c>
      <c r="J543" s="7" t="str">
        <f aca="false">IF(ISNUMBER(SEARCH("Demographic and Health",I543)),"DHS",IF(OR(ISNUMBER(SEARCH("Multiple Indicator Cluster",I543)),ISNUMBER(SEARCH("MICS",I543))),"MICS","Other"))</f>
        <v>MICS</v>
      </c>
      <c r="K543" s="7" t="n">
        <f aca="false">IF(AND(F543="Record or Recall",G543="12-23 m"),1,0)</f>
        <v>0</v>
      </c>
      <c r="L543" s="7" t="n">
        <f aca="false">IF(OR(J543="DHS",J543="MICS"),1,0)</f>
        <v>1</v>
      </c>
    </row>
    <row r="544" customFormat="false" ht="15" hidden="false" customHeight="false" outlineLevel="0" collapsed="false">
      <c r="A544" s="7" t="s">
        <v>348</v>
      </c>
      <c r="B544" s="7" t="s">
        <v>369</v>
      </c>
      <c r="C544" s="7" t="s">
        <v>370</v>
      </c>
      <c r="D544" s="7" t="n">
        <v>2013</v>
      </c>
      <c r="E544" s="7" t="s">
        <v>68</v>
      </c>
      <c r="F544" s="7" t="s">
        <v>63</v>
      </c>
      <c r="G544" s="7" t="s">
        <v>66</v>
      </c>
      <c r="H544" s="7" t="n">
        <v>85.8</v>
      </c>
      <c r="I544" s="7" t="str">
        <f aca="false">IF(B544="",TRIM(C544),TRIM(B544))</f>
        <v>Cameroon Multiple Indicator Cluster Survey 2014</v>
      </c>
      <c r="J544" s="7" t="str">
        <f aca="false">IF(ISNUMBER(SEARCH("Demographic and Health",I544)),"DHS",IF(OR(ISNUMBER(SEARCH("Multiple Indicator Cluster",I544)),ISNUMBER(SEARCH("MICS",I544))),"MICS","Other"))</f>
        <v>MICS</v>
      </c>
      <c r="K544" s="7" t="n">
        <f aca="false">IF(AND(F544="Record or Recall",G544="12-23 m"),1,0)</f>
        <v>1</v>
      </c>
      <c r="L544" s="7" t="n">
        <f aca="false">IF(OR(J544="DHS",J544="MICS"),1,0)</f>
        <v>1</v>
      </c>
    </row>
    <row r="545" customFormat="false" ht="15" hidden="false" customHeight="false" outlineLevel="0" collapsed="false">
      <c r="A545" s="7" t="s">
        <v>348</v>
      </c>
      <c r="B545" s="7" t="s">
        <v>369</v>
      </c>
      <c r="C545" s="7" t="s">
        <v>370</v>
      </c>
      <c r="D545" s="7" t="n">
        <v>2013</v>
      </c>
      <c r="E545" s="7" t="s">
        <v>69</v>
      </c>
      <c r="F545" s="7" t="s">
        <v>78</v>
      </c>
      <c r="G545" s="7" t="s">
        <v>66</v>
      </c>
      <c r="H545" s="7" t="n">
        <v>84.5</v>
      </c>
      <c r="I545" s="7" t="str">
        <f aca="false">IF(B545="",TRIM(C545),TRIM(B545))</f>
        <v>Cameroon Multiple Indicator Cluster Survey 2014</v>
      </c>
      <c r="J545" s="7" t="str">
        <f aca="false">IF(ISNUMBER(SEARCH("Demographic and Health",I545)),"DHS",IF(OR(ISNUMBER(SEARCH("Multiple Indicator Cluster",I545)),ISNUMBER(SEARCH("MICS",I545))),"MICS","Other"))</f>
        <v>MICS</v>
      </c>
      <c r="K545" s="7" t="n">
        <f aca="false">IF(AND(F545="Record or Recall",G545="12-23 m"),1,0)</f>
        <v>0</v>
      </c>
      <c r="L545" s="7" t="n">
        <f aca="false">IF(OR(J545="DHS",J545="MICS"),1,0)</f>
        <v>1</v>
      </c>
    </row>
    <row r="546" customFormat="false" ht="15" hidden="false" customHeight="false" outlineLevel="0" collapsed="false">
      <c r="A546" s="7" t="s">
        <v>348</v>
      </c>
      <c r="B546" s="7" t="s">
        <v>369</v>
      </c>
      <c r="C546" s="7" t="s">
        <v>370</v>
      </c>
      <c r="D546" s="7" t="n">
        <v>2013</v>
      </c>
      <c r="E546" s="7" t="s">
        <v>69</v>
      </c>
      <c r="F546" s="7" t="s">
        <v>86</v>
      </c>
      <c r="G546" s="7" t="s">
        <v>66</v>
      </c>
      <c r="H546" s="7" t="n">
        <v>64.7</v>
      </c>
      <c r="I546" s="7" t="str">
        <f aca="false">IF(B546="",TRIM(C546),TRIM(B546))</f>
        <v>Cameroon Multiple Indicator Cluster Survey 2014</v>
      </c>
      <c r="J546" s="7" t="str">
        <f aca="false">IF(ISNUMBER(SEARCH("Demographic and Health",I546)),"DHS",IF(OR(ISNUMBER(SEARCH("Multiple Indicator Cluster",I546)),ISNUMBER(SEARCH("MICS",I546))),"MICS","Other"))</f>
        <v>MICS</v>
      </c>
      <c r="K546" s="7" t="n">
        <f aca="false">IF(AND(F546="Record or Recall",G546="12-23 m"),1,0)</f>
        <v>0</v>
      </c>
      <c r="L546" s="7" t="n">
        <f aca="false">IF(OR(J546="DHS",J546="MICS"),1,0)</f>
        <v>1</v>
      </c>
    </row>
    <row r="547" customFormat="false" ht="15" hidden="false" customHeight="false" outlineLevel="0" collapsed="false">
      <c r="A547" s="7" t="s">
        <v>348</v>
      </c>
      <c r="B547" s="7" t="s">
        <v>369</v>
      </c>
      <c r="C547" s="7" t="s">
        <v>370</v>
      </c>
      <c r="D547" s="7" t="n">
        <v>2013</v>
      </c>
      <c r="E547" s="7" t="s">
        <v>69</v>
      </c>
      <c r="F547" s="7" t="s">
        <v>63</v>
      </c>
      <c r="G547" s="7" t="s">
        <v>66</v>
      </c>
      <c r="H547" s="7" t="n">
        <v>86.7</v>
      </c>
      <c r="I547" s="7" t="str">
        <f aca="false">IF(B547="",TRIM(C547),TRIM(B547))</f>
        <v>Cameroon Multiple Indicator Cluster Survey 2014</v>
      </c>
      <c r="J547" s="7" t="str">
        <f aca="false">IF(ISNUMBER(SEARCH("Demographic and Health",I547)),"DHS",IF(OR(ISNUMBER(SEARCH("Multiple Indicator Cluster",I547)),ISNUMBER(SEARCH("MICS",I547))),"MICS","Other"))</f>
        <v>MICS</v>
      </c>
      <c r="K547" s="7" t="n">
        <f aca="false">IF(AND(F547="Record or Recall",G547="12-23 m"),1,0)</f>
        <v>1</v>
      </c>
      <c r="L547" s="7" t="n">
        <f aca="false">IF(OR(J547="DHS",J547="MICS"),1,0)</f>
        <v>1</v>
      </c>
    </row>
    <row r="548" customFormat="false" ht="15" hidden="false" customHeight="false" outlineLevel="0" collapsed="false">
      <c r="A548" s="7" t="s">
        <v>348</v>
      </c>
      <c r="B548" s="7" t="s">
        <v>371</v>
      </c>
      <c r="C548" s="7" t="s">
        <v>372</v>
      </c>
      <c r="D548" s="7" t="n">
        <v>2016</v>
      </c>
      <c r="E548" s="7" t="s">
        <v>62</v>
      </c>
      <c r="F548" s="7" t="s">
        <v>78</v>
      </c>
      <c r="G548" s="7" t="s">
        <v>91</v>
      </c>
      <c r="H548" s="7" t="n">
        <v>82.1</v>
      </c>
      <c r="I548" s="7" t="str">
        <f aca="false">IF(B548="",TRIM(C548),TRIM(B548))</f>
        <v>Cameroon Demographic and Health Survey 2018</v>
      </c>
      <c r="J548" s="7" t="str">
        <f aca="false">IF(ISNUMBER(SEARCH("Demographic and Health",I548)),"DHS",IF(OR(ISNUMBER(SEARCH("Multiple Indicator Cluster",I548)),ISNUMBER(SEARCH("MICS",I548))),"MICS","Other"))</f>
        <v>DHS</v>
      </c>
      <c r="K548" s="7" t="n">
        <f aca="false">IF(AND(F548="Record or Recall",G548="12-23 m"),1,0)</f>
        <v>0</v>
      </c>
      <c r="L548" s="7" t="n">
        <f aca="false">IF(OR(J548="DHS",J548="MICS"),1,0)</f>
        <v>1</v>
      </c>
    </row>
    <row r="549" customFormat="false" ht="15" hidden="false" customHeight="false" outlineLevel="0" collapsed="false">
      <c r="A549" s="7" t="s">
        <v>348</v>
      </c>
      <c r="B549" s="7" t="s">
        <v>371</v>
      </c>
      <c r="C549" s="7" t="s">
        <v>372</v>
      </c>
      <c r="D549" s="7" t="n">
        <v>2016</v>
      </c>
      <c r="E549" s="7" t="s">
        <v>62</v>
      </c>
      <c r="F549" s="7" t="s">
        <v>86</v>
      </c>
      <c r="G549" s="7" t="s">
        <v>91</v>
      </c>
      <c r="H549" s="7" t="n">
        <v>54.4</v>
      </c>
      <c r="I549" s="7" t="str">
        <f aca="false">IF(B549="",TRIM(C549),TRIM(B549))</f>
        <v>Cameroon Demographic and Health Survey 2018</v>
      </c>
      <c r="J549" s="7" t="str">
        <f aca="false">IF(ISNUMBER(SEARCH("Demographic and Health",I549)),"DHS",IF(OR(ISNUMBER(SEARCH("Multiple Indicator Cluster",I549)),ISNUMBER(SEARCH("MICS",I549))),"MICS","Other"))</f>
        <v>DHS</v>
      </c>
      <c r="K549" s="7" t="n">
        <f aca="false">IF(AND(F549="Record or Recall",G549="12-23 m"),1,0)</f>
        <v>0</v>
      </c>
      <c r="L549" s="7" t="n">
        <f aca="false">IF(OR(J549="DHS",J549="MICS"),1,0)</f>
        <v>1</v>
      </c>
    </row>
    <row r="550" customFormat="false" ht="15" hidden="false" customHeight="false" outlineLevel="0" collapsed="false">
      <c r="A550" s="7" t="s">
        <v>348</v>
      </c>
      <c r="B550" s="7" t="s">
        <v>371</v>
      </c>
      <c r="C550" s="7" t="s">
        <v>372</v>
      </c>
      <c r="D550" s="7" t="n">
        <v>2016</v>
      </c>
      <c r="E550" s="7" t="s">
        <v>62</v>
      </c>
      <c r="F550" s="7" t="s">
        <v>63</v>
      </c>
      <c r="G550" s="7" t="s">
        <v>91</v>
      </c>
      <c r="H550" s="7" t="n">
        <v>84.1</v>
      </c>
      <c r="I550" s="7" t="str">
        <f aca="false">IF(B550="",TRIM(C550),TRIM(B550))</f>
        <v>Cameroon Demographic and Health Survey 2018</v>
      </c>
      <c r="J550" s="7" t="str">
        <f aca="false">IF(ISNUMBER(SEARCH("Demographic and Health",I550)),"DHS",IF(OR(ISNUMBER(SEARCH("Multiple Indicator Cluster",I550)),ISNUMBER(SEARCH("MICS",I550))),"MICS","Other"))</f>
        <v>DHS</v>
      </c>
      <c r="K550" s="7" t="n">
        <f aca="false">IF(AND(F550="Record or Recall",G550="12-23 m"),1,0)</f>
        <v>0</v>
      </c>
      <c r="L550" s="7" t="n">
        <f aca="false">IF(OR(J550="DHS",J550="MICS"),1,0)</f>
        <v>1</v>
      </c>
    </row>
    <row r="551" customFormat="false" ht="15" hidden="false" customHeight="false" outlineLevel="0" collapsed="false">
      <c r="A551" s="7" t="s">
        <v>348</v>
      </c>
      <c r="B551" s="7" t="s">
        <v>371</v>
      </c>
      <c r="C551" s="7" t="s">
        <v>372</v>
      </c>
      <c r="D551" s="7" t="n">
        <v>2016</v>
      </c>
      <c r="E551" s="7" t="s">
        <v>62</v>
      </c>
      <c r="F551" s="7" t="s">
        <v>87</v>
      </c>
      <c r="G551" s="7" t="s">
        <v>91</v>
      </c>
      <c r="H551" s="7" t="n">
        <v>29.7</v>
      </c>
      <c r="I551" s="7" t="str">
        <f aca="false">IF(B551="",TRIM(C551),TRIM(B551))</f>
        <v>Cameroon Demographic and Health Survey 2018</v>
      </c>
      <c r="J551" s="7" t="str">
        <f aca="false">IF(ISNUMBER(SEARCH("Demographic and Health",I551)),"DHS",IF(OR(ISNUMBER(SEARCH("Multiple Indicator Cluster",I551)),ISNUMBER(SEARCH("MICS",I551))),"MICS","Other"))</f>
        <v>DHS</v>
      </c>
      <c r="K551" s="7" t="n">
        <f aca="false">IF(AND(F551="Record or Recall",G551="12-23 m"),1,0)</f>
        <v>0</v>
      </c>
      <c r="L551" s="7" t="n">
        <f aca="false">IF(OR(J551="DHS",J551="MICS"),1,0)</f>
        <v>1</v>
      </c>
    </row>
    <row r="552" customFormat="false" ht="15" hidden="false" customHeight="false" outlineLevel="0" collapsed="false">
      <c r="A552" s="7" t="s">
        <v>348</v>
      </c>
      <c r="B552" s="7" t="s">
        <v>371</v>
      </c>
      <c r="C552" s="7" t="s">
        <v>372</v>
      </c>
      <c r="D552" s="7" t="n">
        <v>2016</v>
      </c>
      <c r="E552" s="7" t="s">
        <v>81</v>
      </c>
      <c r="F552" s="7" t="s">
        <v>78</v>
      </c>
      <c r="G552" s="7" t="s">
        <v>91</v>
      </c>
      <c r="H552" s="7" t="n">
        <v>80.5</v>
      </c>
      <c r="I552" s="7" t="str">
        <f aca="false">IF(B552="",TRIM(C552),TRIM(B552))</f>
        <v>Cameroon Demographic and Health Survey 2018</v>
      </c>
      <c r="J552" s="7" t="str">
        <f aca="false">IF(ISNUMBER(SEARCH("Demographic and Health",I552)),"DHS",IF(OR(ISNUMBER(SEARCH("Multiple Indicator Cluster",I552)),ISNUMBER(SEARCH("MICS",I552))),"MICS","Other"))</f>
        <v>DHS</v>
      </c>
      <c r="K552" s="7" t="n">
        <f aca="false">IF(AND(F552="Record or Recall",G552="12-23 m"),1,0)</f>
        <v>0</v>
      </c>
      <c r="L552" s="7" t="n">
        <f aca="false">IF(OR(J552="DHS",J552="MICS"),1,0)</f>
        <v>1</v>
      </c>
    </row>
    <row r="553" customFormat="false" ht="15" hidden="false" customHeight="false" outlineLevel="0" collapsed="false">
      <c r="A553" s="7" t="s">
        <v>348</v>
      </c>
      <c r="B553" s="7" t="s">
        <v>371</v>
      </c>
      <c r="C553" s="7" t="s">
        <v>372</v>
      </c>
      <c r="D553" s="7" t="n">
        <v>2016</v>
      </c>
      <c r="E553" s="7" t="s">
        <v>81</v>
      </c>
      <c r="F553" s="7" t="s">
        <v>86</v>
      </c>
      <c r="G553" s="7" t="s">
        <v>91</v>
      </c>
      <c r="H553" s="7" t="n">
        <v>54.9</v>
      </c>
      <c r="I553" s="7" t="str">
        <f aca="false">IF(B553="",TRIM(C553),TRIM(B553))</f>
        <v>Cameroon Demographic and Health Survey 2018</v>
      </c>
      <c r="J553" s="7" t="str">
        <f aca="false">IF(ISNUMBER(SEARCH("Demographic and Health",I553)),"DHS",IF(OR(ISNUMBER(SEARCH("Multiple Indicator Cluster",I553)),ISNUMBER(SEARCH("MICS",I553))),"MICS","Other"))</f>
        <v>DHS</v>
      </c>
      <c r="K553" s="7" t="n">
        <f aca="false">IF(AND(F553="Record or Recall",G553="12-23 m"),1,0)</f>
        <v>0</v>
      </c>
      <c r="L553" s="7" t="n">
        <f aca="false">IF(OR(J553="DHS",J553="MICS"),1,0)</f>
        <v>1</v>
      </c>
    </row>
    <row r="554" customFormat="false" ht="15" hidden="false" customHeight="false" outlineLevel="0" collapsed="false">
      <c r="A554" s="7" t="s">
        <v>348</v>
      </c>
      <c r="B554" s="7" t="s">
        <v>371</v>
      </c>
      <c r="C554" s="7" t="s">
        <v>372</v>
      </c>
      <c r="D554" s="7" t="n">
        <v>2016</v>
      </c>
      <c r="E554" s="7" t="s">
        <v>81</v>
      </c>
      <c r="F554" s="7" t="s">
        <v>63</v>
      </c>
      <c r="G554" s="7" t="s">
        <v>91</v>
      </c>
      <c r="H554" s="7" t="n">
        <v>82.6</v>
      </c>
      <c r="I554" s="7" t="str">
        <f aca="false">IF(B554="",TRIM(C554),TRIM(B554))</f>
        <v>Cameroon Demographic and Health Survey 2018</v>
      </c>
      <c r="J554" s="7" t="str">
        <f aca="false">IF(ISNUMBER(SEARCH("Demographic and Health",I554)),"DHS",IF(OR(ISNUMBER(SEARCH("Multiple Indicator Cluster",I554)),ISNUMBER(SEARCH("MICS",I554))),"MICS","Other"))</f>
        <v>DHS</v>
      </c>
      <c r="K554" s="7" t="n">
        <f aca="false">IF(AND(F554="Record or Recall",G554="12-23 m"),1,0)</f>
        <v>0</v>
      </c>
      <c r="L554" s="7" t="n">
        <f aca="false">IF(OR(J554="DHS",J554="MICS"),1,0)</f>
        <v>1</v>
      </c>
    </row>
    <row r="555" customFormat="false" ht="15" hidden="false" customHeight="false" outlineLevel="0" collapsed="false">
      <c r="A555" s="7" t="s">
        <v>348</v>
      </c>
      <c r="B555" s="7" t="s">
        <v>371</v>
      </c>
      <c r="C555" s="7" t="s">
        <v>372</v>
      </c>
      <c r="D555" s="7" t="n">
        <v>2016</v>
      </c>
      <c r="E555" s="7" t="s">
        <v>81</v>
      </c>
      <c r="F555" s="7" t="s">
        <v>87</v>
      </c>
      <c r="G555" s="7" t="s">
        <v>91</v>
      </c>
      <c r="H555" s="7" t="n">
        <v>27.7</v>
      </c>
      <c r="I555" s="7" t="str">
        <f aca="false">IF(B555="",TRIM(C555),TRIM(B555))</f>
        <v>Cameroon Demographic and Health Survey 2018</v>
      </c>
      <c r="J555" s="7" t="str">
        <f aca="false">IF(ISNUMBER(SEARCH("Demographic and Health",I555)),"DHS",IF(OR(ISNUMBER(SEARCH("Multiple Indicator Cluster",I555)),ISNUMBER(SEARCH("MICS",I555))),"MICS","Other"))</f>
        <v>DHS</v>
      </c>
      <c r="K555" s="7" t="n">
        <f aca="false">IF(AND(F555="Record or Recall",G555="12-23 m"),1,0)</f>
        <v>0</v>
      </c>
      <c r="L555" s="7" t="n">
        <f aca="false">IF(OR(J555="DHS",J555="MICS"),1,0)</f>
        <v>1</v>
      </c>
    </row>
    <row r="556" customFormat="false" ht="15" hidden="false" customHeight="false" outlineLevel="0" collapsed="false">
      <c r="A556" s="7" t="s">
        <v>348</v>
      </c>
      <c r="B556" s="7" t="s">
        <v>371</v>
      </c>
      <c r="C556" s="7" t="s">
        <v>372</v>
      </c>
      <c r="D556" s="7" t="n">
        <v>2016</v>
      </c>
      <c r="E556" s="7" t="s">
        <v>67</v>
      </c>
      <c r="F556" s="7" t="s">
        <v>78</v>
      </c>
      <c r="G556" s="7" t="s">
        <v>91</v>
      </c>
      <c r="H556" s="7" t="n">
        <v>68.3</v>
      </c>
      <c r="I556" s="7" t="str">
        <f aca="false">IF(B556="",TRIM(C556),TRIM(B556))</f>
        <v>Cameroon Demographic and Health Survey 2018</v>
      </c>
      <c r="J556" s="7" t="str">
        <f aca="false">IF(ISNUMBER(SEARCH("Demographic and Health",I556)),"DHS",IF(OR(ISNUMBER(SEARCH("Multiple Indicator Cluster",I556)),ISNUMBER(SEARCH("MICS",I556))),"MICS","Other"))</f>
        <v>DHS</v>
      </c>
      <c r="K556" s="7" t="n">
        <f aca="false">IF(AND(F556="Record or Recall",G556="12-23 m"),1,0)</f>
        <v>0</v>
      </c>
      <c r="L556" s="7" t="n">
        <f aca="false">IF(OR(J556="DHS",J556="MICS"),1,0)</f>
        <v>1</v>
      </c>
    </row>
    <row r="557" customFormat="false" ht="15" hidden="false" customHeight="false" outlineLevel="0" collapsed="false">
      <c r="A557" s="7" t="s">
        <v>348</v>
      </c>
      <c r="B557" s="7" t="s">
        <v>371</v>
      </c>
      <c r="C557" s="7" t="s">
        <v>372</v>
      </c>
      <c r="D557" s="7" t="n">
        <v>2016</v>
      </c>
      <c r="E557" s="7" t="s">
        <v>67</v>
      </c>
      <c r="F557" s="7" t="s">
        <v>86</v>
      </c>
      <c r="G557" s="7" t="s">
        <v>91</v>
      </c>
      <c r="H557" s="7" t="n">
        <v>50</v>
      </c>
      <c r="I557" s="7" t="str">
        <f aca="false">IF(B557="",TRIM(C557),TRIM(B557))</f>
        <v>Cameroon Demographic and Health Survey 2018</v>
      </c>
      <c r="J557" s="7" t="str">
        <f aca="false">IF(ISNUMBER(SEARCH("Demographic and Health",I557)),"DHS",IF(OR(ISNUMBER(SEARCH("Multiple Indicator Cluster",I557)),ISNUMBER(SEARCH("MICS",I557))),"MICS","Other"))</f>
        <v>DHS</v>
      </c>
      <c r="K557" s="7" t="n">
        <f aca="false">IF(AND(F557="Record or Recall",G557="12-23 m"),1,0)</f>
        <v>0</v>
      </c>
      <c r="L557" s="7" t="n">
        <f aca="false">IF(OR(J557="DHS",J557="MICS"),1,0)</f>
        <v>1</v>
      </c>
    </row>
    <row r="558" customFormat="false" ht="15" hidden="false" customHeight="false" outlineLevel="0" collapsed="false">
      <c r="A558" s="7" t="s">
        <v>348</v>
      </c>
      <c r="B558" s="7" t="s">
        <v>371</v>
      </c>
      <c r="C558" s="7" t="s">
        <v>372</v>
      </c>
      <c r="D558" s="7" t="n">
        <v>2016</v>
      </c>
      <c r="E558" s="7" t="s">
        <v>67</v>
      </c>
      <c r="F558" s="7" t="s">
        <v>63</v>
      </c>
      <c r="G558" s="7" t="s">
        <v>91</v>
      </c>
      <c r="H558" s="7" t="n">
        <v>70.8</v>
      </c>
      <c r="I558" s="7" t="str">
        <f aca="false">IF(B558="",TRIM(C558),TRIM(B558))</f>
        <v>Cameroon Demographic and Health Survey 2018</v>
      </c>
      <c r="J558" s="7" t="str">
        <f aca="false">IF(ISNUMBER(SEARCH("Demographic and Health",I558)),"DHS",IF(OR(ISNUMBER(SEARCH("Multiple Indicator Cluster",I558)),ISNUMBER(SEARCH("MICS",I558))),"MICS","Other"))</f>
        <v>DHS</v>
      </c>
      <c r="K558" s="7" t="n">
        <f aca="false">IF(AND(F558="Record or Recall",G558="12-23 m"),1,0)</f>
        <v>0</v>
      </c>
      <c r="L558" s="7" t="n">
        <f aca="false">IF(OR(J558="DHS",J558="MICS"),1,0)</f>
        <v>1</v>
      </c>
    </row>
    <row r="559" customFormat="false" ht="15" hidden="false" customHeight="false" outlineLevel="0" collapsed="false">
      <c r="A559" s="7" t="s">
        <v>348</v>
      </c>
      <c r="B559" s="7" t="s">
        <v>371</v>
      </c>
      <c r="C559" s="7" t="s">
        <v>372</v>
      </c>
      <c r="D559" s="7" t="n">
        <v>2016</v>
      </c>
      <c r="E559" s="7" t="s">
        <v>67</v>
      </c>
      <c r="F559" s="7" t="s">
        <v>87</v>
      </c>
      <c r="G559" s="7" t="s">
        <v>91</v>
      </c>
      <c r="H559" s="7" t="n">
        <v>20.9</v>
      </c>
      <c r="I559" s="7" t="str">
        <f aca="false">IF(B559="",TRIM(C559),TRIM(B559))</f>
        <v>Cameroon Demographic and Health Survey 2018</v>
      </c>
      <c r="J559" s="7" t="str">
        <f aca="false">IF(ISNUMBER(SEARCH("Demographic and Health",I559)),"DHS",IF(OR(ISNUMBER(SEARCH("Multiple Indicator Cluster",I559)),ISNUMBER(SEARCH("MICS",I559))),"MICS","Other"))</f>
        <v>DHS</v>
      </c>
      <c r="K559" s="7" t="n">
        <f aca="false">IF(AND(F559="Record or Recall",G559="12-23 m"),1,0)</f>
        <v>0</v>
      </c>
      <c r="L559" s="7" t="n">
        <f aca="false">IF(OR(J559="DHS",J559="MICS"),1,0)</f>
        <v>1</v>
      </c>
    </row>
    <row r="560" customFormat="false" ht="15" hidden="false" customHeight="false" outlineLevel="0" collapsed="false">
      <c r="A560" s="7" t="s">
        <v>348</v>
      </c>
      <c r="B560" s="7" t="s">
        <v>371</v>
      </c>
      <c r="C560" s="7" t="s">
        <v>372</v>
      </c>
      <c r="D560" s="7" t="n">
        <v>2016</v>
      </c>
      <c r="E560" s="7" t="s">
        <v>82</v>
      </c>
      <c r="F560" s="7" t="s">
        <v>78</v>
      </c>
      <c r="G560" s="7" t="s">
        <v>91</v>
      </c>
      <c r="H560" s="7" t="n">
        <v>47.7</v>
      </c>
      <c r="I560" s="7" t="str">
        <f aca="false">IF(B560="",TRIM(C560),TRIM(B560))</f>
        <v>Cameroon Demographic and Health Survey 2018</v>
      </c>
      <c r="J560" s="7" t="str">
        <f aca="false">IF(ISNUMBER(SEARCH("Demographic and Health",I560)),"DHS",IF(OR(ISNUMBER(SEARCH("Multiple Indicator Cluster",I560)),ISNUMBER(SEARCH("MICS",I560))),"MICS","Other"))</f>
        <v>DHS</v>
      </c>
      <c r="K560" s="7" t="n">
        <f aca="false">IF(AND(F560="Record or Recall",G560="12-23 m"),1,0)</f>
        <v>0</v>
      </c>
      <c r="L560" s="7" t="n">
        <f aca="false">IF(OR(J560="DHS",J560="MICS"),1,0)</f>
        <v>1</v>
      </c>
    </row>
    <row r="561" customFormat="false" ht="15" hidden="false" customHeight="false" outlineLevel="0" collapsed="false">
      <c r="A561" s="7" t="s">
        <v>348</v>
      </c>
      <c r="B561" s="7" t="s">
        <v>371</v>
      </c>
      <c r="C561" s="7" t="s">
        <v>372</v>
      </c>
      <c r="D561" s="7" t="n">
        <v>2016</v>
      </c>
      <c r="E561" s="7" t="s">
        <v>82</v>
      </c>
      <c r="F561" s="7" t="s">
        <v>86</v>
      </c>
      <c r="G561" s="7" t="s">
        <v>91</v>
      </c>
      <c r="H561" s="7" t="n">
        <v>42.4</v>
      </c>
      <c r="I561" s="7" t="str">
        <f aca="false">IF(B561="",TRIM(C561),TRIM(B561))</f>
        <v>Cameroon Demographic and Health Survey 2018</v>
      </c>
      <c r="J561" s="7" t="str">
        <f aca="false">IF(ISNUMBER(SEARCH("Demographic and Health",I561)),"DHS",IF(OR(ISNUMBER(SEARCH("Multiple Indicator Cluster",I561)),ISNUMBER(SEARCH("MICS",I561))),"MICS","Other"))</f>
        <v>DHS</v>
      </c>
      <c r="K561" s="7" t="n">
        <f aca="false">IF(AND(F561="Record or Recall",G561="12-23 m"),1,0)</f>
        <v>0</v>
      </c>
      <c r="L561" s="7" t="n">
        <f aca="false">IF(OR(J561="DHS",J561="MICS"),1,0)</f>
        <v>1</v>
      </c>
    </row>
    <row r="562" customFormat="false" ht="15" hidden="false" customHeight="false" outlineLevel="0" collapsed="false">
      <c r="A562" s="7" t="s">
        <v>348</v>
      </c>
      <c r="B562" s="7" t="s">
        <v>371</v>
      </c>
      <c r="C562" s="7" t="s">
        <v>372</v>
      </c>
      <c r="D562" s="7" t="n">
        <v>2016</v>
      </c>
      <c r="E562" s="7" t="s">
        <v>82</v>
      </c>
      <c r="F562" s="7" t="s">
        <v>63</v>
      </c>
      <c r="G562" s="7" t="s">
        <v>91</v>
      </c>
      <c r="H562" s="7" t="n">
        <v>51.4</v>
      </c>
      <c r="I562" s="7" t="str">
        <f aca="false">IF(B562="",TRIM(C562),TRIM(B562))</f>
        <v>Cameroon Demographic and Health Survey 2018</v>
      </c>
      <c r="J562" s="7" t="str">
        <f aca="false">IF(ISNUMBER(SEARCH("Demographic and Health",I562)),"DHS",IF(OR(ISNUMBER(SEARCH("Multiple Indicator Cluster",I562)),ISNUMBER(SEARCH("MICS",I562))),"MICS","Other"))</f>
        <v>DHS</v>
      </c>
      <c r="K562" s="7" t="n">
        <f aca="false">IF(AND(F562="Record or Recall",G562="12-23 m"),1,0)</f>
        <v>0</v>
      </c>
      <c r="L562" s="7" t="n">
        <f aca="false">IF(OR(J562="DHS",J562="MICS"),1,0)</f>
        <v>1</v>
      </c>
    </row>
    <row r="563" customFormat="false" ht="15" hidden="false" customHeight="false" outlineLevel="0" collapsed="false">
      <c r="A563" s="7" t="s">
        <v>348</v>
      </c>
      <c r="B563" s="7" t="s">
        <v>371</v>
      </c>
      <c r="C563" s="7" t="s">
        <v>372</v>
      </c>
      <c r="D563" s="7" t="n">
        <v>2016</v>
      </c>
      <c r="E563" s="7" t="s">
        <v>82</v>
      </c>
      <c r="F563" s="7" t="s">
        <v>87</v>
      </c>
      <c r="G563" s="7" t="s">
        <v>91</v>
      </c>
      <c r="H563" s="7" t="n">
        <v>9</v>
      </c>
      <c r="I563" s="7" t="str">
        <f aca="false">IF(B563="",TRIM(C563),TRIM(B563))</f>
        <v>Cameroon Demographic and Health Survey 2018</v>
      </c>
      <c r="J563" s="7" t="str">
        <f aca="false">IF(ISNUMBER(SEARCH("Demographic and Health",I563)),"DHS",IF(OR(ISNUMBER(SEARCH("Multiple Indicator Cluster",I563)),ISNUMBER(SEARCH("MICS",I563))),"MICS","Other"))</f>
        <v>DHS</v>
      </c>
      <c r="K563" s="7" t="n">
        <f aca="false">IF(AND(F563="Record or Recall",G563="12-23 m"),1,0)</f>
        <v>0</v>
      </c>
      <c r="L563" s="7" t="n">
        <f aca="false">IF(OR(J563="DHS",J563="MICS"),1,0)</f>
        <v>1</v>
      </c>
    </row>
    <row r="564" customFormat="false" ht="15" hidden="false" customHeight="false" outlineLevel="0" collapsed="false">
      <c r="A564" s="7" t="s">
        <v>348</v>
      </c>
      <c r="B564" s="7" t="s">
        <v>371</v>
      </c>
      <c r="C564" s="7" t="s">
        <v>372</v>
      </c>
      <c r="D564" s="7" t="n">
        <v>2016</v>
      </c>
      <c r="E564" s="7" t="s">
        <v>68</v>
      </c>
      <c r="F564" s="7" t="s">
        <v>78</v>
      </c>
      <c r="G564" s="7" t="s">
        <v>91</v>
      </c>
      <c r="H564" s="7" t="n">
        <v>65.8</v>
      </c>
      <c r="I564" s="7" t="str">
        <f aca="false">IF(B564="",TRIM(C564),TRIM(B564))</f>
        <v>Cameroon Demographic and Health Survey 2018</v>
      </c>
      <c r="J564" s="7" t="str">
        <f aca="false">IF(ISNUMBER(SEARCH("Demographic and Health",I564)),"DHS",IF(OR(ISNUMBER(SEARCH("Multiple Indicator Cluster",I564)),ISNUMBER(SEARCH("MICS",I564))),"MICS","Other"))</f>
        <v>DHS</v>
      </c>
      <c r="K564" s="7" t="n">
        <f aca="false">IF(AND(F564="Record or Recall",G564="12-23 m"),1,0)</f>
        <v>0</v>
      </c>
      <c r="L564" s="7" t="n">
        <f aca="false">IF(OR(J564="DHS",J564="MICS"),1,0)</f>
        <v>1</v>
      </c>
    </row>
    <row r="565" customFormat="false" ht="15" hidden="false" customHeight="false" outlineLevel="0" collapsed="false">
      <c r="A565" s="7" t="s">
        <v>348</v>
      </c>
      <c r="B565" s="7" t="s">
        <v>371</v>
      </c>
      <c r="C565" s="7" t="s">
        <v>372</v>
      </c>
      <c r="D565" s="7" t="n">
        <v>2016</v>
      </c>
      <c r="E565" s="7" t="s">
        <v>68</v>
      </c>
      <c r="F565" s="7" t="s">
        <v>86</v>
      </c>
      <c r="G565" s="7" t="s">
        <v>91</v>
      </c>
      <c r="H565" s="7" t="n">
        <v>45.4</v>
      </c>
      <c r="I565" s="7" t="str">
        <f aca="false">IF(B565="",TRIM(C565),TRIM(B565))</f>
        <v>Cameroon Demographic and Health Survey 2018</v>
      </c>
      <c r="J565" s="7" t="str">
        <f aca="false">IF(ISNUMBER(SEARCH("Demographic and Health",I565)),"DHS",IF(OR(ISNUMBER(SEARCH("Multiple Indicator Cluster",I565)),ISNUMBER(SEARCH("MICS",I565))),"MICS","Other"))</f>
        <v>DHS</v>
      </c>
      <c r="K565" s="7" t="n">
        <f aca="false">IF(AND(F565="Record or Recall",G565="12-23 m"),1,0)</f>
        <v>0</v>
      </c>
      <c r="L565" s="7" t="n">
        <f aca="false">IF(OR(J565="DHS",J565="MICS"),1,0)</f>
        <v>1</v>
      </c>
    </row>
    <row r="566" customFormat="false" ht="15" hidden="false" customHeight="false" outlineLevel="0" collapsed="false">
      <c r="A566" s="7" t="s">
        <v>348</v>
      </c>
      <c r="B566" s="7" t="s">
        <v>371</v>
      </c>
      <c r="C566" s="7" t="s">
        <v>372</v>
      </c>
      <c r="D566" s="7" t="n">
        <v>2016</v>
      </c>
      <c r="E566" s="7" t="s">
        <v>68</v>
      </c>
      <c r="F566" s="7" t="s">
        <v>63</v>
      </c>
      <c r="G566" s="7" t="s">
        <v>91</v>
      </c>
      <c r="H566" s="7" t="n">
        <v>71</v>
      </c>
      <c r="I566" s="7" t="str">
        <f aca="false">IF(B566="",TRIM(C566),TRIM(B566))</f>
        <v>Cameroon Demographic and Health Survey 2018</v>
      </c>
      <c r="J566" s="7" t="str">
        <f aca="false">IF(ISNUMBER(SEARCH("Demographic and Health",I566)),"DHS",IF(OR(ISNUMBER(SEARCH("Multiple Indicator Cluster",I566)),ISNUMBER(SEARCH("MICS",I566))),"MICS","Other"))</f>
        <v>DHS</v>
      </c>
      <c r="K566" s="7" t="n">
        <f aca="false">IF(AND(F566="Record or Recall",G566="12-23 m"),1,0)</f>
        <v>0</v>
      </c>
      <c r="L566" s="7" t="n">
        <f aca="false">IF(OR(J566="DHS",J566="MICS"),1,0)</f>
        <v>1</v>
      </c>
    </row>
    <row r="567" customFormat="false" ht="15" hidden="false" customHeight="false" outlineLevel="0" collapsed="false">
      <c r="A567" s="7" t="s">
        <v>348</v>
      </c>
      <c r="B567" s="7" t="s">
        <v>371</v>
      </c>
      <c r="C567" s="7" t="s">
        <v>372</v>
      </c>
      <c r="D567" s="7" t="n">
        <v>2016</v>
      </c>
      <c r="E567" s="7" t="s">
        <v>68</v>
      </c>
      <c r="F567" s="7" t="s">
        <v>87</v>
      </c>
      <c r="G567" s="7" t="s">
        <v>91</v>
      </c>
      <c r="H567" s="7" t="n">
        <v>25.5</v>
      </c>
      <c r="I567" s="7" t="str">
        <f aca="false">IF(B567="",TRIM(C567),TRIM(B567))</f>
        <v>Cameroon Demographic and Health Survey 2018</v>
      </c>
      <c r="J567" s="7" t="str">
        <f aca="false">IF(ISNUMBER(SEARCH("Demographic and Health",I567)),"DHS",IF(OR(ISNUMBER(SEARCH("Multiple Indicator Cluster",I567)),ISNUMBER(SEARCH("MICS",I567))),"MICS","Other"))</f>
        <v>DHS</v>
      </c>
      <c r="K567" s="7" t="n">
        <f aca="false">IF(AND(F567="Record or Recall",G567="12-23 m"),1,0)</f>
        <v>0</v>
      </c>
      <c r="L567" s="7" t="n">
        <f aca="false">IF(OR(J567="DHS",J567="MICS"),1,0)</f>
        <v>1</v>
      </c>
    </row>
    <row r="568" customFormat="false" ht="15" hidden="false" customHeight="false" outlineLevel="0" collapsed="false">
      <c r="A568" s="7" t="s">
        <v>348</v>
      </c>
      <c r="B568" s="7" t="s">
        <v>371</v>
      </c>
      <c r="C568" s="7" t="s">
        <v>372</v>
      </c>
      <c r="D568" s="7" t="n">
        <v>2016</v>
      </c>
      <c r="E568" s="7" t="s">
        <v>69</v>
      </c>
      <c r="F568" s="7" t="s">
        <v>78</v>
      </c>
      <c r="G568" s="7" t="s">
        <v>91</v>
      </c>
      <c r="H568" s="7" t="n">
        <v>60.4</v>
      </c>
      <c r="I568" s="7" t="str">
        <f aca="false">IF(B568="",TRIM(C568),TRIM(B568))</f>
        <v>Cameroon Demographic and Health Survey 2018</v>
      </c>
      <c r="J568" s="7" t="str">
        <f aca="false">IF(ISNUMBER(SEARCH("Demographic and Health",I568)),"DHS",IF(OR(ISNUMBER(SEARCH("Multiple Indicator Cluster",I568)),ISNUMBER(SEARCH("MICS",I568))),"MICS","Other"))</f>
        <v>DHS</v>
      </c>
      <c r="K568" s="7" t="n">
        <f aca="false">IF(AND(F568="Record or Recall",G568="12-23 m"),1,0)</f>
        <v>0</v>
      </c>
      <c r="L568" s="7" t="n">
        <f aca="false">IF(OR(J568="DHS",J568="MICS"),1,0)</f>
        <v>1</v>
      </c>
    </row>
    <row r="569" customFormat="false" ht="15" hidden="false" customHeight="false" outlineLevel="0" collapsed="false">
      <c r="A569" s="7" t="s">
        <v>348</v>
      </c>
      <c r="B569" s="7" t="s">
        <v>371</v>
      </c>
      <c r="C569" s="7" t="s">
        <v>372</v>
      </c>
      <c r="D569" s="7" t="n">
        <v>2016</v>
      </c>
      <c r="E569" s="7" t="s">
        <v>69</v>
      </c>
      <c r="F569" s="7" t="s">
        <v>86</v>
      </c>
      <c r="G569" s="7" t="s">
        <v>91</v>
      </c>
      <c r="H569" s="7" t="n">
        <v>49.9</v>
      </c>
      <c r="I569" s="7" t="str">
        <f aca="false">IF(B569="",TRIM(C569),TRIM(B569))</f>
        <v>Cameroon Demographic and Health Survey 2018</v>
      </c>
      <c r="J569" s="7" t="str">
        <f aca="false">IF(ISNUMBER(SEARCH("Demographic and Health",I569)),"DHS",IF(OR(ISNUMBER(SEARCH("Multiple Indicator Cluster",I569)),ISNUMBER(SEARCH("MICS",I569))),"MICS","Other"))</f>
        <v>DHS</v>
      </c>
      <c r="K569" s="7" t="n">
        <f aca="false">IF(AND(F569="Record or Recall",G569="12-23 m"),1,0)</f>
        <v>0</v>
      </c>
      <c r="L569" s="7" t="n">
        <f aca="false">IF(OR(J569="DHS",J569="MICS"),1,0)</f>
        <v>1</v>
      </c>
    </row>
    <row r="570" customFormat="false" ht="15" hidden="false" customHeight="false" outlineLevel="0" collapsed="false">
      <c r="A570" s="7" t="s">
        <v>348</v>
      </c>
      <c r="B570" s="7" t="s">
        <v>371</v>
      </c>
      <c r="C570" s="7" t="s">
        <v>372</v>
      </c>
      <c r="D570" s="7" t="n">
        <v>2016</v>
      </c>
      <c r="E570" s="7" t="s">
        <v>69</v>
      </c>
      <c r="F570" s="7" t="s">
        <v>63</v>
      </c>
      <c r="G570" s="7" t="s">
        <v>91</v>
      </c>
      <c r="H570" s="7" t="n">
        <v>62.7</v>
      </c>
      <c r="I570" s="7" t="str">
        <f aca="false">IF(B570="",TRIM(C570),TRIM(B570))</f>
        <v>Cameroon Demographic and Health Survey 2018</v>
      </c>
      <c r="J570" s="7" t="str">
        <f aca="false">IF(ISNUMBER(SEARCH("Demographic and Health",I570)),"DHS",IF(OR(ISNUMBER(SEARCH("Multiple Indicator Cluster",I570)),ISNUMBER(SEARCH("MICS",I570))),"MICS","Other"))</f>
        <v>DHS</v>
      </c>
      <c r="K570" s="7" t="n">
        <f aca="false">IF(AND(F570="Record or Recall",G570="12-23 m"),1,0)</f>
        <v>0</v>
      </c>
      <c r="L570" s="7" t="n">
        <f aca="false">IF(OR(J570="DHS",J570="MICS"),1,0)</f>
        <v>1</v>
      </c>
    </row>
    <row r="571" customFormat="false" ht="15" hidden="false" customHeight="false" outlineLevel="0" collapsed="false">
      <c r="A571" s="7" t="s">
        <v>348</v>
      </c>
      <c r="B571" s="7" t="s">
        <v>371</v>
      </c>
      <c r="C571" s="7" t="s">
        <v>372</v>
      </c>
      <c r="D571" s="7" t="n">
        <v>2016</v>
      </c>
      <c r="E571" s="7" t="s">
        <v>69</v>
      </c>
      <c r="F571" s="7" t="s">
        <v>87</v>
      </c>
      <c r="G571" s="7" t="s">
        <v>91</v>
      </c>
      <c r="H571" s="7" t="n">
        <v>12.9</v>
      </c>
      <c r="I571" s="7" t="str">
        <f aca="false">IF(B571="",TRIM(C571),TRIM(B571))</f>
        <v>Cameroon Demographic and Health Survey 2018</v>
      </c>
      <c r="J571" s="7" t="str">
        <f aca="false">IF(ISNUMBER(SEARCH("Demographic and Health",I571)),"DHS",IF(OR(ISNUMBER(SEARCH("Multiple Indicator Cluster",I571)),ISNUMBER(SEARCH("MICS",I571))),"MICS","Other"))</f>
        <v>DHS</v>
      </c>
      <c r="K571" s="7" t="n">
        <f aca="false">IF(AND(F571="Record or Recall",G571="12-23 m"),1,0)</f>
        <v>0</v>
      </c>
      <c r="L571" s="7" t="n">
        <f aca="false">IF(OR(J571="DHS",J571="MICS"),1,0)</f>
        <v>1</v>
      </c>
    </row>
    <row r="572" customFormat="false" ht="15" hidden="false" customHeight="false" outlineLevel="0" collapsed="false">
      <c r="A572" s="7" t="s">
        <v>348</v>
      </c>
      <c r="B572" s="7" t="s">
        <v>371</v>
      </c>
      <c r="C572" s="7" t="s">
        <v>372</v>
      </c>
      <c r="D572" s="7" t="n">
        <v>2017</v>
      </c>
      <c r="E572" s="7" t="s">
        <v>62</v>
      </c>
      <c r="F572" s="7" t="s">
        <v>78</v>
      </c>
      <c r="G572" s="7" t="s">
        <v>66</v>
      </c>
      <c r="H572" s="7" t="n">
        <v>86.2</v>
      </c>
      <c r="I572" s="7" t="str">
        <f aca="false">IF(B572="",TRIM(C572),TRIM(B572))</f>
        <v>Cameroon Demographic and Health Survey 2018</v>
      </c>
      <c r="J572" s="7" t="str">
        <f aca="false">IF(ISNUMBER(SEARCH("Demographic and Health",I572)),"DHS",IF(OR(ISNUMBER(SEARCH("Multiple Indicator Cluster",I572)),ISNUMBER(SEARCH("MICS",I572))),"MICS","Other"))</f>
        <v>DHS</v>
      </c>
      <c r="K572" s="7" t="n">
        <f aca="false">IF(AND(F572="Record or Recall",G572="12-23 m"),1,0)</f>
        <v>0</v>
      </c>
      <c r="L572" s="7" t="n">
        <f aca="false">IF(OR(J572="DHS",J572="MICS"),1,0)</f>
        <v>1</v>
      </c>
    </row>
    <row r="573" customFormat="false" ht="15" hidden="false" customHeight="false" outlineLevel="0" collapsed="false">
      <c r="A573" s="7" t="s">
        <v>348</v>
      </c>
      <c r="B573" s="7" t="s">
        <v>371</v>
      </c>
      <c r="C573" s="7" t="s">
        <v>372</v>
      </c>
      <c r="D573" s="7" t="n">
        <v>2017</v>
      </c>
      <c r="E573" s="7" t="s">
        <v>62</v>
      </c>
      <c r="F573" s="7" t="s">
        <v>86</v>
      </c>
      <c r="G573" s="7" t="s">
        <v>66</v>
      </c>
      <c r="H573" s="7" t="n">
        <v>68.1</v>
      </c>
      <c r="I573" s="7" t="str">
        <f aca="false">IF(B573="",TRIM(C573),TRIM(B573))</f>
        <v>Cameroon Demographic and Health Survey 2018</v>
      </c>
      <c r="J573" s="7" t="str">
        <f aca="false">IF(ISNUMBER(SEARCH("Demographic and Health",I573)),"DHS",IF(OR(ISNUMBER(SEARCH("Multiple Indicator Cluster",I573)),ISNUMBER(SEARCH("MICS",I573))),"MICS","Other"))</f>
        <v>DHS</v>
      </c>
      <c r="K573" s="7" t="n">
        <f aca="false">IF(AND(F573="Record or Recall",G573="12-23 m"),1,0)</f>
        <v>0</v>
      </c>
      <c r="L573" s="7" t="n">
        <f aca="false">IF(OR(J573="DHS",J573="MICS"),1,0)</f>
        <v>1</v>
      </c>
    </row>
    <row r="574" customFormat="false" ht="15" hidden="false" customHeight="false" outlineLevel="0" collapsed="false">
      <c r="A574" s="7" t="s">
        <v>348</v>
      </c>
      <c r="B574" s="7" t="s">
        <v>371</v>
      </c>
      <c r="C574" s="7" t="s">
        <v>372</v>
      </c>
      <c r="D574" s="7" t="n">
        <v>2017</v>
      </c>
      <c r="E574" s="7" t="s">
        <v>62</v>
      </c>
      <c r="F574" s="7" t="s">
        <v>63</v>
      </c>
      <c r="G574" s="7" t="s">
        <v>66</v>
      </c>
      <c r="H574" s="7" t="n">
        <v>86.7</v>
      </c>
      <c r="I574" s="7" t="str">
        <f aca="false">IF(B574="",TRIM(C574),TRIM(B574))</f>
        <v>Cameroon Demographic and Health Survey 2018</v>
      </c>
      <c r="J574" s="7" t="str">
        <f aca="false">IF(ISNUMBER(SEARCH("Demographic and Health",I574)),"DHS",IF(OR(ISNUMBER(SEARCH("Multiple Indicator Cluster",I574)),ISNUMBER(SEARCH("MICS",I574))),"MICS","Other"))</f>
        <v>DHS</v>
      </c>
      <c r="K574" s="7" t="n">
        <f aca="false">IF(AND(F574="Record or Recall",G574="12-23 m"),1,0)</f>
        <v>1</v>
      </c>
      <c r="L574" s="7" t="n">
        <f aca="false">IF(OR(J574="DHS",J574="MICS"),1,0)</f>
        <v>1</v>
      </c>
    </row>
    <row r="575" customFormat="false" ht="15" hidden="false" customHeight="false" outlineLevel="0" collapsed="false">
      <c r="A575" s="7" t="s">
        <v>348</v>
      </c>
      <c r="B575" s="7" t="s">
        <v>371</v>
      </c>
      <c r="C575" s="7" t="s">
        <v>372</v>
      </c>
      <c r="D575" s="7" t="n">
        <v>2017</v>
      </c>
      <c r="E575" s="7" t="s">
        <v>62</v>
      </c>
      <c r="F575" s="7" t="s">
        <v>87</v>
      </c>
      <c r="G575" s="7" t="s">
        <v>66</v>
      </c>
      <c r="H575" s="7" t="n">
        <v>18.6</v>
      </c>
      <c r="I575" s="7" t="str">
        <f aca="false">IF(B575="",TRIM(C575),TRIM(B575))</f>
        <v>Cameroon Demographic and Health Survey 2018</v>
      </c>
      <c r="J575" s="7" t="str">
        <f aca="false">IF(ISNUMBER(SEARCH("Demographic and Health",I575)),"DHS",IF(OR(ISNUMBER(SEARCH("Multiple Indicator Cluster",I575)),ISNUMBER(SEARCH("MICS",I575))),"MICS","Other"))</f>
        <v>DHS</v>
      </c>
      <c r="K575" s="7" t="n">
        <f aca="false">IF(AND(F575="Record or Recall",G575="12-23 m"),1,0)</f>
        <v>0</v>
      </c>
      <c r="L575" s="7" t="n">
        <f aca="false">IF(OR(J575="DHS",J575="MICS"),1,0)</f>
        <v>1</v>
      </c>
    </row>
    <row r="576" customFormat="false" ht="15" hidden="false" customHeight="false" outlineLevel="0" collapsed="false">
      <c r="A576" s="7" t="s">
        <v>348</v>
      </c>
      <c r="B576" s="7" t="s">
        <v>371</v>
      </c>
      <c r="C576" s="7" t="s">
        <v>372</v>
      </c>
      <c r="D576" s="7" t="n">
        <v>2017</v>
      </c>
      <c r="E576" s="7" t="s">
        <v>81</v>
      </c>
      <c r="F576" s="7" t="s">
        <v>78</v>
      </c>
      <c r="G576" s="7" t="s">
        <v>66</v>
      </c>
      <c r="H576" s="7" t="n">
        <v>82.9</v>
      </c>
      <c r="I576" s="7" t="str">
        <f aca="false">IF(B576="",TRIM(C576),TRIM(B576))</f>
        <v>Cameroon Demographic and Health Survey 2018</v>
      </c>
      <c r="J576" s="7" t="str">
        <f aca="false">IF(ISNUMBER(SEARCH("Demographic and Health",I576)),"DHS",IF(OR(ISNUMBER(SEARCH("Multiple Indicator Cluster",I576)),ISNUMBER(SEARCH("MICS",I576))),"MICS","Other"))</f>
        <v>DHS</v>
      </c>
      <c r="K576" s="7" t="n">
        <f aca="false">IF(AND(F576="Record or Recall",G576="12-23 m"),1,0)</f>
        <v>0</v>
      </c>
      <c r="L576" s="7" t="n">
        <f aca="false">IF(OR(J576="DHS",J576="MICS"),1,0)</f>
        <v>1</v>
      </c>
    </row>
    <row r="577" customFormat="false" ht="15" hidden="false" customHeight="false" outlineLevel="0" collapsed="false">
      <c r="A577" s="7" t="s">
        <v>348</v>
      </c>
      <c r="B577" s="7" t="s">
        <v>371</v>
      </c>
      <c r="C577" s="7" t="s">
        <v>372</v>
      </c>
      <c r="D577" s="7" t="n">
        <v>2017</v>
      </c>
      <c r="E577" s="7" t="s">
        <v>81</v>
      </c>
      <c r="F577" s="7" t="s">
        <v>86</v>
      </c>
      <c r="G577" s="7" t="s">
        <v>66</v>
      </c>
      <c r="H577" s="7" t="n">
        <v>66.3</v>
      </c>
      <c r="I577" s="7" t="str">
        <f aca="false">IF(B577="",TRIM(C577),TRIM(B577))</f>
        <v>Cameroon Demographic and Health Survey 2018</v>
      </c>
      <c r="J577" s="7" t="str">
        <f aca="false">IF(ISNUMBER(SEARCH("Demographic and Health",I577)),"DHS",IF(OR(ISNUMBER(SEARCH("Multiple Indicator Cluster",I577)),ISNUMBER(SEARCH("MICS",I577))),"MICS","Other"))</f>
        <v>DHS</v>
      </c>
      <c r="K577" s="7" t="n">
        <f aca="false">IF(AND(F577="Record or Recall",G577="12-23 m"),1,0)</f>
        <v>0</v>
      </c>
      <c r="L577" s="7" t="n">
        <f aca="false">IF(OR(J577="DHS",J577="MICS"),1,0)</f>
        <v>1</v>
      </c>
    </row>
    <row r="578" customFormat="false" ht="15" hidden="false" customHeight="false" outlineLevel="0" collapsed="false">
      <c r="A578" s="7" t="s">
        <v>348</v>
      </c>
      <c r="B578" s="7" t="s">
        <v>371</v>
      </c>
      <c r="C578" s="7" t="s">
        <v>372</v>
      </c>
      <c r="D578" s="7" t="n">
        <v>2017</v>
      </c>
      <c r="E578" s="7" t="s">
        <v>81</v>
      </c>
      <c r="F578" s="7" t="s">
        <v>63</v>
      </c>
      <c r="G578" s="7" t="s">
        <v>66</v>
      </c>
      <c r="H578" s="7" t="n">
        <v>83.3</v>
      </c>
      <c r="I578" s="7" t="str">
        <f aca="false">IF(B578="",TRIM(C578),TRIM(B578))</f>
        <v>Cameroon Demographic and Health Survey 2018</v>
      </c>
      <c r="J578" s="7" t="str">
        <f aca="false">IF(ISNUMBER(SEARCH("Demographic and Health",I578)),"DHS",IF(OR(ISNUMBER(SEARCH("Multiple Indicator Cluster",I578)),ISNUMBER(SEARCH("MICS",I578))),"MICS","Other"))</f>
        <v>DHS</v>
      </c>
      <c r="K578" s="7" t="n">
        <f aca="false">IF(AND(F578="Record or Recall",G578="12-23 m"),1,0)</f>
        <v>1</v>
      </c>
      <c r="L578" s="7" t="n">
        <f aca="false">IF(OR(J578="DHS",J578="MICS"),1,0)</f>
        <v>1</v>
      </c>
    </row>
    <row r="579" customFormat="false" ht="15" hidden="false" customHeight="false" outlineLevel="0" collapsed="false">
      <c r="A579" s="7" t="s">
        <v>348</v>
      </c>
      <c r="B579" s="7" t="s">
        <v>371</v>
      </c>
      <c r="C579" s="7" t="s">
        <v>372</v>
      </c>
      <c r="D579" s="7" t="n">
        <v>2017</v>
      </c>
      <c r="E579" s="7" t="s">
        <v>81</v>
      </c>
      <c r="F579" s="7" t="s">
        <v>87</v>
      </c>
      <c r="G579" s="7" t="s">
        <v>66</v>
      </c>
      <c r="H579" s="7" t="n">
        <v>17</v>
      </c>
      <c r="I579" s="7" t="str">
        <f aca="false">IF(B579="",TRIM(C579),TRIM(B579))</f>
        <v>Cameroon Demographic and Health Survey 2018</v>
      </c>
      <c r="J579" s="7" t="str">
        <f aca="false">IF(ISNUMBER(SEARCH("Demographic and Health",I579)),"DHS",IF(OR(ISNUMBER(SEARCH("Multiple Indicator Cluster",I579)),ISNUMBER(SEARCH("MICS",I579))),"MICS","Other"))</f>
        <v>DHS</v>
      </c>
      <c r="K579" s="7" t="n">
        <f aca="false">IF(AND(F579="Record or Recall",G579="12-23 m"),1,0)</f>
        <v>0</v>
      </c>
      <c r="L579" s="7" t="n">
        <f aca="false">IF(OR(J579="DHS",J579="MICS"),1,0)</f>
        <v>1</v>
      </c>
    </row>
    <row r="580" customFormat="false" ht="15" hidden="false" customHeight="false" outlineLevel="0" collapsed="false">
      <c r="A580" s="7" t="s">
        <v>348</v>
      </c>
      <c r="B580" s="7" t="s">
        <v>371</v>
      </c>
      <c r="C580" s="7" t="s">
        <v>372</v>
      </c>
      <c r="D580" s="7" t="n">
        <v>2017</v>
      </c>
      <c r="E580" s="7" t="s">
        <v>67</v>
      </c>
      <c r="F580" s="7" t="s">
        <v>78</v>
      </c>
      <c r="G580" s="7" t="s">
        <v>66</v>
      </c>
      <c r="H580" s="7" t="n">
        <v>70.8</v>
      </c>
      <c r="I580" s="7" t="str">
        <f aca="false">IF(B580="",TRIM(C580),TRIM(B580))</f>
        <v>Cameroon Demographic and Health Survey 2018</v>
      </c>
      <c r="J580" s="7" t="str">
        <f aca="false">IF(ISNUMBER(SEARCH("Demographic and Health",I580)),"DHS",IF(OR(ISNUMBER(SEARCH("Multiple Indicator Cluster",I580)),ISNUMBER(SEARCH("MICS",I580))),"MICS","Other"))</f>
        <v>DHS</v>
      </c>
      <c r="K580" s="7" t="n">
        <f aca="false">IF(AND(F580="Record or Recall",G580="12-23 m"),1,0)</f>
        <v>0</v>
      </c>
      <c r="L580" s="7" t="n">
        <f aca="false">IF(OR(J580="DHS",J580="MICS"),1,0)</f>
        <v>1</v>
      </c>
    </row>
    <row r="581" customFormat="false" ht="15" hidden="false" customHeight="false" outlineLevel="0" collapsed="false">
      <c r="A581" s="7" t="s">
        <v>348</v>
      </c>
      <c r="B581" s="7" t="s">
        <v>371</v>
      </c>
      <c r="C581" s="7" t="s">
        <v>372</v>
      </c>
      <c r="D581" s="7" t="n">
        <v>2017</v>
      </c>
      <c r="E581" s="7" t="s">
        <v>67</v>
      </c>
      <c r="F581" s="7" t="s">
        <v>86</v>
      </c>
      <c r="G581" s="7" t="s">
        <v>66</v>
      </c>
      <c r="H581" s="7" t="n">
        <v>59.3</v>
      </c>
      <c r="I581" s="7" t="str">
        <f aca="false">IF(B581="",TRIM(C581),TRIM(B581))</f>
        <v>Cameroon Demographic and Health Survey 2018</v>
      </c>
      <c r="J581" s="7" t="str">
        <f aca="false">IF(ISNUMBER(SEARCH("Demographic and Health",I581)),"DHS",IF(OR(ISNUMBER(SEARCH("Multiple Indicator Cluster",I581)),ISNUMBER(SEARCH("MICS",I581))),"MICS","Other"))</f>
        <v>DHS</v>
      </c>
      <c r="K581" s="7" t="n">
        <f aca="false">IF(AND(F581="Record or Recall",G581="12-23 m"),1,0)</f>
        <v>0</v>
      </c>
      <c r="L581" s="7" t="n">
        <f aca="false">IF(OR(J581="DHS",J581="MICS"),1,0)</f>
        <v>1</v>
      </c>
    </row>
    <row r="582" customFormat="false" ht="15" hidden="false" customHeight="false" outlineLevel="0" collapsed="false">
      <c r="A582" s="7" t="s">
        <v>348</v>
      </c>
      <c r="B582" s="7" t="s">
        <v>371</v>
      </c>
      <c r="C582" s="7" t="s">
        <v>372</v>
      </c>
      <c r="D582" s="7" t="n">
        <v>2017</v>
      </c>
      <c r="E582" s="7" t="s">
        <v>67</v>
      </c>
      <c r="F582" s="7" t="s">
        <v>63</v>
      </c>
      <c r="G582" s="7" t="s">
        <v>66</v>
      </c>
      <c r="H582" s="7" t="n">
        <v>71.5</v>
      </c>
      <c r="I582" s="7" t="str">
        <f aca="false">IF(B582="",TRIM(C582),TRIM(B582))</f>
        <v>Cameroon Demographic and Health Survey 2018</v>
      </c>
      <c r="J582" s="7" t="str">
        <f aca="false">IF(ISNUMBER(SEARCH("Demographic and Health",I582)),"DHS",IF(OR(ISNUMBER(SEARCH("Multiple Indicator Cluster",I582)),ISNUMBER(SEARCH("MICS",I582))),"MICS","Other"))</f>
        <v>DHS</v>
      </c>
      <c r="K582" s="7" t="n">
        <f aca="false">IF(AND(F582="Record or Recall",G582="12-23 m"),1,0)</f>
        <v>1</v>
      </c>
      <c r="L582" s="7" t="n">
        <f aca="false">IF(OR(J582="DHS",J582="MICS"),1,0)</f>
        <v>1</v>
      </c>
    </row>
    <row r="583" customFormat="false" ht="15" hidden="false" customHeight="false" outlineLevel="0" collapsed="false">
      <c r="A583" s="7" t="s">
        <v>348</v>
      </c>
      <c r="B583" s="7" t="s">
        <v>371</v>
      </c>
      <c r="C583" s="7" t="s">
        <v>372</v>
      </c>
      <c r="D583" s="7" t="n">
        <v>2017</v>
      </c>
      <c r="E583" s="7" t="s">
        <v>67</v>
      </c>
      <c r="F583" s="7" t="s">
        <v>87</v>
      </c>
      <c r="G583" s="7" t="s">
        <v>66</v>
      </c>
      <c r="H583" s="7" t="n">
        <v>12.3</v>
      </c>
      <c r="I583" s="7" t="str">
        <f aca="false">IF(B583="",TRIM(C583),TRIM(B583))</f>
        <v>Cameroon Demographic and Health Survey 2018</v>
      </c>
      <c r="J583" s="7" t="str">
        <f aca="false">IF(ISNUMBER(SEARCH("Demographic and Health",I583)),"DHS",IF(OR(ISNUMBER(SEARCH("Multiple Indicator Cluster",I583)),ISNUMBER(SEARCH("MICS",I583))),"MICS","Other"))</f>
        <v>DHS</v>
      </c>
      <c r="K583" s="7" t="n">
        <f aca="false">IF(AND(F583="Record or Recall",G583="12-23 m"),1,0)</f>
        <v>0</v>
      </c>
      <c r="L583" s="7" t="n">
        <f aca="false">IF(OR(J583="DHS",J583="MICS"),1,0)</f>
        <v>1</v>
      </c>
    </row>
    <row r="584" customFormat="false" ht="15" hidden="false" customHeight="false" outlineLevel="0" collapsed="false">
      <c r="A584" s="7" t="s">
        <v>348</v>
      </c>
      <c r="B584" s="7" t="s">
        <v>371</v>
      </c>
      <c r="C584" s="7" t="s">
        <v>372</v>
      </c>
      <c r="D584" s="7" t="n">
        <v>2017</v>
      </c>
      <c r="E584" s="7" t="s">
        <v>82</v>
      </c>
      <c r="F584" s="7" t="s">
        <v>78</v>
      </c>
      <c r="G584" s="7" t="s">
        <v>66</v>
      </c>
      <c r="H584" s="7" t="n">
        <v>49.1</v>
      </c>
      <c r="I584" s="7" t="str">
        <f aca="false">IF(B584="",TRIM(C584),TRIM(B584))</f>
        <v>Cameroon Demographic and Health Survey 2018</v>
      </c>
      <c r="J584" s="7" t="str">
        <f aca="false">IF(ISNUMBER(SEARCH("Demographic and Health",I584)),"DHS",IF(OR(ISNUMBER(SEARCH("Multiple Indicator Cluster",I584)),ISNUMBER(SEARCH("MICS",I584))),"MICS","Other"))</f>
        <v>DHS</v>
      </c>
      <c r="K584" s="7" t="n">
        <f aca="false">IF(AND(F584="Record or Recall",G584="12-23 m"),1,0)</f>
        <v>0</v>
      </c>
      <c r="L584" s="7" t="n">
        <f aca="false">IF(OR(J584="DHS",J584="MICS"),1,0)</f>
        <v>1</v>
      </c>
    </row>
    <row r="585" customFormat="false" ht="15" hidden="false" customHeight="false" outlineLevel="0" collapsed="false">
      <c r="A585" s="7" t="s">
        <v>348</v>
      </c>
      <c r="B585" s="7" t="s">
        <v>371</v>
      </c>
      <c r="C585" s="7" t="s">
        <v>372</v>
      </c>
      <c r="D585" s="7" t="n">
        <v>2017</v>
      </c>
      <c r="E585" s="7" t="s">
        <v>82</v>
      </c>
      <c r="F585" s="7" t="s">
        <v>86</v>
      </c>
      <c r="G585" s="7" t="s">
        <v>66</v>
      </c>
      <c r="H585" s="7" t="n">
        <v>47.9</v>
      </c>
      <c r="I585" s="7" t="str">
        <f aca="false">IF(B585="",TRIM(C585),TRIM(B585))</f>
        <v>Cameroon Demographic and Health Survey 2018</v>
      </c>
      <c r="J585" s="7" t="str">
        <f aca="false">IF(ISNUMBER(SEARCH("Demographic and Health",I585)),"DHS",IF(OR(ISNUMBER(SEARCH("Multiple Indicator Cluster",I585)),ISNUMBER(SEARCH("MICS",I585))),"MICS","Other"))</f>
        <v>DHS</v>
      </c>
      <c r="K585" s="7" t="n">
        <f aca="false">IF(AND(F585="Record or Recall",G585="12-23 m"),1,0)</f>
        <v>0</v>
      </c>
      <c r="L585" s="7" t="n">
        <f aca="false">IF(OR(J585="DHS",J585="MICS"),1,0)</f>
        <v>1</v>
      </c>
    </row>
    <row r="586" customFormat="false" ht="15" hidden="false" customHeight="false" outlineLevel="0" collapsed="false">
      <c r="A586" s="7" t="s">
        <v>348</v>
      </c>
      <c r="B586" s="7" t="s">
        <v>371</v>
      </c>
      <c r="C586" s="7" t="s">
        <v>372</v>
      </c>
      <c r="D586" s="7" t="n">
        <v>2017</v>
      </c>
      <c r="E586" s="7" t="s">
        <v>82</v>
      </c>
      <c r="F586" s="7" t="s">
        <v>63</v>
      </c>
      <c r="G586" s="7" t="s">
        <v>66</v>
      </c>
      <c r="H586" s="7" t="n">
        <v>52.2</v>
      </c>
      <c r="I586" s="7" t="str">
        <f aca="false">IF(B586="",TRIM(C586),TRIM(B586))</f>
        <v>Cameroon Demographic and Health Survey 2018</v>
      </c>
      <c r="J586" s="7" t="str">
        <f aca="false">IF(ISNUMBER(SEARCH("Demographic and Health",I586)),"DHS",IF(OR(ISNUMBER(SEARCH("Multiple Indicator Cluster",I586)),ISNUMBER(SEARCH("MICS",I586))),"MICS","Other"))</f>
        <v>DHS</v>
      </c>
      <c r="K586" s="7" t="n">
        <f aca="false">IF(AND(F586="Record or Recall",G586="12-23 m"),1,0)</f>
        <v>1</v>
      </c>
      <c r="L586" s="7" t="n">
        <f aca="false">IF(OR(J586="DHS",J586="MICS"),1,0)</f>
        <v>1</v>
      </c>
    </row>
    <row r="587" customFormat="false" ht="15" hidden="false" customHeight="false" outlineLevel="0" collapsed="false">
      <c r="A587" s="7" t="s">
        <v>348</v>
      </c>
      <c r="B587" s="7" t="s">
        <v>371</v>
      </c>
      <c r="C587" s="7" t="s">
        <v>372</v>
      </c>
      <c r="D587" s="7" t="n">
        <v>2017</v>
      </c>
      <c r="E587" s="7" t="s">
        <v>82</v>
      </c>
      <c r="F587" s="7" t="s">
        <v>87</v>
      </c>
      <c r="G587" s="7" t="s">
        <v>66</v>
      </c>
      <c r="H587" s="7" t="n">
        <v>4.3</v>
      </c>
      <c r="I587" s="7" t="str">
        <f aca="false">IF(B587="",TRIM(C587),TRIM(B587))</f>
        <v>Cameroon Demographic and Health Survey 2018</v>
      </c>
      <c r="J587" s="7" t="str">
        <f aca="false">IF(ISNUMBER(SEARCH("Demographic and Health",I587)),"DHS",IF(OR(ISNUMBER(SEARCH("Multiple Indicator Cluster",I587)),ISNUMBER(SEARCH("MICS",I587))),"MICS","Other"))</f>
        <v>DHS</v>
      </c>
      <c r="K587" s="7" t="n">
        <f aca="false">IF(AND(F587="Record or Recall",G587="12-23 m"),1,0)</f>
        <v>0</v>
      </c>
      <c r="L587" s="7" t="n">
        <f aca="false">IF(OR(J587="DHS",J587="MICS"),1,0)</f>
        <v>1</v>
      </c>
    </row>
    <row r="588" customFormat="false" ht="15" hidden="false" customHeight="false" outlineLevel="0" collapsed="false">
      <c r="A588" s="7" t="s">
        <v>348</v>
      </c>
      <c r="B588" s="7" t="s">
        <v>371</v>
      </c>
      <c r="C588" s="7" t="s">
        <v>372</v>
      </c>
      <c r="D588" s="7" t="n">
        <v>2017</v>
      </c>
      <c r="E588" s="7" t="s">
        <v>68</v>
      </c>
      <c r="F588" s="7" t="s">
        <v>78</v>
      </c>
      <c r="G588" s="7" t="s">
        <v>66</v>
      </c>
      <c r="H588" s="7" t="n">
        <v>61.4</v>
      </c>
      <c r="I588" s="7" t="str">
        <f aca="false">IF(B588="",TRIM(C588),TRIM(B588))</f>
        <v>Cameroon Demographic and Health Survey 2018</v>
      </c>
      <c r="J588" s="7" t="str">
        <f aca="false">IF(ISNUMBER(SEARCH("Demographic and Health",I588)),"DHS",IF(OR(ISNUMBER(SEARCH("Multiple Indicator Cluster",I588)),ISNUMBER(SEARCH("MICS",I588))),"MICS","Other"))</f>
        <v>DHS</v>
      </c>
      <c r="K588" s="7" t="n">
        <f aca="false">IF(AND(F588="Record or Recall",G588="12-23 m"),1,0)</f>
        <v>0</v>
      </c>
      <c r="L588" s="7" t="n">
        <f aca="false">IF(OR(J588="DHS",J588="MICS"),1,0)</f>
        <v>1</v>
      </c>
    </row>
    <row r="589" customFormat="false" ht="15" hidden="false" customHeight="false" outlineLevel="0" collapsed="false">
      <c r="A589" s="7" t="s">
        <v>348</v>
      </c>
      <c r="B589" s="7" t="s">
        <v>371</v>
      </c>
      <c r="C589" s="7" t="s">
        <v>372</v>
      </c>
      <c r="D589" s="7" t="n">
        <v>2017</v>
      </c>
      <c r="E589" s="7" t="s">
        <v>68</v>
      </c>
      <c r="F589" s="7" t="s">
        <v>86</v>
      </c>
      <c r="G589" s="7" t="s">
        <v>66</v>
      </c>
      <c r="H589" s="7" t="n">
        <v>51.1</v>
      </c>
      <c r="I589" s="7" t="str">
        <f aca="false">IF(B589="",TRIM(C589),TRIM(B589))</f>
        <v>Cameroon Demographic and Health Survey 2018</v>
      </c>
      <c r="J589" s="7" t="str">
        <f aca="false">IF(ISNUMBER(SEARCH("Demographic and Health",I589)),"DHS",IF(OR(ISNUMBER(SEARCH("Multiple Indicator Cluster",I589)),ISNUMBER(SEARCH("MICS",I589))),"MICS","Other"))</f>
        <v>DHS</v>
      </c>
      <c r="K589" s="7" t="n">
        <f aca="false">IF(AND(F589="Record or Recall",G589="12-23 m"),1,0)</f>
        <v>0</v>
      </c>
      <c r="L589" s="7" t="n">
        <f aca="false">IF(OR(J589="DHS",J589="MICS"),1,0)</f>
        <v>1</v>
      </c>
    </row>
    <row r="590" customFormat="false" ht="15" hidden="false" customHeight="false" outlineLevel="0" collapsed="false">
      <c r="A590" s="7" t="s">
        <v>348</v>
      </c>
      <c r="B590" s="7" t="s">
        <v>371</v>
      </c>
      <c r="C590" s="7" t="s">
        <v>372</v>
      </c>
      <c r="D590" s="7" t="n">
        <v>2017</v>
      </c>
      <c r="E590" s="7" t="s">
        <v>68</v>
      </c>
      <c r="F590" s="7" t="s">
        <v>63</v>
      </c>
      <c r="G590" s="7" t="s">
        <v>66</v>
      </c>
      <c r="H590" s="7" t="n">
        <v>65.3</v>
      </c>
      <c r="I590" s="7" t="str">
        <f aca="false">IF(B590="",TRIM(C590),TRIM(B590))</f>
        <v>Cameroon Demographic and Health Survey 2018</v>
      </c>
      <c r="J590" s="7" t="str">
        <f aca="false">IF(ISNUMBER(SEARCH("Demographic and Health",I590)),"DHS",IF(OR(ISNUMBER(SEARCH("Multiple Indicator Cluster",I590)),ISNUMBER(SEARCH("MICS",I590))),"MICS","Other"))</f>
        <v>DHS</v>
      </c>
      <c r="K590" s="7" t="n">
        <f aca="false">IF(AND(F590="Record or Recall",G590="12-23 m"),1,0)</f>
        <v>1</v>
      </c>
      <c r="L590" s="7" t="n">
        <f aca="false">IF(OR(J590="DHS",J590="MICS"),1,0)</f>
        <v>1</v>
      </c>
    </row>
    <row r="591" customFormat="false" ht="15" hidden="false" customHeight="false" outlineLevel="0" collapsed="false">
      <c r="A591" s="7" t="s">
        <v>348</v>
      </c>
      <c r="B591" s="7" t="s">
        <v>371</v>
      </c>
      <c r="C591" s="7" t="s">
        <v>372</v>
      </c>
      <c r="D591" s="7" t="n">
        <v>2017</v>
      </c>
      <c r="E591" s="7" t="s">
        <v>68</v>
      </c>
      <c r="F591" s="7" t="s">
        <v>87</v>
      </c>
      <c r="G591" s="7" t="s">
        <v>66</v>
      </c>
      <c r="H591" s="7" t="n">
        <v>14.2</v>
      </c>
      <c r="I591" s="7" t="str">
        <f aca="false">IF(B591="",TRIM(C591),TRIM(B591))</f>
        <v>Cameroon Demographic and Health Survey 2018</v>
      </c>
      <c r="J591" s="7" t="str">
        <f aca="false">IF(ISNUMBER(SEARCH("Demographic and Health",I591)),"DHS",IF(OR(ISNUMBER(SEARCH("Multiple Indicator Cluster",I591)),ISNUMBER(SEARCH("MICS",I591))),"MICS","Other"))</f>
        <v>DHS</v>
      </c>
      <c r="K591" s="7" t="n">
        <f aca="false">IF(AND(F591="Record or Recall",G591="12-23 m"),1,0)</f>
        <v>0</v>
      </c>
      <c r="L591" s="7" t="n">
        <f aca="false">IF(OR(J591="DHS",J591="MICS"),1,0)</f>
        <v>1</v>
      </c>
    </row>
    <row r="592" customFormat="false" ht="15" hidden="false" customHeight="false" outlineLevel="0" collapsed="false">
      <c r="A592" s="7" t="s">
        <v>348</v>
      </c>
      <c r="B592" s="7" t="s">
        <v>371</v>
      </c>
      <c r="C592" s="7" t="s">
        <v>372</v>
      </c>
      <c r="D592" s="7" t="n">
        <v>2017</v>
      </c>
      <c r="E592" s="7" t="s">
        <v>69</v>
      </c>
      <c r="F592" s="7" t="s">
        <v>78</v>
      </c>
      <c r="G592" s="7" t="s">
        <v>66</v>
      </c>
      <c r="H592" s="7" t="n">
        <v>66.1</v>
      </c>
      <c r="I592" s="7" t="str">
        <f aca="false">IF(B592="",TRIM(C592),TRIM(B592))</f>
        <v>Cameroon Demographic and Health Survey 2018</v>
      </c>
      <c r="J592" s="7" t="str">
        <f aca="false">IF(ISNUMBER(SEARCH("Demographic and Health",I592)),"DHS",IF(OR(ISNUMBER(SEARCH("Multiple Indicator Cluster",I592)),ISNUMBER(SEARCH("MICS",I592))),"MICS","Other"))</f>
        <v>DHS</v>
      </c>
      <c r="K592" s="7" t="n">
        <f aca="false">IF(AND(F592="Record or Recall",G592="12-23 m"),1,0)</f>
        <v>0</v>
      </c>
      <c r="L592" s="7" t="n">
        <f aca="false">IF(OR(J592="DHS",J592="MICS"),1,0)</f>
        <v>1</v>
      </c>
    </row>
    <row r="593" customFormat="false" ht="15" hidden="false" customHeight="false" outlineLevel="0" collapsed="false">
      <c r="A593" s="7" t="s">
        <v>348</v>
      </c>
      <c r="B593" s="7" t="s">
        <v>371</v>
      </c>
      <c r="C593" s="7" t="s">
        <v>372</v>
      </c>
      <c r="D593" s="7" t="n">
        <v>2017</v>
      </c>
      <c r="E593" s="7" t="s">
        <v>69</v>
      </c>
      <c r="F593" s="7" t="s">
        <v>86</v>
      </c>
      <c r="G593" s="7" t="s">
        <v>66</v>
      </c>
      <c r="H593" s="7" t="n">
        <v>59.8</v>
      </c>
      <c r="I593" s="7" t="str">
        <f aca="false">IF(B593="",TRIM(C593),TRIM(B593))</f>
        <v>Cameroon Demographic and Health Survey 2018</v>
      </c>
      <c r="J593" s="7" t="str">
        <f aca="false">IF(ISNUMBER(SEARCH("Demographic and Health",I593)),"DHS",IF(OR(ISNUMBER(SEARCH("Multiple Indicator Cluster",I593)),ISNUMBER(SEARCH("MICS",I593))),"MICS","Other"))</f>
        <v>DHS</v>
      </c>
      <c r="K593" s="7" t="n">
        <f aca="false">IF(AND(F593="Record or Recall",G593="12-23 m"),1,0)</f>
        <v>0</v>
      </c>
      <c r="L593" s="7" t="n">
        <f aca="false">IF(OR(J593="DHS",J593="MICS"),1,0)</f>
        <v>1</v>
      </c>
    </row>
    <row r="594" customFormat="false" ht="15" hidden="false" customHeight="false" outlineLevel="0" collapsed="false">
      <c r="A594" s="7" t="s">
        <v>348</v>
      </c>
      <c r="B594" s="7" t="s">
        <v>371</v>
      </c>
      <c r="C594" s="7" t="s">
        <v>372</v>
      </c>
      <c r="D594" s="7" t="n">
        <v>2017</v>
      </c>
      <c r="E594" s="7" t="s">
        <v>69</v>
      </c>
      <c r="F594" s="7" t="s">
        <v>63</v>
      </c>
      <c r="G594" s="7" t="s">
        <v>66</v>
      </c>
      <c r="H594" s="7" t="n">
        <v>66.7</v>
      </c>
      <c r="I594" s="7" t="str">
        <f aca="false">IF(B594="",TRIM(C594),TRIM(B594))</f>
        <v>Cameroon Demographic and Health Survey 2018</v>
      </c>
      <c r="J594" s="7" t="str">
        <f aca="false">IF(ISNUMBER(SEARCH("Demographic and Health",I594)),"DHS",IF(OR(ISNUMBER(SEARCH("Multiple Indicator Cluster",I594)),ISNUMBER(SEARCH("MICS",I594))),"MICS","Other"))</f>
        <v>DHS</v>
      </c>
      <c r="K594" s="7" t="n">
        <f aca="false">IF(AND(F594="Record or Recall",G594="12-23 m"),1,0)</f>
        <v>1</v>
      </c>
      <c r="L594" s="7" t="n">
        <f aca="false">IF(OR(J594="DHS",J594="MICS"),1,0)</f>
        <v>1</v>
      </c>
    </row>
    <row r="595" customFormat="false" ht="15" hidden="false" customHeight="false" outlineLevel="0" collapsed="false">
      <c r="A595" s="7" t="s">
        <v>348</v>
      </c>
      <c r="B595" s="7" t="s">
        <v>371</v>
      </c>
      <c r="C595" s="7" t="s">
        <v>372</v>
      </c>
      <c r="D595" s="7" t="n">
        <v>2017</v>
      </c>
      <c r="E595" s="7" t="s">
        <v>69</v>
      </c>
      <c r="F595" s="7" t="s">
        <v>87</v>
      </c>
      <c r="G595" s="7" t="s">
        <v>66</v>
      </c>
      <c r="H595" s="7" t="n">
        <v>6.9</v>
      </c>
      <c r="I595" s="7" t="str">
        <f aca="false">IF(B595="",TRIM(C595),TRIM(B595))</f>
        <v>Cameroon Demographic and Health Survey 2018</v>
      </c>
      <c r="J595" s="7" t="str">
        <f aca="false">IF(ISNUMBER(SEARCH("Demographic and Health",I595)),"DHS",IF(OR(ISNUMBER(SEARCH("Multiple Indicator Cluster",I595)),ISNUMBER(SEARCH("MICS",I595))),"MICS","Other"))</f>
        <v>DHS</v>
      </c>
      <c r="K595" s="7" t="n">
        <f aca="false">IF(AND(F595="Record or Recall",G595="12-23 m"),1,0)</f>
        <v>0</v>
      </c>
      <c r="L595" s="7" t="n">
        <f aca="false">IF(OR(J595="DHS",J595="MICS"),1,0)</f>
        <v>1</v>
      </c>
    </row>
    <row r="596" customFormat="false" ht="15" hidden="false" customHeight="false" outlineLevel="0" collapsed="false">
      <c r="A596" s="7" t="s">
        <v>348</v>
      </c>
      <c r="B596" s="7" t="s">
        <v>373</v>
      </c>
      <c r="C596" s="7" t="s">
        <v>373</v>
      </c>
      <c r="D596" s="7" t="n">
        <v>2020</v>
      </c>
      <c r="E596" s="7" t="s">
        <v>62</v>
      </c>
      <c r="F596" s="7" t="s">
        <v>86</v>
      </c>
      <c r="G596" s="7" t="s">
        <v>91</v>
      </c>
      <c r="H596" s="7" t="n">
        <v>50.26431</v>
      </c>
      <c r="I596" s="7" t="str">
        <f aca="false">IF(B596="",TRIM(C596),TRIM(B596))</f>
        <v>2023 Cameroon Vaccination Coverage Survey</v>
      </c>
      <c r="J596" s="7" t="str">
        <f aca="false">IF(ISNUMBER(SEARCH("Demographic and Health",I596)),"DHS",IF(OR(ISNUMBER(SEARCH("Multiple Indicator Cluster",I596)),ISNUMBER(SEARCH("MICS",I596))),"MICS","Other"))</f>
        <v>Other</v>
      </c>
      <c r="K596" s="7" t="n">
        <f aca="false">IF(AND(F596="Record or Recall",G596="12-23 m"),1,0)</f>
        <v>0</v>
      </c>
      <c r="L596" s="7" t="n">
        <f aca="false">IF(OR(J596="DHS",J596="MICS"),1,0)</f>
        <v>0</v>
      </c>
    </row>
    <row r="597" customFormat="false" ht="15" hidden="false" customHeight="false" outlineLevel="0" collapsed="false">
      <c r="A597" s="7" t="s">
        <v>348</v>
      </c>
      <c r="B597" s="7" t="s">
        <v>373</v>
      </c>
      <c r="C597" s="7" t="s">
        <v>373</v>
      </c>
      <c r="D597" s="7" t="n">
        <v>2020</v>
      </c>
      <c r="E597" s="7" t="s">
        <v>62</v>
      </c>
      <c r="F597" s="7" t="s">
        <v>63</v>
      </c>
      <c r="G597" s="7" t="s">
        <v>91</v>
      </c>
      <c r="H597" s="7" t="n">
        <v>78.14346</v>
      </c>
      <c r="I597" s="7" t="str">
        <f aca="false">IF(B597="",TRIM(C597),TRIM(B597))</f>
        <v>2023 Cameroon Vaccination Coverage Survey</v>
      </c>
      <c r="J597" s="7" t="str">
        <f aca="false">IF(ISNUMBER(SEARCH("Demographic and Health",I597)),"DHS",IF(OR(ISNUMBER(SEARCH("Multiple Indicator Cluster",I597)),ISNUMBER(SEARCH("MICS",I597))),"MICS","Other"))</f>
        <v>Other</v>
      </c>
      <c r="K597" s="7" t="n">
        <f aca="false">IF(AND(F597="Record or Recall",G597="12-23 m"),1,0)</f>
        <v>0</v>
      </c>
      <c r="L597" s="7" t="n">
        <f aca="false">IF(OR(J597="DHS",J597="MICS"),1,0)</f>
        <v>0</v>
      </c>
    </row>
    <row r="598" customFormat="false" ht="15" hidden="false" customHeight="false" outlineLevel="0" collapsed="false">
      <c r="A598" s="7" t="s">
        <v>348</v>
      </c>
      <c r="B598" s="7" t="s">
        <v>373</v>
      </c>
      <c r="C598" s="7" t="s">
        <v>373</v>
      </c>
      <c r="D598" s="7" t="n">
        <v>2020</v>
      </c>
      <c r="E598" s="7" t="s">
        <v>62</v>
      </c>
      <c r="F598" s="7" t="s">
        <v>87</v>
      </c>
      <c r="G598" s="7" t="s">
        <v>91</v>
      </c>
      <c r="H598" s="7" t="n">
        <v>27.879154</v>
      </c>
      <c r="I598" s="7" t="str">
        <f aca="false">IF(B598="",TRIM(C598),TRIM(B598))</f>
        <v>2023 Cameroon Vaccination Coverage Survey</v>
      </c>
      <c r="J598" s="7" t="str">
        <f aca="false">IF(ISNUMBER(SEARCH("Demographic and Health",I598)),"DHS",IF(OR(ISNUMBER(SEARCH("Multiple Indicator Cluster",I598)),ISNUMBER(SEARCH("MICS",I598))),"MICS","Other"))</f>
        <v>Other</v>
      </c>
      <c r="K598" s="7" t="n">
        <f aca="false">IF(AND(F598="Record or Recall",G598="12-23 m"),1,0)</f>
        <v>0</v>
      </c>
      <c r="L598" s="7" t="n">
        <f aca="false">IF(OR(J598="DHS",J598="MICS"),1,0)</f>
        <v>0</v>
      </c>
    </row>
    <row r="599" customFormat="false" ht="15" hidden="false" customHeight="false" outlineLevel="0" collapsed="false">
      <c r="A599" s="7" t="s">
        <v>348</v>
      </c>
      <c r="B599" s="7" t="s">
        <v>373</v>
      </c>
      <c r="C599" s="7" t="s">
        <v>373</v>
      </c>
      <c r="D599" s="7" t="n">
        <v>2020</v>
      </c>
      <c r="E599" s="7" t="s">
        <v>81</v>
      </c>
      <c r="F599" s="7" t="s">
        <v>86</v>
      </c>
      <c r="G599" s="7" t="s">
        <v>91</v>
      </c>
      <c r="H599" s="7" t="n">
        <v>51.534176</v>
      </c>
      <c r="I599" s="7" t="str">
        <f aca="false">IF(B599="",TRIM(C599),TRIM(B599))</f>
        <v>2023 Cameroon Vaccination Coverage Survey</v>
      </c>
      <c r="J599" s="7" t="str">
        <f aca="false">IF(ISNUMBER(SEARCH("Demographic and Health",I599)),"DHS",IF(OR(ISNUMBER(SEARCH("Multiple Indicator Cluster",I599)),ISNUMBER(SEARCH("MICS",I599))),"MICS","Other"))</f>
        <v>Other</v>
      </c>
      <c r="K599" s="7" t="n">
        <f aca="false">IF(AND(F599="Record or Recall",G599="12-23 m"),1,0)</f>
        <v>0</v>
      </c>
      <c r="L599" s="7" t="n">
        <f aca="false">IF(OR(J599="DHS",J599="MICS"),1,0)</f>
        <v>0</v>
      </c>
    </row>
    <row r="600" customFormat="false" ht="15" hidden="false" customHeight="false" outlineLevel="0" collapsed="false">
      <c r="A600" s="7" t="s">
        <v>348</v>
      </c>
      <c r="B600" s="7" t="s">
        <v>373</v>
      </c>
      <c r="C600" s="7" t="s">
        <v>373</v>
      </c>
      <c r="D600" s="7" t="n">
        <v>2020</v>
      </c>
      <c r="E600" s="7" t="s">
        <v>81</v>
      </c>
      <c r="F600" s="7" t="s">
        <v>63</v>
      </c>
      <c r="G600" s="7" t="s">
        <v>91</v>
      </c>
      <c r="H600" s="7" t="n">
        <v>71.89937</v>
      </c>
      <c r="I600" s="7" t="str">
        <f aca="false">IF(B600="",TRIM(C600),TRIM(B600))</f>
        <v>2023 Cameroon Vaccination Coverage Survey</v>
      </c>
      <c r="J600" s="7" t="str">
        <f aca="false">IF(ISNUMBER(SEARCH("Demographic and Health",I600)),"DHS",IF(OR(ISNUMBER(SEARCH("Multiple Indicator Cluster",I600)),ISNUMBER(SEARCH("MICS",I600))),"MICS","Other"))</f>
        <v>Other</v>
      </c>
      <c r="K600" s="7" t="n">
        <f aca="false">IF(AND(F600="Record or Recall",G600="12-23 m"),1,0)</f>
        <v>0</v>
      </c>
      <c r="L600" s="7" t="n">
        <f aca="false">IF(OR(J600="DHS",J600="MICS"),1,0)</f>
        <v>0</v>
      </c>
    </row>
    <row r="601" customFormat="false" ht="15" hidden="false" customHeight="false" outlineLevel="0" collapsed="false">
      <c r="A601" s="7" t="s">
        <v>348</v>
      </c>
      <c r="B601" s="7" t="s">
        <v>373</v>
      </c>
      <c r="C601" s="7" t="s">
        <v>373</v>
      </c>
      <c r="D601" s="7" t="n">
        <v>2020</v>
      </c>
      <c r="E601" s="7" t="s">
        <v>81</v>
      </c>
      <c r="F601" s="7" t="s">
        <v>87</v>
      </c>
      <c r="G601" s="7" t="s">
        <v>91</v>
      </c>
      <c r="H601" s="7" t="n">
        <v>20.365192</v>
      </c>
      <c r="I601" s="7" t="str">
        <f aca="false">IF(B601="",TRIM(C601),TRIM(B601))</f>
        <v>2023 Cameroon Vaccination Coverage Survey</v>
      </c>
      <c r="J601" s="7" t="str">
        <f aca="false">IF(ISNUMBER(SEARCH("Demographic and Health",I601)),"DHS",IF(OR(ISNUMBER(SEARCH("Multiple Indicator Cluster",I601)),ISNUMBER(SEARCH("MICS",I601))),"MICS","Other"))</f>
        <v>Other</v>
      </c>
      <c r="K601" s="7" t="n">
        <f aca="false">IF(AND(F601="Record or Recall",G601="12-23 m"),1,0)</f>
        <v>0</v>
      </c>
      <c r="L601" s="7" t="n">
        <f aca="false">IF(OR(J601="DHS",J601="MICS"),1,0)</f>
        <v>0</v>
      </c>
    </row>
    <row r="602" customFormat="false" ht="15" hidden="false" customHeight="false" outlineLevel="0" collapsed="false">
      <c r="A602" s="7" t="s">
        <v>348</v>
      </c>
      <c r="B602" s="7" t="s">
        <v>373</v>
      </c>
      <c r="C602" s="7" t="s">
        <v>373</v>
      </c>
      <c r="D602" s="7" t="n">
        <v>2020</v>
      </c>
      <c r="E602" s="7" t="s">
        <v>67</v>
      </c>
      <c r="F602" s="7" t="s">
        <v>86</v>
      </c>
      <c r="G602" s="7" t="s">
        <v>91</v>
      </c>
      <c r="H602" s="7" t="n">
        <v>45.110374</v>
      </c>
      <c r="I602" s="7" t="str">
        <f aca="false">IF(B602="",TRIM(C602),TRIM(B602))</f>
        <v>2023 Cameroon Vaccination Coverage Survey</v>
      </c>
      <c r="J602" s="7" t="str">
        <f aca="false">IF(ISNUMBER(SEARCH("Demographic and Health",I602)),"DHS",IF(OR(ISNUMBER(SEARCH("Multiple Indicator Cluster",I602)),ISNUMBER(SEARCH("MICS",I602))),"MICS","Other"))</f>
        <v>Other</v>
      </c>
      <c r="K602" s="7" t="n">
        <f aca="false">IF(AND(F602="Record or Recall",G602="12-23 m"),1,0)</f>
        <v>0</v>
      </c>
      <c r="L602" s="7" t="n">
        <f aca="false">IF(OR(J602="DHS",J602="MICS"),1,0)</f>
        <v>0</v>
      </c>
    </row>
    <row r="603" customFormat="false" ht="15" hidden="false" customHeight="false" outlineLevel="0" collapsed="false">
      <c r="A603" s="7" t="s">
        <v>348</v>
      </c>
      <c r="B603" s="7" t="s">
        <v>373</v>
      </c>
      <c r="C603" s="7" t="s">
        <v>373</v>
      </c>
      <c r="D603" s="7" t="n">
        <v>2020</v>
      </c>
      <c r="E603" s="7" t="s">
        <v>67</v>
      </c>
      <c r="F603" s="7" t="s">
        <v>63</v>
      </c>
      <c r="G603" s="7" t="s">
        <v>91</v>
      </c>
      <c r="H603" s="7" t="n">
        <v>61.26156</v>
      </c>
      <c r="I603" s="7" t="str">
        <f aca="false">IF(B603="",TRIM(C603),TRIM(B603))</f>
        <v>2023 Cameroon Vaccination Coverage Survey</v>
      </c>
      <c r="J603" s="7" t="str">
        <f aca="false">IF(ISNUMBER(SEARCH("Demographic and Health",I603)),"DHS",IF(OR(ISNUMBER(SEARCH("Multiple Indicator Cluster",I603)),ISNUMBER(SEARCH("MICS",I603))),"MICS","Other"))</f>
        <v>Other</v>
      </c>
      <c r="K603" s="7" t="n">
        <f aca="false">IF(AND(F603="Record or Recall",G603="12-23 m"),1,0)</f>
        <v>0</v>
      </c>
      <c r="L603" s="7" t="n">
        <f aca="false">IF(OR(J603="DHS",J603="MICS"),1,0)</f>
        <v>0</v>
      </c>
    </row>
    <row r="604" customFormat="false" ht="15" hidden="false" customHeight="false" outlineLevel="0" collapsed="false">
      <c r="A604" s="7" t="s">
        <v>348</v>
      </c>
      <c r="B604" s="7" t="s">
        <v>373</v>
      </c>
      <c r="C604" s="7" t="s">
        <v>373</v>
      </c>
      <c r="D604" s="7" t="n">
        <v>2020</v>
      </c>
      <c r="E604" s="7" t="s">
        <v>67</v>
      </c>
      <c r="F604" s="7" t="s">
        <v>87</v>
      </c>
      <c r="G604" s="7" t="s">
        <v>91</v>
      </c>
      <c r="H604" s="7" t="n">
        <v>16.151184</v>
      </c>
      <c r="I604" s="7" t="str">
        <f aca="false">IF(B604="",TRIM(C604),TRIM(B604))</f>
        <v>2023 Cameroon Vaccination Coverage Survey</v>
      </c>
      <c r="J604" s="7" t="str">
        <f aca="false">IF(ISNUMBER(SEARCH("Demographic and Health",I604)),"DHS",IF(OR(ISNUMBER(SEARCH("Multiple Indicator Cluster",I604)),ISNUMBER(SEARCH("MICS",I604))),"MICS","Other"))</f>
        <v>Other</v>
      </c>
      <c r="K604" s="7" t="n">
        <f aca="false">IF(AND(F604="Record or Recall",G604="12-23 m"),1,0)</f>
        <v>0</v>
      </c>
      <c r="L604" s="7" t="n">
        <f aca="false">IF(OR(J604="DHS",J604="MICS"),1,0)</f>
        <v>0</v>
      </c>
    </row>
    <row r="605" customFormat="false" ht="15" hidden="false" customHeight="false" outlineLevel="0" collapsed="false">
      <c r="A605" s="7" t="s">
        <v>348</v>
      </c>
      <c r="B605" s="7" t="s">
        <v>373</v>
      </c>
      <c r="C605" s="7" t="s">
        <v>373</v>
      </c>
      <c r="D605" s="7" t="n">
        <v>2020</v>
      </c>
      <c r="E605" s="7" t="s">
        <v>82</v>
      </c>
      <c r="F605" s="7" t="s">
        <v>63</v>
      </c>
      <c r="G605" s="7" t="s">
        <v>91</v>
      </c>
      <c r="H605" s="7" t="n">
        <v>37.42211</v>
      </c>
      <c r="I605" s="7" t="str">
        <f aca="false">IF(B605="",TRIM(C605),TRIM(B605))</f>
        <v>2023 Cameroon Vaccination Coverage Survey</v>
      </c>
      <c r="J605" s="7" t="str">
        <f aca="false">IF(ISNUMBER(SEARCH("Demographic and Health",I605)),"DHS",IF(OR(ISNUMBER(SEARCH("Multiple Indicator Cluster",I605)),ISNUMBER(SEARCH("MICS",I605))),"MICS","Other"))</f>
        <v>Other</v>
      </c>
      <c r="K605" s="7" t="n">
        <f aca="false">IF(AND(F605="Record or Recall",G605="12-23 m"),1,0)</f>
        <v>0</v>
      </c>
      <c r="L605" s="7" t="n">
        <f aca="false">IF(OR(J605="DHS",J605="MICS"),1,0)</f>
        <v>0</v>
      </c>
    </row>
    <row r="606" customFormat="false" ht="15" hidden="false" customHeight="false" outlineLevel="0" collapsed="false">
      <c r="A606" s="7" t="s">
        <v>348</v>
      </c>
      <c r="B606" s="7" t="s">
        <v>373</v>
      </c>
      <c r="C606" s="7" t="s">
        <v>373</v>
      </c>
      <c r="D606" s="7" t="n">
        <v>2020</v>
      </c>
      <c r="E606" s="7" t="s">
        <v>68</v>
      </c>
      <c r="F606" s="7" t="s">
        <v>86</v>
      </c>
      <c r="G606" s="7" t="s">
        <v>91</v>
      </c>
      <c r="H606" s="7" t="n">
        <v>38.297855</v>
      </c>
      <c r="I606" s="7" t="str">
        <f aca="false">IF(B606="",TRIM(C606),TRIM(B606))</f>
        <v>2023 Cameroon Vaccination Coverage Survey</v>
      </c>
      <c r="J606" s="7" t="str">
        <f aca="false">IF(ISNUMBER(SEARCH("Demographic and Health",I606)),"DHS",IF(OR(ISNUMBER(SEARCH("Multiple Indicator Cluster",I606)),ISNUMBER(SEARCH("MICS",I606))),"MICS","Other"))</f>
        <v>Other</v>
      </c>
      <c r="K606" s="7" t="n">
        <f aca="false">IF(AND(F606="Record or Recall",G606="12-23 m"),1,0)</f>
        <v>0</v>
      </c>
      <c r="L606" s="7" t="n">
        <f aca="false">IF(OR(J606="DHS",J606="MICS"),1,0)</f>
        <v>0</v>
      </c>
    </row>
    <row r="607" customFormat="false" ht="15" hidden="false" customHeight="false" outlineLevel="0" collapsed="false">
      <c r="A607" s="7" t="s">
        <v>348</v>
      </c>
      <c r="B607" s="7" t="s">
        <v>373</v>
      </c>
      <c r="C607" s="7" t="s">
        <v>373</v>
      </c>
      <c r="D607" s="7" t="n">
        <v>2020</v>
      </c>
      <c r="E607" s="7" t="s">
        <v>68</v>
      </c>
      <c r="F607" s="7" t="s">
        <v>63</v>
      </c>
      <c r="G607" s="7" t="s">
        <v>91</v>
      </c>
      <c r="H607" s="7" t="n">
        <v>53.926098</v>
      </c>
      <c r="I607" s="7" t="str">
        <f aca="false">IF(B607="",TRIM(C607),TRIM(B607))</f>
        <v>2023 Cameroon Vaccination Coverage Survey</v>
      </c>
      <c r="J607" s="7" t="str">
        <f aca="false">IF(ISNUMBER(SEARCH("Demographic and Health",I607)),"DHS",IF(OR(ISNUMBER(SEARCH("Multiple Indicator Cluster",I607)),ISNUMBER(SEARCH("MICS",I607))),"MICS","Other"))</f>
        <v>Other</v>
      </c>
      <c r="K607" s="7" t="n">
        <f aca="false">IF(AND(F607="Record or Recall",G607="12-23 m"),1,0)</f>
        <v>0</v>
      </c>
      <c r="L607" s="7" t="n">
        <f aca="false">IF(OR(J607="DHS",J607="MICS"),1,0)</f>
        <v>0</v>
      </c>
    </row>
    <row r="608" customFormat="false" ht="15" hidden="false" customHeight="false" outlineLevel="0" collapsed="false">
      <c r="A608" s="7" t="s">
        <v>348</v>
      </c>
      <c r="B608" s="7" t="s">
        <v>373</v>
      </c>
      <c r="C608" s="7" t="s">
        <v>373</v>
      </c>
      <c r="D608" s="7" t="n">
        <v>2020</v>
      </c>
      <c r="E608" s="7" t="s">
        <v>68</v>
      </c>
      <c r="F608" s="7" t="s">
        <v>87</v>
      </c>
      <c r="G608" s="7" t="s">
        <v>91</v>
      </c>
      <c r="H608" s="7" t="n">
        <v>15.628243</v>
      </c>
      <c r="I608" s="7" t="str">
        <f aca="false">IF(B608="",TRIM(C608),TRIM(B608))</f>
        <v>2023 Cameroon Vaccination Coverage Survey</v>
      </c>
      <c r="J608" s="7" t="str">
        <f aca="false">IF(ISNUMBER(SEARCH("Demographic and Health",I608)),"DHS",IF(OR(ISNUMBER(SEARCH("Multiple Indicator Cluster",I608)),ISNUMBER(SEARCH("MICS",I608))),"MICS","Other"))</f>
        <v>Other</v>
      </c>
      <c r="K608" s="7" t="n">
        <f aca="false">IF(AND(F608="Record or Recall",G608="12-23 m"),1,0)</f>
        <v>0</v>
      </c>
      <c r="L608" s="7" t="n">
        <f aca="false">IF(OR(J608="DHS",J608="MICS"),1,0)</f>
        <v>0</v>
      </c>
    </row>
    <row r="609" customFormat="false" ht="15" hidden="false" customHeight="false" outlineLevel="0" collapsed="false">
      <c r="A609" s="7" t="s">
        <v>348</v>
      </c>
      <c r="B609" s="7" t="s">
        <v>373</v>
      </c>
      <c r="C609" s="7" t="s">
        <v>373</v>
      </c>
      <c r="D609" s="7" t="n">
        <v>2020</v>
      </c>
      <c r="E609" s="7" t="s">
        <v>69</v>
      </c>
      <c r="F609" s="7" t="s">
        <v>86</v>
      </c>
      <c r="G609" s="7" t="s">
        <v>91</v>
      </c>
      <c r="H609" s="7" t="n">
        <v>44.250137</v>
      </c>
      <c r="I609" s="7" t="str">
        <f aca="false">IF(B609="",TRIM(C609),TRIM(B609))</f>
        <v>2023 Cameroon Vaccination Coverage Survey</v>
      </c>
      <c r="J609" s="7" t="str">
        <f aca="false">IF(ISNUMBER(SEARCH("Demographic and Health",I609)),"DHS",IF(OR(ISNUMBER(SEARCH("Multiple Indicator Cluster",I609)),ISNUMBER(SEARCH("MICS",I609))),"MICS","Other"))</f>
        <v>Other</v>
      </c>
      <c r="K609" s="7" t="n">
        <f aca="false">IF(AND(F609="Record or Recall",G609="12-23 m"),1,0)</f>
        <v>0</v>
      </c>
      <c r="L609" s="7" t="n">
        <f aca="false">IF(OR(J609="DHS",J609="MICS"),1,0)</f>
        <v>0</v>
      </c>
    </row>
    <row r="610" customFormat="false" ht="15" hidden="false" customHeight="false" outlineLevel="0" collapsed="false">
      <c r="A610" s="7" t="s">
        <v>348</v>
      </c>
      <c r="B610" s="7" t="s">
        <v>373</v>
      </c>
      <c r="C610" s="7" t="s">
        <v>373</v>
      </c>
      <c r="D610" s="7" t="n">
        <v>2020</v>
      </c>
      <c r="E610" s="7" t="s">
        <v>69</v>
      </c>
      <c r="F610" s="7" t="s">
        <v>63</v>
      </c>
      <c r="G610" s="7" t="s">
        <v>91</v>
      </c>
      <c r="H610" s="7" t="n">
        <v>50.519196</v>
      </c>
      <c r="I610" s="7" t="str">
        <f aca="false">IF(B610="",TRIM(C610),TRIM(B610))</f>
        <v>2023 Cameroon Vaccination Coverage Survey</v>
      </c>
      <c r="J610" s="7" t="str">
        <f aca="false">IF(ISNUMBER(SEARCH("Demographic and Health",I610)),"DHS",IF(OR(ISNUMBER(SEARCH("Multiple Indicator Cluster",I610)),ISNUMBER(SEARCH("MICS",I610))),"MICS","Other"))</f>
        <v>Other</v>
      </c>
      <c r="K610" s="7" t="n">
        <f aca="false">IF(AND(F610="Record or Recall",G610="12-23 m"),1,0)</f>
        <v>0</v>
      </c>
      <c r="L610" s="7" t="n">
        <f aca="false">IF(OR(J610="DHS",J610="MICS"),1,0)</f>
        <v>0</v>
      </c>
    </row>
    <row r="611" customFormat="false" ht="15" hidden="false" customHeight="false" outlineLevel="0" collapsed="false">
      <c r="A611" s="7" t="s">
        <v>348</v>
      </c>
      <c r="B611" s="7" t="s">
        <v>373</v>
      </c>
      <c r="C611" s="7" t="s">
        <v>373</v>
      </c>
      <c r="D611" s="7" t="n">
        <v>2020</v>
      </c>
      <c r="E611" s="7" t="s">
        <v>69</v>
      </c>
      <c r="F611" s="7" t="s">
        <v>87</v>
      </c>
      <c r="G611" s="7" t="s">
        <v>91</v>
      </c>
      <c r="H611" s="7" t="n">
        <v>6.269059</v>
      </c>
      <c r="I611" s="7" t="str">
        <f aca="false">IF(B611="",TRIM(C611),TRIM(B611))</f>
        <v>2023 Cameroon Vaccination Coverage Survey</v>
      </c>
      <c r="J611" s="7" t="str">
        <f aca="false">IF(ISNUMBER(SEARCH("Demographic and Health",I611)),"DHS",IF(OR(ISNUMBER(SEARCH("Multiple Indicator Cluster",I611)),ISNUMBER(SEARCH("MICS",I611))),"MICS","Other"))</f>
        <v>Other</v>
      </c>
      <c r="K611" s="7" t="n">
        <f aca="false">IF(AND(F611="Record or Recall",G611="12-23 m"),1,0)</f>
        <v>0</v>
      </c>
      <c r="L611" s="7" t="n">
        <f aca="false">IF(OR(J611="DHS",J611="MICS"),1,0)</f>
        <v>0</v>
      </c>
    </row>
    <row r="612" customFormat="false" ht="15" hidden="false" customHeight="false" outlineLevel="0" collapsed="false">
      <c r="A612" s="7" t="s">
        <v>348</v>
      </c>
      <c r="B612" s="7" t="s">
        <v>373</v>
      </c>
      <c r="C612" s="7" t="s">
        <v>373</v>
      </c>
      <c r="D612" s="7" t="n">
        <v>2021</v>
      </c>
      <c r="E612" s="7" t="s">
        <v>62</v>
      </c>
      <c r="F612" s="7" t="s">
        <v>86</v>
      </c>
      <c r="G612" s="7" t="s">
        <v>66</v>
      </c>
      <c r="H612" s="7" t="n">
        <v>64.97634</v>
      </c>
      <c r="I612" s="7" t="str">
        <f aca="false">IF(B612="",TRIM(C612),TRIM(B612))</f>
        <v>2023 Cameroon Vaccination Coverage Survey</v>
      </c>
      <c r="J612" s="7" t="str">
        <f aca="false">IF(ISNUMBER(SEARCH("Demographic and Health",I612)),"DHS",IF(OR(ISNUMBER(SEARCH("Multiple Indicator Cluster",I612)),ISNUMBER(SEARCH("MICS",I612))),"MICS","Other"))</f>
        <v>Other</v>
      </c>
      <c r="K612" s="7" t="n">
        <f aca="false">IF(AND(F612="Record or Recall",G612="12-23 m"),1,0)</f>
        <v>0</v>
      </c>
      <c r="L612" s="7" t="n">
        <f aca="false">IF(OR(J612="DHS",J612="MICS"),1,0)</f>
        <v>0</v>
      </c>
    </row>
    <row r="613" customFormat="false" ht="15" hidden="false" customHeight="false" outlineLevel="0" collapsed="false">
      <c r="A613" s="7" t="s">
        <v>348</v>
      </c>
      <c r="B613" s="7" t="s">
        <v>373</v>
      </c>
      <c r="C613" s="7" t="s">
        <v>373</v>
      </c>
      <c r="D613" s="7" t="n">
        <v>2021</v>
      </c>
      <c r="E613" s="7" t="s">
        <v>62</v>
      </c>
      <c r="F613" s="7" t="s">
        <v>63</v>
      </c>
      <c r="G613" s="7" t="s">
        <v>66</v>
      </c>
      <c r="H613" s="7" t="n">
        <v>82.63561</v>
      </c>
      <c r="I613" s="7" t="str">
        <f aca="false">IF(B613="",TRIM(C613),TRIM(B613))</f>
        <v>2023 Cameroon Vaccination Coverage Survey</v>
      </c>
      <c r="J613" s="7" t="str">
        <f aca="false">IF(ISNUMBER(SEARCH("Demographic and Health",I613)),"DHS",IF(OR(ISNUMBER(SEARCH("Multiple Indicator Cluster",I613)),ISNUMBER(SEARCH("MICS",I613))),"MICS","Other"))</f>
        <v>Other</v>
      </c>
      <c r="K613" s="7" t="n">
        <f aca="false">IF(AND(F613="Record or Recall",G613="12-23 m"),1,0)</f>
        <v>1</v>
      </c>
      <c r="L613" s="7" t="n">
        <f aca="false">IF(OR(J613="DHS",J613="MICS"),1,0)</f>
        <v>0</v>
      </c>
    </row>
    <row r="614" customFormat="false" ht="15" hidden="false" customHeight="false" outlineLevel="0" collapsed="false">
      <c r="A614" s="7" t="s">
        <v>348</v>
      </c>
      <c r="B614" s="7" t="s">
        <v>373</v>
      </c>
      <c r="C614" s="7" t="s">
        <v>373</v>
      </c>
      <c r="D614" s="7" t="n">
        <v>2021</v>
      </c>
      <c r="E614" s="7" t="s">
        <v>62</v>
      </c>
      <c r="F614" s="7" t="s">
        <v>87</v>
      </c>
      <c r="G614" s="7" t="s">
        <v>66</v>
      </c>
      <c r="H614" s="7" t="n">
        <v>17.659275</v>
      </c>
      <c r="I614" s="7" t="str">
        <f aca="false">IF(B614="",TRIM(C614),TRIM(B614))</f>
        <v>2023 Cameroon Vaccination Coverage Survey</v>
      </c>
      <c r="J614" s="7" t="str">
        <f aca="false">IF(ISNUMBER(SEARCH("Demographic and Health",I614)),"DHS",IF(OR(ISNUMBER(SEARCH("Multiple Indicator Cluster",I614)),ISNUMBER(SEARCH("MICS",I614))),"MICS","Other"))</f>
        <v>Other</v>
      </c>
      <c r="K614" s="7" t="n">
        <f aca="false">IF(AND(F614="Record or Recall",G614="12-23 m"),1,0)</f>
        <v>0</v>
      </c>
      <c r="L614" s="7" t="n">
        <f aca="false">IF(OR(J614="DHS",J614="MICS"),1,0)</f>
        <v>0</v>
      </c>
    </row>
    <row r="615" customFormat="false" ht="15" hidden="false" customHeight="false" outlineLevel="0" collapsed="false">
      <c r="A615" s="7" t="s">
        <v>348</v>
      </c>
      <c r="B615" s="7" t="s">
        <v>373</v>
      </c>
      <c r="C615" s="7" t="s">
        <v>373</v>
      </c>
      <c r="D615" s="7" t="n">
        <v>2021</v>
      </c>
      <c r="E615" s="7" t="s">
        <v>81</v>
      </c>
      <c r="F615" s="7" t="s">
        <v>86</v>
      </c>
      <c r="G615" s="7" t="s">
        <v>66</v>
      </c>
      <c r="H615" s="7" t="n">
        <v>64.91847</v>
      </c>
      <c r="I615" s="7" t="str">
        <f aca="false">IF(B615="",TRIM(C615),TRIM(B615))</f>
        <v>2023 Cameroon Vaccination Coverage Survey</v>
      </c>
      <c r="J615" s="7" t="str">
        <f aca="false">IF(ISNUMBER(SEARCH("Demographic and Health",I615)),"DHS",IF(OR(ISNUMBER(SEARCH("Multiple Indicator Cluster",I615)),ISNUMBER(SEARCH("MICS",I615))),"MICS","Other"))</f>
        <v>Other</v>
      </c>
      <c r="K615" s="7" t="n">
        <f aca="false">IF(AND(F615="Record or Recall",G615="12-23 m"),1,0)</f>
        <v>0</v>
      </c>
      <c r="L615" s="7" t="n">
        <f aca="false">IF(OR(J615="DHS",J615="MICS"),1,0)</f>
        <v>0</v>
      </c>
    </row>
    <row r="616" customFormat="false" ht="15" hidden="false" customHeight="false" outlineLevel="0" collapsed="false">
      <c r="A616" s="7" t="s">
        <v>348</v>
      </c>
      <c r="B616" s="7" t="s">
        <v>373</v>
      </c>
      <c r="C616" s="7" t="s">
        <v>373</v>
      </c>
      <c r="D616" s="7" t="n">
        <v>2021</v>
      </c>
      <c r="E616" s="7" t="s">
        <v>81</v>
      </c>
      <c r="F616" s="7" t="s">
        <v>63</v>
      </c>
      <c r="G616" s="7" t="s">
        <v>66</v>
      </c>
      <c r="H616" s="7" t="n">
        <v>77.01834</v>
      </c>
      <c r="I616" s="7" t="str">
        <f aca="false">IF(B616="",TRIM(C616),TRIM(B616))</f>
        <v>2023 Cameroon Vaccination Coverage Survey</v>
      </c>
      <c r="J616" s="7" t="str">
        <f aca="false">IF(ISNUMBER(SEARCH("Demographic and Health",I616)),"DHS",IF(OR(ISNUMBER(SEARCH("Multiple Indicator Cluster",I616)),ISNUMBER(SEARCH("MICS",I616))),"MICS","Other"))</f>
        <v>Other</v>
      </c>
      <c r="K616" s="7" t="n">
        <f aca="false">IF(AND(F616="Record or Recall",G616="12-23 m"),1,0)</f>
        <v>1</v>
      </c>
      <c r="L616" s="7" t="n">
        <f aca="false">IF(OR(J616="DHS",J616="MICS"),1,0)</f>
        <v>0</v>
      </c>
    </row>
    <row r="617" customFormat="false" ht="15" hidden="false" customHeight="false" outlineLevel="0" collapsed="false">
      <c r="A617" s="7" t="s">
        <v>348</v>
      </c>
      <c r="B617" s="7" t="s">
        <v>373</v>
      </c>
      <c r="C617" s="7" t="s">
        <v>373</v>
      </c>
      <c r="D617" s="7" t="n">
        <v>2021</v>
      </c>
      <c r="E617" s="7" t="s">
        <v>81</v>
      </c>
      <c r="F617" s="7" t="s">
        <v>87</v>
      </c>
      <c r="G617" s="7" t="s">
        <v>66</v>
      </c>
      <c r="H617" s="7" t="n">
        <v>12.099865</v>
      </c>
      <c r="I617" s="7" t="str">
        <f aca="false">IF(B617="",TRIM(C617),TRIM(B617))</f>
        <v>2023 Cameroon Vaccination Coverage Survey</v>
      </c>
      <c r="J617" s="7" t="str">
        <f aca="false">IF(ISNUMBER(SEARCH("Demographic and Health",I617)),"DHS",IF(OR(ISNUMBER(SEARCH("Multiple Indicator Cluster",I617)),ISNUMBER(SEARCH("MICS",I617))),"MICS","Other"))</f>
        <v>Other</v>
      </c>
      <c r="K617" s="7" t="n">
        <f aca="false">IF(AND(F617="Record or Recall",G617="12-23 m"),1,0)</f>
        <v>0</v>
      </c>
      <c r="L617" s="7" t="n">
        <f aca="false">IF(OR(J617="DHS",J617="MICS"),1,0)</f>
        <v>0</v>
      </c>
    </row>
    <row r="618" customFormat="false" ht="15" hidden="false" customHeight="false" outlineLevel="0" collapsed="false">
      <c r="A618" s="7" t="s">
        <v>348</v>
      </c>
      <c r="B618" s="7" t="s">
        <v>373</v>
      </c>
      <c r="C618" s="7" t="s">
        <v>373</v>
      </c>
      <c r="D618" s="7" t="n">
        <v>2021</v>
      </c>
      <c r="E618" s="7" t="s">
        <v>67</v>
      </c>
      <c r="F618" s="7" t="s">
        <v>86</v>
      </c>
      <c r="G618" s="7" t="s">
        <v>66</v>
      </c>
      <c r="H618" s="7" t="n">
        <v>55.709194</v>
      </c>
      <c r="I618" s="7" t="str">
        <f aca="false">IF(B618="",TRIM(C618),TRIM(B618))</f>
        <v>2023 Cameroon Vaccination Coverage Survey</v>
      </c>
      <c r="J618" s="7" t="str">
        <f aca="false">IF(ISNUMBER(SEARCH("Demographic and Health",I618)),"DHS",IF(OR(ISNUMBER(SEARCH("Multiple Indicator Cluster",I618)),ISNUMBER(SEARCH("MICS",I618))),"MICS","Other"))</f>
        <v>Other</v>
      </c>
      <c r="K618" s="7" t="n">
        <f aca="false">IF(AND(F618="Record or Recall",G618="12-23 m"),1,0)</f>
        <v>0</v>
      </c>
      <c r="L618" s="7" t="n">
        <f aca="false">IF(OR(J618="DHS",J618="MICS"),1,0)</f>
        <v>0</v>
      </c>
    </row>
    <row r="619" customFormat="false" ht="15" hidden="false" customHeight="false" outlineLevel="0" collapsed="false">
      <c r="A619" s="7" t="s">
        <v>348</v>
      </c>
      <c r="B619" s="7" t="s">
        <v>373</v>
      </c>
      <c r="C619" s="7" t="s">
        <v>373</v>
      </c>
      <c r="D619" s="7" t="n">
        <v>2021</v>
      </c>
      <c r="E619" s="7" t="s">
        <v>67</v>
      </c>
      <c r="F619" s="7" t="s">
        <v>63</v>
      </c>
      <c r="G619" s="7" t="s">
        <v>66</v>
      </c>
      <c r="H619" s="7" t="n">
        <v>63.972366</v>
      </c>
      <c r="I619" s="7" t="str">
        <f aca="false">IF(B619="",TRIM(C619),TRIM(B619))</f>
        <v>2023 Cameroon Vaccination Coverage Survey</v>
      </c>
      <c r="J619" s="7" t="str">
        <f aca="false">IF(ISNUMBER(SEARCH("Demographic and Health",I619)),"DHS",IF(OR(ISNUMBER(SEARCH("Multiple Indicator Cluster",I619)),ISNUMBER(SEARCH("MICS",I619))),"MICS","Other"))</f>
        <v>Other</v>
      </c>
      <c r="K619" s="7" t="n">
        <f aca="false">IF(AND(F619="Record or Recall",G619="12-23 m"),1,0)</f>
        <v>1</v>
      </c>
      <c r="L619" s="7" t="n">
        <f aca="false">IF(OR(J619="DHS",J619="MICS"),1,0)</f>
        <v>0</v>
      </c>
    </row>
    <row r="620" customFormat="false" ht="15" hidden="false" customHeight="false" outlineLevel="0" collapsed="false">
      <c r="A620" s="7" t="s">
        <v>348</v>
      </c>
      <c r="B620" s="7" t="s">
        <v>373</v>
      </c>
      <c r="C620" s="7" t="s">
        <v>373</v>
      </c>
      <c r="D620" s="7" t="n">
        <v>2021</v>
      </c>
      <c r="E620" s="7" t="s">
        <v>67</v>
      </c>
      <c r="F620" s="7" t="s">
        <v>87</v>
      </c>
      <c r="G620" s="7" t="s">
        <v>66</v>
      </c>
      <c r="H620" s="7" t="n">
        <v>8.263172</v>
      </c>
      <c r="I620" s="7" t="str">
        <f aca="false">IF(B620="",TRIM(C620),TRIM(B620))</f>
        <v>2023 Cameroon Vaccination Coverage Survey</v>
      </c>
      <c r="J620" s="7" t="str">
        <f aca="false">IF(ISNUMBER(SEARCH("Demographic and Health",I620)),"DHS",IF(OR(ISNUMBER(SEARCH("Multiple Indicator Cluster",I620)),ISNUMBER(SEARCH("MICS",I620))),"MICS","Other"))</f>
        <v>Other</v>
      </c>
      <c r="K620" s="7" t="n">
        <f aca="false">IF(AND(F620="Record or Recall",G620="12-23 m"),1,0)</f>
        <v>0</v>
      </c>
      <c r="L620" s="7" t="n">
        <f aca="false">IF(OR(J620="DHS",J620="MICS"),1,0)</f>
        <v>0</v>
      </c>
    </row>
    <row r="621" customFormat="false" ht="15" hidden="false" customHeight="false" outlineLevel="0" collapsed="false">
      <c r="A621" s="7" t="s">
        <v>348</v>
      </c>
      <c r="B621" s="7" t="s">
        <v>373</v>
      </c>
      <c r="C621" s="7" t="s">
        <v>373</v>
      </c>
      <c r="D621" s="7" t="n">
        <v>2021</v>
      </c>
      <c r="E621" s="7" t="s">
        <v>82</v>
      </c>
      <c r="F621" s="7" t="s">
        <v>63</v>
      </c>
      <c r="G621" s="7" t="s">
        <v>66</v>
      </c>
      <c r="H621" s="7" t="n">
        <v>43.9413</v>
      </c>
      <c r="I621" s="7" t="str">
        <f aca="false">IF(B621="",TRIM(C621),TRIM(B621))</f>
        <v>2023 Cameroon Vaccination Coverage Survey</v>
      </c>
      <c r="J621" s="7" t="str">
        <f aca="false">IF(ISNUMBER(SEARCH("Demographic and Health",I621)),"DHS",IF(OR(ISNUMBER(SEARCH("Multiple Indicator Cluster",I621)),ISNUMBER(SEARCH("MICS",I621))),"MICS","Other"))</f>
        <v>Other</v>
      </c>
      <c r="K621" s="7" t="n">
        <f aca="false">IF(AND(F621="Record or Recall",G621="12-23 m"),1,0)</f>
        <v>1</v>
      </c>
      <c r="L621" s="7" t="n">
        <f aca="false">IF(OR(J621="DHS",J621="MICS"),1,0)</f>
        <v>0</v>
      </c>
    </row>
    <row r="622" customFormat="false" ht="15" hidden="false" customHeight="false" outlineLevel="0" collapsed="false">
      <c r="A622" s="7" t="s">
        <v>348</v>
      </c>
      <c r="B622" s="7" t="s">
        <v>373</v>
      </c>
      <c r="C622" s="7" t="s">
        <v>373</v>
      </c>
      <c r="D622" s="7" t="n">
        <v>2021</v>
      </c>
      <c r="E622" s="7" t="s">
        <v>68</v>
      </c>
      <c r="F622" s="7" t="s">
        <v>86</v>
      </c>
      <c r="G622" s="7" t="s">
        <v>66</v>
      </c>
      <c r="H622" s="7" t="n">
        <v>48.314182</v>
      </c>
      <c r="I622" s="7" t="str">
        <f aca="false">IF(B622="",TRIM(C622),TRIM(B622))</f>
        <v>2023 Cameroon Vaccination Coverage Survey</v>
      </c>
      <c r="J622" s="7" t="str">
        <f aca="false">IF(ISNUMBER(SEARCH("Demographic and Health",I622)),"DHS",IF(OR(ISNUMBER(SEARCH("Multiple Indicator Cluster",I622)),ISNUMBER(SEARCH("MICS",I622))),"MICS","Other"))</f>
        <v>Other</v>
      </c>
      <c r="K622" s="7" t="n">
        <f aca="false">IF(AND(F622="Record or Recall",G622="12-23 m"),1,0)</f>
        <v>0</v>
      </c>
      <c r="L622" s="7" t="n">
        <f aca="false">IF(OR(J622="DHS",J622="MICS"),1,0)</f>
        <v>0</v>
      </c>
    </row>
    <row r="623" customFormat="false" ht="15" hidden="false" customHeight="false" outlineLevel="0" collapsed="false">
      <c r="A623" s="7" t="s">
        <v>348</v>
      </c>
      <c r="B623" s="7" t="s">
        <v>373</v>
      </c>
      <c r="C623" s="7" t="s">
        <v>373</v>
      </c>
      <c r="D623" s="7" t="n">
        <v>2021</v>
      </c>
      <c r="E623" s="7" t="s">
        <v>68</v>
      </c>
      <c r="F623" s="7" t="s">
        <v>63</v>
      </c>
      <c r="G623" s="7" t="s">
        <v>66</v>
      </c>
      <c r="H623" s="7" t="n">
        <v>56.231434</v>
      </c>
      <c r="I623" s="7" t="str">
        <f aca="false">IF(B623="",TRIM(C623),TRIM(B623))</f>
        <v>2023 Cameroon Vaccination Coverage Survey</v>
      </c>
      <c r="J623" s="7" t="str">
        <f aca="false">IF(ISNUMBER(SEARCH("Demographic and Health",I623)),"DHS",IF(OR(ISNUMBER(SEARCH("Multiple Indicator Cluster",I623)),ISNUMBER(SEARCH("MICS",I623))),"MICS","Other"))</f>
        <v>Other</v>
      </c>
      <c r="K623" s="7" t="n">
        <f aca="false">IF(AND(F623="Record or Recall",G623="12-23 m"),1,0)</f>
        <v>1</v>
      </c>
      <c r="L623" s="7" t="n">
        <f aca="false">IF(OR(J623="DHS",J623="MICS"),1,0)</f>
        <v>0</v>
      </c>
    </row>
    <row r="624" customFormat="false" ht="15" hidden="false" customHeight="false" outlineLevel="0" collapsed="false">
      <c r="A624" s="7" t="s">
        <v>348</v>
      </c>
      <c r="B624" s="7" t="s">
        <v>373</v>
      </c>
      <c r="C624" s="7" t="s">
        <v>373</v>
      </c>
      <c r="D624" s="7" t="n">
        <v>2021</v>
      </c>
      <c r="E624" s="7" t="s">
        <v>68</v>
      </c>
      <c r="F624" s="7" t="s">
        <v>87</v>
      </c>
      <c r="G624" s="7" t="s">
        <v>66</v>
      </c>
      <c r="H624" s="7" t="n">
        <v>7.917252</v>
      </c>
      <c r="I624" s="7" t="str">
        <f aca="false">IF(B624="",TRIM(C624),TRIM(B624))</f>
        <v>2023 Cameroon Vaccination Coverage Survey</v>
      </c>
      <c r="J624" s="7" t="str">
        <f aca="false">IF(ISNUMBER(SEARCH("Demographic and Health",I624)),"DHS",IF(OR(ISNUMBER(SEARCH("Multiple Indicator Cluster",I624)),ISNUMBER(SEARCH("MICS",I624))),"MICS","Other"))</f>
        <v>Other</v>
      </c>
      <c r="K624" s="7" t="n">
        <f aca="false">IF(AND(F624="Record or Recall",G624="12-23 m"),1,0)</f>
        <v>0</v>
      </c>
      <c r="L624" s="7" t="n">
        <f aca="false">IF(OR(J624="DHS",J624="MICS"),1,0)</f>
        <v>0</v>
      </c>
    </row>
    <row r="625" customFormat="false" ht="15" hidden="false" customHeight="false" outlineLevel="0" collapsed="false">
      <c r="A625" s="7" t="s">
        <v>348</v>
      </c>
      <c r="B625" s="7" t="s">
        <v>373</v>
      </c>
      <c r="C625" s="7" t="s">
        <v>373</v>
      </c>
      <c r="D625" s="7" t="n">
        <v>2021</v>
      </c>
      <c r="E625" s="7" t="s">
        <v>69</v>
      </c>
      <c r="F625" s="7" t="s">
        <v>86</v>
      </c>
      <c r="G625" s="7" t="s">
        <v>66</v>
      </c>
      <c r="H625" s="7" t="n">
        <v>54.418194</v>
      </c>
      <c r="I625" s="7" t="str">
        <f aca="false">IF(B625="",TRIM(C625),TRIM(B625))</f>
        <v>2023 Cameroon Vaccination Coverage Survey</v>
      </c>
      <c r="J625" s="7" t="str">
        <f aca="false">IF(ISNUMBER(SEARCH("Demographic and Health",I625)),"DHS",IF(OR(ISNUMBER(SEARCH("Multiple Indicator Cluster",I625)),ISNUMBER(SEARCH("MICS",I625))),"MICS","Other"))</f>
        <v>Other</v>
      </c>
      <c r="K625" s="7" t="n">
        <f aca="false">IF(AND(F625="Record or Recall",G625="12-23 m"),1,0)</f>
        <v>0</v>
      </c>
      <c r="L625" s="7" t="n">
        <f aca="false">IF(OR(J625="DHS",J625="MICS"),1,0)</f>
        <v>0</v>
      </c>
    </row>
    <row r="626" customFormat="false" ht="15" hidden="false" customHeight="false" outlineLevel="0" collapsed="false">
      <c r="A626" s="7" t="s">
        <v>348</v>
      </c>
      <c r="B626" s="7" t="s">
        <v>373</v>
      </c>
      <c r="C626" s="7" t="s">
        <v>373</v>
      </c>
      <c r="D626" s="7" t="n">
        <v>2021</v>
      </c>
      <c r="E626" s="7" t="s">
        <v>69</v>
      </c>
      <c r="F626" s="7" t="s">
        <v>63</v>
      </c>
      <c r="G626" s="7" t="s">
        <v>66</v>
      </c>
      <c r="H626" s="7" t="n">
        <v>57.8777</v>
      </c>
      <c r="I626" s="7" t="str">
        <f aca="false">IF(B626="",TRIM(C626),TRIM(B626))</f>
        <v>2023 Cameroon Vaccination Coverage Survey</v>
      </c>
      <c r="J626" s="7" t="str">
        <f aca="false">IF(ISNUMBER(SEARCH("Demographic and Health",I626)),"DHS",IF(OR(ISNUMBER(SEARCH("Multiple Indicator Cluster",I626)),ISNUMBER(SEARCH("MICS",I626))),"MICS","Other"))</f>
        <v>Other</v>
      </c>
      <c r="K626" s="7" t="n">
        <f aca="false">IF(AND(F626="Record or Recall",G626="12-23 m"),1,0)</f>
        <v>1</v>
      </c>
      <c r="L626" s="7" t="n">
        <f aca="false">IF(OR(J626="DHS",J626="MICS"),1,0)</f>
        <v>0</v>
      </c>
    </row>
    <row r="627" customFormat="false" ht="15" hidden="false" customHeight="false" outlineLevel="0" collapsed="false">
      <c r="A627" s="7" t="s">
        <v>348</v>
      </c>
      <c r="B627" s="7" t="s">
        <v>373</v>
      </c>
      <c r="C627" s="7" t="s">
        <v>373</v>
      </c>
      <c r="D627" s="7" t="n">
        <v>2021</v>
      </c>
      <c r="E627" s="7" t="s">
        <v>69</v>
      </c>
      <c r="F627" s="7" t="s">
        <v>87</v>
      </c>
      <c r="G627" s="7" t="s">
        <v>66</v>
      </c>
      <c r="H627" s="7" t="n">
        <v>3.4595053</v>
      </c>
      <c r="I627" s="7" t="str">
        <f aca="false">IF(B627="",TRIM(C627),TRIM(B627))</f>
        <v>2023 Cameroon Vaccination Coverage Survey</v>
      </c>
      <c r="J627" s="7" t="str">
        <f aca="false">IF(ISNUMBER(SEARCH("Demographic and Health",I627)),"DHS",IF(OR(ISNUMBER(SEARCH("Multiple Indicator Cluster",I627)),ISNUMBER(SEARCH("MICS",I627))),"MICS","Other"))</f>
        <v>Other</v>
      </c>
      <c r="K627" s="7" t="n">
        <f aca="false">IF(AND(F627="Record or Recall",G627="12-23 m"),1,0)</f>
        <v>0</v>
      </c>
      <c r="L627" s="7" t="n">
        <f aca="false">IF(OR(J627="DHS",J627="MICS"),1,0)</f>
        <v>0</v>
      </c>
    </row>
    <row r="628" customFormat="false" ht="15" hidden="false" customHeight="false" outlineLevel="0" collapsed="false">
      <c r="A628" s="7" t="s">
        <v>374</v>
      </c>
      <c r="C628" s="7" t="s">
        <v>375</v>
      </c>
      <c r="D628" s="7" t="n">
        <v>1988</v>
      </c>
      <c r="E628" s="7" t="s">
        <v>62</v>
      </c>
      <c r="F628" s="7" t="s">
        <v>78</v>
      </c>
      <c r="G628" s="7" t="s">
        <v>80</v>
      </c>
      <c r="H628" s="7" t="n">
        <v>23.5</v>
      </c>
      <c r="I628" s="7" t="str">
        <f aca="false">IF(B628="",TRIM(C628),TRIM(B628))</f>
        <v>Enquête Démographique et de Santé Niger 1992, 1993</v>
      </c>
      <c r="J628" s="7" t="str">
        <f aca="false">IF(ISNUMBER(SEARCH("Demographic and Health",I628)),"DHS",IF(OR(ISNUMBER(SEARCH("Multiple Indicator Cluster",I628)),ISNUMBER(SEARCH("MICS",I628))),"MICS","Other"))</f>
        <v>Other</v>
      </c>
      <c r="K628" s="7" t="n">
        <f aca="false">IF(AND(F628="Record or Recall",G628="12-23 m"),1,0)</f>
        <v>0</v>
      </c>
      <c r="L628" s="7" t="n">
        <f aca="false">IF(OR(J628="DHS",J628="MICS"),1,0)</f>
        <v>0</v>
      </c>
    </row>
    <row r="629" customFormat="false" ht="15" hidden="false" customHeight="false" outlineLevel="0" collapsed="false">
      <c r="A629" s="7" t="s">
        <v>374</v>
      </c>
      <c r="C629" s="7" t="s">
        <v>375</v>
      </c>
      <c r="D629" s="7" t="n">
        <v>1988</v>
      </c>
      <c r="E629" s="7" t="s">
        <v>81</v>
      </c>
      <c r="F629" s="7" t="s">
        <v>78</v>
      </c>
      <c r="G629" s="7" t="s">
        <v>80</v>
      </c>
      <c r="H629" s="7" t="n">
        <v>17.9</v>
      </c>
      <c r="I629" s="7" t="str">
        <f aca="false">IF(B629="",TRIM(C629),TRIM(B629))</f>
        <v>Enquête Démographique et de Santé Niger 1992, 1993</v>
      </c>
      <c r="J629" s="7" t="str">
        <f aca="false">IF(ISNUMBER(SEARCH("Demographic and Health",I629)),"DHS",IF(OR(ISNUMBER(SEARCH("Multiple Indicator Cluster",I629)),ISNUMBER(SEARCH("MICS",I629))),"MICS","Other"))</f>
        <v>Other</v>
      </c>
      <c r="K629" s="7" t="n">
        <f aca="false">IF(AND(F629="Record or Recall",G629="12-23 m"),1,0)</f>
        <v>0</v>
      </c>
      <c r="L629" s="7" t="n">
        <f aca="false">IF(OR(J629="DHS",J629="MICS"),1,0)</f>
        <v>0</v>
      </c>
    </row>
    <row r="630" customFormat="false" ht="15" hidden="false" customHeight="false" outlineLevel="0" collapsed="false">
      <c r="A630" s="7" t="s">
        <v>374</v>
      </c>
      <c r="C630" s="7" t="s">
        <v>375</v>
      </c>
      <c r="D630" s="7" t="n">
        <v>1988</v>
      </c>
      <c r="E630" s="7" t="s">
        <v>67</v>
      </c>
      <c r="F630" s="7" t="s">
        <v>78</v>
      </c>
      <c r="G630" s="7" t="s">
        <v>80</v>
      </c>
      <c r="H630" s="7" t="n">
        <v>10.3</v>
      </c>
      <c r="I630" s="7" t="str">
        <f aca="false">IF(B630="",TRIM(C630),TRIM(B630))</f>
        <v>Enquête Démographique et de Santé Niger 1992, 1993</v>
      </c>
      <c r="J630" s="7" t="str">
        <f aca="false">IF(ISNUMBER(SEARCH("Demographic and Health",I630)),"DHS",IF(OR(ISNUMBER(SEARCH("Multiple Indicator Cluster",I630)),ISNUMBER(SEARCH("MICS",I630))),"MICS","Other"))</f>
        <v>Other</v>
      </c>
      <c r="K630" s="7" t="n">
        <f aca="false">IF(AND(F630="Record or Recall",G630="12-23 m"),1,0)</f>
        <v>0</v>
      </c>
      <c r="L630" s="7" t="n">
        <f aca="false">IF(OR(J630="DHS",J630="MICS"),1,0)</f>
        <v>0</v>
      </c>
    </row>
    <row r="631" customFormat="false" ht="15" hidden="false" customHeight="false" outlineLevel="0" collapsed="false">
      <c r="A631" s="7" t="s">
        <v>374</v>
      </c>
      <c r="C631" s="7" t="s">
        <v>375</v>
      </c>
      <c r="D631" s="7" t="n">
        <v>1988</v>
      </c>
      <c r="E631" s="7" t="s">
        <v>82</v>
      </c>
      <c r="F631" s="7" t="s">
        <v>78</v>
      </c>
      <c r="G631" s="7" t="s">
        <v>80</v>
      </c>
      <c r="H631" s="7" t="n">
        <v>6.5</v>
      </c>
      <c r="I631" s="7" t="str">
        <f aca="false">IF(B631="",TRIM(C631),TRIM(B631))</f>
        <v>Enquête Démographique et de Santé Niger 1992, 1993</v>
      </c>
      <c r="J631" s="7" t="str">
        <f aca="false">IF(ISNUMBER(SEARCH("Demographic and Health",I631)),"DHS",IF(OR(ISNUMBER(SEARCH("Multiple Indicator Cluster",I631)),ISNUMBER(SEARCH("MICS",I631))),"MICS","Other"))</f>
        <v>Other</v>
      </c>
      <c r="K631" s="7" t="n">
        <f aca="false">IF(AND(F631="Record or Recall",G631="12-23 m"),1,0)</f>
        <v>0</v>
      </c>
      <c r="L631" s="7" t="n">
        <f aca="false">IF(OR(J631="DHS",J631="MICS"),1,0)</f>
        <v>0</v>
      </c>
    </row>
    <row r="632" customFormat="false" ht="15" hidden="false" customHeight="false" outlineLevel="0" collapsed="false">
      <c r="A632" s="7" t="s">
        <v>374</v>
      </c>
      <c r="C632" s="7" t="s">
        <v>375</v>
      </c>
      <c r="D632" s="7" t="n">
        <v>1988</v>
      </c>
      <c r="E632" s="7" t="s">
        <v>68</v>
      </c>
      <c r="F632" s="7" t="s">
        <v>78</v>
      </c>
      <c r="G632" s="7" t="s">
        <v>80</v>
      </c>
      <c r="H632" s="7" t="n">
        <v>13.1</v>
      </c>
      <c r="I632" s="7" t="str">
        <f aca="false">IF(B632="",TRIM(C632),TRIM(B632))</f>
        <v>Enquête Démographique et de Santé Niger 1992, 1993</v>
      </c>
      <c r="J632" s="7" t="str">
        <f aca="false">IF(ISNUMBER(SEARCH("Demographic and Health",I632)),"DHS",IF(OR(ISNUMBER(SEARCH("Multiple Indicator Cluster",I632)),ISNUMBER(SEARCH("MICS",I632))),"MICS","Other"))</f>
        <v>Other</v>
      </c>
      <c r="K632" s="7" t="n">
        <f aca="false">IF(AND(F632="Record or Recall",G632="12-23 m"),1,0)</f>
        <v>0</v>
      </c>
      <c r="L632" s="7" t="n">
        <f aca="false">IF(OR(J632="DHS",J632="MICS"),1,0)</f>
        <v>0</v>
      </c>
    </row>
    <row r="633" customFormat="false" ht="15" hidden="false" customHeight="false" outlineLevel="0" collapsed="false">
      <c r="A633" s="7" t="s">
        <v>374</v>
      </c>
      <c r="C633" s="7" t="s">
        <v>375</v>
      </c>
      <c r="D633" s="7" t="n">
        <v>1988</v>
      </c>
      <c r="E633" s="7" t="s">
        <v>69</v>
      </c>
      <c r="F633" s="7" t="s">
        <v>78</v>
      </c>
      <c r="G633" s="7" t="s">
        <v>80</v>
      </c>
      <c r="H633" s="7" t="n">
        <v>9.8</v>
      </c>
      <c r="I633" s="7" t="str">
        <f aca="false">IF(B633="",TRIM(C633),TRIM(B633))</f>
        <v>Enquête Démographique et de Santé Niger 1992, 1993</v>
      </c>
      <c r="J633" s="7" t="str">
        <f aca="false">IF(ISNUMBER(SEARCH("Demographic and Health",I633)),"DHS",IF(OR(ISNUMBER(SEARCH("Multiple Indicator Cluster",I633)),ISNUMBER(SEARCH("MICS",I633))),"MICS","Other"))</f>
        <v>Other</v>
      </c>
      <c r="K633" s="7" t="n">
        <f aca="false">IF(AND(F633="Record or Recall",G633="12-23 m"),1,0)</f>
        <v>0</v>
      </c>
      <c r="L633" s="7" t="n">
        <f aca="false">IF(OR(J633="DHS",J633="MICS"),1,0)</f>
        <v>0</v>
      </c>
    </row>
    <row r="634" customFormat="false" ht="15" hidden="false" customHeight="false" outlineLevel="0" collapsed="false">
      <c r="A634" s="7" t="s">
        <v>374</v>
      </c>
      <c r="C634" s="7" t="s">
        <v>354</v>
      </c>
      <c r="D634" s="7" t="n">
        <v>1989</v>
      </c>
      <c r="E634" s="7" t="s">
        <v>62</v>
      </c>
      <c r="F634" s="7" t="s">
        <v>90</v>
      </c>
      <c r="G634" s="7" t="s">
        <v>66</v>
      </c>
      <c r="H634" s="7" t="n">
        <v>50</v>
      </c>
      <c r="I634" s="7" t="str">
        <f aca="false">IF(B634="",TRIM(C634),TRIM(B634))</f>
        <v>WHO/EPI/CEIS/92.1</v>
      </c>
      <c r="J634" s="7" t="str">
        <f aca="false">IF(ISNUMBER(SEARCH("Demographic and Health",I634)),"DHS",IF(OR(ISNUMBER(SEARCH("Multiple Indicator Cluster",I634)),ISNUMBER(SEARCH("MICS",I634))),"MICS","Other"))</f>
        <v>Other</v>
      </c>
      <c r="K634" s="7" t="n">
        <f aca="false">IF(AND(F634="Record or Recall",G634="12-23 m"),1,0)</f>
        <v>0</v>
      </c>
      <c r="L634" s="7" t="n">
        <f aca="false">IF(OR(J634="DHS",J634="MICS"),1,0)</f>
        <v>0</v>
      </c>
    </row>
    <row r="635" customFormat="false" ht="15" hidden="false" customHeight="false" outlineLevel="0" collapsed="false">
      <c r="A635" s="7" t="s">
        <v>374</v>
      </c>
      <c r="C635" s="7" t="s">
        <v>375</v>
      </c>
      <c r="D635" s="7" t="n">
        <v>1989</v>
      </c>
      <c r="E635" s="7" t="s">
        <v>62</v>
      </c>
      <c r="F635" s="7" t="s">
        <v>78</v>
      </c>
      <c r="G635" s="7" t="s">
        <v>88</v>
      </c>
      <c r="H635" s="7" t="n">
        <v>28.9</v>
      </c>
      <c r="I635" s="7" t="str">
        <f aca="false">IF(B635="",TRIM(C635),TRIM(B635))</f>
        <v>Enquête Démographique et de Santé Niger 1992, 1993</v>
      </c>
      <c r="J635" s="7" t="str">
        <f aca="false">IF(ISNUMBER(SEARCH("Demographic and Health",I635)),"DHS",IF(OR(ISNUMBER(SEARCH("Multiple Indicator Cluster",I635)),ISNUMBER(SEARCH("MICS",I635))),"MICS","Other"))</f>
        <v>Other</v>
      </c>
      <c r="K635" s="7" t="n">
        <f aca="false">IF(AND(F635="Record or Recall",G635="12-23 m"),1,0)</f>
        <v>0</v>
      </c>
      <c r="L635" s="7" t="n">
        <f aca="false">IF(OR(J635="DHS",J635="MICS"),1,0)</f>
        <v>0</v>
      </c>
    </row>
    <row r="636" customFormat="false" ht="15" hidden="false" customHeight="false" outlineLevel="0" collapsed="false">
      <c r="A636" s="7" t="s">
        <v>374</v>
      </c>
      <c r="C636" s="7" t="s">
        <v>354</v>
      </c>
      <c r="D636" s="7" t="n">
        <v>1989</v>
      </c>
      <c r="E636" s="7" t="s">
        <v>81</v>
      </c>
      <c r="F636" s="7" t="s">
        <v>90</v>
      </c>
      <c r="G636" s="7" t="s">
        <v>66</v>
      </c>
      <c r="H636" s="7" t="n">
        <v>26</v>
      </c>
      <c r="I636" s="7" t="str">
        <f aca="false">IF(B636="",TRIM(C636),TRIM(B636))</f>
        <v>WHO/EPI/CEIS/92.1</v>
      </c>
      <c r="J636" s="7" t="str">
        <f aca="false">IF(ISNUMBER(SEARCH("Demographic and Health",I636)),"DHS",IF(OR(ISNUMBER(SEARCH("Multiple Indicator Cluster",I636)),ISNUMBER(SEARCH("MICS",I636))),"MICS","Other"))</f>
        <v>Other</v>
      </c>
      <c r="K636" s="7" t="n">
        <f aca="false">IF(AND(F636="Record or Recall",G636="12-23 m"),1,0)</f>
        <v>0</v>
      </c>
      <c r="L636" s="7" t="n">
        <f aca="false">IF(OR(J636="DHS",J636="MICS"),1,0)</f>
        <v>0</v>
      </c>
    </row>
    <row r="637" customFormat="false" ht="15" hidden="false" customHeight="false" outlineLevel="0" collapsed="false">
      <c r="A637" s="7" t="s">
        <v>374</v>
      </c>
      <c r="C637" s="7" t="s">
        <v>375</v>
      </c>
      <c r="D637" s="7" t="n">
        <v>1989</v>
      </c>
      <c r="E637" s="7" t="s">
        <v>81</v>
      </c>
      <c r="F637" s="7" t="s">
        <v>78</v>
      </c>
      <c r="G637" s="7" t="s">
        <v>88</v>
      </c>
      <c r="H637" s="7" t="n">
        <v>22</v>
      </c>
      <c r="I637" s="7" t="str">
        <f aca="false">IF(B637="",TRIM(C637),TRIM(B637))</f>
        <v>Enquête Démographique et de Santé Niger 1992, 1993</v>
      </c>
      <c r="J637" s="7" t="str">
        <f aca="false">IF(ISNUMBER(SEARCH("Demographic and Health",I637)),"DHS",IF(OR(ISNUMBER(SEARCH("Multiple Indicator Cluster",I637)),ISNUMBER(SEARCH("MICS",I637))),"MICS","Other"))</f>
        <v>Other</v>
      </c>
      <c r="K637" s="7" t="n">
        <f aca="false">IF(AND(F637="Record or Recall",G637="12-23 m"),1,0)</f>
        <v>0</v>
      </c>
      <c r="L637" s="7" t="n">
        <f aca="false">IF(OR(J637="DHS",J637="MICS"),1,0)</f>
        <v>0</v>
      </c>
    </row>
    <row r="638" customFormat="false" ht="15" hidden="false" customHeight="false" outlineLevel="0" collapsed="false">
      <c r="A638" s="7" t="s">
        <v>374</v>
      </c>
      <c r="C638" s="7" t="s">
        <v>354</v>
      </c>
      <c r="D638" s="7" t="n">
        <v>1989</v>
      </c>
      <c r="E638" s="7" t="s">
        <v>67</v>
      </c>
      <c r="F638" s="7" t="s">
        <v>90</v>
      </c>
      <c r="G638" s="7" t="s">
        <v>66</v>
      </c>
      <c r="H638" s="7" t="n">
        <v>13</v>
      </c>
      <c r="I638" s="7" t="str">
        <f aca="false">IF(B638="",TRIM(C638),TRIM(B638))</f>
        <v>WHO/EPI/CEIS/92.1</v>
      </c>
      <c r="J638" s="7" t="str">
        <f aca="false">IF(ISNUMBER(SEARCH("Demographic and Health",I638)),"DHS",IF(OR(ISNUMBER(SEARCH("Multiple Indicator Cluster",I638)),ISNUMBER(SEARCH("MICS",I638))),"MICS","Other"))</f>
        <v>Other</v>
      </c>
      <c r="K638" s="7" t="n">
        <f aca="false">IF(AND(F638="Record or Recall",G638="12-23 m"),1,0)</f>
        <v>0</v>
      </c>
      <c r="L638" s="7" t="n">
        <f aca="false">IF(OR(J638="DHS",J638="MICS"),1,0)</f>
        <v>0</v>
      </c>
    </row>
    <row r="639" customFormat="false" ht="15" hidden="false" customHeight="false" outlineLevel="0" collapsed="false">
      <c r="A639" s="7" t="s">
        <v>374</v>
      </c>
      <c r="C639" s="7" t="s">
        <v>375</v>
      </c>
      <c r="D639" s="7" t="n">
        <v>1989</v>
      </c>
      <c r="E639" s="7" t="s">
        <v>67</v>
      </c>
      <c r="F639" s="7" t="s">
        <v>78</v>
      </c>
      <c r="G639" s="7" t="s">
        <v>88</v>
      </c>
      <c r="H639" s="7" t="n">
        <v>12.1</v>
      </c>
      <c r="I639" s="7" t="str">
        <f aca="false">IF(B639="",TRIM(C639),TRIM(B639))</f>
        <v>Enquête Démographique et de Santé Niger 1992, 1993</v>
      </c>
      <c r="J639" s="7" t="str">
        <f aca="false">IF(ISNUMBER(SEARCH("Demographic and Health",I639)),"DHS",IF(OR(ISNUMBER(SEARCH("Multiple Indicator Cluster",I639)),ISNUMBER(SEARCH("MICS",I639))),"MICS","Other"))</f>
        <v>Other</v>
      </c>
      <c r="K639" s="7" t="n">
        <f aca="false">IF(AND(F639="Record or Recall",G639="12-23 m"),1,0)</f>
        <v>0</v>
      </c>
      <c r="L639" s="7" t="n">
        <f aca="false">IF(OR(J639="DHS",J639="MICS"),1,0)</f>
        <v>0</v>
      </c>
    </row>
    <row r="640" customFormat="false" ht="15" hidden="false" customHeight="false" outlineLevel="0" collapsed="false">
      <c r="A640" s="7" t="s">
        <v>374</v>
      </c>
      <c r="C640" s="7" t="s">
        <v>375</v>
      </c>
      <c r="D640" s="7" t="n">
        <v>1989</v>
      </c>
      <c r="E640" s="7" t="s">
        <v>82</v>
      </c>
      <c r="F640" s="7" t="s">
        <v>78</v>
      </c>
      <c r="G640" s="7" t="s">
        <v>88</v>
      </c>
      <c r="H640" s="7" t="n">
        <v>7.5</v>
      </c>
      <c r="I640" s="7" t="str">
        <f aca="false">IF(B640="",TRIM(C640),TRIM(B640))</f>
        <v>Enquête Démographique et de Santé Niger 1992, 1993</v>
      </c>
      <c r="J640" s="7" t="str">
        <f aca="false">IF(ISNUMBER(SEARCH("Demographic and Health",I640)),"DHS",IF(OR(ISNUMBER(SEARCH("Multiple Indicator Cluster",I640)),ISNUMBER(SEARCH("MICS",I640))),"MICS","Other"))</f>
        <v>Other</v>
      </c>
      <c r="K640" s="7" t="n">
        <f aca="false">IF(AND(F640="Record or Recall",G640="12-23 m"),1,0)</f>
        <v>0</v>
      </c>
      <c r="L640" s="7" t="n">
        <f aca="false">IF(OR(J640="DHS",J640="MICS"),1,0)</f>
        <v>0</v>
      </c>
    </row>
    <row r="641" customFormat="false" ht="15" hidden="false" customHeight="false" outlineLevel="0" collapsed="false">
      <c r="A641" s="7" t="s">
        <v>374</v>
      </c>
      <c r="C641" s="7" t="s">
        <v>354</v>
      </c>
      <c r="D641" s="7" t="n">
        <v>1989</v>
      </c>
      <c r="E641" s="7" t="s">
        <v>68</v>
      </c>
      <c r="F641" s="7" t="s">
        <v>90</v>
      </c>
      <c r="G641" s="7" t="s">
        <v>66</v>
      </c>
      <c r="H641" s="7" t="n">
        <v>21</v>
      </c>
      <c r="I641" s="7" t="str">
        <f aca="false">IF(B641="",TRIM(C641),TRIM(B641))</f>
        <v>WHO/EPI/CEIS/92.1</v>
      </c>
      <c r="J641" s="7" t="str">
        <f aca="false">IF(ISNUMBER(SEARCH("Demographic and Health",I641)),"DHS",IF(OR(ISNUMBER(SEARCH("Multiple Indicator Cluster",I641)),ISNUMBER(SEARCH("MICS",I641))),"MICS","Other"))</f>
        <v>Other</v>
      </c>
      <c r="K641" s="7" t="n">
        <f aca="false">IF(AND(F641="Record or Recall",G641="12-23 m"),1,0)</f>
        <v>0</v>
      </c>
      <c r="L641" s="7" t="n">
        <f aca="false">IF(OR(J641="DHS",J641="MICS"),1,0)</f>
        <v>0</v>
      </c>
    </row>
    <row r="642" customFormat="false" ht="15" hidden="false" customHeight="false" outlineLevel="0" collapsed="false">
      <c r="A642" s="7" t="s">
        <v>374</v>
      </c>
      <c r="C642" s="7" t="s">
        <v>375</v>
      </c>
      <c r="D642" s="7" t="n">
        <v>1989</v>
      </c>
      <c r="E642" s="7" t="s">
        <v>68</v>
      </c>
      <c r="F642" s="7" t="s">
        <v>78</v>
      </c>
      <c r="G642" s="7" t="s">
        <v>88</v>
      </c>
      <c r="H642" s="7" t="n">
        <v>14.1</v>
      </c>
      <c r="I642" s="7" t="str">
        <f aca="false">IF(B642="",TRIM(C642),TRIM(B642))</f>
        <v>Enquête Démographique et de Santé Niger 1992, 1993</v>
      </c>
      <c r="J642" s="7" t="str">
        <f aca="false">IF(ISNUMBER(SEARCH("Demographic and Health",I642)),"DHS",IF(OR(ISNUMBER(SEARCH("Multiple Indicator Cluster",I642)),ISNUMBER(SEARCH("MICS",I642))),"MICS","Other"))</f>
        <v>Other</v>
      </c>
      <c r="K642" s="7" t="n">
        <f aca="false">IF(AND(F642="Record or Recall",G642="12-23 m"),1,0)</f>
        <v>0</v>
      </c>
      <c r="L642" s="7" t="n">
        <f aca="false">IF(OR(J642="DHS",J642="MICS"),1,0)</f>
        <v>0</v>
      </c>
    </row>
    <row r="643" customFormat="false" ht="15" hidden="false" customHeight="false" outlineLevel="0" collapsed="false">
      <c r="A643" s="7" t="s">
        <v>374</v>
      </c>
      <c r="C643" s="7" t="s">
        <v>354</v>
      </c>
      <c r="D643" s="7" t="n">
        <v>1989</v>
      </c>
      <c r="E643" s="7" t="s">
        <v>69</v>
      </c>
      <c r="F643" s="7" t="s">
        <v>90</v>
      </c>
      <c r="G643" s="7" t="s">
        <v>66</v>
      </c>
      <c r="H643" s="7" t="n">
        <v>13</v>
      </c>
      <c r="I643" s="7" t="str">
        <f aca="false">IF(B643="",TRIM(C643),TRIM(B643))</f>
        <v>WHO/EPI/CEIS/92.1</v>
      </c>
      <c r="J643" s="7" t="str">
        <f aca="false">IF(ISNUMBER(SEARCH("Demographic and Health",I643)),"DHS",IF(OR(ISNUMBER(SEARCH("Multiple Indicator Cluster",I643)),ISNUMBER(SEARCH("MICS",I643))),"MICS","Other"))</f>
        <v>Other</v>
      </c>
      <c r="K643" s="7" t="n">
        <f aca="false">IF(AND(F643="Record or Recall",G643="12-23 m"),1,0)</f>
        <v>0</v>
      </c>
      <c r="L643" s="7" t="n">
        <f aca="false">IF(OR(J643="DHS",J643="MICS"),1,0)</f>
        <v>0</v>
      </c>
    </row>
    <row r="644" customFormat="false" ht="15" hidden="false" customHeight="false" outlineLevel="0" collapsed="false">
      <c r="A644" s="7" t="s">
        <v>374</v>
      </c>
      <c r="C644" s="7" t="s">
        <v>375</v>
      </c>
      <c r="D644" s="7" t="n">
        <v>1989</v>
      </c>
      <c r="E644" s="7" t="s">
        <v>69</v>
      </c>
      <c r="F644" s="7" t="s">
        <v>78</v>
      </c>
      <c r="G644" s="7" t="s">
        <v>88</v>
      </c>
      <c r="H644" s="7" t="n">
        <v>11.3</v>
      </c>
      <c r="I644" s="7" t="str">
        <f aca="false">IF(B644="",TRIM(C644),TRIM(B644))</f>
        <v>Enquête Démographique et de Santé Niger 1992, 1993</v>
      </c>
      <c r="J644" s="7" t="str">
        <f aca="false">IF(ISNUMBER(SEARCH("Demographic and Health",I644)),"DHS",IF(OR(ISNUMBER(SEARCH("Multiple Indicator Cluster",I644)),ISNUMBER(SEARCH("MICS",I644))),"MICS","Other"))</f>
        <v>Other</v>
      </c>
      <c r="K644" s="7" t="n">
        <f aca="false">IF(AND(F644="Record or Recall",G644="12-23 m"),1,0)</f>
        <v>0</v>
      </c>
      <c r="L644" s="7" t="n">
        <f aca="false">IF(OR(J644="DHS",J644="MICS"),1,0)</f>
        <v>0</v>
      </c>
    </row>
    <row r="645" customFormat="false" ht="15" hidden="false" customHeight="false" outlineLevel="0" collapsed="false">
      <c r="A645" s="7" t="s">
        <v>374</v>
      </c>
      <c r="C645" s="7" t="s">
        <v>375</v>
      </c>
      <c r="D645" s="7" t="n">
        <v>1990</v>
      </c>
      <c r="E645" s="7" t="s">
        <v>62</v>
      </c>
      <c r="F645" s="7" t="s">
        <v>78</v>
      </c>
      <c r="G645" s="7" t="s">
        <v>91</v>
      </c>
      <c r="H645" s="7" t="n">
        <v>36</v>
      </c>
      <c r="I645" s="7" t="str">
        <f aca="false">IF(B645="",TRIM(C645),TRIM(B645))</f>
        <v>Enquête Démographique et de Santé Niger 1992, 1993</v>
      </c>
      <c r="J645" s="7" t="str">
        <f aca="false">IF(ISNUMBER(SEARCH("Demographic and Health",I645)),"DHS",IF(OR(ISNUMBER(SEARCH("Multiple Indicator Cluster",I645)),ISNUMBER(SEARCH("MICS",I645))),"MICS","Other"))</f>
        <v>Other</v>
      </c>
      <c r="K645" s="7" t="n">
        <f aca="false">IF(AND(F645="Record or Recall",G645="12-23 m"),1,0)</f>
        <v>0</v>
      </c>
      <c r="L645" s="7" t="n">
        <f aca="false">IF(OR(J645="DHS",J645="MICS"),1,0)</f>
        <v>0</v>
      </c>
    </row>
    <row r="646" customFormat="false" ht="15" hidden="false" customHeight="false" outlineLevel="0" collapsed="false">
      <c r="A646" s="7" t="s">
        <v>374</v>
      </c>
      <c r="C646" s="7" t="s">
        <v>375</v>
      </c>
      <c r="D646" s="7" t="n">
        <v>1990</v>
      </c>
      <c r="E646" s="7" t="s">
        <v>81</v>
      </c>
      <c r="F646" s="7" t="s">
        <v>78</v>
      </c>
      <c r="G646" s="7" t="s">
        <v>91</v>
      </c>
      <c r="H646" s="7" t="n">
        <v>31.3</v>
      </c>
      <c r="I646" s="7" t="str">
        <f aca="false">IF(B646="",TRIM(C646),TRIM(B646))</f>
        <v>Enquête Démographique et de Santé Niger 1992, 1993</v>
      </c>
      <c r="J646" s="7" t="str">
        <f aca="false">IF(ISNUMBER(SEARCH("Demographic and Health",I646)),"DHS",IF(OR(ISNUMBER(SEARCH("Multiple Indicator Cluster",I646)),ISNUMBER(SEARCH("MICS",I646))),"MICS","Other"))</f>
        <v>Other</v>
      </c>
      <c r="K646" s="7" t="n">
        <f aca="false">IF(AND(F646="Record or Recall",G646="12-23 m"),1,0)</f>
        <v>0</v>
      </c>
      <c r="L646" s="7" t="n">
        <f aca="false">IF(OR(J646="DHS",J646="MICS"),1,0)</f>
        <v>0</v>
      </c>
    </row>
    <row r="647" customFormat="false" ht="15" hidden="false" customHeight="false" outlineLevel="0" collapsed="false">
      <c r="A647" s="7" t="s">
        <v>374</v>
      </c>
      <c r="C647" s="7" t="s">
        <v>375</v>
      </c>
      <c r="D647" s="7" t="n">
        <v>1990</v>
      </c>
      <c r="E647" s="7" t="s">
        <v>67</v>
      </c>
      <c r="F647" s="7" t="s">
        <v>78</v>
      </c>
      <c r="G647" s="7" t="s">
        <v>91</v>
      </c>
      <c r="H647" s="7" t="n">
        <v>17.5</v>
      </c>
      <c r="I647" s="7" t="str">
        <f aca="false">IF(B647="",TRIM(C647),TRIM(B647))</f>
        <v>Enquête Démographique et de Santé Niger 1992, 1993</v>
      </c>
      <c r="J647" s="7" t="str">
        <f aca="false">IF(ISNUMBER(SEARCH("Demographic and Health",I647)),"DHS",IF(OR(ISNUMBER(SEARCH("Multiple Indicator Cluster",I647)),ISNUMBER(SEARCH("MICS",I647))),"MICS","Other"))</f>
        <v>Other</v>
      </c>
      <c r="K647" s="7" t="n">
        <f aca="false">IF(AND(F647="Record or Recall",G647="12-23 m"),1,0)</f>
        <v>0</v>
      </c>
      <c r="L647" s="7" t="n">
        <f aca="false">IF(OR(J647="DHS",J647="MICS"),1,0)</f>
        <v>0</v>
      </c>
    </row>
    <row r="648" customFormat="false" ht="15" hidden="false" customHeight="false" outlineLevel="0" collapsed="false">
      <c r="A648" s="7" t="s">
        <v>374</v>
      </c>
      <c r="C648" s="7" t="s">
        <v>375</v>
      </c>
      <c r="D648" s="7" t="n">
        <v>1990</v>
      </c>
      <c r="E648" s="7" t="s">
        <v>82</v>
      </c>
      <c r="F648" s="7" t="s">
        <v>78</v>
      </c>
      <c r="G648" s="7" t="s">
        <v>91</v>
      </c>
      <c r="H648" s="7" t="n">
        <v>10.9</v>
      </c>
      <c r="I648" s="7" t="str">
        <f aca="false">IF(B648="",TRIM(C648),TRIM(B648))</f>
        <v>Enquête Démographique et de Santé Niger 1992, 1993</v>
      </c>
      <c r="J648" s="7" t="str">
        <f aca="false">IF(ISNUMBER(SEARCH("Demographic and Health",I648)),"DHS",IF(OR(ISNUMBER(SEARCH("Multiple Indicator Cluster",I648)),ISNUMBER(SEARCH("MICS",I648))),"MICS","Other"))</f>
        <v>Other</v>
      </c>
      <c r="K648" s="7" t="n">
        <f aca="false">IF(AND(F648="Record or Recall",G648="12-23 m"),1,0)</f>
        <v>0</v>
      </c>
      <c r="L648" s="7" t="n">
        <f aca="false">IF(OR(J648="DHS",J648="MICS"),1,0)</f>
        <v>0</v>
      </c>
    </row>
    <row r="649" customFormat="false" ht="15" hidden="false" customHeight="false" outlineLevel="0" collapsed="false">
      <c r="A649" s="7" t="s">
        <v>374</v>
      </c>
      <c r="C649" s="7" t="s">
        <v>375</v>
      </c>
      <c r="D649" s="7" t="n">
        <v>1990</v>
      </c>
      <c r="E649" s="7" t="s">
        <v>68</v>
      </c>
      <c r="F649" s="7" t="s">
        <v>78</v>
      </c>
      <c r="G649" s="7" t="s">
        <v>91</v>
      </c>
      <c r="H649" s="7" t="n">
        <v>19</v>
      </c>
      <c r="I649" s="7" t="str">
        <f aca="false">IF(B649="",TRIM(C649),TRIM(B649))</f>
        <v>Enquête Démographique et de Santé Niger 1992, 1993</v>
      </c>
      <c r="J649" s="7" t="str">
        <f aca="false">IF(ISNUMBER(SEARCH("Demographic and Health",I649)),"DHS",IF(OR(ISNUMBER(SEARCH("Multiple Indicator Cluster",I649)),ISNUMBER(SEARCH("MICS",I649))),"MICS","Other"))</f>
        <v>Other</v>
      </c>
      <c r="K649" s="7" t="n">
        <f aca="false">IF(AND(F649="Record or Recall",G649="12-23 m"),1,0)</f>
        <v>0</v>
      </c>
      <c r="L649" s="7" t="n">
        <f aca="false">IF(OR(J649="DHS",J649="MICS"),1,0)</f>
        <v>0</v>
      </c>
    </row>
    <row r="650" customFormat="false" ht="15" hidden="false" customHeight="false" outlineLevel="0" collapsed="false">
      <c r="A650" s="7" t="s">
        <v>374</v>
      </c>
      <c r="C650" s="7" t="s">
        <v>375</v>
      </c>
      <c r="D650" s="7" t="n">
        <v>1990</v>
      </c>
      <c r="E650" s="7" t="s">
        <v>69</v>
      </c>
      <c r="F650" s="7" t="s">
        <v>78</v>
      </c>
      <c r="G650" s="7" t="s">
        <v>91</v>
      </c>
      <c r="H650" s="7" t="n">
        <v>15.4</v>
      </c>
      <c r="I650" s="7" t="str">
        <f aca="false">IF(B650="",TRIM(C650),TRIM(B650))</f>
        <v>Enquête Démographique et de Santé Niger 1992, 1993</v>
      </c>
      <c r="J650" s="7" t="str">
        <f aca="false">IF(ISNUMBER(SEARCH("Demographic and Health",I650)),"DHS",IF(OR(ISNUMBER(SEARCH("Multiple Indicator Cluster",I650)),ISNUMBER(SEARCH("MICS",I650))),"MICS","Other"))</f>
        <v>Other</v>
      </c>
      <c r="K650" s="7" t="n">
        <f aca="false">IF(AND(F650="Record or Recall",G650="12-23 m"),1,0)</f>
        <v>0</v>
      </c>
      <c r="L650" s="7" t="n">
        <f aca="false">IF(OR(J650="DHS",J650="MICS"),1,0)</f>
        <v>0</v>
      </c>
    </row>
    <row r="651" customFormat="false" ht="15" hidden="false" customHeight="false" outlineLevel="0" collapsed="false">
      <c r="A651" s="7" t="s">
        <v>374</v>
      </c>
      <c r="C651" s="7" t="s">
        <v>375</v>
      </c>
      <c r="D651" s="7" t="n">
        <v>1991</v>
      </c>
      <c r="E651" s="7" t="s">
        <v>62</v>
      </c>
      <c r="F651" s="7" t="s">
        <v>78</v>
      </c>
      <c r="G651" s="7" t="s">
        <v>66</v>
      </c>
      <c r="H651" s="7" t="n">
        <v>35.3</v>
      </c>
      <c r="I651" s="7" t="str">
        <f aca="false">IF(B651="",TRIM(C651),TRIM(B651))</f>
        <v>Enquête Démographique et de Santé Niger 1992, 1993</v>
      </c>
      <c r="J651" s="7" t="str">
        <f aca="false">IF(ISNUMBER(SEARCH("Demographic and Health",I651)),"DHS",IF(OR(ISNUMBER(SEARCH("Multiple Indicator Cluster",I651)),ISNUMBER(SEARCH("MICS",I651))),"MICS","Other"))</f>
        <v>Other</v>
      </c>
      <c r="K651" s="7" t="n">
        <f aca="false">IF(AND(F651="Record or Recall",G651="12-23 m"),1,0)</f>
        <v>0</v>
      </c>
      <c r="L651" s="7" t="n">
        <f aca="false">IF(OR(J651="DHS",J651="MICS"),1,0)</f>
        <v>0</v>
      </c>
    </row>
    <row r="652" customFormat="false" ht="15" hidden="false" customHeight="false" outlineLevel="0" collapsed="false">
      <c r="A652" s="7" t="s">
        <v>374</v>
      </c>
      <c r="C652" s="7" t="s">
        <v>375</v>
      </c>
      <c r="D652" s="7" t="n">
        <v>1991</v>
      </c>
      <c r="E652" s="7" t="s">
        <v>62</v>
      </c>
      <c r="F652" s="7" t="s">
        <v>86</v>
      </c>
      <c r="G652" s="7" t="s">
        <v>66</v>
      </c>
      <c r="H652" s="7" t="n">
        <v>31.8</v>
      </c>
      <c r="I652" s="7" t="str">
        <f aca="false">IF(B652="",TRIM(C652),TRIM(B652))</f>
        <v>Enquête Démographique et de Santé Niger 1992, 1993</v>
      </c>
      <c r="J652" s="7" t="str">
        <f aca="false">IF(ISNUMBER(SEARCH("Demographic and Health",I652)),"DHS",IF(OR(ISNUMBER(SEARCH("Multiple Indicator Cluster",I652)),ISNUMBER(SEARCH("MICS",I652))),"MICS","Other"))</f>
        <v>Other</v>
      </c>
      <c r="K652" s="7" t="n">
        <f aca="false">IF(AND(F652="Record or Recall",G652="12-23 m"),1,0)</f>
        <v>0</v>
      </c>
      <c r="L652" s="7" t="n">
        <f aca="false">IF(OR(J652="DHS",J652="MICS"),1,0)</f>
        <v>0</v>
      </c>
    </row>
    <row r="653" customFormat="false" ht="15" hidden="false" customHeight="false" outlineLevel="0" collapsed="false">
      <c r="A653" s="7" t="s">
        <v>374</v>
      </c>
      <c r="C653" s="7" t="s">
        <v>375</v>
      </c>
      <c r="D653" s="7" t="n">
        <v>1991</v>
      </c>
      <c r="E653" s="7" t="s">
        <v>62</v>
      </c>
      <c r="F653" s="7" t="s">
        <v>92</v>
      </c>
      <c r="G653" s="7" t="s">
        <v>66</v>
      </c>
      <c r="H653" s="7" t="n">
        <v>27.1</v>
      </c>
      <c r="I653" s="7" t="str">
        <f aca="false">IF(B653="",TRIM(C653),TRIM(B653))</f>
        <v>Enquête Démographique et de Santé Niger 1992, 1993</v>
      </c>
      <c r="J653" s="7" t="str">
        <f aca="false">IF(ISNUMBER(SEARCH("Demographic and Health",I653)),"DHS",IF(OR(ISNUMBER(SEARCH("Multiple Indicator Cluster",I653)),ISNUMBER(SEARCH("MICS",I653))),"MICS","Other"))</f>
        <v>Other</v>
      </c>
      <c r="K653" s="7" t="n">
        <f aca="false">IF(AND(F653="Record or Recall",G653="12-23 m"),1,0)</f>
        <v>0</v>
      </c>
      <c r="L653" s="7" t="n">
        <f aca="false">IF(OR(J653="DHS",J653="MICS"),1,0)</f>
        <v>0</v>
      </c>
    </row>
    <row r="654" customFormat="false" ht="15" hidden="false" customHeight="false" outlineLevel="0" collapsed="false">
      <c r="A654" s="7" t="s">
        <v>374</v>
      </c>
      <c r="C654" s="7" t="s">
        <v>375</v>
      </c>
      <c r="D654" s="7" t="n">
        <v>1991</v>
      </c>
      <c r="E654" s="7" t="s">
        <v>62</v>
      </c>
      <c r="F654" s="7" t="s">
        <v>63</v>
      </c>
      <c r="G654" s="7" t="s">
        <v>66</v>
      </c>
      <c r="H654" s="7" t="n">
        <v>39.9</v>
      </c>
      <c r="I654" s="7" t="str">
        <f aca="false">IF(B654="",TRIM(C654),TRIM(B654))</f>
        <v>Enquête Démographique et de Santé Niger 1992, 1993</v>
      </c>
      <c r="J654" s="7" t="str">
        <f aca="false">IF(ISNUMBER(SEARCH("Demographic and Health",I654)),"DHS",IF(OR(ISNUMBER(SEARCH("Multiple Indicator Cluster",I654)),ISNUMBER(SEARCH("MICS",I654))),"MICS","Other"))</f>
        <v>Other</v>
      </c>
      <c r="K654" s="7" t="n">
        <f aca="false">IF(AND(F654="Record or Recall",G654="12-23 m"),1,0)</f>
        <v>1</v>
      </c>
      <c r="L654" s="7" t="n">
        <f aca="false">IF(OR(J654="DHS",J654="MICS"),1,0)</f>
        <v>0</v>
      </c>
    </row>
    <row r="655" customFormat="false" ht="15" hidden="false" customHeight="false" outlineLevel="0" collapsed="false">
      <c r="A655" s="7" t="s">
        <v>374</v>
      </c>
      <c r="C655" s="7" t="s">
        <v>375</v>
      </c>
      <c r="D655" s="7" t="n">
        <v>1991</v>
      </c>
      <c r="E655" s="7" t="s">
        <v>62</v>
      </c>
      <c r="F655" s="7" t="s">
        <v>87</v>
      </c>
      <c r="G655" s="7" t="s">
        <v>66</v>
      </c>
      <c r="H655" s="7" t="n">
        <v>8.1</v>
      </c>
      <c r="I655" s="7" t="str">
        <f aca="false">IF(B655="",TRIM(C655),TRIM(B655))</f>
        <v>Enquête Démographique et de Santé Niger 1992, 1993</v>
      </c>
      <c r="J655" s="7" t="str">
        <f aca="false">IF(ISNUMBER(SEARCH("Demographic and Health",I655)),"DHS",IF(OR(ISNUMBER(SEARCH("Multiple Indicator Cluster",I655)),ISNUMBER(SEARCH("MICS",I655))),"MICS","Other"))</f>
        <v>Other</v>
      </c>
      <c r="K655" s="7" t="n">
        <f aca="false">IF(AND(F655="Record or Recall",G655="12-23 m"),1,0)</f>
        <v>0</v>
      </c>
      <c r="L655" s="7" t="n">
        <f aca="false">IF(OR(J655="DHS",J655="MICS"),1,0)</f>
        <v>0</v>
      </c>
    </row>
    <row r="656" customFormat="false" ht="15" hidden="false" customHeight="false" outlineLevel="0" collapsed="false">
      <c r="A656" s="7" t="s">
        <v>374</v>
      </c>
      <c r="C656" s="7" t="s">
        <v>375</v>
      </c>
      <c r="D656" s="7" t="n">
        <v>1991</v>
      </c>
      <c r="E656" s="7" t="s">
        <v>81</v>
      </c>
      <c r="F656" s="7" t="s">
        <v>78</v>
      </c>
      <c r="G656" s="7" t="s">
        <v>66</v>
      </c>
      <c r="H656" s="7" t="n">
        <v>32.1</v>
      </c>
      <c r="I656" s="7" t="str">
        <f aca="false">IF(B656="",TRIM(C656),TRIM(B656))</f>
        <v>Enquête Démographique et de Santé Niger 1992, 1993</v>
      </c>
      <c r="J656" s="7" t="str">
        <f aca="false">IF(ISNUMBER(SEARCH("Demographic and Health",I656)),"DHS",IF(OR(ISNUMBER(SEARCH("Multiple Indicator Cluster",I656)),ISNUMBER(SEARCH("MICS",I656))),"MICS","Other"))</f>
        <v>Other</v>
      </c>
      <c r="K656" s="7" t="n">
        <f aca="false">IF(AND(F656="Record or Recall",G656="12-23 m"),1,0)</f>
        <v>0</v>
      </c>
      <c r="L656" s="7" t="n">
        <f aca="false">IF(OR(J656="DHS",J656="MICS"),1,0)</f>
        <v>0</v>
      </c>
    </row>
    <row r="657" customFormat="false" ht="15" hidden="false" customHeight="false" outlineLevel="0" collapsed="false">
      <c r="A657" s="7" t="s">
        <v>374</v>
      </c>
      <c r="C657" s="7" t="s">
        <v>375</v>
      </c>
      <c r="D657" s="7" t="n">
        <v>1991</v>
      </c>
      <c r="E657" s="7" t="s">
        <v>81</v>
      </c>
      <c r="F657" s="7" t="s">
        <v>86</v>
      </c>
      <c r="G657" s="7" t="s">
        <v>66</v>
      </c>
      <c r="H657" s="7" t="n">
        <v>29.5</v>
      </c>
      <c r="I657" s="7" t="str">
        <f aca="false">IF(B657="",TRIM(C657),TRIM(B657))</f>
        <v>Enquête Démographique et de Santé Niger 1992, 1993</v>
      </c>
      <c r="J657" s="7" t="str">
        <f aca="false">IF(ISNUMBER(SEARCH("Demographic and Health",I657)),"DHS",IF(OR(ISNUMBER(SEARCH("Multiple Indicator Cluster",I657)),ISNUMBER(SEARCH("MICS",I657))),"MICS","Other"))</f>
        <v>Other</v>
      </c>
      <c r="K657" s="7" t="n">
        <f aca="false">IF(AND(F657="Record or Recall",G657="12-23 m"),1,0)</f>
        <v>0</v>
      </c>
      <c r="L657" s="7" t="n">
        <f aca="false">IF(OR(J657="DHS",J657="MICS"),1,0)</f>
        <v>0</v>
      </c>
    </row>
    <row r="658" customFormat="false" ht="15" hidden="false" customHeight="false" outlineLevel="0" collapsed="false">
      <c r="A658" s="7" t="s">
        <v>374</v>
      </c>
      <c r="C658" s="7" t="s">
        <v>375</v>
      </c>
      <c r="D658" s="7" t="n">
        <v>1991</v>
      </c>
      <c r="E658" s="7" t="s">
        <v>81</v>
      </c>
      <c r="F658" s="7" t="s">
        <v>92</v>
      </c>
      <c r="G658" s="7" t="s">
        <v>66</v>
      </c>
      <c r="H658" s="7" t="n">
        <v>25.2</v>
      </c>
      <c r="I658" s="7" t="str">
        <f aca="false">IF(B658="",TRIM(C658),TRIM(B658))</f>
        <v>Enquête Démographique et de Santé Niger 1992, 1993</v>
      </c>
      <c r="J658" s="7" t="str">
        <f aca="false">IF(ISNUMBER(SEARCH("Demographic and Health",I658)),"DHS",IF(OR(ISNUMBER(SEARCH("Multiple Indicator Cluster",I658)),ISNUMBER(SEARCH("MICS",I658))),"MICS","Other"))</f>
        <v>Other</v>
      </c>
      <c r="K658" s="7" t="n">
        <f aca="false">IF(AND(F658="Record or Recall",G658="12-23 m"),1,0)</f>
        <v>0</v>
      </c>
      <c r="L658" s="7" t="n">
        <f aca="false">IF(OR(J658="DHS",J658="MICS"),1,0)</f>
        <v>0</v>
      </c>
    </row>
    <row r="659" customFormat="false" ht="15" hidden="false" customHeight="false" outlineLevel="0" collapsed="false">
      <c r="A659" s="7" t="s">
        <v>374</v>
      </c>
      <c r="C659" s="7" t="s">
        <v>375</v>
      </c>
      <c r="D659" s="7" t="n">
        <v>1991</v>
      </c>
      <c r="E659" s="7" t="s">
        <v>81</v>
      </c>
      <c r="F659" s="7" t="s">
        <v>63</v>
      </c>
      <c r="G659" s="7" t="s">
        <v>66</v>
      </c>
      <c r="H659" s="7" t="n">
        <v>36.3</v>
      </c>
      <c r="I659" s="7" t="str">
        <f aca="false">IF(B659="",TRIM(C659),TRIM(B659))</f>
        <v>Enquête Démographique et de Santé Niger 1992, 1993</v>
      </c>
      <c r="J659" s="7" t="str">
        <f aca="false">IF(ISNUMBER(SEARCH("Demographic and Health",I659)),"DHS",IF(OR(ISNUMBER(SEARCH("Multiple Indicator Cluster",I659)),ISNUMBER(SEARCH("MICS",I659))),"MICS","Other"))</f>
        <v>Other</v>
      </c>
      <c r="K659" s="7" t="n">
        <f aca="false">IF(AND(F659="Record or Recall",G659="12-23 m"),1,0)</f>
        <v>1</v>
      </c>
      <c r="L659" s="7" t="n">
        <f aca="false">IF(OR(J659="DHS",J659="MICS"),1,0)</f>
        <v>0</v>
      </c>
    </row>
    <row r="660" customFormat="false" ht="15" hidden="false" customHeight="false" outlineLevel="0" collapsed="false">
      <c r="A660" s="7" t="s">
        <v>374</v>
      </c>
      <c r="C660" s="7" t="s">
        <v>375</v>
      </c>
      <c r="D660" s="7" t="n">
        <v>1991</v>
      </c>
      <c r="E660" s="7" t="s">
        <v>81</v>
      </c>
      <c r="F660" s="7" t="s">
        <v>87</v>
      </c>
      <c r="G660" s="7" t="s">
        <v>66</v>
      </c>
      <c r="H660" s="7" t="n">
        <v>6.8</v>
      </c>
      <c r="I660" s="7" t="str">
        <f aca="false">IF(B660="",TRIM(C660),TRIM(B660))</f>
        <v>Enquête Démographique et de Santé Niger 1992, 1993</v>
      </c>
      <c r="J660" s="7" t="str">
        <f aca="false">IF(ISNUMBER(SEARCH("Demographic and Health",I660)),"DHS",IF(OR(ISNUMBER(SEARCH("Multiple Indicator Cluster",I660)),ISNUMBER(SEARCH("MICS",I660))),"MICS","Other"))</f>
        <v>Other</v>
      </c>
      <c r="K660" s="7" t="n">
        <f aca="false">IF(AND(F660="Record or Recall",G660="12-23 m"),1,0)</f>
        <v>0</v>
      </c>
      <c r="L660" s="7" t="n">
        <f aca="false">IF(OR(J660="DHS",J660="MICS"),1,0)</f>
        <v>0</v>
      </c>
    </row>
    <row r="661" customFormat="false" ht="15" hidden="false" customHeight="false" outlineLevel="0" collapsed="false">
      <c r="A661" s="7" t="s">
        <v>374</v>
      </c>
      <c r="C661" s="7" t="s">
        <v>375</v>
      </c>
      <c r="D661" s="7" t="n">
        <v>1991</v>
      </c>
      <c r="E661" s="7" t="s">
        <v>67</v>
      </c>
      <c r="F661" s="7" t="s">
        <v>78</v>
      </c>
      <c r="G661" s="7" t="s">
        <v>66</v>
      </c>
      <c r="H661" s="7" t="n">
        <v>17.3</v>
      </c>
      <c r="I661" s="7" t="str">
        <f aca="false">IF(B661="",TRIM(C661),TRIM(B661))</f>
        <v>Enquête Démographique et de Santé Niger 1992, 1993</v>
      </c>
      <c r="J661" s="7" t="str">
        <f aca="false">IF(ISNUMBER(SEARCH("Demographic and Health",I661)),"DHS",IF(OR(ISNUMBER(SEARCH("Multiple Indicator Cluster",I661)),ISNUMBER(SEARCH("MICS",I661))),"MICS","Other"))</f>
        <v>Other</v>
      </c>
      <c r="K661" s="7" t="n">
        <f aca="false">IF(AND(F661="Record or Recall",G661="12-23 m"),1,0)</f>
        <v>0</v>
      </c>
      <c r="L661" s="7" t="n">
        <f aca="false">IF(OR(J661="DHS",J661="MICS"),1,0)</f>
        <v>0</v>
      </c>
    </row>
    <row r="662" customFormat="false" ht="15" hidden="false" customHeight="false" outlineLevel="0" collapsed="false">
      <c r="A662" s="7" t="s">
        <v>374</v>
      </c>
      <c r="C662" s="7" t="s">
        <v>375</v>
      </c>
      <c r="D662" s="7" t="n">
        <v>1991</v>
      </c>
      <c r="E662" s="7" t="s">
        <v>67</v>
      </c>
      <c r="F662" s="7" t="s">
        <v>86</v>
      </c>
      <c r="G662" s="7" t="s">
        <v>66</v>
      </c>
      <c r="H662" s="7" t="n">
        <v>16.7</v>
      </c>
      <c r="I662" s="7" t="str">
        <f aca="false">IF(B662="",TRIM(C662),TRIM(B662))</f>
        <v>Enquête Démographique et de Santé Niger 1992, 1993</v>
      </c>
      <c r="J662" s="7" t="str">
        <f aca="false">IF(ISNUMBER(SEARCH("Demographic and Health",I662)),"DHS",IF(OR(ISNUMBER(SEARCH("Multiple Indicator Cluster",I662)),ISNUMBER(SEARCH("MICS",I662))),"MICS","Other"))</f>
        <v>Other</v>
      </c>
      <c r="K662" s="7" t="n">
        <f aca="false">IF(AND(F662="Record or Recall",G662="12-23 m"),1,0)</f>
        <v>0</v>
      </c>
      <c r="L662" s="7" t="n">
        <f aca="false">IF(OR(J662="DHS",J662="MICS"),1,0)</f>
        <v>0</v>
      </c>
    </row>
    <row r="663" customFormat="false" ht="15" hidden="false" customHeight="false" outlineLevel="0" collapsed="false">
      <c r="A663" s="7" t="s">
        <v>374</v>
      </c>
      <c r="C663" s="7" t="s">
        <v>375</v>
      </c>
      <c r="D663" s="7" t="n">
        <v>1991</v>
      </c>
      <c r="E663" s="7" t="s">
        <v>67</v>
      </c>
      <c r="F663" s="7" t="s">
        <v>92</v>
      </c>
      <c r="G663" s="7" t="s">
        <v>66</v>
      </c>
      <c r="H663" s="7" t="n">
        <v>13.6</v>
      </c>
      <c r="I663" s="7" t="str">
        <f aca="false">IF(B663="",TRIM(C663),TRIM(B663))</f>
        <v>Enquête Démographique et de Santé Niger 1992, 1993</v>
      </c>
      <c r="J663" s="7" t="str">
        <f aca="false">IF(ISNUMBER(SEARCH("Demographic and Health",I663)),"DHS",IF(OR(ISNUMBER(SEARCH("Multiple Indicator Cluster",I663)),ISNUMBER(SEARCH("MICS",I663))),"MICS","Other"))</f>
        <v>Other</v>
      </c>
      <c r="K663" s="7" t="n">
        <f aca="false">IF(AND(F663="Record or Recall",G663="12-23 m"),1,0)</f>
        <v>0</v>
      </c>
      <c r="L663" s="7" t="n">
        <f aca="false">IF(OR(J663="DHS",J663="MICS"),1,0)</f>
        <v>0</v>
      </c>
    </row>
    <row r="664" customFormat="false" ht="15" hidden="false" customHeight="false" outlineLevel="0" collapsed="false">
      <c r="A664" s="7" t="s">
        <v>374</v>
      </c>
      <c r="C664" s="7" t="s">
        <v>375</v>
      </c>
      <c r="D664" s="7" t="n">
        <v>1991</v>
      </c>
      <c r="E664" s="7" t="s">
        <v>67</v>
      </c>
      <c r="F664" s="7" t="s">
        <v>63</v>
      </c>
      <c r="G664" s="7" t="s">
        <v>66</v>
      </c>
      <c r="H664" s="7" t="n">
        <v>20.3</v>
      </c>
      <c r="I664" s="7" t="str">
        <f aca="false">IF(B664="",TRIM(C664),TRIM(B664))</f>
        <v>Enquête Démographique et de Santé Niger 1992, 1993</v>
      </c>
      <c r="J664" s="7" t="str">
        <f aca="false">IF(ISNUMBER(SEARCH("Demographic and Health",I664)),"DHS",IF(OR(ISNUMBER(SEARCH("Multiple Indicator Cluster",I664)),ISNUMBER(SEARCH("MICS",I664))),"MICS","Other"))</f>
        <v>Other</v>
      </c>
      <c r="K664" s="7" t="n">
        <f aca="false">IF(AND(F664="Record or Recall",G664="12-23 m"),1,0)</f>
        <v>1</v>
      </c>
      <c r="L664" s="7" t="n">
        <f aca="false">IF(OR(J664="DHS",J664="MICS"),1,0)</f>
        <v>0</v>
      </c>
    </row>
    <row r="665" customFormat="false" ht="15" hidden="false" customHeight="false" outlineLevel="0" collapsed="false">
      <c r="A665" s="7" t="s">
        <v>374</v>
      </c>
      <c r="C665" s="7" t="s">
        <v>375</v>
      </c>
      <c r="D665" s="7" t="n">
        <v>1991</v>
      </c>
      <c r="E665" s="7" t="s">
        <v>67</v>
      </c>
      <c r="F665" s="7" t="s">
        <v>87</v>
      </c>
      <c r="G665" s="7" t="s">
        <v>66</v>
      </c>
      <c r="H665" s="7" t="n">
        <v>3.6</v>
      </c>
      <c r="I665" s="7" t="str">
        <f aca="false">IF(B665="",TRIM(C665),TRIM(B665))</f>
        <v>Enquête Démographique et de Santé Niger 1992, 1993</v>
      </c>
      <c r="J665" s="7" t="str">
        <f aca="false">IF(ISNUMBER(SEARCH("Demographic and Health",I665)),"DHS",IF(OR(ISNUMBER(SEARCH("Multiple Indicator Cluster",I665)),ISNUMBER(SEARCH("MICS",I665))),"MICS","Other"))</f>
        <v>Other</v>
      </c>
      <c r="K665" s="7" t="n">
        <f aca="false">IF(AND(F665="Record or Recall",G665="12-23 m"),1,0)</f>
        <v>0</v>
      </c>
      <c r="L665" s="7" t="n">
        <f aca="false">IF(OR(J665="DHS",J665="MICS"),1,0)</f>
        <v>0</v>
      </c>
    </row>
    <row r="666" customFormat="false" ht="15" hidden="false" customHeight="false" outlineLevel="0" collapsed="false">
      <c r="A666" s="7" t="s">
        <v>374</v>
      </c>
      <c r="C666" s="7" t="s">
        <v>375</v>
      </c>
      <c r="D666" s="7" t="n">
        <v>1991</v>
      </c>
      <c r="E666" s="7" t="s">
        <v>82</v>
      </c>
      <c r="F666" s="7" t="s">
        <v>78</v>
      </c>
      <c r="G666" s="7" t="s">
        <v>66</v>
      </c>
      <c r="H666" s="7" t="n">
        <v>13</v>
      </c>
      <c r="I666" s="7" t="str">
        <f aca="false">IF(B666="",TRIM(C666),TRIM(B666))</f>
        <v>Enquête Démographique et de Santé Niger 1992, 1993</v>
      </c>
      <c r="J666" s="7" t="str">
        <f aca="false">IF(ISNUMBER(SEARCH("Demographic and Health",I666)),"DHS",IF(OR(ISNUMBER(SEARCH("Multiple Indicator Cluster",I666)),ISNUMBER(SEARCH("MICS",I666))),"MICS","Other"))</f>
        <v>Other</v>
      </c>
      <c r="K666" s="7" t="n">
        <f aca="false">IF(AND(F666="Record or Recall",G666="12-23 m"),1,0)</f>
        <v>0</v>
      </c>
      <c r="L666" s="7" t="n">
        <f aca="false">IF(OR(J666="DHS",J666="MICS"),1,0)</f>
        <v>0</v>
      </c>
    </row>
    <row r="667" customFormat="false" ht="15" hidden="false" customHeight="false" outlineLevel="0" collapsed="false">
      <c r="A667" s="7" t="s">
        <v>374</v>
      </c>
      <c r="C667" s="7" t="s">
        <v>375</v>
      </c>
      <c r="D667" s="7" t="n">
        <v>1991</v>
      </c>
      <c r="E667" s="7" t="s">
        <v>82</v>
      </c>
      <c r="F667" s="7" t="s">
        <v>86</v>
      </c>
      <c r="G667" s="7" t="s">
        <v>66</v>
      </c>
      <c r="H667" s="7" t="n">
        <v>14.5</v>
      </c>
      <c r="I667" s="7" t="str">
        <f aca="false">IF(B667="",TRIM(C667),TRIM(B667))</f>
        <v>Enquête Démographique et de Santé Niger 1992, 1993</v>
      </c>
      <c r="J667" s="7" t="str">
        <f aca="false">IF(ISNUMBER(SEARCH("Demographic and Health",I667)),"DHS",IF(OR(ISNUMBER(SEARCH("Multiple Indicator Cluster",I667)),ISNUMBER(SEARCH("MICS",I667))),"MICS","Other"))</f>
        <v>Other</v>
      </c>
      <c r="K667" s="7" t="n">
        <f aca="false">IF(AND(F667="Record or Recall",G667="12-23 m"),1,0)</f>
        <v>0</v>
      </c>
      <c r="L667" s="7" t="n">
        <f aca="false">IF(OR(J667="DHS",J667="MICS"),1,0)</f>
        <v>0</v>
      </c>
    </row>
    <row r="668" customFormat="false" ht="15" hidden="false" customHeight="false" outlineLevel="0" collapsed="false">
      <c r="A668" s="7" t="s">
        <v>374</v>
      </c>
      <c r="C668" s="7" t="s">
        <v>375</v>
      </c>
      <c r="D668" s="7" t="n">
        <v>1991</v>
      </c>
      <c r="E668" s="7" t="s">
        <v>82</v>
      </c>
      <c r="F668" s="7" t="s">
        <v>92</v>
      </c>
      <c r="G668" s="7" t="s">
        <v>66</v>
      </c>
      <c r="H668" s="7" t="n">
        <v>9.9</v>
      </c>
      <c r="I668" s="7" t="str">
        <f aca="false">IF(B668="",TRIM(C668),TRIM(B668))</f>
        <v>Enquête Démographique et de Santé Niger 1992, 1993</v>
      </c>
      <c r="J668" s="7" t="str">
        <f aca="false">IF(ISNUMBER(SEARCH("Demographic and Health",I668)),"DHS",IF(OR(ISNUMBER(SEARCH("Multiple Indicator Cluster",I668)),ISNUMBER(SEARCH("MICS",I668))),"MICS","Other"))</f>
        <v>Other</v>
      </c>
      <c r="K668" s="7" t="n">
        <f aca="false">IF(AND(F668="Record or Recall",G668="12-23 m"),1,0)</f>
        <v>0</v>
      </c>
      <c r="L668" s="7" t="n">
        <f aca="false">IF(OR(J668="DHS",J668="MICS"),1,0)</f>
        <v>0</v>
      </c>
    </row>
    <row r="669" customFormat="false" ht="15" hidden="false" customHeight="false" outlineLevel="0" collapsed="false">
      <c r="A669" s="7" t="s">
        <v>374</v>
      </c>
      <c r="C669" s="7" t="s">
        <v>375</v>
      </c>
      <c r="D669" s="7" t="n">
        <v>1991</v>
      </c>
      <c r="E669" s="7" t="s">
        <v>82</v>
      </c>
      <c r="F669" s="7" t="s">
        <v>63</v>
      </c>
      <c r="G669" s="7" t="s">
        <v>66</v>
      </c>
      <c r="H669" s="7" t="n">
        <v>17.4</v>
      </c>
      <c r="I669" s="7" t="str">
        <f aca="false">IF(B669="",TRIM(C669),TRIM(B669))</f>
        <v>Enquête Démographique et de Santé Niger 1992, 1993</v>
      </c>
      <c r="J669" s="7" t="str">
        <f aca="false">IF(ISNUMBER(SEARCH("Demographic and Health",I669)),"DHS",IF(OR(ISNUMBER(SEARCH("Multiple Indicator Cluster",I669)),ISNUMBER(SEARCH("MICS",I669))),"MICS","Other"))</f>
        <v>Other</v>
      </c>
      <c r="K669" s="7" t="n">
        <f aca="false">IF(AND(F669="Record or Recall",G669="12-23 m"),1,0)</f>
        <v>1</v>
      </c>
      <c r="L669" s="7" t="n">
        <f aca="false">IF(OR(J669="DHS",J669="MICS"),1,0)</f>
        <v>0</v>
      </c>
    </row>
    <row r="670" customFormat="false" ht="15" hidden="false" customHeight="false" outlineLevel="0" collapsed="false">
      <c r="A670" s="7" t="s">
        <v>374</v>
      </c>
      <c r="C670" s="7" t="s">
        <v>375</v>
      </c>
      <c r="D670" s="7" t="n">
        <v>1991</v>
      </c>
      <c r="E670" s="7" t="s">
        <v>82</v>
      </c>
      <c r="F670" s="7" t="s">
        <v>87</v>
      </c>
      <c r="G670" s="7" t="s">
        <v>66</v>
      </c>
      <c r="H670" s="7" t="n">
        <v>2.8</v>
      </c>
      <c r="I670" s="7" t="str">
        <f aca="false">IF(B670="",TRIM(C670),TRIM(B670))</f>
        <v>Enquête Démographique et de Santé Niger 1992, 1993</v>
      </c>
      <c r="J670" s="7" t="str">
        <f aca="false">IF(ISNUMBER(SEARCH("Demographic and Health",I670)),"DHS",IF(OR(ISNUMBER(SEARCH("Multiple Indicator Cluster",I670)),ISNUMBER(SEARCH("MICS",I670))),"MICS","Other"))</f>
        <v>Other</v>
      </c>
      <c r="K670" s="7" t="n">
        <f aca="false">IF(AND(F670="Record or Recall",G670="12-23 m"),1,0)</f>
        <v>0</v>
      </c>
      <c r="L670" s="7" t="n">
        <f aca="false">IF(OR(J670="DHS",J670="MICS"),1,0)</f>
        <v>0</v>
      </c>
    </row>
    <row r="671" customFormat="false" ht="15" hidden="false" customHeight="false" outlineLevel="0" collapsed="false">
      <c r="A671" s="7" t="s">
        <v>374</v>
      </c>
      <c r="C671" s="7" t="s">
        <v>375</v>
      </c>
      <c r="D671" s="7" t="n">
        <v>1991</v>
      </c>
      <c r="E671" s="7" t="s">
        <v>68</v>
      </c>
      <c r="F671" s="7" t="s">
        <v>78</v>
      </c>
      <c r="G671" s="7" t="s">
        <v>66</v>
      </c>
      <c r="H671" s="7" t="n">
        <v>20.4</v>
      </c>
      <c r="I671" s="7" t="str">
        <f aca="false">IF(B671="",TRIM(C671),TRIM(B671))</f>
        <v>Enquête Démographique et de Santé Niger 1992, 1993</v>
      </c>
      <c r="J671" s="7" t="str">
        <f aca="false">IF(ISNUMBER(SEARCH("Demographic and Health",I671)),"DHS",IF(OR(ISNUMBER(SEARCH("Multiple Indicator Cluster",I671)),ISNUMBER(SEARCH("MICS",I671))),"MICS","Other"))</f>
        <v>Other</v>
      </c>
      <c r="K671" s="7" t="n">
        <f aca="false">IF(AND(F671="Record or Recall",G671="12-23 m"),1,0)</f>
        <v>0</v>
      </c>
      <c r="L671" s="7" t="n">
        <f aca="false">IF(OR(J671="DHS",J671="MICS"),1,0)</f>
        <v>0</v>
      </c>
    </row>
    <row r="672" customFormat="false" ht="15" hidden="false" customHeight="false" outlineLevel="0" collapsed="false">
      <c r="A672" s="7" t="s">
        <v>374</v>
      </c>
      <c r="C672" s="7" t="s">
        <v>375</v>
      </c>
      <c r="D672" s="7" t="n">
        <v>1991</v>
      </c>
      <c r="E672" s="7" t="s">
        <v>68</v>
      </c>
      <c r="F672" s="7" t="s">
        <v>86</v>
      </c>
      <c r="G672" s="7" t="s">
        <v>66</v>
      </c>
      <c r="H672" s="7" t="n">
        <v>22.5</v>
      </c>
      <c r="I672" s="7" t="str">
        <f aca="false">IF(B672="",TRIM(C672),TRIM(B672))</f>
        <v>Enquête Démographique et de Santé Niger 1992, 1993</v>
      </c>
      <c r="J672" s="7" t="str">
        <f aca="false">IF(ISNUMBER(SEARCH("Demographic and Health",I672)),"DHS",IF(OR(ISNUMBER(SEARCH("Multiple Indicator Cluster",I672)),ISNUMBER(SEARCH("MICS",I672))),"MICS","Other"))</f>
        <v>Other</v>
      </c>
      <c r="K672" s="7" t="n">
        <f aca="false">IF(AND(F672="Record or Recall",G672="12-23 m"),1,0)</f>
        <v>0</v>
      </c>
      <c r="L672" s="7" t="n">
        <f aca="false">IF(OR(J672="DHS",J672="MICS"),1,0)</f>
        <v>0</v>
      </c>
    </row>
    <row r="673" customFormat="false" ht="15" hidden="false" customHeight="false" outlineLevel="0" collapsed="false">
      <c r="A673" s="7" t="s">
        <v>374</v>
      </c>
      <c r="C673" s="7" t="s">
        <v>375</v>
      </c>
      <c r="D673" s="7" t="n">
        <v>1991</v>
      </c>
      <c r="E673" s="7" t="s">
        <v>68</v>
      </c>
      <c r="F673" s="7" t="s">
        <v>92</v>
      </c>
      <c r="G673" s="7" t="s">
        <v>66</v>
      </c>
      <c r="H673" s="7" t="n">
        <v>15.4</v>
      </c>
      <c r="I673" s="7" t="str">
        <f aca="false">IF(B673="",TRIM(C673),TRIM(B673))</f>
        <v>Enquête Démographique et de Santé Niger 1992, 1993</v>
      </c>
      <c r="J673" s="7" t="str">
        <f aca="false">IF(ISNUMBER(SEARCH("Demographic and Health",I673)),"DHS",IF(OR(ISNUMBER(SEARCH("Multiple Indicator Cluster",I673)),ISNUMBER(SEARCH("MICS",I673))),"MICS","Other"))</f>
        <v>Other</v>
      </c>
      <c r="K673" s="7" t="n">
        <f aca="false">IF(AND(F673="Record or Recall",G673="12-23 m"),1,0)</f>
        <v>0</v>
      </c>
      <c r="L673" s="7" t="n">
        <f aca="false">IF(OR(J673="DHS",J673="MICS"),1,0)</f>
        <v>0</v>
      </c>
    </row>
    <row r="674" customFormat="false" ht="15" hidden="false" customHeight="false" outlineLevel="0" collapsed="false">
      <c r="A674" s="7" t="s">
        <v>374</v>
      </c>
      <c r="C674" s="7" t="s">
        <v>375</v>
      </c>
      <c r="D674" s="7" t="n">
        <v>1991</v>
      </c>
      <c r="E674" s="7" t="s">
        <v>68</v>
      </c>
      <c r="F674" s="7" t="s">
        <v>63</v>
      </c>
      <c r="G674" s="7" t="s">
        <v>66</v>
      </c>
      <c r="H674" s="7" t="n">
        <v>27.8</v>
      </c>
      <c r="I674" s="7" t="str">
        <f aca="false">IF(B674="",TRIM(C674),TRIM(B674))</f>
        <v>Enquête Démographique et de Santé Niger 1992, 1993</v>
      </c>
      <c r="J674" s="7" t="str">
        <f aca="false">IF(ISNUMBER(SEARCH("Demographic and Health",I674)),"DHS",IF(OR(ISNUMBER(SEARCH("Multiple Indicator Cluster",I674)),ISNUMBER(SEARCH("MICS",I674))),"MICS","Other"))</f>
        <v>Other</v>
      </c>
      <c r="K674" s="7" t="n">
        <f aca="false">IF(AND(F674="Record or Recall",G674="12-23 m"),1,0)</f>
        <v>1</v>
      </c>
      <c r="L674" s="7" t="n">
        <f aca="false">IF(OR(J674="DHS",J674="MICS"),1,0)</f>
        <v>0</v>
      </c>
    </row>
    <row r="675" customFormat="false" ht="15" hidden="false" customHeight="false" outlineLevel="0" collapsed="false">
      <c r="A675" s="7" t="s">
        <v>374</v>
      </c>
      <c r="C675" s="7" t="s">
        <v>375</v>
      </c>
      <c r="D675" s="7" t="n">
        <v>1991</v>
      </c>
      <c r="E675" s="7" t="s">
        <v>68</v>
      </c>
      <c r="F675" s="7" t="s">
        <v>87</v>
      </c>
      <c r="G675" s="7" t="s">
        <v>66</v>
      </c>
      <c r="H675" s="7" t="n">
        <v>5.3</v>
      </c>
      <c r="I675" s="7" t="str">
        <f aca="false">IF(B675="",TRIM(C675),TRIM(B675))</f>
        <v>Enquête Démographique et de Santé Niger 1992, 1993</v>
      </c>
      <c r="J675" s="7" t="str">
        <f aca="false">IF(ISNUMBER(SEARCH("Demographic and Health",I675)),"DHS",IF(OR(ISNUMBER(SEARCH("Multiple Indicator Cluster",I675)),ISNUMBER(SEARCH("MICS",I675))),"MICS","Other"))</f>
        <v>Other</v>
      </c>
      <c r="K675" s="7" t="n">
        <f aca="false">IF(AND(F675="Record or Recall",G675="12-23 m"),1,0)</f>
        <v>0</v>
      </c>
      <c r="L675" s="7" t="n">
        <f aca="false">IF(OR(J675="DHS",J675="MICS"),1,0)</f>
        <v>0</v>
      </c>
    </row>
    <row r="676" customFormat="false" ht="15" hidden="false" customHeight="false" outlineLevel="0" collapsed="false">
      <c r="A676" s="7" t="s">
        <v>374</v>
      </c>
      <c r="C676" s="7" t="s">
        <v>375</v>
      </c>
      <c r="D676" s="7" t="n">
        <v>1991</v>
      </c>
      <c r="E676" s="7" t="s">
        <v>69</v>
      </c>
      <c r="F676" s="7" t="s">
        <v>78</v>
      </c>
      <c r="G676" s="7" t="s">
        <v>66</v>
      </c>
      <c r="H676" s="7" t="n">
        <v>17.1</v>
      </c>
      <c r="I676" s="7" t="str">
        <f aca="false">IF(B676="",TRIM(C676),TRIM(B676))</f>
        <v>Enquête Démographique et de Santé Niger 1992, 1993</v>
      </c>
      <c r="J676" s="7" t="str">
        <f aca="false">IF(ISNUMBER(SEARCH("Demographic and Health",I676)),"DHS",IF(OR(ISNUMBER(SEARCH("Multiple Indicator Cluster",I676)),ISNUMBER(SEARCH("MICS",I676))),"MICS","Other"))</f>
        <v>Other</v>
      </c>
      <c r="K676" s="7" t="n">
        <f aca="false">IF(AND(F676="Record or Recall",G676="12-23 m"),1,0)</f>
        <v>0</v>
      </c>
      <c r="L676" s="7" t="n">
        <f aca="false">IF(OR(J676="DHS",J676="MICS"),1,0)</f>
        <v>0</v>
      </c>
    </row>
    <row r="677" customFormat="false" ht="15" hidden="false" customHeight="false" outlineLevel="0" collapsed="false">
      <c r="A677" s="7" t="s">
        <v>374</v>
      </c>
      <c r="C677" s="7" t="s">
        <v>375</v>
      </c>
      <c r="D677" s="7" t="n">
        <v>1991</v>
      </c>
      <c r="E677" s="7" t="s">
        <v>69</v>
      </c>
      <c r="F677" s="7" t="s">
        <v>86</v>
      </c>
      <c r="G677" s="7" t="s">
        <v>66</v>
      </c>
      <c r="H677" s="7" t="n">
        <v>16.5</v>
      </c>
      <c r="I677" s="7" t="str">
        <f aca="false">IF(B677="",TRIM(C677),TRIM(B677))</f>
        <v>Enquête Démographique et de Santé Niger 1992, 1993</v>
      </c>
      <c r="J677" s="7" t="str">
        <f aca="false">IF(ISNUMBER(SEARCH("Demographic and Health",I677)),"DHS",IF(OR(ISNUMBER(SEARCH("Multiple Indicator Cluster",I677)),ISNUMBER(SEARCH("MICS",I677))),"MICS","Other"))</f>
        <v>Other</v>
      </c>
      <c r="K677" s="7" t="n">
        <f aca="false">IF(AND(F677="Record or Recall",G677="12-23 m"),1,0)</f>
        <v>0</v>
      </c>
      <c r="L677" s="7" t="n">
        <f aca="false">IF(OR(J677="DHS",J677="MICS"),1,0)</f>
        <v>0</v>
      </c>
    </row>
    <row r="678" customFormat="false" ht="15" hidden="false" customHeight="false" outlineLevel="0" collapsed="false">
      <c r="A678" s="7" t="s">
        <v>374</v>
      </c>
      <c r="C678" s="7" t="s">
        <v>375</v>
      </c>
      <c r="D678" s="7" t="n">
        <v>1991</v>
      </c>
      <c r="E678" s="7" t="s">
        <v>69</v>
      </c>
      <c r="F678" s="7" t="s">
        <v>92</v>
      </c>
      <c r="G678" s="7" t="s">
        <v>66</v>
      </c>
      <c r="H678" s="7" t="n">
        <v>13.3</v>
      </c>
      <c r="I678" s="7" t="str">
        <f aca="false">IF(B678="",TRIM(C678),TRIM(B678))</f>
        <v>Enquête Démographique et de Santé Niger 1992, 1993</v>
      </c>
      <c r="J678" s="7" t="str">
        <f aca="false">IF(ISNUMBER(SEARCH("Demographic and Health",I678)),"DHS",IF(OR(ISNUMBER(SEARCH("Multiple Indicator Cluster",I678)),ISNUMBER(SEARCH("MICS",I678))),"MICS","Other"))</f>
        <v>Other</v>
      </c>
      <c r="K678" s="7" t="n">
        <f aca="false">IF(AND(F678="Record or Recall",G678="12-23 m"),1,0)</f>
        <v>0</v>
      </c>
      <c r="L678" s="7" t="n">
        <f aca="false">IF(OR(J678="DHS",J678="MICS"),1,0)</f>
        <v>0</v>
      </c>
    </row>
    <row r="679" customFormat="false" ht="15" hidden="false" customHeight="false" outlineLevel="0" collapsed="false">
      <c r="A679" s="7" t="s">
        <v>374</v>
      </c>
      <c r="C679" s="7" t="s">
        <v>375</v>
      </c>
      <c r="D679" s="7" t="n">
        <v>1991</v>
      </c>
      <c r="E679" s="7" t="s">
        <v>69</v>
      </c>
      <c r="F679" s="7" t="s">
        <v>63</v>
      </c>
      <c r="G679" s="7" t="s">
        <v>66</v>
      </c>
      <c r="H679" s="7" t="n">
        <v>20.1</v>
      </c>
      <c r="I679" s="7" t="str">
        <f aca="false">IF(B679="",TRIM(C679),TRIM(B679))</f>
        <v>Enquête Démographique et de Santé Niger 1992, 1993</v>
      </c>
      <c r="J679" s="7" t="str">
        <f aca="false">IF(ISNUMBER(SEARCH("Demographic and Health",I679)),"DHS",IF(OR(ISNUMBER(SEARCH("Multiple Indicator Cluster",I679)),ISNUMBER(SEARCH("MICS",I679))),"MICS","Other"))</f>
        <v>Other</v>
      </c>
      <c r="K679" s="7" t="n">
        <f aca="false">IF(AND(F679="Record or Recall",G679="12-23 m"),1,0)</f>
        <v>1</v>
      </c>
      <c r="L679" s="7" t="n">
        <f aca="false">IF(OR(J679="DHS",J679="MICS"),1,0)</f>
        <v>0</v>
      </c>
    </row>
    <row r="680" customFormat="false" ht="15" hidden="false" customHeight="false" outlineLevel="0" collapsed="false">
      <c r="A680" s="7" t="s">
        <v>374</v>
      </c>
      <c r="C680" s="7" t="s">
        <v>375</v>
      </c>
      <c r="D680" s="7" t="n">
        <v>1991</v>
      </c>
      <c r="E680" s="7" t="s">
        <v>69</v>
      </c>
      <c r="F680" s="7" t="s">
        <v>87</v>
      </c>
      <c r="G680" s="7" t="s">
        <v>66</v>
      </c>
      <c r="H680" s="7" t="n">
        <v>3.6</v>
      </c>
      <c r="I680" s="7" t="str">
        <f aca="false">IF(B680="",TRIM(C680),TRIM(B680))</f>
        <v>Enquête Démographique et de Santé Niger 1992, 1993</v>
      </c>
      <c r="J680" s="7" t="str">
        <f aca="false">IF(ISNUMBER(SEARCH("Demographic and Health",I680)),"DHS",IF(OR(ISNUMBER(SEARCH("Multiple Indicator Cluster",I680)),ISNUMBER(SEARCH("MICS",I680))),"MICS","Other"))</f>
        <v>Other</v>
      </c>
      <c r="K680" s="7" t="n">
        <f aca="false">IF(AND(F680="Record or Recall",G680="12-23 m"),1,0)</f>
        <v>0</v>
      </c>
      <c r="L680" s="7" t="n">
        <f aca="false">IF(OR(J680="DHS",J680="MICS"),1,0)</f>
        <v>0</v>
      </c>
    </row>
    <row r="681" customFormat="false" ht="15" hidden="false" customHeight="false" outlineLevel="0" collapsed="false">
      <c r="A681" s="7" t="s">
        <v>374</v>
      </c>
      <c r="C681" s="7" t="s">
        <v>376</v>
      </c>
      <c r="D681" s="7" t="n">
        <v>1995</v>
      </c>
      <c r="E681" s="7" t="s">
        <v>62</v>
      </c>
      <c r="F681" s="7" t="s">
        <v>63</v>
      </c>
      <c r="G681" s="7" t="s">
        <v>66</v>
      </c>
      <c r="H681" s="7" t="n">
        <v>53.5</v>
      </c>
      <c r="I681" s="7" t="str">
        <f aca="false">IF(B681="",TRIM(C681),TRIM(B681))</f>
        <v>Enquête a Indicateurs Multiples, 1996</v>
      </c>
      <c r="J681" s="7" t="str">
        <f aca="false">IF(ISNUMBER(SEARCH("Demographic and Health",I681)),"DHS",IF(OR(ISNUMBER(SEARCH("Multiple Indicator Cluster",I681)),ISNUMBER(SEARCH("MICS",I681))),"MICS","Other"))</f>
        <v>Other</v>
      </c>
      <c r="K681" s="7" t="n">
        <f aca="false">IF(AND(F681="Record or Recall",G681="12-23 m"),1,0)</f>
        <v>1</v>
      </c>
      <c r="L681" s="7" t="n">
        <f aca="false">IF(OR(J681="DHS",J681="MICS"),1,0)</f>
        <v>0</v>
      </c>
    </row>
    <row r="682" customFormat="false" ht="15" hidden="false" customHeight="false" outlineLevel="0" collapsed="false">
      <c r="A682" s="7" t="s">
        <v>374</v>
      </c>
      <c r="C682" s="7" t="s">
        <v>376</v>
      </c>
      <c r="D682" s="7" t="n">
        <v>1995</v>
      </c>
      <c r="E682" s="7" t="s">
        <v>67</v>
      </c>
      <c r="F682" s="7" t="s">
        <v>63</v>
      </c>
      <c r="G682" s="7" t="s">
        <v>66</v>
      </c>
      <c r="H682" s="7" t="n">
        <v>23.9</v>
      </c>
      <c r="I682" s="7" t="str">
        <f aca="false">IF(B682="",TRIM(C682),TRIM(B682))</f>
        <v>Enquête a Indicateurs Multiples, 1996</v>
      </c>
      <c r="J682" s="7" t="str">
        <f aca="false">IF(ISNUMBER(SEARCH("Demographic and Health",I682)),"DHS",IF(OR(ISNUMBER(SEARCH("Multiple Indicator Cluster",I682)),ISNUMBER(SEARCH("MICS",I682))),"MICS","Other"))</f>
        <v>Other</v>
      </c>
      <c r="K682" s="7" t="n">
        <f aca="false">IF(AND(F682="Record or Recall",G682="12-23 m"),1,0)</f>
        <v>1</v>
      </c>
      <c r="L682" s="7" t="n">
        <f aca="false">IF(OR(J682="DHS",J682="MICS"),1,0)</f>
        <v>0</v>
      </c>
    </row>
    <row r="683" customFormat="false" ht="15" hidden="false" customHeight="false" outlineLevel="0" collapsed="false">
      <c r="A683" s="7" t="s">
        <v>374</v>
      </c>
      <c r="C683" s="7" t="s">
        <v>376</v>
      </c>
      <c r="D683" s="7" t="n">
        <v>1995</v>
      </c>
      <c r="E683" s="7" t="s">
        <v>82</v>
      </c>
      <c r="F683" s="7" t="s">
        <v>63</v>
      </c>
      <c r="G683" s="7" t="s">
        <v>66</v>
      </c>
      <c r="H683" s="7" t="n">
        <v>17.9</v>
      </c>
      <c r="I683" s="7" t="str">
        <f aca="false">IF(B683="",TRIM(C683),TRIM(B683))</f>
        <v>Enquête a Indicateurs Multiples, 1996</v>
      </c>
      <c r="J683" s="7" t="str">
        <f aca="false">IF(ISNUMBER(SEARCH("Demographic and Health",I683)),"DHS",IF(OR(ISNUMBER(SEARCH("Multiple Indicator Cluster",I683)),ISNUMBER(SEARCH("MICS",I683))),"MICS","Other"))</f>
        <v>Other</v>
      </c>
      <c r="K683" s="7" t="n">
        <f aca="false">IF(AND(F683="Record or Recall",G683="12-23 m"),1,0)</f>
        <v>1</v>
      </c>
      <c r="L683" s="7" t="n">
        <f aca="false">IF(OR(J683="DHS",J683="MICS"),1,0)</f>
        <v>0</v>
      </c>
    </row>
    <row r="684" customFormat="false" ht="15" hidden="false" customHeight="false" outlineLevel="0" collapsed="false">
      <c r="A684" s="7" t="s">
        <v>374</v>
      </c>
      <c r="C684" s="7" t="s">
        <v>376</v>
      </c>
      <c r="D684" s="7" t="n">
        <v>1995</v>
      </c>
      <c r="E684" s="7" t="s">
        <v>68</v>
      </c>
      <c r="F684" s="7" t="s">
        <v>63</v>
      </c>
      <c r="G684" s="7" t="s">
        <v>66</v>
      </c>
      <c r="H684" s="7" t="n">
        <v>40.6</v>
      </c>
      <c r="I684" s="7" t="str">
        <f aca="false">IF(B684="",TRIM(C684),TRIM(B684))</f>
        <v>Enquête a Indicateurs Multiples, 1996</v>
      </c>
      <c r="J684" s="7" t="str">
        <f aca="false">IF(ISNUMBER(SEARCH("Demographic and Health",I684)),"DHS",IF(OR(ISNUMBER(SEARCH("Multiple Indicator Cluster",I684)),ISNUMBER(SEARCH("MICS",I684))),"MICS","Other"))</f>
        <v>Other</v>
      </c>
      <c r="K684" s="7" t="n">
        <f aca="false">IF(AND(F684="Record or Recall",G684="12-23 m"),1,0)</f>
        <v>1</v>
      </c>
      <c r="L684" s="7" t="n">
        <f aca="false">IF(OR(J684="DHS",J684="MICS"),1,0)</f>
        <v>0</v>
      </c>
    </row>
    <row r="685" customFormat="false" ht="15" hidden="false" customHeight="false" outlineLevel="0" collapsed="false">
      <c r="A685" s="7" t="s">
        <v>374</v>
      </c>
      <c r="C685" s="7" t="s">
        <v>376</v>
      </c>
      <c r="D685" s="7" t="n">
        <v>1995</v>
      </c>
      <c r="E685" s="7" t="s">
        <v>69</v>
      </c>
      <c r="F685" s="7" t="s">
        <v>63</v>
      </c>
      <c r="G685" s="7" t="s">
        <v>66</v>
      </c>
      <c r="H685" s="7" t="n">
        <v>22.3</v>
      </c>
      <c r="I685" s="7" t="str">
        <f aca="false">IF(B685="",TRIM(C685),TRIM(B685))</f>
        <v>Enquête a Indicateurs Multiples, 1996</v>
      </c>
      <c r="J685" s="7" t="str">
        <f aca="false">IF(ISNUMBER(SEARCH("Demographic and Health",I685)),"DHS",IF(OR(ISNUMBER(SEARCH("Multiple Indicator Cluster",I685)),ISNUMBER(SEARCH("MICS",I685))),"MICS","Other"))</f>
        <v>Other</v>
      </c>
      <c r="K685" s="7" t="n">
        <f aca="false">IF(AND(F685="Record or Recall",G685="12-23 m"),1,0)</f>
        <v>1</v>
      </c>
      <c r="L685" s="7" t="n">
        <f aca="false">IF(OR(J685="DHS",J685="MICS"),1,0)</f>
        <v>0</v>
      </c>
    </row>
    <row r="686" customFormat="false" ht="15" hidden="false" customHeight="false" outlineLevel="0" collapsed="false">
      <c r="A686" s="7" t="s">
        <v>374</v>
      </c>
      <c r="C686" s="7" t="s">
        <v>377</v>
      </c>
      <c r="D686" s="7" t="n">
        <v>1997</v>
      </c>
      <c r="E686" s="7" t="s">
        <v>62</v>
      </c>
      <c r="F686" s="7" t="s">
        <v>78</v>
      </c>
      <c r="G686" s="7" t="s">
        <v>66</v>
      </c>
      <c r="H686" s="7" t="n">
        <v>45.7</v>
      </c>
      <c r="I686" s="7" t="str">
        <f aca="false">IF(B686="",TRIM(C686),TRIM(B686))</f>
        <v>Enquête Démographique et de Santé Niger 1998, 1999</v>
      </c>
      <c r="J686" s="7" t="str">
        <f aca="false">IF(ISNUMBER(SEARCH("Demographic and Health",I686)),"DHS",IF(OR(ISNUMBER(SEARCH("Multiple Indicator Cluster",I686)),ISNUMBER(SEARCH("MICS",I686))),"MICS","Other"))</f>
        <v>Other</v>
      </c>
      <c r="K686" s="7" t="n">
        <f aca="false">IF(AND(F686="Record or Recall",G686="12-23 m"),1,0)</f>
        <v>0</v>
      </c>
      <c r="L686" s="7" t="n">
        <f aca="false">IF(OR(J686="DHS",J686="MICS"),1,0)</f>
        <v>0</v>
      </c>
    </row>
    <row r="687" customFormat="false" ht="15" hidden="false" customHeight="false" outlineLevel="0" collapsed="false">
      <c r="A687" s="7" t="s">
        <v>374</v>
      </c>
      <c r="C687" s="7" t="s">
        <v>377</v>
      </c>
      <c r="D687" s="7" t="n">
        <v>1997</v>
      </c>
      <c r="E687" s="7" t="s">
        <v>62</v>
      </c>
      <c r="F687" s="7" t="s">
        <v>86</v>
      </c>
      <c r="G687" s="7" t="s">
        <v>66</v>
      </c>
      <c r="H687" s="7" t="n">
        <v>32.7</v>
      </c>
      <c r="I687" s="7" t="str">
        <f aca="false">IF(B687="",TRIM(C687),TRIM(B687))</f>
        <v>Enquête Démographique et de Santé Niger 1998, 1999</v>
      </c>
      <c r="J687" s="7" t="str">
        <f aca="false">IF(ISNUMBER(SEARCH("Demographic and Health",I687)),"DHS",IF(OR(ISNUMBER(SEARCH("Multiple Indicator Cluster",I687)),ISNUMBER(SEARCH("MICS",I687))),"MICS","Other"))</f>
        <v>Other</v>
      </c>
      <c r="K687" s="7" t="n">
        <f aca="false">IF(AND(F687="Record or Recall",G687="12-23 m"),1,0)</f>
        <v>0</v>
      </c>
      <c r="L687" s="7" t="n">
        <f aca="false">IF(OR(J687="DHS",J687="MICS"),1,0)</f>
        <v>0</v>
      </c>
    </row>
    <row r="688" customFormat="false" ht="15" hidden="false" customHeight="false" outlineLevel="0" collapsed="false">
      <c r="A688" s="7" t="s">
        <v>374</v>
      </c>
      <c r="C688" s="7" t="s">
        <v>377</v>
      </c>
      <c r="D688" s="7" t="n">
        <v>1997</v>
      </c>
      <c r="E688" s="7" t="s">
        <v>62</v>
      </c>
      <c r="F688" s="7" t="s">
        <v>63</v>
      </c>
      <c r="G688" s="7" t="s">
        <v>66</v>
      </c>
      <c r="H688" s="7" t="n">
        <v>47.3</v>
      </c>
      <c r="I688" s="7" t="str">
        <f aca="false">IF(B688="",TRIM(C688),TRIM(B688))</f>
        <v>Enquête Démographique et de Santé Niger 1998, 1999</v>
      </c>
      <c r="J688" s="7" t="str">
        <f aca="false">IF(ISNUMBER(SEARCH("Demographic and Health",I688)),"DHS",IF(OR(ISNUMBER(SEARCH("Multiple Indicator Cluster",I688)),ISNUMBER(SEARCH("MICS",I688))),"MICS","Other"))</f>
        <v>Other</v>
      </c>
      <c r="K688" s="7" t="n">
        <f aca="false">IF(AND(F688="Record or Recall",G688="12-23 m"),1,0)</f>
        <v>1</v>
      </c>
      <c r="L688" s="7" t="n">
        <f aca="false">IF(OR(J688="DHS",J688="MICS"),1,0)</f>
        <v>0</v>
      </c>
    </row>
    <row r="689" customFormat="false" ht="15" hidden="false" customHeight="false" outlineLevel="0" collapsed="false">
      <c r="A689" s="7" t="s">
        <v>374</v>
      </c>
      <c r="C689" s="7" t="s">
        <v>377</v>
      </c>
      <c r="D689" s="7" t="n">
        <v>1997</v>
      </c>
      <c r="E689" s="7" t="s">
        <v>62</v>
      </c>
      <c r="F689" s="7" t="s">
        <v>87</v>
      </c>
      <c r="G689" s="7" t="s">
        <v>66</v>
      </c>
      <c r="H689" s="7" t="n">
        <v>14.5</v>
      </c>
      <c r="I689" s="7" t="str">
        <f aca="false">IF(B689="",TRIM(C689),TRIM(B689))</f>
        <v>Enquête Démographique et de Santé Niger 1998, 1999</v>
      </c>
      <c r="J689" s="7" t="str">
        <f aca="false">IF(ISNUMBER(SEARCH("Demographic and Health",I689)),"DHS",IF(OR(ISNUMBER(SEARCH("Multiple Indicator Cluster",I689)),ISNUMBER(SEARCH("MICS",I689))),"MICS","Other"))</f>
        <v>Other</v>
      </c>
      <c r="K689" s="7" t="n">
        <f aca="false">IF(AND(F689="Record or Recall",G689="12-23 m"),1,0)</f>
        <v>0</v>
      </c>
      <c r="L689" s="7" t="n">
        <f aca="false">IF(OR(J689="DHS",J689="MICS"),1,0)</f>
        <v>0</v>
      </c>
    </row>
    <row r="690" customFormat="false" ht="15" hidden="false" customHeight="false" outlineLevel="0" collapsed="false">
      <c r="A690" s="7" t="s">
        <v>374</v>
      </c>
      <c r="C690" s="7" t="s">
        <v>377</v>
      </c>
      <c r="D690" s="7" t="n">
        <v>1997</v>
      </c>
      <c r="E690" s="7" t="s">
        <v>81</v>
      </c>
      <c r="F690" s="7" t="s">
        <v>78</v>
      </c>
      <c r="G690" s="7" t="s">
        <v>66</v>
      </c>
      <c r="H690" s="7" t="n">
        <v>43</v>
      </c>
      <c r="I690" s="7" t="str">
        <f aca="false">IF(B690="",TRIM(C690),TRIM(B690))</f>
        <v>Enquête Démographique et de Santé Niger 1998, 1999</v>
      </c>
      <c r="J690" s="7" t="str">
        <f aca="false">IF(ISNUMBER(SEARCH("Demographic and Health",I690)),"DHS",IF(OR(ISNUMBER(SEARCH("Multiple Indicator Cluster",I690)),ISNUMBER(SEARCH("MICS",I690))),"MICS","Other"))</f>
        <v>Other</v>
      </c>
      <c r="K690" s="7" t="n">
        <f aca="false">IF(AND(F690="Record or Recall",G690="12-23 m"),1,0)</f>
        <v>0</v>
      </c>
      <c r="L690" s="7" t="n">
        <f aca="false">IF(OR(J690="DHS",J690="MICS"),1,0)</f>
        <v>0</v>
      </c>
    </row>
    <row r="691" customFormat="false" ht="15" hidden="false" customHeight="false" outlineLevel="0" collapsed="false">
      <c r="A691" s="7" t="s">
        <v>374</v>
      </c>
      <c r="C691" s="7" t="s">
        <v>377</v>
      </c>
      <c r="D691" s="7" t="n">
        <v>1997</v>
      </c>
      <c r="E691" s="7" t="s">
        <v>81</v>
      </c>
      <c r="F691" s="7" t="s">
        <v>86</v>
      </c>
      <c r="G691" s="7" t="s">
        <v>66</v>
      </c>
      <c r="H691" s="7" t="n">
        <v>32.8</v>
      </c>
      <c r="I691" s="7" t="str">
        <f aca="false">IF(B691="",TRIM(C691),TRIM(B691))</f>
        <v>Enquête Démographique et de Santé Niger 1998, 1999</v>
      </c>
      <c r="J691" s="7" t="str">
        <f aca="false">IF(ISNUMBER(SEARCH("Demographic and Health",I691)),"DHS",IF(OR(ISNUMBER(SEARCH("Multiple Indicator Cluster",I691)),ISNUMBER(SEARCH("MICS",I691))),"MICS","Other"))</f>
        <v>Other</v>
      </c>
      <c r="K691" s="7" t="n">
        <f aca="false">IF(AND(F691="Record or Recall",G691="12-23 m"),1,0)</f>
        <v>0</v>
      </c>
      <c r="L691" s="7" t="n">
        <f aca="false">IF(OR(J691="DHS",J691="MICS"),1,0)</f>
        <v>0</v>
      </c>
    </row>
    <row r="692" customFormat="false" ht="15" hidden="false" customHeight="false" outlineLevel="0" collapsed="false">
      <c r="A692" s="7" t="s">
        <v>374</v>
      </c>
      <c r="C692" s="7" t="s">
        <v>377</v>
      </c>
      <c r="D692" s="7" t="n">
        <v>1997</v>
      </c>
      <c r="E692" s="7" t="s">
        <v>81</v>
      </c>
      <c r="F692" s="7" t="s">
        <v>63</v>
      </c>
      <c r="G692" s="7" t="s">
        <v>66</v>
      </c>
      <c r="H692" s="7" t="n">
        <v>45.2</v>
      </c>
      <c r="I692" s="7" t="str">
        <f aca="false">IF(B692="",TRIM(C692),TRIM(B692))</f>
        <v>Enquête Démographique et de Santé Niger 1998, 1999</v>
      </c>
      <c r="J692" s="7" t="str">
        <f aca="false">IF(ISNUMBER(SEARCH("Demographic and Health",I692)),"DHS",IF(OR(ISNUMBER(SEARCH("Multiple Indicator Cluster",I692)),ISNUMBER(SEARCH("MICS",I692))),"MICS","Other"))</f>
        <v>Other</v>
      </c>
      <c r="K692" s="7" t="n">
        <f aca="false">IF(AND(F692="Record or Recall",G692="12-23 m"),1,0)</f>
        <v>1</v>
      </c>
      <c r="L692" s="7" t="n">
        <f aca="false">IF(OR(J692="DHS",J692="MICS"),1,0)</f>
        <v>0</v>
      </c>
    </row>
    <row r="693" customFormat="false" ht="15" hidden="false" customHeight="false" outlineLevel="0" collapsed="false">
      <c r="A693" s="7" t="s">
        <v>374</v>
      </c>
      <c r="C693" s="7" t="s">
        <v>377</v>
      </c>
      <c r="D693" s="7" t="n">
        <v>1997</v>
      </c>
      <c r="E693" s="7" t="s">
        <v>81</v>
      </c>
      <c r="F693" s="7" t="s">
        <v>87</v>
      </c>
      <c r="G693" s="7" t="s">
        <v>66</v>
      </c>
      <c r="H693" s="7" t="n">
        <v>12.4</v>
      </c>
      <c r="I693" s="7" t="str">
        <f aca="false">IF(B693="",TRIM(C693),TRIM(B693))</f>
        <v>Enquête Démographique et de Santé Niger 1998, 1999</v>
      </c>
      <c r="J693" s="7" t="str">
        <f aca="false">IF(ISNUMBER(SEARCH("Demographic and Health",I693)),"DHS",IF(OR(ISNUMBER(SEARCH("Multiple Indicator Cluster",I693)),ISNUMBER(SEARCH("MICS",I693))),"MICS","Other"))</f>
        <v>Other</v>
      </c>
      <c r="K693" s="7" t="n">
        <f aca="false">IF(AND(F693="Record or Recall",G693="12-23 m"),1,0)</f>
        <v>0</v>
      </c>
      <c r="L693" s="7" t="n">
        <f aca="false">IF(OR(J693="DHS",J693="MICS"),1,0)</f>
        <v>0</v>
      </c>
    </row>
    <row r="694" customFormat="false" ht="15" hidden="false" customHeight="false" outlineLevel="0" collapsed="false">
      <c r="A694" s="7" t="s">
        <v>374</v>
      </c>
      <c r="C694" s="7" t="s">
        <v>377</v>
      </c>
      <c r="D694" s="7" t="n">
        <v>1997</v>
      </c>
      <c r="E694" s="7" t="s">
        <v>67</v>
      </c>
      <c r="F694" s="7" t="s">
        <v>78</v>
      </c>
      <c r="G694" s="7" t="s">
        <v>66</v>
      </c>
      <c r="H694" s="7" t="n">
        <v>22.2</v>
      </c>
      <c r="I694" s="7" t="str">
        <f aca="false">IF(B694="",TRIM(C694),TRIM(B694))</f>
        <v>Enquête Démographique et de Santé Niger 1998, 1999</v>
      </c>
      <c r="J694" s="7" t="str">
        <f aca="false">IF(ISNUMBER(SEARCH("Demographic and Health",I694)),"DHS",IF(OR(ISNUMBER(SEARCH("Multiple Indicator Cluster",I694)),ISNUMBER(SEARCH("MICS",I694))),"MICS","Other"))</f>
        <v>Other</v>
      </c>
      <c r="K694" s="7" t="n">
        <f aca="false">IF(AND(F694="Record or Recall",G694="12-23 m"),1,0)</f>
        <v>0</v>
      </c>
      <c r="L694" s="7" t="n">
        <f aca="false">IF(OR(J694="DHS",J694="MICS"),1,0)</f>
        <v>0</v>
      </c>
    </row>
    <row r="695" customFormat="false" ht="15" hidden="false" customHeight="false" outlineLevel="0" collapsed="false">
      <c r="A695" s="7" t="s">
        <v>374</v>
      </c>
      <c r="C695" s="7" t="s">
        <v>377</v>
      </c>
      <c r="D695" s="7" t="n">
        <v>1997</v>
      </c>
      <c r="E695" s="7" t="s">
        <v>67</v>
      </c>
      <c r="F695" s="7" t="s">
        <v>86</v>
      </c>
      <c r="G695" s="7" t="s">
        <v>66</v>
      </c>
      <c r="H695" s="7" t="n">
        <v>23.3</v>
      </c>
      <c r="I695" s="7" t="str">
        <f aca="false">IF(B695="",TRIM(C695),TRIM(B695))</f>
        <v>Enquête Démographique et de Santé Niger 1998, 1999</v>
      </c>
      <c r="J695" s="7" t="str">
        <f aca="false">IF(ISNUMBER(SEARCH("Demographic and Health",I695)),"DHS",IF(OR(ISNUMBER(SEARCH("Multiple Indicator Cluster",I695)),ISNUMBER(SEARCH("MICS",I695))),"MICS","Other"))</f>
        <v>Other</v>
      </c>
      <c r="K695" s="7" t="n">
        <f aca="false">IF(AND(F695="Record or Recall",G695="12-23 m"),1,0)</f>
        <v>0</v>
      </c>
      <c r="L695" s="7" t="n">
        <f aca="false">IF(OR(J695="DHS",J695="MICS"),1,0)</f>
        <v>0</v>
      </c>
    </row>
    <row r="696" customFormat="false" ht="15" hidden="false" customHeight="false" outlineLevel="0" collapsed="false">
      <c r="A696" s="7" t="s">
        <v>374</v>
      </c>
      <c r="C696" s="7" t="s">
        <v>377</v>
      </c>
      <c r="D696" s="7" t="n">
        <v>1997</v>
      </c>
      <c r="E696" s="7" t="s">
        <v>67</v>
      </c>
      <c r="F696" s="7" t="s">
        <v>63</v>
      </c>
      <c r="G696" s="7" t="s">
        <v>66</v>
      </c>
      <c r="H696" s="7" t="n">
        <v>25</v>
      </c>
      <c r="I696" s="7" t="str">
        <f aca="false">IF(B696="",TRIM(C696),TRIM(B696))</f>
        <v>Enquête Démographique et de Santé Niger 1998, 1999</v>
      </c>
      <c r="J696" s="7" t="str">
        <f aca="false">IF(ISNUMBER(SEARCH("Demographic and Health",I696)),"DHS",IF(OR(ISNUMBER(SEARCH("Multiple Indicator Cluster",I696)),ISNUMBER(SEARCH("MICS",I696))),"MICS","Other"))</f>
        <v>Other</v>
      </c>
      <c r="K696" s="7" t="n">
        <f aca="false">IF(AND(F696="Record or Recall",G696="12-23 m"),1,0)</f>
        <v>1</v>
      </c>
      <c r="L696" s="7" t="n">
        <f aca="false">IF(OR(J696="DHS",J696="MICS"),1,0)</f>
        <v>0</v>
      </c>
    </row>
    <row r="697" customFormat="false" ht="15" hidden="false" customHeight="false" outlineLevel="0" collapsed="false">
      <c r="A697" s="7" t="s">
        <v>374</v>
      </c>
      <c r="C697" s="7" t="s">
        <v>377</v>
      </c>
      <c r="D697" s="7" t="n">
        <v>1997</v>
      </c>
      <c r="E697" s="7" t="s">
        <v>67</v>
      </c>
      <c r="F697" s="7" t="s">
        <v>87</v>
      </c>
      <c r="G697" s="7" t="s">
        <v>66</v>
      </c>
      <c r="H697" s="7" t="n">
        <v>1.7</v>
      </c>
      <c r="I697" s="7" t="str">
        <f aca="false">IF(B697="",TRIM(C697),TRIM(B697))</f>
        <v>Enquête Démographique et de Santé Niger 1998, 1999</v>
      </c>
      <c r="J697" s="7" t="str">
        <f aca="false">IF(ISNUMBER(SEARCH("Demographic and Health",I697)),"DHS",IF(OR(ISNUMBER(SEARCH("Multiple Indicator Cluster",I697)),ISNUMBER(SEARCH("MICS",I697))),"MICS","Other"))</f>
        <v>Other</v>
      </c>
      <c r="K697" s="7" t="n">
        <f aca="false">IF(AND(F697="Record or Recall",G697="12-23 m"),1,0)</f>
        <v>0</v>
      </c>
      <c r="L697" s="7" t="n">
        <f aca="false">IF(OR(J697="DHS",J697="MICS"),1,0)</f>
        <v>0</v>
      </c>
    </row>
    <row r="698" customFormat="false" ht="15" hidden="false" customHeight="false" outlineLevel="0" collapsed="false">
      <c r="A698" s="7" t="s">
        <v>374</v>
      </c>
      <c r="C698" s="7" t="s">
        <v>377</v>
      </c>
      <c r="D698" s="7" t="n">
        <v>1997</v>
      </c>
      <c r="E698" s="7" t="s">
        <v>82</v>
      </c>
      <c r="F698" s="7" t="s">
        <v>78</v>
      </c>
      <c r="G698" s="7" t="s">
        <v>66</v>
      </c>
      <c r="H698" s="7" t="n">
        <v>14.4</v>
      </c>
      <c r="I698" s="7" t="str">
        <f aca="false">IF(B698="",TRIM(C698),TRIM(B698))</f>
        <v>Enquête Démographique et de Santé Niger 1998, 1999</v>
      </c>
      <c r="J698" s="7" t="str">
        <f aca="false">IF(ISNUMBER(SEARCH("Demographic and Health",I698)),"DHS",IF(OR(ISNUMBER(SEARCH("Multiple Indicator Cluster",I698)),ISNUMBER(SEARCH("MICS",I698))),"MICS","Other"))</f>
        <v>Other</v>
      </c>
      <c r="K698" s="7" t="n">
        <f aca="false">IF(AND(F698="Record or Recall",G698="12-23 m"),1,0)</f>
        <v>0</v>
      </c>
      <c r="L698" s="7" t="n">
        <f aca="false">IF(OR(J698="DHS",J698="MICS"),1,0)</f>
        <v>0</v>
      </c>
    </row>
    <row r="699" customFormat="false" ht="15" hidden="false" customHeight="false" outlineLevel="0" collapsed="false">
      <c r="A699" s="7" t="s">
        <v>374</v>
      </c>
      <c r="C699" s="7" t="s">
        <v>377</v>
      </c>
      <c r="D699" s="7" t="n">
        <v>1997</v>
      </c>
      <c r="E699" s="7" t="s">
        <v>82</v>
      </c>
      <c r="F699" s="7" t="s">
        <v>86</v>
      </c>
      <c r="G699" s="7" t="s">
        <v>66</v>
      </c>
      <c r="H699" s="7" t="n">
        <v>17.9</v>
      </c>
      <c r="I699" s="7" t="str">
        <f aca="false">IF(B699="",TRIM(C699),TRIM(B699))</f>
        <v>Enquête Démographique et de Santé Niger 1998, 1999</v>
      </c>
      <c r="J699" s="7" t="str">
        <f aca="false">IF(ISNUMBER(SEARCH("Demographic and Health",I699)),"DHS",IF(OR(ISNUMBER(SEARCH("Multiple Indicator Cluster",I699)),ISNUMBER(SEARCH("MICS",I699))),"MICS","Other"))</f>
        <v>Other</v>
      </c>
      <c r="K699" s="7" t="n">
        <f aca="false">IF(AND(F699="Record or Recall",G699="12-23 m"),1,0)</f>
        <v>0</v>
      </c>
      <c r="L699" s="7" t="n">
        <f aca="false">IF(OR(J699="DHS",J699="MICS"),1,0)</f>
        <v>0</v>
      </c>
    </row>
    <row r="700" customFormat="false" ht="15" hidden="false" customHeight="false" outlineLevel="0" collapsed="false">
      <c r="A700" s="7" t="s">
        <v>374</v>
      </c>
      <c r="C700" s="7" t="s">
        <v>377</v>
      </c>
      <c r="D700" s="7" t="n">
        <v>1997</v>
      </c>
      <c r="E700" s="7" t="s">
        <v>82</v>
      </c>
      <c r="F700" s="7" t="s">
        <v>63</v>
      </c>
      <c r="G700" s="7" t="s">
        <v>66</v>
      </c>
      <c r="H700" s="7" t="n">
        <v>18.4</v>
      </c>
      <c r="I700" s="7" t="str">
        <f aca="false">IF(B700="",TRIM(C700),TRIM(B700))</f>
        <v>Enquête Démographique et de Santé Niger 1998, 1999</v>
      </c>
      <c r="J700" s="7" t="str">
        <f aca="false">IF(ISNUMBER(SEARCH("Demographic and Health",I700)),"DHS",IF(OR(ISNUMBER(SEARCH("Multiple Indicator Cluster",I700)),ISNUMBER(SEARCH("MICS",I700))),"MICS","Other"))</f>
        <v>Other</v>
      </c>
      <c r="K700" s="7" t="n">
        <f aca="false">IF(AND(F700="Record or Recall",G700="12-23 m"),1,0)</f>
        <v>1</v>
      </c>
      <c r="L700" s="7" t="n">
        <f aca="false">IF(OR(J700="DHS",J700="MICS"),1,0)</f>
        <v>0</v>
      </c>
    </row>
    <row r="701" customFormat="false" ht="15" hidden="false" customHeight="false" outlineLevel="0" collapsed="false">
      <c r="A701" s="7" t="s">
        <v>374</v>
      </c>
      <c r="C701" s="7" t="s">
        <v>377</v>
      </c>
      <c r="D701" s="7" t="n">
        <v>1997</v>
      </c>
      <c r="E701" s="7" t="s">
        <v>82</v>
      </c>
      <c r="F701" s="7" t="s">
        <v>87</v>
      </c>
      <c r="G701" s="7" t="s">
        <v>66</v>
      </c>
      <c r="H701" s="7" t="n">
        <v>0.4</v>
      </c>
      <c r="I701" s="7" t="str">
        <f aca="false">IF(B701="",TRIM(C701),TRIM(B701))</f>
        <v>Enquête Démographique et de Santé Niger 1998, 1999</v>
      </c>
      <c r="J701" s="7" t="str">
        <f aca="false">IF(ISNUMBER(SEARCH("Demographic and Health",I701)),"DHS",IF(OR(ISNUMBER(SEARCH("Multiple Indicator Cluster",I701)),ISNUMBER(SEARCH("MICS",I701))),"MICS","Other"))</f>
        <v>Other</v>
      </c>
      <c r="K701" s="7" t="n">
        <f aca="false">IF(AND(F701="Record or Recall",G701="12-23 m"),1,0)</f>
        <v>0</v>
      </c>
      <c r="L701" s="7" t="n">
        <f aca="false">IF(OR(J701="DHS",J701="MICS"),1,0)</f>
        <v>0</v>
      </c>
    </row>
    <row r="702" customFormat="false" ht="15" hidden="false" customHeight="false" outlineLevel="0" collapsed="false">
      <c r="A702" s="7" t="s">
        <v>374</v>
      </c>
      <c r="C702" s="7" t="s">
        <v>377</v>
      </c>
      <c r="D702" s="7" t="n">
        <v>1997</v>
      </c>
      <c r="E702" s="7" t="s">
        <v>68</v>
      </c>
      <c r="F702" s="7" t="s">
        <v>78</v>
      </c>
      <c r="G702" s="7" t="s">
        <v>66</v>
      </c>
      <c r="H702" s="7" t="n">
        <v>26.7</v>
      </c>
      <c r="I702" s="7" t="str">
        <f aca="false">IF(B702="",TRIM(C702),TRIM(B702))</f>
        <v>Enquête Démographique et de Santé Niger 1998, 1999</v>
      </c>
      <c r="J702" s="7" t="str">
        <f aca="false">IF(ISNUMBER(SEARCH("Demographic and Health",I702)),"DHS",IF(OR(ISNUMBER(SEARCH("Multiple Indicator Cluster",I702)),ISNUMBER(SEARCH("MICS",I702))),"MICS","Other"))</f>
        <v>Other</v>
      </c>
      <c r="K702" s="7" t="n">
        <f aca="false">IF(AND(F702="Record or Recall",G702="12-23 m"),1,0)</f>
        <v>0</v>
      </c>
      <c r="L702" s="7" t="n">
        <f aca="false">IF(OR(J702="DHS",J702="MICS"),1,0)</f>
        <v>0</v>
      </c>
    </row>
    <row r="703" customFormat="false" ht="15" hidden="false" customHeight="false" outlineLevel="0" collapsed="false">
      <c r="A703" s="7" t="s">
        <v>374</v>
      </c>
      <c r="C703" s="7" t="s">
        <v>377</v>
      </c>
      <c r="D703" s="7" t="n">
        <v>1997</v>
      </c>
      <c r="E703" s="7" t="s">
        <v>68</v>
      </c>
      <c r="F703" s="7" t="s">
        <v>86</v>
      </c>
      <c r="G703" s="7" t="s">
        <v>66</v>
      </c>
      <c r="H703" s="7" t="n">
        <v>23.7</v>
      </c>
      <c r="I703" s="7" t="str">
        <f aca="false">IF(B703="",TRIM(C703),TRIM(B703))</f>
        <v>Enquête Démographique et de Santé Niger 1998, 1999</v>
      </c>
      <c r="J703" s="7" t="str">
        <f aca="false">IF(ISNUMBER(SEARCH("Demographic and Health",I703)),"DHS",IF(OR(ISNUMBER(SEARCH("Multiple Indicator Cluster",I703)),ISNUMBER(SEARCH("MICS",I703))),"MICS","Other"))</f>
        <v>Other</v>
      </c>
      <c r="K703" s="7" t="n">
        <f aca="false">IF(AND(F703="Record or Recall",G703="12-23 m"),1,0)</f>
        <v>0</v>
      </c>
      <c r="L703" s="7" t="n">
        <f aca="false">IF(OR(J703="DHS",J703="MICS"),1,0)</f>
        <v>0</v>
      </c>
    </row>
    <row r="704" customFormat="false" ht="15" hidden="false" customHeight="false" outlineLevel="0" collapsed="false">
      <c r="A704" s="7" t="s">
        <v>374</v>
      </c>
      <c r="C704" s="7" t="s">
        <v>377</v>
      </c>
      <c r="D704" s="7" t="n">
        <v>1997</v>
      </c>
      <c r="E704" s="7" t="s">
        <v>68</v>
      </c>
      <c r="F704" s="7" t="s">
        <v>63</v>
      </c>
      <c r="G704" s="7" t="s">
        <v>66</v>
      </c>
      <c r="H704" s="7" t="n">
        <v>34.9</v>
      </c>
      <c r="I704" s="7" t="str">
        <f aca="false">IF(B704="",TRIM(C704),TRIM(B704))</f>
        <v>Enquête Démographique et de Santé Niger 1998, 1999</v>
      </c>
      <c r="J704" s="7" t="str">
        <f aca="false">IF(ISNUMBER(SEARCH("Demographic and Health",I704)),"DHS",IF(OR(ISNUMBER(SEARCH("Multiple Indicator Cluster",I704)),ISNUMBER(SEARCH("MICS",I704))),"MICS","Other"))</f>
        <v>Other</v>
      </c>
      <c r="K704" s="7" t="n">
        <f aca="false">IF(AND(F704="Record or Recall",G704="12-23 m"),1,0)</f>
        <v>1</v>
      </c>
      <c r="L704" s="7" t="n">
        <f aca="false">IF(OR(J704="DHS",J704="MICS"),1,0)</f>
        <v>0</v>
      </c>
    </row>
    <row r="705" customFormat="false" ht="15" hidden="false" customHeight="false" outlineLevel="0" collapsed="false">
      <c r="A705" s="7" t="s">
        <v>374</v>
      </c>
      <c r="C705" s="7" t="s">
        <v>377</v>
      </c>
      <c r="D705" s="7" t="n">
        <v>1997</v>
      </c>
      <c r="E705" s="7" t="s">
        <v>68</v>
      </c>
      <c r="F705" s="7" t="s">
        <v>87</v>
      </c>
      <c r="G705" s="7" t="s">
        <v>66</v>
      </c>
      <c r="H705" s="7" t="n">
        <v>11.2</v>
      </c>
      <c r="I705" s="7" t="str">
        <f aca="false">IF(B705="",TRIM(C705),TRIM(B705))</f>
        <v>Enquête Démographique et de Santé Niger 1998, 1999</v>
      </c>
      <c r="J705" s="7" t="str">
        <f aca="false">IF(ISNUMBER(SEARCH("Demographic and Health",I705)),"DHS",IF(OR(ISNUMBER(SEARCH("Multiple Indicator Cluster",I705)),ISNUMBER(SEARCH("MICS",I705))),"MICS","Other"))</f>
        <v>Other</v>
      </c>
      <c r="K705" s="7" t="n">
        <f aca="false">IF(AND(F705="Record or Recall",G705="12-23 m"),1,0)</f>
        <v>0</v>
      </c>
      <c r="L705" s="7" t="n">
        <f aca="false">IF(OR(J705="DHS",J705="MICS"),1,0)</f>
        <v>0</v>
      </c>
    </row>
    <row r="706" customFormat="false" ht="15" hidden="false" customHeight="false" outlineLevel="0" collapsed="false">
      <c r="A706" s="7" t="s">
        <v>374</v>
      </c>
      <c r="C706" s="7" t="s">
        <v>377</v>
      </c>
      <c r="D706" s="7" t="n">
        <v>1997</v>
      </c>
      <c r="E706" s="7" t="s">
        <v>69</v>
      </c>
      <c r="F706" s="7" t="s">
        <v>78</v>
      </c>
      <c r="G706" s="7" t="s">
        <v>66</v>
      </c>
      <c r="H706" s="7" t="n">
        <v>21.3</v>
      </c>
      <c r="I706" s="7" t="str">
        <f aca="false">IF(B706="",TRIM(C706),TRIM(B706))</f>
        <v>Enquête Démographique et de Santé Niger 1998, 1999</v>
      </c>
      <c r="J706" s="7" t="str">
        <f aca="false">IF(ISNUMBER(SEARCH("Demographic and Health",I706)),"DHS",IF(OR(ISNUMBER(SEARCH("Multiple Indicator Cluster",I706)),ISNUMBER(SEARCH("MICS",I706))),"MICS","Other"))</f>
        <v>Other</v>
      </c>
      <c r="K706" s="7" t="n">
        <f aca="false">IF(AND(F706="Record or Recall",G706="12-23 m"),1,0)</f>
        <v>0</v>
      </c>
      <c r="L706" s="7" t="n">
        <f aca="false">IF(OR(J706="DHS",J706="MICS"),1,0)</f>
        <v>0</v>
      </c>
    </row>
    <row r="707" customFormat="false" ht="15" hidden="false" customHeight="false" outlineLevel="0" collapsed="false">
      <c r="A707" s="7" t="s">
        <v>374</v>
      </c>
      <c r="C707" s="7" t="s">
        <v>377</v>
      </c>
      <c r="D707" s="7" t="n">
        <v>1997</v>
      </c>
      <c r="E707" s="7" t="s">
        <v>69</v>
      </c>
      <c r="F707" s="7" t="s">
        <v>86</v>
      </c>
      <c r="G707" s="7" t="s">
        <v>66</v>
      </c>
      <c r="H707" s="7" t="n">
        <v>22.8</v>
      </c>
      <c r="I707" s="7" t="str">
        <f aca="false">IF(B707="",TRIM(C707),TRIM(B707))</f>
        <v>Enquête Démographique et de Santé Niger 1998, 1999</v>
      </c>
      <c r="J707" s="7" t="str">
        <f aca="false">IF(ISNUMBER(SEARCH("Demographic and Health",I707)),"DHS",IF(OR(ISNUMBER(SEARCH("Multiple Indicator Cluster",I707)),ISNUMBER(SEARCH("MICS",I707))),"MICS","Other"))</f>
        <v>Other</v>
      </c>
      <c r="K707" s="7" t="n">
        <f aca="false">IF(AND(F707="Record or Recall",G707="12-23 m"),1,0)</f>
        <v>0</v>
      </c>
      <c r="L707" s="7" t="n">
        <f aca="false">IF(OR(J707="DHS",J707="MICS"),1,0)</f>
        <v>0</v>
      </c>
    </row>
    <row r="708" customFormat="false" ht="15" hidden="false" customHeight="false" outlineLevel="0" collapsed="false">
      <c r="A708" s="7" t="s">
        <v>374</v>
      </c>
      <c r="C708" s="7" t="s">
        <v>377</v>
      </c>
      <c r="D708" s="7" t="n">
        <v>1997</v>
      </c>
      <c r="E708" s="7" t="s">
        <v>69</v>
      </c>
      <c r="F708" s="7" t="s">
        <v>63</v>
      </c>
      <c r="G708" s="7" t="s">
        <v>66</v>
      </c>
      <c r="H708" s="7" t="n">
        <v>24</v>
      </c>
      <c r="I708" s="7" t="str">
        <f aca="false">IF(B708="",TRIM(C708),TRIM(B708))</f>
        <v>Enquête Démographique et de Santé Niger 1998, 1999</v>
      </c>
      <c r="J708" s="7" t="str">
        <f aca="false">IF(ISNUMBER(SEARCH("Demographic and Health",I708)),"DHS",IF(OR(ISNUMBER(SEARCH("Multiple Indicator Cluster",I708)),ISNUMBER(SEARCH("MICS",I708))),"MICS","Other"))</f>
        <v>Other</v>
      </c>
      <c r="K708" s="7" t="n">
        <f aca="false">IF(AND(F708="Record or Recall",G708="12-23 m"),1,0)</f>
        <v>1</v>
      </c>
      <c r="L708" s="7" t="n">
        <f aca="false">IF(OR(J708="DHS",J708="MICS"),1,0)</f>
        <v>0</v>
      </c>
    </row>
    <row r="709" customFormat="false" ht="15" hidden="false" customHeight="false" outlineLevel="0" collapsed="false">
      <c r="A709" s="7" t="s">
        <v>374</v>
      </c>
      <c r="C709" s="7" t="s">
        <v>377</v>
      </c>
      <c r="D709" s="7" t="n">
        <v>1997</v>
      </c>
      <c r="E709" s="7" t="s">
        <v>69</v>
      </c>
      <c r="F709" s="7" t="s">
        <v>87</v>
      </c>
      <c r="G709" s="7" t="s">
        <v>66</v>
      </c>
      <c r="H709" s="7" t="n">
        <v>1.2</v>
      </c>
      <c r="I709" s="7" t="str">
        <f aca="false">IF(B709="",TRIM(C709),TRIM(B709))</f>
        <v>Enquête Démographique et de Santé Niger 1998, 1999</v>
      </c>
      <c r="J709" s="7" t="str">
        <f aca="false">IF(ISNUMBER(SEARCH("Demographic and Health",I709)),"DHS",IF(OR(ISNUMBER(SEARCH("Multiple Indicator Cluster",I709)),ISNUMBER(SEARCH("MICS",I709))),"MICS","Other"))</f>
        <v>Other</v>
      </c>
      <c r="K709" s="7" t="n">
        <f aca="false">IF(AND(F709="Record or Recall",G709="12-23 m"),1,0)</f>
        <v>0</v>
      </c>
      <c r="L709" s="7" t="n">
        <f aca="false">IF(OR(J709="DHS",J709="MICS"),1,0)</f>
        <v>0</v>
      </c>
    </row>
    <row r="710" customFormat="false" ht="15" hidden="false" customHeight="false" outlineLevel="0" collapsed="false">
      <c r="A710" s="7" t="s">
        <v>374</v>
      </c>
      <c r="C710" s="7" t="s">
        <v>378</v>
      </c>
      <c r="D710" s="7" t="n">
        <v>1999</v>
      </c>
      <c r="E710" s="7" t="s">
        <v>62</v>
      </c>
      <c r="F710" s="7" t="s">
        <v>78</v>
      </c>
      <c r="G710" s="7" t="s">
        <v>66</v>
      </c>
      <c r="H710" s="7" t="n">
        <v>44.4</v>
      </c>
      <c r="I710" s="7" t="str">
        <f aca="false">IF(B710="",TRIM(C710),TRIM(B710))</f>
        <v>République du Niger, Enquête à Indicateurs Multiples de la Fin de la Decennie (MICS2), 2000</v>
      </c>
      <c r="J710" s="7" t="str">
        <f aca="false">IF(ISNUMBER(SEARCH("Demographic and Health",I710)),"DHS",IF(OR(ISNUMBER(SEARCH("Multiple Indicator Cluster",I710)),ISNUMBER(SEARCH("MICS",I710))),"MICS","Other"))</f>
        <v>MICS</v>
      </c>
      <c r="K710" s="7" t="n">
        <f aca="false">IF(AND(F710="Record or Recall",G710="12-23 m"),1,0)</f>
        <v>0</v>
      </c>
      <c r="L710" s="7" t="n">
        <f aca="false">IF(OR(J710="DHS",J710="MICS"),1,0)</f>
        <v>1</v>
      </c>
    </row>
    <row r="711" customFormat="false" ht="15" hidden="false" customHeight="false" outlineLevel="0" collapsed="false">
      <c r="A711" s="7" t="s">
        <v>374</v>
      </c>
      <c r="C711" s="7" t="s">
        <v>378</v>
      </c>
      <c r="D711" s="7" t="n">
        <v>1999</v>
      </c>
      <c r="E711" s="7" t="s">
        <v>62</v>
      </c>
      <c r="F711" s="7" t="s">
        <v>86</v>
      </c>
      <c r="G711" s="7" t="s">
        <v>66</v>
      </c>
      <c r="H711" s="7" t="n">
        <v>34.6</v>
      </c>
      <c r="I711" s="7" t="str">
        <f aca="false">IF(B711="",TRIM(C711),TRIM(B711))</f>
        <v>République du Niger, Enquête à Indicateurs Multiples de la Fin de la Decennie (MICS2), 2000</v>
      </c>
      <c r="J711" s="7" t="str">
        <f aca="false">IF(ISNUMBER(SEARCH("Demographic and Health",I711)),"DHS",IF(OR(ISNUMBER(SEARCH("Multiple Indicator Cluster",I711)),ISNUMBER(SEARCH("MICS",I711))),"MICS","Other"))</f>
        <v>MICS</v>
      </c>
      <c r="K711" s="7" t="n">
        <f aca="false">IF(AND(F711="Record or Recall",G711="12-23 m"),1,0)</f>
        <v>0</v>
      </c>
      <c r="L711" s="7" t="n">
        <f aca="false">IF(OR(J711="DHS",J711="MICS"),1,0)</f>
        <v>1</v>
      </c>
    </row>
    <row r="712" customFormat="false" ht="15" hidden="false" customHeight="false" outlineLevel="0" collapsed="false">
      <c r="A712" s="7" t="s">
        <v>374</v>
      </c>
      <c r="C712" s="7" t="s">
        <v>378</v>
      </c>
      <c r="D712" s="7" t="n">
        <v>1999</v>
      </c>
      <c r="E712" s="7" t="s">
        <v>62</v>
      </c>
      <c r="F712" s="7" t="s">
        <v>63</v>
      </c>
      <c r="G712" s="7" t="s">
        <v>66</v>
      </c>
      <c r="H712" s="7" t="n">
        <v>46.8</v>
      </c>
      <c r="I712" s="7" t="str">
        <f aca="false">IF(B712="",TRIM(C712),TRIM(B712))</f>
        <v>République du Niger, Enquête à Indicateurs Multiples de la Fin de la Decennie (MICS2), 2000</v>
      </c>
      <c r="J712" s="7" t="str">
        <f aca="false">IF(ISNUMBER(SEARCH("Demographic and Health",I712)),"DHS",IF(OR(ISNUMBER(SEARCH("Multiple Indicator Cluster",I712)),ISNUMBER(SEARCH("MICS",I712))),"MICS","Other"))</f>
        <v>MICS</v>
      </c>
      <c r="K712" s="7" t="n">
        <f aca="false">IF(AND(F712="Record or Recall",G712="12-23 m"),1,0)</f>
        <v>1</v>
      </c>
      <c r="L712" s="7" t="n">
        <f aca="false">IF(OR(J712="DHS",J712="MICS"),1,0)</f>
        <v>1</v>
      </c>
    </row>
    <row r="713" customFormat="false" ht="15" hidden="false" customHeight="false" outlineLevel="0" collapsed="false">
      <c r="A713" s="7" t="s">
        <v>374</v>
      </c>
      <c r="C713" s="7" t="s">
        <v>378</v>
      </c>
      <c r="D713" s="7" t="n">
        <v>1999</v>
      </c>
      <c r="E713" s="7" t="s">
        <v>62</v>
      </c>
      <c r="F713" s="7" t="s">
        <v>87</v>
      </c>
      <c r="G713" s="7" t="s">
        <v>66</v>
      </c>
      <c r="H713" s="7" t="n">
        <v>12.2</v>
      </c>
      <c r="I713" s="7" t="str">
        <f aca="false">IF(B713="",TRIM(C713),TRIM(B713))</f>
        <v>République du Niger, Enquête à Indicateurs Multiples de la Fin de la Decennie (MICS2), 2000</v>
      </c>
      <c r="J713" s="7" t="str">
        <f aca="false">IF(ISNUMBER(SEARCH("Demographic and Health",I713)),"DHS",IF(OR(ISNUMBER(SEARCH("Multiple Indicator Cluster",I713)),ISNUMBER(SEARCH("MICS",I713))),"MICS","Other"))</f>
        <v>MICS</v>
      </c>
      <c r="K713" s="7" t="n">
        <f aca="false">IF(AND(F713="Record or Recall",G713="12-23 m"),1,0)</f>
        <v>0</v>
      </c>
      <c r="L713" s="7" t="n">
        <f aca="false">IF(OR(J713="DHS",J713="MICS"),1,0)</f>
        <v>1</v>
      </c>
    </row>
    <row r="714" customFormat="false" ht="15" hidden="false" customHeight="false" outlineLevel="0" collapsed="false">
      <c r="A714" s="7" t="s">
        <v>374</v>
      </c>
      <c r="C714" s="7" t="s">
        <v>378</v>
      </c>
      <c r="D714" s="7" t="n">
        <v>1999</v>
      </c>
      <c r="E714" s="7" t="s">
        <v>81</v>
      </c>
      <c r="F714" s="7" t="s">
        <v>78</v>
      </c>
      <c r="G714" s="7" t="s">
        <v>66</v>
      </c>
      <c r="H714" s="7" t="n">
        <v>41</v>
      </c>
      <c r="I714" s="7" t="str">
        <f aca="false">IF(B714="",TRIM(C714),TRIM(B714))</f>
        <v>République du Niger, Enquête à Indicateurs Multiples de la Fin de la Decennie (MICS2), 2000</v>
      </c>
      <c r="J714" s="7" t="str">
        <f aca="false">IF(ISNUMBER(SEARCH("Demographic and Health",I714)),"DHS",IF(OR(ISNUMBER(SEARCH("Multiple Indicator Cluster",I714)),ISNUMBER(SEARCH("MICS",I714))),"MICS","Other"))</f>
        <v>MICS</v>
      </c>
      <c r="K714" s="7" t="n">
        <f aca="false">IF(AND(F714="Record or Recall",G714="12-23 m"),1,0)</f>
        <v>0</v>
      </c>
      <c r="L714" s="7" t="n">
        <f aca="false">IF(OR(J714="DHS",J714="MICS"),1,0)</f>
        <v>1</v>
      </c>
    </row>
    <row r="715" customFormat="false" ht="15" hidden="false" customHeight="false" outlineLevel="0" collapsed="false">
      <c r="A715" s="7" t="s">
        <v>374</v>
      </c>
      <c r="C715" s="7" t="s">
        <v>378</v>
      </c>
      <c r="D715" s="7" t="n">
        <v>1999</v>
      </c>
      <c r="E715" s="7" t="s">
        <v>81</v>
      </c>
      <c r="F715" s="7" t="s">
        <v>86</v>
      </c>
      <c r="G715" s="7" t="s">
        <v>66</v>
      </c>
      <c r="H715" s="7" t="n">
        <v>33</v>
      </c>
      <c r="I715" s="7" t="str">
        <f aca="false">IF(B715="",TRIM(C715),TRIM(B715))</f>
        <v>République du Niger, Enquête à Indicateurs Multiples de la Fin de la Decennie (MICS2), 2000</v>
      </c>
      <c r="J715" s="7" t="str">
        <f aca="false">IF(ISNUMBER(SEARCH("Demographic and Health",I715)),"DHS",IF(OR(ISNUMBER(SEARCH("Multiple Indicator Cluster",I715)),ISNUMBER(SEARCH("MICS",I715))),"MICS","Other"))</f>
        <v>MICS</v>
      </c>
      <c r="K715" s="7" t="n">
        <f aca="false">IF(AND(F715="Record or Recall",G715="12-23 m"),1,0)</f>
        <v>0</v>
      </c>
      <c r="L715" s="7" t="n">
        <f aca="false">IF(OR(J715="DHS",J715="MICS"),1,0)</f>
        <v>1</v>
      </c>
    </row>
    <row r="716" customFormat="false" ht="15" hidden="false" customHeight="false" outlineLevel="0" collapsed="false">
      <c r="A716" s="7" t="s">
        <v>374</v>
      </c>
      <c r="C716" s="7" t="s">
        <v>378</v>
      </c>
      <c r="D716" s="7" t="n">
        <v>1999</v>
      </c>
      <c r="E716" s="7" t="s">
        <v>81</v>
      </c>
      <c r="F716" s="7" t="s">
        <v>63</v>
      </c>
      <c r="G716" s="7" t="s">
        <v>66</v>
      </c>
      <c r="H716" s="7" t="n">
        <v>43.2</v>
      </c>
      <c r="I716" s="7" t="str">
        <f aca="false">IF(B716="",TRIM(C716),TRIM(B716))</f>
        <v>République du Niger, Enquête à Indicateurs Multiples de la Fin de la Decennie (MICS2), 2000</v>
      </c>
      <c r="J716" s="7" t="str">
        <f aca="false">IF(ISNUMBER(SEARCH("Demographic and Health",I716)),"DHS",IF(OR(ISNUMBER(SEARCH("Multiple Indicator Cluster",I716)),ISNUMBER(SEARCH("MICS",I716))),"MICS","Other"))</f>
        <v>MICS</v>
      </c>
      <c r="K716" s="7" t="n">
        <f aca="false">IF(AND(F716="Record or Recall",G716="12-23 m"),1,0)</f>
        <v>1</v>
      </c>
      <c r="L716" s="7" t="n">
        <f aca="false">IF(OR(J716="DHS",J716="MICS"),1,0)</f>
        <v>1</v>
      </c>
    </row>
    <row r="717" customFormat="false" ht="15" hidden="false" customHeight="false" outlineLevel="0" collapsed="false">
      <c r="A717" s="7" t="s">
        <v>374</v>
      </c>
      <c r="C717" s="7" t="s">
        <v>378</v>
      </c>
      <c r="D717" s="7" t="n">
        <v>1999</v>
      </c>
      <c r="E717" s="7" t="s">
        <v>81</v>
      </c>
      <c r="F717" s="7" t="s">
        <v>87</v>
      </c>
      <c r="G717" s="7" t="s">
        <v>66</v>
      </c>
      <c r="H717" s="7" t="n">
        <v>10.2</v>
      </c>
      <c r="I717" s="7" t="str">
        <f aca="false">IF(B717="",TRIM(C717),TRIM(B717))</f>
        <v>République du Niger, Enquête à Indicateurs Multiples de la Fin de la Decennie (MICS2), 2000</v>
      </c>
      <c r="J717" s="7" t="str">
        <f aca="false">IF(ISNUMBER(SEARCH("Demographic and Health",I717)),"DHS",IF(OR(ISNUMBER(SEARCH("Multiple Indicator Cluster",I717)),ISNUMBER(SEARCH("MICS",I717))),"MICS","Other"))</f>
        <v>MICS</v>
      </c>
      <c r="K717" s="7" t="n">
        <f aca="false">IF(AND(F717="Record or Recall",G717="12-23 m"),1,0)</f>
        <v>0</v>
      </c>
      <c r="L717" s="7" t="n">
        <f aca="false">IF(OR(J717="DHS",J717="MICS"),1,0)</f>
        <v>1</v>
      </c>
    </row>
    <row r="718" customFormat="false" ht="15" hidden="false" customHeight="false" outlineLevel="0" collapsed="false">
      <c r="A718" s="7" t="s">
        <v>374</v>
      </c>
      <c r="C718" s="7" t="s">
        <v>378</v>
      </c>
      <c r="D718" s="7" t="n">
        <v>1999</v>
      </c>
      <c r="E718" s="7" t="s">
        <v>67</v>
      </c>
      <c r="F718" s="7" t="s">
        <v>78</v>
      </c>
      <c r="G718" s="7" t="s">
        <v>66</v>
      </c>
      <c r="H718" s="7" t="n">
        <v>24.8</v>
      </c>
      <c r="I718" s="7" t="str">
        <f aca="false">IF(B718="",TRIM(C718),TRIM(B718))</f>
        <v>République du Niger, Enquête à Indicateurs Multiples de la Fin de la Decennie (MICS2), 2000</v>
      </c>
      <c r="J718" s="7" t="str">
        <f aca="false">IF(ISNUMBER(SEARCH("Demographic and Health",I718)),"DHS",IF(OR(ISNUMBER(SEARCH("Multiple Indicator Cluster",I718)),ISNUMBER(SEARCH("MICS",I718))),"MICS","Other"))</f>
        <v>MICS</v>
      </c>
      <c r="K718" s="7" t="n">
        <f aca="false">IF(AND(F718="Record or Recall",G718="12-23 m"),1,0)</f>
        <v>0</v>
      </c>
      <c r="L718" s="7" t="n">
        <f aca="false">IF(OR(J718="DHS",J718="MICS"),1,0)</f>
        <v>1</v>
      </c>
    </row>
    <row r="719" customFormat="false" ht="15" hidden="false" customHeight="false" outlineLevel="0" collapsed="false">
      <c r="A719" s="7" t="s">
        <v>374</v>
      </c>
      <c r="C719" s="7" t="s">
        <v>378</v>
      </c>
      <c r="D719" s="7" t="n">
        <v>1999</v>
      </c>
      <c r="E719" s="7" t="s">
        <v>67</v>
      </c>
      <c r="F719" s="7" t="s">
        <v>86</v>
      </c>
      <c r="G719" s="7" t="s">
        <v>66</v>
      </c>
      <c r="H719" s="7" t="n">
        <v>24.2</v>
      </c>
      <c r="I719" s="7" t="str">
        <f aca="false">IF(B719="",TRIM(C719),TRIM(B719))</f>
        <v>République du Niger, Enquête à Indicateurs Multiples de la Fin de la Decennie (MICS2), 2000</v>
      </c>
      <c r="J719" s="7" t="str">
        <f aca="false">IF(ISNUMBER(SEARCH("Demographic and Health",I719)),"DHS",IF(OR(ISNUMBER(SEARCH("Multiple Indicator Cluster",I719)),ISNUMBER(SEARCH("MICS",I719))),"MICS","Other"))</f>
        <v>MICS</v>
      </c>
      <c r="K719" s="7" t="n">
        <f aca="false">IF(AND(F719="Record or Recall",G719="12-23 m"),1,0)</f>
        <v>0</v>
      </c>
      <c r="L719" s="7" t="n">
        <f aca="false">IF(OR(J719="DHS",J719="MICS"),1,0)</f>
        <v>1</v>
      </c>
    </row>
    <row r="720" customFormat="false" ht="15" hidden="false" customHeight="false" outlineLevel="0" collapsed="false">
      <c r="A720" s="7" t="s">
        <v>374</v>
      </c>
      <c r="C720" s="7" t="s">
        <v>378</v>
      </c>
      <c r="D720" s="7" t="n">
        <v>1999</v>
      </c>
      <c r="E720" s="7" t="s">
        <v>67</v>
      </c>
      <c r="F720" s="7" t="s">
        <v>63</v>
      </c>
      <c r="G720" s="7" t="s">
        <v>66</v>
      </c>
      <c r="H720" s="7" t="n">
        <v>28.1</v>
      </c>
      <c r="I720" s="7" t="str">
        <f aca="false">IF(B720="",TRIM(C720),TRIM(B720))</f>
        <v>République du Niger, Enquête à Indicateurs Multiples de la Fin de la Decennie (MICS2), 2000</v>
      </c>
      <c r="J720" s="7" t="str">
        <f aca="false">IF(ISNUMBER(SEARCH("Demographic and Health",I720)),"DHS",IF(OR(ISNUMBER(SEARCH("Multiple Indicator Cluster",I720)),ISNUMBER(SEARCH("MICS",I720))),"MICS","Other"))</f>
        <v>MICS</v>
      </c>
      <c r="K720" s="7" t="n">
        <f aca="false">IF(AND(F720="Record or Recall",G720="12-23 m"),1,0)</f>
        <v>1</v>
      </c>
      <c r="L720" s="7" t="n">
        <f aca="false">IF(OR(J720="DHS",J720="MICS"),1,0)</f>
        <v>1</v>
      </c>
    </row>
    <row r="721" customFormat="false" ht="15" hidden="false" customHeight="false" outlineLevel="0" collapsed="false">
      <c r="A721" s="7" t="s">
        <v>374</v>
      </c>
      <c r="C721" s="7" t="s">
        <v>378</v>
      </c>
      <c r="D721" s="7" t="n">
        <v>1999</v>
      </c>
      <c r="E721" s="7" t="s">
        <v>67</v>
      </c>
      <c r="F721" s="7" t="s">
        <v>87</v>
      </c>
      <c r="G721" s="7" t="s">
        <v>66</v>
      </c>
      <c r="H721" s="7" t="n">
        <v>3.9</v>
      </c>
      <c r="I721" s="7" t="str">
        <f aca="false">IF(B721="",TRIM(C721),TRIM(B721))</f>
        <v>République du Niger, Enquête à Indicateurs Multiples de la Fin de la Decennie (MICS2), 2000</v>
      </c>
      <c r="J721" s="7" t="str">
        <f aca="false">IF(ISNUMBER(SEARCH("Demographic and Health",I721)),"DHS",IF(OR(ISNUMBER(SEARCH("Multiple Indicator Cluster",I721)),ISNUMBER(SEARCH("MICS",I721))),"MICS","Other"))</f>
        <v>MICS</v>
      </c>
      <c r="K721" s="7" t="n">
        <f aca="false">IF(AND(F721="Record or Recall",G721="12-23 m"),1,0)</f>
        <v>0</v>
      </c>
      <c r="L721" s="7" t="n">
        <f aca="false">IF(OR(J721="DHS",J721="MICS"),1,0)</f>
        <v>1</v>
      </c>
    </row>
    <row r="722" customFormat="false" ht="15" hidden="false" customHeight="false" outlineLevel="0" collapsed="false">
      <c r="A722" s="7" t="s">
        <v>374</v>
      </c>
      <c r="C722" s="7" t="s">
        <v>378</v>
      </c>
      <c r="D722" s="7" t="n">
        <v>1999</v>
      </c>
      <c r="E722" s="7" t="s">
        <v>82</v>
      </c>
      <c r="F722" s="7" t="s">
        <v>78</v>
      </c>
      <c r="G722" s="7" t="s">
        <v>66</v>
      </c>
      <c r="H722" s="7" t="n">
        <v>12.8</v>
      </c>
      <c r="I722" s="7" t="str">
        <f aca="false">IF(B722="",TRIM(C722),TRIM(B722))</f>
        <v>République du Niger, Enquête à Indicateurs Multiples de la Fin de la Decennie (MICS2), 2000</v>
      </c>
      <c r="J722" s="7" t="str">
        <f aca="false">IF(ISNUMBER(SEARCH("Demographic and Health",I722)),"DHS",IF(OR(ISNUMBER(SEARCH("Multiple Indicator Cluster",I722)),ISNUMBER(SEARCH("MICS",I722))),"MICS","Other"))</f>
        <v>MICS</v>
      </c>
      <c r="K722" s="7" t="n">
        <f aca="false">IF(AND(F722="Record or Recall",G722="12-23 m"),1,0)</f>
        <v>0</v>
      </c>
      <c r="L722" s="7" t="n">
        <f aca="false">IF(OR(J722="DHS",J722="MICS"),1,0)</f>
        <v>1</v>
      </c>
    </row>
    <row r="723" customFormat="false" ht="15" hidden="false" customHeight="false" outlineLevel="0" collapsed="false">
      <c r="A723" s="7" t="s">
        <v>374</v>
      </c>
      <c r="C723" s="7" t="s">
        <v>378</v>
      </c>
      <c r="D723" s="7" t="n">
        <v>1999</v>
      </c>
      <c r="E723" s="7" t="s">
        <v>82</v>
      </c>
      <c r="F723" s="7" t="s">
        <v>86</v>
      </c>
      <c r="G723" s="7" t="s">
        <v>66</v>
      </c>
      <c r="H723" s="7" t="n">
        <v>18.9</v>
      </c>
      <c r="I723" s="7" t="str">
        <f aca="false">IF(B723="",TRIM(C723),TRIM(B723))</f>
        <v>République du Niger, Enquête à Indicateurs Multiples de la Fin de la Decennie (MICS2), 2000</v>
      </c>
      <c r="J723" s="7" t="str">
        <f aca="false">IF(ISNUMBER(SEARCH("Demographic and Health",I723)),"DHS",IF(OR(ISNUMBER(SEARCH("Multiple Indicator Cluster",I723)),ISNUMBER(SEARCH("MICS",I723))),"MICS","Other"))</f>
        <v>MICS</v>
      </c>
      <c r="K723" s="7" t="n">
        <f aca="false">IF(AND(F723="Record or Recall",G723="12-23 m"),1,0)</f>
        <v>0</v>
      </c>
      <c r="L723" s="7" t="n">
        <f aca="false">IF(OR(J723="DHS",J723="MICS"),1,0)</f>
        <v>1</v>
      </c>
    </row>
    <row r="724" customFormat="false" ht="15" hidden="false" customHeight="false" outlineLevel="0" collapsed="false">
      <c r="A724" s="7" t="s">
        <v>374</v>
      </c>
      <c r="C724" s="7" t="s">
        <v>378</v>
      </c>
      <c r="D724" s="7" t="n">
        <v>1999</v>
      </c>
      <c r="E724" s="7" t="s">
        <v>82</v>
      </c>
      <c r="F724" s="7" t="s">
        <v>63</v>
      </c>
      <c r="G724" s="7" t="s">
        <v>66</v>
      </c>
      <c r="H724" s="7" t="n">
        <v>21.5</v>
      </c>
      <c r="I724" s="7" t="str">
        <f aca="false">IF(B724="",TRIM(C724),TRIM(B724))</f>
        <v>République du Niger, Enquête à Indicateurs Multiples de la Fin de la Decennie (MICS2), 2000</v>
      </c>
      <c r="J724" s="7" t="str">
        <f aca="false">IF(ISNUMBER(SEARCH("Demographic and Health",I724)),"DHS",IF(OR(ISNUMBER(SEARCH("Multiple Indicator Cluster",I724)),ISNUMBER(SEARCH("MICS",I724))),"MICS","Other"))</f>
        <v>MICS</v>
      </c>
      <c r="K724" s="7" t="n">
        <f aca="false">IF(AND(F724="Record or Recall",G724="12-23 m"),1,0)</f>
        <v>1</v>
      </c>
      <c r="L724" s="7" t="n">
        <f aca="false">IF(OR(J724="DHS",J724="MICS"),1,0)</f>
        <v>1</v>
      </c>
    </row>
    <row r="725" customFormat="false" ht="15" hidden="false" customHeight="false" outlineLevel="0" collapsed="false">
      <c r="A725" s="7" t="s">
        <v>374</v>
      </c>
      <c r="C725" s="7" t="s">
        <v>378</v>
      </c>
      <c r="D725" s="7" t="n">
        <v>1999</v>
      </c>
      <c r="E725" s="7" t="s">
        <v>82</v>
      </c>
      <c r="F725" s="7" t="s">
        <v>87</v>
      </c>
      <c r="G725" s="7" t="s">
        <v>66</v>
      </c>
      <c r="H725" s="7" t="n">
        <v>2.6</v>
      </c>
      <c r="I725" s="7" t="str">
        <f aca="false">IF(B725="",TRIM(C725),TRIM(B725))</f>
        <v>République du Niger, Enquête à Indicateurs Multiples de la Fin de la Decennie (MICS2), 2000</v>
      </c>
      <c r="J725" s="7" t="str">
        <f aca="false">IF(ISNUMBER(SEARCH("Demographic and Health",I725)),"DHS",IF(OR(ISNUMBER(SEARCH("Multiple Indicator Cluster",I725)),ISNUMBER(SEARCH("MICS",I725))),"MICS","Other"))</f>
        <v>MICS</v>
      </c>
      <c r="K725" s="7" t="n">
        <f aca="false">IF(AND(F725="Record or Recall",G725="12-23 m"),1,0)</f>
        <v>0</v>
      </c>
      <c r="L725" s="7" t="n">
        <f aca="false">IF(OR(J725="DHS",J725="MICS"),1,0)</f>
        <v>1</v>
      </c>
    </row>
    <row r="726" customFormat="false" ht="15" hidden="false" customHeight="false" outlineLevel="0" collapsed="false">
      <c r="A726" s="7" t="s">
        <v>374</v>
      </c>
      <c r="C726" s="7" t="s">
        <v>378</v>
      </c>
      <c r="D726" s="7" t="n">
        <v>1999</v>
      </c>
      <c r="E726" s="7" t="s">
        <v>68</v>
      </c>
      <c r="F726" s="7" t="s">
        <v>78</v>
      </c>
      <c r="G726" s="7" t="s">
        <v>66</v>
      </c>
      <c r="H726" s="7" t="n">
        <v>25</v>
      </c>
      <c r="I726" s="7" t="str">
        <f aca="false">IF(B726="",TRIM(C726),TRIM(B726))</f>
        <v>République du Niger, Enquête à Indicateurs Multiples de la Fin de la Decennie (MICS2), 2000</v>
      </c>
      <c r="J726" s="7" t="str">
        <f aca="false">IF(ISNUMBER(SEARCH("Demographic and Health",I726)),"DHS",IF(OR(ISNUMBER(SEARCH("Multiple Indicator Cluster",I726)),ISNUMBER(SEARCH("MICS",I726))),"MICS","Other"))</f>
        <v>MICS</v>
      </c>
      <c r="K726" s="7" t="n">
        <f aca="false">IF(AND(F726="Record or Recall",G726="12-23 m"),1,0)</f>
        <v>0</v>
      </c>
      <c r="L726" s="7" t="n">
        <f aca="false">IF(OR(J726="DHS",J726="MICS"),1,0)</f>
        <v>1</v>
      </c>
    </row>
    <row r="727" customFormat="false" ht="15" hidden="false" customHeight="false" outlineLevel="0" collapsed="false">
      <c r="A727" s="7" t="s">
        <v>374</v>
      </c>
      <c r="C727" s="7" t="s">
        <v>378</v>
      </c>
      <c r="D727" s="7" t="n">
        <v>1999</v>
      </c>
      <c r="E727" s="7" t="s">
        <v>68</v>
      </c>
      <c r="F727" s="7" t="s">
        <v>86</v>
      </c>
      <c r="G727" s="7" t="s">
        <v>66</v>
      </c>
      <c r="H727" s="7" t="n">
        <v>23.5</v>
      </c>
      <c r="I727" s="7" t="str">
        <f aca="false">IF(B727="",TRIM(C727),TRIM(B727))</f>
        <v>République du Niger, Enquête à Indicateurs Multiples de la Fin de la Decennie (MICS2), 2000</v>
      </c>
      <c r="J727" s="7" t="str">
        <f aca="false">IF(ISNUMBER(SEARCH("Demographic and Health",I727)),"DHS",IF(OR(ISNUMBER(SEARCH("Multiple Indicator Cluster",I727)),ISNUMBER(SEARCH("MICS",I727))),"MICS","Other"))</f>
        <v>MICS</v>
      </c>
      <c r="K727" s="7" t="n">
        <f aca="false">IF(AND(F727="Record or Recall",G727="12-23 m"),1,0)</f>
        <v>0</v>
      </c>
      <c r="L727" s="7" t="n">
        <f aca="false">IF(OR(J727="DHS",J727="MICS"),1,0)</f>
        <v>1</v>
      </c>
    </row>
    <row r="728" customFormat="false" ht="15" hidden="false" customHeight="false" outlineLevel="0" collapsed="false">
      <c r="A728" s="7" t="s">
        <v>374</v>
      </c>
      <c r="C728" s="7" t="s">
        <v>378</v>
      </c>
      <c r="D728" s="7" t="n">
        <v>1999</v>
      </c>
      <c r="E728" s="7" t="s">
        <v>68</v>
      </c>
      <c r="F728" s="7" t="s">
        <v>63</v>
      </c>
      <c r="G728" s="7" t="s">
        <v>66</v>
      </c>
      <c r="H728" s="7" t="n">
        <v>35.5</v>
      </c>
      <c r="I728" s="7" t="str">
        <f aca="false">IF(B728="",TRIM(C728),TRIM(B728))</f>
        <v>République du Niger, Enquête à Indicateurs Multiples de la Fin de la Decennie (MICS2), 2000</v>
      </c>
      <c r="J728" s="7" t="str">
        <f aca="false">IF(ISNUMBER(SEARCH("Demographic and Health",I728)),"DHS",IF(OR(ISNUMBER(SEARCH("Multiple Indicator Cluster",I728)),ISNUMBER(SEARCH("MICS",I728))),"MICS","Other"))</f>
        <v>MICS</v>
      </c>
      <c r="K728" s="7" t="n">
        <f aca="false">IF(AND(F728="Record or Recall",G728="12-23 m"),1,0)</f>
        <v>1</v>
      </c>
      <c r="L728" s="7" t="n">
        <f aca="false">IF(OR(J728="DHS",J728="MICS"),1,0)</f>
        <v>1</v>
      </c>
    </row>
    <row r="729" customFormat="false" ht="15" hidden="false" customHeight="false" outlineLevel="0" collapsed="false">
      <c r="A729" s="7" t="s">
        <v>374</v>
      </c>
      <c r="C729" s="7" t="s">
        <v>378</v>
      </c>
      <c r="D729" s="7" t="n">
        <v>1999</v>
      </c>
      <c r="E729" s="7" t="s">
        <v>68</v>
      </c>
      <c r="F729" s="7" t="s">
        <v>87</v>
      </c>
      <c r="G729" s="7" t="s">
        <v>66</v>
      </c>
      <c r="H729" s="7" t="n">
        <v>12</v>
      </c>
      <c r="I729" s="7" t="str">
        <f aca="false">IF(B729="",TRIM(C729),TRIM(B729))</f>
        <v>République du Niger, Enquête à Indicateurs Multiples de la Fin de la Decennie (MICS2), 2000</v>
      </c>
      <c r="J729" s="7" t="str">
        <f aca="false">IF(ISNUMBER(SEARCH("Demographic and Health",I729)),"DHS",IF(OR(ISNUMBER(SEARCH("Multiple Indicator Cluster",I729)),ISNUMBER(SEARCH("MICS",I729))),"MICS","Other"))</f>
        <v>MICS</v>
      </c>
      <c r="K729" s="7" t="n">
        <f aca="false">IF(AND(F729="Record or Recall",G729="12-23 m"),1,0)</f>
        <v>0</v>
      </c>
      <c r="L729" s="7" t="n">
        <f aca="false">IF(OR(J729="DHS",J729="MICS"),1,0)</f>
        <v>1</v>
      </c>
    </row>
    <row r="730" customFormat="false" ht="15" hidden="false" customHeight="false" outlineLevel="0" collapsed="false">
      <c r="A730" s="7" t="s">
        <v>374</v>
      </c>
      <c r="C730" s="7" t="s">
        <v>378</v>
      </c>
      <c r="D730" s="7" t="n">
        <v>1999</v>
      </c>
      <c r="E730" s="7" t="s">
        <v>69</v>
      </c>
      <c r="F730" s="7" t="s">
        <v>78</v>
      </c>
      <c r="G730" s="7" t="s">
        <v>66</v>
      </c>
      <c r="H730" s="7" t="n">
        <v>35.7</v>
      </c>
      <c r="I730" s="7" t="str">
        <f aca="false">IF(B730="",TRIM(C730),TRIM(B730))</f>
        <v>République du Niger, Enquête à Indicateurs Multiples de la Fin de la Decennie (MICS2), 2000</v>
      </c>
      <c r="J730" s="7" t="str">
        <f aca="false">IF(ISNUMBER(SEARCH("Demographic and Health",I730)),"DHS",IF(OR(ISNUMBER(SEARCH("Multiple Indicator Cluster",I730)),ISNUMBER(SEARCH("MICS",I730))),"MICS","Other"))</f>
        <v>MICS</v>
      </c>
      <c r="K730" s="7" t="n">
        <f aca="false">IF(AND(F730="Record or Recall",G730="12-23 m"),1,0)</f>
        <v>0</v>
      </c>
      <c r="L730" s="7" t="n">
        <f aca="false">IF(OR(J730="DHS",J730="MICS"),1,0)</f>
        <v>1</v>
      </c>
    </row>
    <row r="731" customFormat="false" ht="15" hidden="false" customHeight="false" outlineLevel="0" collapsed="false">
      <c r="A731" s="7" t="s">
        <v>374</v>
      </c>
      <c r="C731" s="7" t="s">
        <v>378</v>
      </c>
      <c r="D731" s="7" t="n">
        <v>1999</v>
      </c>
      <c r="E731" s="7" t="s">
        <v>69</v>
      </c>
      <c r="F731" s="7" t="s">
        <v>86</v>
      </c>
      <c r="G731" s="7" t="s">
        <v>66</v>
      </c>
      <c r="H731" s="7" t="n">
        <v>24</v>
      </c>
      <c r="I731" s="7" t="str">
        <f aca="false">IF(B731="",TRIM(C731),TRIM(B731))</f>
        <v>République du Niger, Enquête à Indicateurs Multiples de la Fin de la Decennie (MICS2), 2000</v>
      </c>
      <c r="J731" s="7" t="str">
        <f aca="false">IF(ISNUMBER(SEARCH("Demographic and Health",I731)),"DHS",IF(OR(ISNUMBER(SEARCH("Multiple Indicator Cluster",I731)),ISNUMBER(SEARCH("MICS",I731))),"MICS","Other"))</f>
        <v>MICS</v>
      </c>
      <c r="K731" s="7" t="n">
        <f aca="false">IF(AND(F731="Record or Recall",G731="12-23 m"),1,0)</f>
        <v>0</v>
      </c>
      <c r="L731" s="7" t="n">
        <f aca="false">IF(OR(J731="DHS",J731="MICS"),1,0)</f>
        <v>1</v>
      </c>
    </row>
    <row r="732" customFormat="false" ht="15" hidden="false" customHeight="false" outlineLevel="0" collapsed="false">
      <c r="A732" s="7" t="s">
        <v>374</v>
      </c>
      <c r="C732" s="7" t="s">
        <v>378</v>
      </c>
      <c r="D732" s="7" t="n">
        <v>1999</v>
      </c>
      <c r="E732" s="7" t="s">
        <v>69</v>
      </c>
      <c r="F732" s="7" t="s">
        <v>63</v>
      </c>
      <c r="G732" s="7" t="s">
        <v>66</v>
      </c>
      <c r="H732" s="7" t="n">
        <v>40.5</v>
      </c>
      <c r="I732" s="7" t="str">
        <f aca="false">IF(B732="",TRIM(C732),TRIM(B732))</f>
        <v>République du Niger, Enquête à Indicateurs Multiples de la Fin de la Decennie (MICS2), 2000</v>
      </c>
      <c r="J732" s="7" t="str">
        <f aca="false">IF(ISNUMBER(SEARCH("Demographic and Health",I732)),"DHS",IF(OR(ISNUMBER(SEARCH("Multiple Indicator Cluster",I732)),ISNUMBER(SEARCH("MICS",I732))),"MICS","Other"))</f>
        <v>MICS</v>
      </c>
      <c r="K732" s="7" t="n">
        <f aca="false">IF(AND(F732="Record or Recall",G732="12-23 m"),1,0)</f>
        <v>1</v>
      </c>
      <c r="L732" s="7" t="n">
        <f aca="false">IF(OR(J732="DHS",J732="MICS"),1,0)</f>
        <v>1</v>
      </c>
    </row>
    <row r="733" customFormat="false" ht="15" hidden="false" customHeight="false" outlineLevel="0" collapsed="false">
      <c r="A733" s="7" t="s">
        <v>374</v>
      </c>
      <c r="C733" s="7" t="s">
        <v>378</v>
      </c>
      <c r="D733" s="7" t="n">
        <v>1999</v>
      </c>
      <c r="E733" s="7" t="s">
        <v>69</v>
      </c>
      <c r="F733" s="7" t="s">
        <v>87</v>
      </c>
      <c r="G733" s="7" t="s">
        <v>66</v>
      </c>
      <c r="H733" s="7" t="n">
        <v>16.5</v>
      </c>
      <c r="I733" s="7" t="str">
        <f aca="false">IF(B733="",TRIM(C733),TRIM(B733))</f>
        <v>République du Niger, Enquête à Indicateurs Multiples de la Fin de la Decennie (MICS2), 2000</v>
      </c>
      <c r="J733" s="7" t="str">
        <f aca="false">IF(ISNUMBER(SEARCH("Demographic and Health",I733)),"DHS",IF(OR(ISNUMBER(SEARCH("Multiple Indicator Cluster",I733)),ISNUMBER(SEARCH("MICS",I733))),"MICS","Other"))</f>
        <v>MICS</v>
      </c>
      <c r="K733" s="7" t="n">
        <f aca="false">IF(AND(F733="Record or Recall",G733="12-23 m"),1,0)</f>
        <v>0</v>
      </c>
      <c r="L733" s="7" t="n">
        <f aca="false">IF(OR(J733="DHS",J733="MICS"),1,0)</f>
        <v>1</v>
      </c>
    </row>
    <row r="734" customFormat="false" ht="15" hidden="false" customHeight="false" outlineLevel="0" collapsed="false">
      <c r="A734" s="7" t="s">
        <v>374</v>
      </c>
      <c r="C734" s="7" t="s">
        <v>379</v>
      </c>
      <c r="D734" s="7" t="n">
        <v>2000</v>
      </c>
      <c r="E734" s="7" t="s">
        <v>62</v>
      </c>
      <c r="F734" s="7" t="s">
        <v>86</v>
      </c>
      <c r="G734" s="7" t="s">
        <v>66</v>
      </c>
      <c r="H734" s="7" t="n">
        <v>54</v>
      </c>
      <c r="I734" s="7" t="str">
        <f aca="false">IF(B734="",TRIM(C734),TRIM(B734))</f>
        <v>Niger, Revue du PEV 2001</v>
      </c>
      <c r="J734" s="7" t="str">
        <f aca="false">IF(ISNUMBER(SEARCH("Demographic and Health",I734)),"DHS",IF(OR(ISNUMBER(SEARCH("Multiple Indicator Cluster",I734)),ISNUMBER(SEARCH("MICS",I734))),"MICS","Other"))</f>
        <v>Other</v>
      </c>
      <c r="K734" s="7" t="n">
        <f aca="false">IF(AND(F734="Record or Recall",G734="12-23 m"),1,0)</f>
        <v>0</v>
      </c>
      <c r="L734" s="7" t="n">
        <f aca="false">IF(OR(J734="DHS",J734="MICS"),1,0)</f>
        <v>0</v>
      </c>
    </row>
    <row r="735" customFormat="false" ht="15" hidden="false" customHeight="false" outlineLevel="0" collapsed="false">
      <c r="A735" s="7" t="s">
        <v>374</v>
      </c>
      <c r="C735" s="7" t="s">
        <v>379</v>
      </c>
      <c r="D735" s="7" t="n">
        <v>2000</v>
      </c>
      <c r="E735" s="7" t="s">
        <v>81</v>
      </c>
      <c r="F735" s="7" t="s">
        <v>86</v>
      </c>
      <c r="G735" s="7" t="s">
        <v>66</v>
      </c>
      <c r="H735" s="7" t="n">
        <v>48</v>
      </c>
      <c r="I735" s="7" t="str">
        <f aca="false">IF(B735="",TRIM(C735),TRIM(B735))</f>
        <v>Niger, Revue du PEV 2001</v>
      </c>
      <c r="J735" s="7" t="str">
        <f aca="false">IF(ISNUMBER(SEARCH("Demographic and Health",I735)),"DHS",IF(OR(ISNUMBER(SEARCH("Multiple Indicator Cluster",I735)),ISNUMBER(SEARCH("MICS",I735))),"MICS","Other"))</f>
        <v>Other</v>
      </c>
      <c r="K735" s="7" t="n">
        <f aca="false">IF(AND(F735="Record or Recall",G735="12-23 m"),1,0)</f>
        <v>0</v>
      </c>
      <c r="L735" s="7" t="n">
        <f aca="false">IF(OR(J735="DHS",J735="MICS"),1,0)</f>
        <v>0</v>
      </c>
    </row>
    <row r="736" customFormat="false" ht="15" hidden="false" customHeight="false" outlineLevel="0" collapsed="false">
      <c r="A736" s="7" t="s">
        <v>374</v>
      </c>
      <c r="C736" s="7" t="s">
        <v>379</v>
      </c>
      <c r="D736" s="7" t="n">
        <v>2000</v>
      </c>
      <c r="E736" s="7" t="s">
        <v>67</v>
      </c>
      <c r="F736" s="7" t="s">
        <v>86</v>
      </c>
      <c r="G736" s="7" t="s">
        <v>66</v>
      </c>
      <c r="H736" s="7" t="n">
        <v>31</v>
      </c>
      <c r="I736" s="7" t="str">
        <f aca="false">IF(B736="",TRIM(C736),TRIM(B736))</f>
        <v>Niger, Revue du PEV 2001</v>
      </c>
      <c r="J736" s="7" t="str">
        <f aca="false">IF(ISNUMBER(SEARCH("Demographic and Health",I736)),"DHS",IF(OR(ISNUMBER(SEARCH("Multiple Indicator Cluster",I736)),ISNUMBER(SEARCH("MICS",I736))),"MICS","Other"))</f>
        <v>Other</v>
      </c>
      <c r="K736" s="7" t="n">
        <f aca="false">IF(AND(F736="Record or Recall",G736="12-23 m"),1,0)</f>
        <v>0</v>
      </c>
      <c r="L736" s="7" t="n">
        <f aca="false">IF(OR(J736="DHS",J736="MICS"),1,0)</f>
        <v>0</v>
      </c>
    </row>
    <row r="737" customFormat="false" ht="15" hidden="false" customHeight="false" outlineLevel="0" collapsed="false">
      <c r="A737" s="7" t="s">
        <v>374</v>
      </c>
      <c r="C737" s="7" t="s">
        <v>379</v>
      </c>
      <c r="D737" s="7" t="n">
        <v>2000</v>
      </c>
      <c r="E737" s="7" t="s">
        <v>68</v>
      </c>
      <c r="F737" s="7" t="s">
        <v>86</v>
      </c>
      <c r="G737" s="7" t="s">
        <v>66</v>
      </c>
      <c r="H737" s="7" t="n">
        <v>34</v>
      </c>
      <c r="I737" s="7" t="str">
        <f aca="false">IF(B737="",TRIM(C737),TRIM(B737))</f>
        <v>Niger, Revue du PEV 2001</v>
      </c>
      <c r="J737" s="7" t="str">
        <f aca="false">IF(ISNUMBER(SEARCH("Demographic and Health",I737)),"DHS",IF(OR(ISNUMBER(SEARCH("Multiple Indicator Cluster",I737)),ISNUMBER(SEARCH("MICS",I737))),"MICS","Other"))</f>
        <v>Other</v>
      </c>
      <c r="K737" s="7" t="n">
        <f aca="false">IF(AND(F737="Record or Recall",G737="12-23 m"),1,0)</f>
        <v>0</v>
      </c>
      <c r="L737" s="7" t="n">
        <f aca="false">IF(OR(J737="DHS",J737="MICS"),1,0)</f>
        <v>0</v>
      </c>
    </row>
    <row r="738" customFormat="false" ht="15" hidden="false" customHeight="false" outlineLevel="0" collapsed="false">
      <c r="A738" s="7" t="s">
        <v>374</v>
      </c>
      <c r="C738" s="7" t="s">
        <v>379</v>
      </c>
      <c r="D738" s="7" t="n">
        <v>2000</v>
      </c>
      <c r="E738" s="7" t="s">
        <v>69</v>
      </c>
      <c r="F738" s="7" t="s">
        <v>86</v>
      </c>
      <c r="G738" s="7" t="s">
        <v>66</v>
      </c>
      <c r="H738" s="7" t="n">
        <v>31</v>
      </c>
      <c r="I738" s="7" t="str">
        <f aca="false">IF(B738="",TRIM(C738),TRIM(B738))</f>
        <v>Niger, Revue du PEV 2001</v>
      </c>
      <c r="J738" s="7" t="str">
        <f aca="false">IF(ISNUMBER(SEARCH("Demographic and Health",I738)),"DHS",IF(OR(ISNUMBER(SEARCH("Multiple Indicator Cluster",I738)),ISNUMBER(SEARCH("MICS",I738))),"MICS","Other"))</f>
        <v>Other</v>
      </c>
      <c r="K738" s="7" t="n">
        <f aca="false">IF(AND(F738="Record or Recall",G738="12-23 m"),1,0)</f>
        <v>0</v>
      </c>
      <c r="L738" s="7" t="n">
        <f aca="false">IF(OR(J738="DHS",J738="MICS"),1,0)</f>
        <v>0</v>
      </c>
    </row>
    <row r="739" customFormat="false" ht="15" hidden="false" customHeight="false" outlineLevel="0" collapsed="false">
      <c r="A739" s="7" t="s">
        <v>374</v>
      </c>
      <c r="B739" s="7" t="s">
        <v>380</v>
      </c>
      <c r="C739" s="7" t="s">
        <v>381</v>
      </c>
      <c r="D739" s="7" t="n">
        <v>2005</v>
      </c>
      <c r="E739" s="7" t="s">
        <v>62</v>
      </c>
      <c r="F739" s="7" t="s">
        <v>78</v>
      </c>
      <c r="G739" s="7" t="s">
        <v>66</v>
      </c>
      <c r="H739" s="7" t="n">
        <v>60.6</v>
      </c>
      <c r="I739" s="7" t="str">
        <f aca="false">IF(B739="",TRIM(C739),TRIM(B739))</f>
        <v>Niger Demographic and Health and Multiple Indicator Cluster Survey, 2006</v>
      </c>
      <c r="J739" s="7" t="str">
        <f aca="false">IF(ISNUMBER(SEARCH("Demographic and Health",I739)),"DHS",IF(OR(ISNUMBER(SEARCH("Multiple Indicator Cluster",I739)),ISNUMBER(SEARCH("MICS",I739))),"MICS","Other"))</f>
        <v>DHS</v>
      </c>
      <c r="K739" s="7" t="n">
        <f aca="false">IF(AND(F739="Record or Recall",G739="12-23 m"),1,0)</f>
        <v>0</v>
      </c>
      <c r="L739" s="7" t="n">
        <f aca="false">IF(OR(J739="DHS",J739="MICS"),1,0)</f>
        <v>1</v>
      </c>
    </row>
    <row r="740" customFormat="false" ht="15" hidden="false" customHeight="false" outlineLevel="0" collapsed="false">
      <c r="A740" s="7" t="s">
        <v>374</v>
      </c>
      <c r="B740" s="7" t="s">
        <v>380</v>
      </c>
      <c r="C740" s="7" t="s">
        <v>381</v>
      </c>
      <c r="D740" s="7" t="n">
        <v>2005</v>
      </c>
      <c r="E740" s="7" t="s">
        <v>62</v>
      </c>
      <c r="F740" s="7" t="s">
        <v>86</v>
      </c>
      <c r="G740" s="7" t="s">
        <v>66</v>
      </c>
      <c r="H740" s="7" t="n">
        <v>41.3</v>
      </c>
      <c r="I740" s="7" t="str">
        <f aca="false">IF(B740="",TRIM(C740),TRIM(B740))</f>
        <v>Niger Demographic and Health and Multiple Indicator Cluster Survey, 2006</v>
      </c>
      <c r="J740" s="7" t="str">
        <f aca="false">IF(ISNUMBER(SEARCH("Demographic and Health",I740)),"DHS",IF(OR(ISNUMBER(SEARCH("Multiple Indicator Cluster",I740)),ISNUMBER(SEARCH("MICS",I740))),"MICS","Other"))</f>
        <v>DHS</v>
      </c>
      <c r="K740" s="7" t="n">
        <f aca="false">IF(AND(F740="Record or Recall",G740="12-23 m"),1,0)</f>
        <v>0</v>
      </c>
      <c r="L740" s="7" t="n">
        <f aca="false">IF(OR(J740="DHS",J740="MICS"),1,0)</f>
        <v>1</v>
      </c>
    </row>
    <row r="741" customFormat="false" ht="15" hidden="false" customHeight="false" outlineLevel="0" collapsed="false">
      <c r="A741" s="7" t="s">
        <v>374</v>
      </c>
      <c r="B741" s="7" t="s">
        <v>380</v>
      </c>
      <c r="C741" s="7" t="s">
        <v>381</v>
      </c>
      <c r="D741" s="7" t="n">
        <v>2005</v>
      </c>
      <c r="E741" s="7" t="s">
        <v>62</v>
      </c>
      <c r="F741" s="7" t="s">
        <v>63</v>
      </c>
      <c r="G741" s="7" t="s">
        <v>66</v>
      </c>
      <c r="H741" s="7" t="n">
        <v>63.6</v>
      </c>
      <c r="I741" s="7" t="str">
        <f aca="false">IF(B741="",TRIM(C741),TRIM(B741))</f>
        <v>Niger Demographic and Health and Multiple Indicator Cluster Survey, 2006</v>
      </c>
      <c r="J741" s="7" t="str">
        <f aca="false">IF(ISNUMBER(SEARCH("Demographic and Health",I741)),"DHS",IF(OR(ISNUMBER(SEARCH("Multiple Indicator Cluster",I741)),ISNUMBER(SEARCH("MICS",I741))),"MICS","Other"))</f>
        <v>DHS</v>
      </c>
      <c r="K741" s="7" t="n">
        <f aca="false">IF(AND(F741="Record or Recall",G741="12-23 m"),1,0)</f>
        <v>1</v>
      </c>
      <c r="L741" s="7" t="n">
        <f aca="false">IF(OR(J741="DHS",J741="MICS"),1,0)</f>
        <v>1</v>
      </c>
    </row>
    <row r="742" customFormat="false" ht="15" hidden="false" customHeight="false" outlineLevel="0" collapsed="false">
      <c r="A742" s="7" t="s">
        <v>374</v>
      </c>
      <c r="B742" s="7" t="s">
        <v>380</v>
      </c>
      <c r="C742" s="7" t="s">
        <v>381</v>
      </c>
      <c r="D742" s="7" t="n">
        <v>2005</v>
      </c>
      <c r="E742" s="7" t="s">
        <v>62</v>
      </c>
      <c r="F742" s="7" t="s">
        <v>87</v>
      </c>
      <c r="G742" s="7" t="s">
        <v>66</v>
      </c>
      <c r="H742" s="7" t="n">
        <v>22.4</v>
      </c>
      <c r="I742" s="7" t="str">
        <f aca="false">IF(B742="",TRIM(C742),TRIM(B742))</f>
        <v>Niger Demographic and Health and Multiple Indicator Cluster Survey, 2006</v>
      </c>
      <c r="J742" s="7" t="str">
        <f aca="false">IF(ISNUMBER(SEARCH("Demographic and Health",I742)),"DHS",IF(OR(ISNUMBER(SEARCH("Multiple Indicator Cluster",I742)),ISNUMBER(SEARCH("MICS",I742))),"MICS","Other"))</f>
        <v>DHS</v>
      </c>
      <c r="K742" s="7" t="n">
        <f aca="false">IF(AND(F742="Record or Recall",G742="12-23 m"),1,0)</f>
        <v>0</v>
      </c>
      <c r="L742" s="7" t="n">
        <f aca="false">IF(OR(J742="DHS",J742="MICS"),1,0)</f>
        <v>1</v>
      </c>
    </row>
    <row r="743" customFormat="false" ht="15" hidden="false" customHeight="false" outlineLevel="0" collapsed="false">
      <c r="A743" s="7" t="s">
        <v>374</v>
      </c>
      <c r="B743" s="7" t="s">
        <v>380</v>
      </c>
      <c r="C743" s="7" t="s">
        <v>381</v>
      </c>
      <c r="D743" s="7" t="n">
        <v>2005</v>
      </c>
      <c r="E743" s="7" t="s">
        <v>81</v>
      </c>
      <c r="F743" s="7" t="s">
        <v>78</v>
      </c>
      <c r="G743" s="7" t="s">
        <v>66</v>
      </c>
      <c r="H743" s="7" t="n">
        <v>56.2</v>
      </c>
      <c r="I743" s="7" t="str">
        <f aca="false">IF(B743="",TRIM(C743),TRIM(B743))</f>
        <v>Niger Demographic and Health and Multiple Indicator Cluster Survey, 2006</v>
      </c>
      <c r="J743" s="7" t="str">
        <f aca="false">IF(ISNUMBER(SEARCH("Demographic and Health",I743)),"DHS",IF(OR(ISNUMBER(SEARCH("Multiple Indicator Cluster",I743)),ISNUMBER(SEARCH("MICS",I743))),"MICS","Other"))</f>
        <v>DHS</v>
      </c>
      <c r="K743" s="7" t="n">
        <f aca="false">IF(AND(F743="Record or Recall",G743="12-23 m"),1,0)</f>
        <v>0</v>
      </c>
      <c r="L743" s="7" t="n">
        <f aca="false">IF(OR(J743="DHS",J743="MICS"),1,0)</f>
        <v>1</v>
      </c>
    </row>
    <row r="744" customFormat="false" ht="15" hidden="false" customHeight="false" outlineLevel="0" collapsed="false">
      <c r="A744" s="7" t="s">
        <v>374</v>
      </c>
      <c r="B744" s="7" t="s">
        <v>380</v>
      </c>
      <c r="C744" s="7" t="s">
        <v>381</v>
      </c>
      <c r="D744" s="7" t="n">
        <v>2005</v>
      </c>
      <c r="E744" s="7" t="s">
        <v>81</v>
      </c>
      <c r="F744" s="7" t="s">
        <v>86</v>
      </c>
      <c r="G744" s="7" t="s">
        <v>66</v>
      </c>
      <c r="H744" s="7" t="n">
        <v>40.9</v>
      </c>
      <c r="I744" s="7" t="str">
        <f aca="false">IF(B744="",TRIM(C744),TRIM(B744))</f>
        <v>Niger Demographic and Health and Multiple Indicator Cluster Survey, 2006</v>
      </c>
      <c r="J744" s="7" t="str">
        <f aca="false">IF(ISNUMBER(SEARCH("Demographic and Health",I744)),"DHS",IF(OR(ISNUMBER(SEARCH("Multiple Indicator Cluster",I744)),ISNUMBER(SEARCH("MICS",I744))),"MICS","Other"))</f>
        <v>DHS</v>
      </c>
      <c r="K744" s="7" t="n">
        <f aca="false">IF(AND(F744="Record or Recall",G744="12-23 m"),1,0)</f>
        <v>0</v>
      </c>
      <c r="L744" s="7" t="n">
        <f aca="false">IF(OR(J744="DHS",J744="MICS"),1,0)</f>
        <v>1</v>
      </c>
    </row>
    <row r="745" customFormat="false" ht="15" hidden="false" customHeight="false" outlineLevel="0" collapsed="false">
      <c r="A745" s="7" t="s">
        <v>374</v>
      </c>
      <c r="B745" s="7" t="s">
        <v>380</v>
      </c>
      <c r="C745" s="7" t="s">
        <v>381</v>
      </c>
      <c r="D745" s="7" t="n">
        <v>2005</v>
      </c>
      <c r="E745" s="7" t="s">
        <v>81</v>
      </c>
      <c r="F745" s="7" t="s">
        <v>63</v>
      </c>
      <c r="G745" s="7" t="s">
        <v>66</v>
      </c>
      <c r="H745" s="7" t="n">
        <v>58.4</v>
      </c>
      <c r="I745" s="7" t="str">
        <f aca="false">IF(B745="",TRIM(C745),TRIM(B745))</f>
        <v>Niger Demographic and Health and Multiple Indicator Cluster Survey, 2006</v>
      </c>
      <c r="J745" s="7" t="str">
        <f aca="false">IF(ISNUMBER(SEARCH("Demographic and Health",I745)),"DHS",IF(OR(ISNUMBER(SEARCH("Multiple Indicator Cluster",I745)),ISNUMBER(SEARCH("MICS",I745))),"MICS","Other"))</f>
        <v>DHS</v>
      </c>
      <c r="K745" s="7" t="n">
        <f aca="false">IF(AND(F745="Record or Recall",G745="12-23 m"),1,0)</f>
        <v>1</v>
      </c>
      <c r="L745" s="7" t="n">
        <f aca="false">IF(OR(J745="DHS",J745="MICS"),1,0)</f>
        <v>1</v>
      </c>
    </row>
    <row r="746" customFormat="false" ht="15" hidden="false" customHeight="false" outlineLevel="0" collapsed="false">
      <c r="A746" s="7" t="s">
        <v>374</v>
      </c>
      <c r="B746" s="7" t="s">
        <v>380</v>
      </c>
      <c r="C746" s="7" t="s">
        <v>381</v>
      </c>
      <c r="D746" s="7" t="n">
        <v>2005</v>
      </c>
      <c r="E746" s="7" t="s">
        <v>81</v>
      </c>
      <c r="F746" s="7" t="s">
        <v>87</v>
      </c>
      <c r="G746" s="7" t="s">
        <v>66</v>
      </c>
      <c r="H746" s="7" t="n">
        <v>17.4</v>
      </c>
      <c r="I746" s="7" t="str">
        <f aca="false">IF(B746="",TRIM(C746),TRIM(B746))</f>
        <v>Niger Demographic and Health and Multiple Indicator Cluster Survey, 2006</v>
      </c>
      <c r="J746" s="7" t="str">
        <f aca="false">IF(ISNUMBER(SEARCH("Demographic and Health",I746)),"DHS",IF(OR(ISNUMBER(SEARCH("Multiple Indicator Cluster",I746)),ISNUMBER(SEARCH("MICS",I746))),"MICS","Other"))</f>
        <v>DHS</v>
      </c>
      <c r="K746" s="7" t="n">
        <f aca="false">IF(AND(F746="Record or Recall",G746="12-23 m"),1,0)</f>
        <v>0</v>
      </c>
      <c r="L746" s="7" t="n">
        <f aca="false">IF(OR(J746="DHS",J746="MICS"),1,0)</f>
        <v>1</v>
      </c>
    </row>
    <row r="747" customFormat="false" ht="15" hidden="false" customHeight="false" outlineLevel="0" collapsed="false">
      <c r="A747" s="7" t="s">
        <v>374</v>
      </c>
      <c r="B747" s="7" t="s">
        <v>380</v>
      </c>
      <c r="C747" s="7" t="s">
        <v>381</v>
      </c>
      <c r="D747" s="7" t="n">
        <v>2005</v>
      </c>
      <c r="E747" s="7" t="s">
        <v>67</v>
      </c>
      <c r="F747" s="7" t="s">
        <v>78</v>
      </c>
      <c r="G747" s="7" t="s">
        <v>66</v>
      </c>
      <c r="H747" s="7" t="n">
        <v>34.7</v>
      </c>
      <c r="I747" s="7" t="str">
        <f aca="false">IF(B747="",TRIM(C747),TRIM(B747))</f>
        <v>Niger Demographic and Health and Multiple Indicator Cluster Survey, 2006</v>
      </c>
      <c r="J747" s="7" t="str">
        <f aca="false">IF(ISNUMBER(SEARCH("Demographic and Health",I747)),"DHS",IF(OR(ISNUMBER(SEARCH("Multiple Indicator Cluster",I747)),ISNUMBER(SEARCH("MICS",I747))),"MICS","Other"))</f>
        <v>DHS</v>
      </c>
      <c r="K747" s="7" t="n">
        <f aca="false">IF(AND(F747="Record or Recall",G747="12-23 m"),1,0)</f>
        <v>0</v>
      </c>
      <c r="L747" s="7" t="n">
        <f aca="false">IF(OR(J747="DHS",J747="MICS"),1,0)</f>
        <v>1</v>
      </c>
    </row>
    <row r="748" customFormat="false" ht="15" hidden="false" customHeight="false" outlineLevel="0" collapsed="false">
      <c r="A748" s="7" t="s">
        <v>374</v>
      </c>
      <c r="B748" s="7" t="s">
        <v>380</v>
      </c>
      <c r="C748" s="7" t="s">
        <v>381</v>
      </c>
      <c r="D748" s="7" t="n">
        <v>2005</v>
      </c>
      <c r="E748" s="7" t="s">
        <v>67</v>
      </c>
      <c r="F748" s="7" t="s">
        <v>86</v>
      </c>
      <c r="G748" s="7" t="s">
        <v>66</v>
      </c>
      <c r="H748" s="7" t="n">
        <v>32.4</v>
      </c>
      <c r="I748" s="7" t="str">
        <f aca="false">IF(B748="",TRIM(C748),TRIM(B748))</f>
        <v>Niger Demographic and Health and Multiple Indicator Cluster Survey, 2006</v>
      </c>
      <c r="J748" s="7" t="str">
        <f aca="false">IF(ISNUMBER(SEARCH("Demographic and Health",I748)),"DHS",IF(OR(ISNUMBER(SEARCH("Multiple Indicator Cluster",I748)),ISNUMBER(SEARCH("MICS",I748))),"MICS","Other"))</f>
        <v>DHS</v>
      </c>
      <c r="K748" s="7" t="n">
        <f aca="false">IF(AND(F748="Record or Recall",G748="12-23 m"),1,0)</f>
        <v>0</v>
      </c>
      <c r="L748" s="7" t="n">
        <f aca="false">IF(OR(J748="DHS",J748="MICS"),1,0)</f>
        <v>1</v>
      </c>
    </row>
    <row r="749" customFormat="false" ht="15" hidden="false" customHeight="false" outlineLevel="0" collapsed="false">
      <c r="A749" s="7" t="s">
        <v>374</v>
      </c>
      <c r="B749" s="7" t="s">
        <v>380</v>
      </c>
      <c r="C749" s="7" t="s">
        <v>381</v>
      </c>
      <c r="D749" s="7" t="n">
        <v>2005</v>
      </c>
      <c r="E749" s="7" t="s">
        <v>67</v>
      </c>
      <c r="F749" s="7" t="s">
        <v>63</v>
      </c>
      <c r="G749" s="7" t="s">
        <v>66</v>
      </c>
      <c r="H749" s="7" t="n">
        <v>39.3</v>
      </c>
      <c r="I749" s="7" t="str">
        <f aca="false">IF(B749="",TRIM(C749),TRIM(B749))</f>
        <v>Niger Demographic and Health and Multiple Indicator Cluster Survey, 2006</v>
      </c>
      <c r="J749" s="7" t="str">
        <f aca="false">IF(ISNUMBER(SEARCH("Demographic and Health",I749)),"DHS",IF(OR(ISNUMBER(SEARCH("Multiple Indicator Cluster",I749)),ISNUMBER(SEARCH("MICS",I749))),"MICS","Other"))</f>
        <v>DHS</v>
      </c>
      <c r="K749" s="7" t="n">
        <f aca="false">IF(AND(F749="Record or Recall",G749="12-23 m"),1,0)</f>
        <v>1</v>
      </c>
      <c r="L749" s="7" t="n">
        <f aca="false">IF(OR(J749="DHS",J749="MICS"),1,0)</f>
        <v>1</v>
      </c>
    </row>
    <row r="750" customFormat="false" ht="15" hidden="false" customHeight="false" outlineLevel="0" collapsed="false">
      <c r="A750" s="7" t="s">
        <v>374</v>
      </c>
      <c r="B750" s="7" t="s">
        <v>380</v>
      </c>
      <c r="C750" s="7" t="s">
        <v>381</v>
      </c>
      <c r="D750" s="7" t="n">
        <v>2005</v>
      </c>
      <c r="E750" s="7" t="s">
        <v>67</v>
      </c>
      <c r="F750" s="7" t="s">
        <v>87</v>
      </c>
      <c r="G750" s="7" t="s">
        <v>66</v>
      </c>
      <c r="H750" s="7" t="n">
        <v>6.8</v>
      </c>
      <c r="I750" s="7" t="str">
        <f aca="false">IF(B750="",TRIM(C750),TRIM(B750))</f>
        <v>Niger Demographic and Health and Multiple Indicator Cluster Survey, 2006</v>
      </c>
      <c r="J750" s="7" t="str">
        <f aca="false">IF(ISNUMBER(SEARCH("Demographic and Health",I750)),"DHS",IF(OR(ISNUMBER(SEARCH("Multiple Indicator Cluster",I750)),ISNUMBER(SEARCH("MICS",I750))),"MICS","Other"))</f>
        <v>DHS</v>
      </c>
      <c r="K750" s="7" t="n">
        <f aca="false">IF(AND(F750="Record or Recall",G750="12-23 m"),1,0)</f>
        <v>0</v>
      </c>
      <c r="L750" s="7" t="n">
        <f aca="false">IF(OR(J750="DHS",J750="MICS"),1,0)</f>
        <v>1</v>
      </c>
    </row>
    <row r="751" customFormat="false" ht="15" hidden="false" customHeight="false" outlineLevel="0" collapsed="false">
      <c r="A751" s="7" t="s">
        <v>374</v>
      </c>
      <c r="B751" s="7" t="s">
        <v>380</v>
      </c>
      <c r="C751" s="7" t="s">
        <v>381</v>
      </c>
      <c r="D751" s="7" t="n">
        <v>2005</v>
      </c>
      <c r="E751" s="7" t="s">
        <v>82</v>
      </c>
      <c r="F751" s="7" t="s">
        <v>78</v>
      </c>
      <c r="G751" s="7" t="s">
        <v>66</v>
      </c>
      <c r="H751" s="7" t="n">
        <v>19.4</v>
      </c>
      <c r="I751" s="7" t="str">
        <f aca="false">IF(B751="",TRIM(C751),TRIM(B751))</f>
        <v>Niger Demographic and Health and Multiple Indicator Cluster Survey, 2006</v>
      </c>
      <c r="J751" s="7" t="str">
        <f aca="false">IF(ISNUMBER(SEARCH("Demographic and Health",I751)),"DHS",IF(OR(ISNUMBER(SEARCH("Multiple Indicator Cluster",I751)),ISNUMBER(SEARCH("MICS",I751))),"MICS","Other"))</f>
        <v>DHS</v>
      </c>
      <c r="K751" s="7" t="n">
        <f aca="false">IF(AND(F751="Record or Recall",G751="12-23 m"),1,0)</f>
        <v>0</v>
      </c>
      <c r="L751" s="7" t="n">
        <f aca="false">IF(OR(J751="DHS",J751="MICS"),1,0)</f>
        <v>1</v>
      </c>
    </row>
    <row r="752" customFormat="false" ht="15" hidden="false" customHeight="false" outlineLevel="0" collapsed="false">
      <c r="A752" s="7" t="s">
        <v>374</v>
      </c>
      <c r="B752" s="7" t="s">
        <v>380</v>
      </c>
      <c r="C752" s="7" t="s">
        <v>381</v>
      </c>
      <c r="D752" s="7" t="n">
        <v>2005</v>
      </c>
      <c r="E752" s="7" t="s">
        <v>82</v>
      </c>
      <c r="F752" s="7" t="s">
        <v>86</v>
      </c>
      <c r="G752" s="7" t="s">
        <v>66</v>
      </c>
      <c r="H752" s="7" t="n">
        <v>0</v>
      </c>
      <c r="I752" s="7" t="str">
        <f aca="false">IF(B752="",TRIM(C752),TRIM(B752))</f>
        <v>Niger Demographic and Health and Multiple Indicator Cluster Survey, 2006</v>
      </c>
      <c r="J752" s="7" t="str">
        <f aca="false">IF(ISNUMBER(SEARCH("Demographic and Health",I752)),"DHS",IF(OR(ISNUMBER(SEARCH("Multiple Indicator Cluster",I752)),ISNUMBER(SEARCH("MICS",I752))),"MICS","Other"))</f>
        <v>DHS</v>
      </c>
      <c r="K752" s="7" t="n">
        <f aca="false">IF(AND(F752="Record or Recall",G752="12-23 m"),1,0)</f>
        <v>0</v>
      </c>
      <c r="L752" s="7" t="n">
        <f aca="false">IF(OR(J752="DHS",J752="MICS"),1,0)</f>
        <v>1</v>
      </c>
    </row>
    <row r="753" customFormat="false" ht="15" hidden="false" customHeight="false" outlineLevel="0" collapsed="false">
      <c r="A753" s="7" t="s">
        <v>374</v>
      </c>
      <c r="B753" s="7" t="s">
        <v>380</v>
      </c>
      <c r="C753" s="7" t="s">
        <v>381</v>
      </c>
      <c r="D753" s="7" t="n">
        <v>2005</v>
      </c>
      <c r="E753" s="7" t="s">
        <v>82</v>
      </c>
      <c r="F753" s="7" t="s">
        <v>63</v>
      </c>
      <c r="G753" s="7" t="s">
        <v>66</v>
      </c>
      <c r="H753" s="7" t="n">
        <v>16.2</v>
      </c>
      <c r="I753" s="7" t="str">
        <f aca="false">IF(B753="",TRIM(C753),TRIM(B753))</f>
        <v>Niger Demographic and Health and Multiple Indicator Cluster Survey, 2006</v>
      </c>
      <c r="J753" s="7" t="str">
        <f aca="false">IF(ISNUMBER(SEARCH("Demographic and Health",I753)),"DHS",IF(OR(ISNUMBER(SEARCH("Multiple Indicator Cluster",I753)),ISNUMBER(SEARCH("MICS",I753))),"MICS","Other"))</f>
        <v>DHS</v>
      </c>
      <c r="K753" s="7" t="n">
        <f aca="false">IF(AND(F753="Record or Recall",G753="12-23 m"),1,0)</f>
        <v>1</v>
      </c>
      <c r="L753" s="7" t="n">
        <f aca="false">IF(OR(J753="DHS",J753="MICS"),1,0)</f>
        <v>1</v>
      </c>
    </row>
    <row r="754" customFormat="false" ht="15" hidden="false" customHeight="false" outlineLevel="0" collapsed="false">
      <c r="A754" s="7" t="s">
        <v>374</v>
      </c>
      <c r="B754" s="7" t="s">
        <v>380</v>
      </c>
      <c r="C754" s="7" t="s">
        <v>381</v>
      </c>
      <c r="D754" s="7" t="n">
        <v>2005</v>
      </c>
      <c r="E754" s="7" t="s">
        <v>82</v>
      </c>
      <c r="F754" s="7" t="s">
        <v>87</v>
      </c>
      <c r="G754" s="7" t="s">
        <v>66</v>
      </c>
      <c r="H754" s="7" t="n">
        <v>16.2</v>
      </c>
      <c r="I754" s="7" t="str">
        <f aca="false">IF(B754="",TRIM(C754),TRIM(B754))</f>
        <v>Niger Demographic and Health and Multiple Indicator Cluster Survey, 2006</v>
      </c>
      <c r="J754" s="7" t="str">
        <f aca="false">IF(ISNUMBER(SEARCH("Demographic and Health",I754)),"DHS",IF(OR(ISNUMBER(SEARCH("Multiple Indicator Cluster",I754)),ISNUMBER(SEARCH("MICS",I754))),"MICS","Other"))</f>
        <v>DHS</v>
      </c>
      <c r="K754" s="7" t="n">
        <f aca="false">IF(AND(F754="Record or Recall",G754="12-23 m"),1,0)</f>
        <v>0</v>
      </c>
      <c r="L754" s="7" t="n">
        <f aca="false">IF(OR(J754="DHS",J754="MICS"),1,0)</f>
        <v>1</v>
      </c>
    </row>
    <row r="755" customFormat="false" ht="15" hidden="false" customHeight="false" outlineLevel="0" collapsed="false">
      <c r="A755" s="7" t="s">
        <v>374</v>
      </c>
      <c r="B755" s="7" t="s">
        <v>380</v>
      </c>
      <c r="C755" s="7" t="s">
        <v>381</v>
      </c>
      <c r="D755" s="7" t="n">
        <v>2005</v>
      </c>
      <c r="E755" s="7" t="s">
        <v>68</v>
      </c>
      <c r="F755" s="7" t="s">
        <v>78</v>
      </c>
      <c r="G755" s="7" t="s">
        <v>66</v>
      </c>
      <c r="H755" s="7" t="n">
        <v>38.3</v>
      </c>
      <c r="I755" s="7" t="str">
        <f aca="false">IF(B755="",TRIM(C755),TRIM(B755))</f>
        <v>Niger Demographic and Health and Multiple Indicator Cluster Survey, 2006</v>
      </c>
      <c r="J755" s="7" t="str">
        <f aca="false">IF(ISNUMBER(SEARCH("Demographic and Health",I755)),"DHS",IF(OR(ISNUMBER(SEARCH("Multiple Indicator Cluster",I755)),ISNUMBER(SEARCH("MICS",I755))),"MICS","Other"))</f>
        <v>DHS</v>
      </c>
      <c r="K755" s="7" t="n">
        <f aca="false">IF(AND(F755="Record or Recall",G755="12-23 m"),1,0)</f>
        <v>0</v>
      </c>
      <c r="L755" s="7" t="n">
        <f aca="false">IF(OR(J755="DHS",J755="MICS"),1,0)</f>
        <v>1</v>
      </c>
    </row>
    <row r="756" customFormat="false" ht="15" hidden="false" customHeight="false" outlineLevel="0" collapsed="false">
      <c r="A756" s="7" t="s">
        <v>374</v>
      </c>
      <c r="B756" s="7" t="s">
        <v>380</v>
      </c>
      <c r="C756" s="7" t="s">
        <v>381</v>
      </c>
      <c r="D756" s="7" t="n">
        <v>2005</v>
      </c>
      <c r="E756" s="7" t="s">
        <v>68</v>
      </c>
      <c r="F756" s="7" t="s">
        <v>86</v>
      </c>
      <c r="G756" s="7" t="s">
        <v>66</v>
      </c>
      <c r="H756" s="7" t="n">
        <v>32.4</v>
      </c>
      <c r="I756" s="7" t="str">
        <f aca="false">IF(B756="",TRIM(C756),TRIM(B756))</f>
        <v>Niger Demographic and Health and Multiple Indicator Cluster Survey, 2006</v>
      </c>
      <c r="J756" s="7" t="str">
        <f aca="false">IF(ISNUMBER(SEARCH("Demographic and Health",I756)),"DHS",IF(OR(ISNUMBER(SEARCH("Multiple Indicator Cluster",I756)),ISNUMBER(SEARCH("MICS",I756))),"MICS","Other"))</f>
        <v>DHS</v>
      </c>
      <c r="K756" s="7" t="n">
        <f aca="false">IF(AND(F756="Record or Recall",G756="12-23 m"),1,0)</f>
        <v>0</v>
      </c>
      <c r="L756" s="7" t="n">
        <f aca="false">IF(OR(J756="DHS",J756="MICS"),1,0)</f>
        <v>1</v>
      </c>
    </row>
    <row r="757" customFormat="false" ht="15" hidden="false" customHeight="false" outlineLevel="0" collapsed="false">
      <c r="A757" s="7" t="s">
        <v>374</v>
      </c>
      <c r="B757" s="7" t="s">
        <v>380</v>
      </c>
      <c r="C757" s="7" t="s">
        <v>381</v>
      </c>
      <c r="D757" s="7" t="n">
        <v>2005</v>
      </c>
      <c r="E757" s="7" t="s">
        <v>68</v>
      </c>
      <c r="F757" s="7" t="s">
        <v>63</v>
      </c>
      <c r="G757" s="7" t="s">
        <v>66</v>
      </c>
      <c r="H757" s="7" t="n">
        <v>47</v>
      </c>
      <c r="I757" s="7" t="str">
        <f aca="false">IF(B757="",TRIM(C757),TRIM(B757))</f>
        <v>Niger Demographic and Health and Multiple Indicator Cluster Survey, 2006</v>
      </c>
      <c r="J757" s="7" t="str">
        <f aca="false">IF(ISNUMBER(SEARCH("Demographic and Health",I757)),"DHS",IF(OR(ISNUMBER(SEARCH("Multiple Indicator Cluster",I757)),ISNUMBER(SEARCH("MICS",I757))),"MICS","Other"))</f>
        <v>DHS</v>
      </c>
      <c r="K757" s="7" t="n">
        <f aca="false">IF(AND(F757="Record or Recall",G757="12-23 m"),1,0)</f>
        <v>1</v>
      </c>
      <c r="L757" s="7" t="n">
        <f aca="false">IF(OR(J757="DHS",J757="MICS"),1,0)</f>
        <v>1</v>
      </c>
    </row>
    <row r="758" customFormat="false" ht="15" hidden="false" customHeight="false" outlineLevel="0" collapsed="false">
      <c r="A758" s="7" t="s">
        <v>374</v>
      </c>
      <c r="B758" s="7" t="s">
        <v>380</v>
      </c>
      <c r="C758" s="7" t="s">
        <v>381</v>
      </c>
      <c r="D758" s="7" t="n">
        <v>2005</v>
      </c>
      <c r="E758" s="7" t="s">
        <v>68</v>
      </c>
      <c r="F758" s="7" t="s">
        <v>87</v>
      </c>
      <c r="G758" s="7" t="s">
        <v>66</v>
      </c>
      <c r="H758" s="7" t="n">
        <v>14.6</v>
      </c>
      <c r="I758" s="7" t="str">
        <f aca="false">IF(B758="",TRIM(C758),TRIM(B758))</f>
        <v>Niger Demographic and Health and Multiple Indicator Cluster Survey, 2006</v>
      </c>
      <c r="J758" s="7" t="str">
        <f aca="false">IF(ISNUMBER(SEARCH("Demographic and Health",I758)),"DHS",IF(OR(ISNUMBER(SEARCH("Multiple Indicator Cluster",I758)),ISNUMBER(SEARCH("MICS",I758))),"MICS","Other"))</f>
        <v>DHS</v>
      </c>
      <c r="K758" s="7" t="n">
        <f aca="false">IF(AND(F758="Record or Recall",G758="12-23 m"),1,0)</f>
        <v>0</v>
      </c>
      <c r="L758" s="7" t="n">
        <f aca="false">IF(OR(J758="DHS",J758="MICS"),1,0)</f>
        <v>1</v>
      </c>
    </row>
    <row r="759" customFormat="false" ht="15" hidden="false" customHeight="false" outlineLevel="0" collapsed="false">
      <c r="A759" s="7" t="s">
        <v>374</v>
      </c>
      <c r="B759" s="7" t="s">
        <v>380</v>
      </c>
      <c r="C759" s="7" t="s">
        <v>381</v>
      </c>
      <c r="D759" s="7" t="n">
        <v>2005</v>
      </c>
      <c r="E759" s="7" t="s">
        <v>69</v>
      </c>
      <c r="F759" s="7" t="s">
        <v>78</v>
      </c>
      <c r="G759" s="7" t="s">
        <v>66</v>
      </c>
      <c r="H759" s="7" t="n">
        <v>48.7</v>
      </c>
      <c r="I759" s="7" t="str">
        <f aca="false">IF(B759="",TRIM(C759),TRIM(B759))</f>
        <v>Niger Demographic and Health and Multiple Indicator Cluster Survey, 2006</v>
      </c>
      <c r="J759" s="7" t="str">
        <f aca="false">IF(ISNUMBER(SEARCH("Demographic and Health",I759)),"DHS",IF(OR(ISNUMBER(SEARCH("Multiple Indicator Cluster",I759)),ISNUMBER(SEARCH("MICS",I759))),"MICS","Other"))</f>
        <v>DHS</v>
      </c>
      <c r="K759" s="7" t="n">
        <f aca="false">IF(AND(F759="Record or Recall",G759="12-23 m"),1,0)</f>
        <v>0</v>
      </c>
      <c r="L759" s="7" t="n">
        <f aca="false">IF(OR(J759="DHS",J759="MICS"),1,0)</f>
        <v>1</v>
      </c>
    </row>
    <row r="760" customFormat="false" ht="15" hidden="false" customHeight="false" outlineLevel="0" collapsed="false">
      <c r="A760" s="7" t="s">
        <v>374</v>
      </c>
      <c r="B760" s="7" t="s">
        <v>380</v>
      </c>
      <c r="C760" s="7" t="s">
        <v>381</v>
      </c>
      <c r="D760" s="7" t="n">
        <v>2005</v>
      </c>
      <c r="E760" s="7" t="s">
        <v>69</v>
      </c>
      <c r="F760" s="7" t="s">
        <v>86</v>
      </c>
      <c r="G760" s="7" t="s">
        <v>66</v>
      </c>
      <c r="H760" s="7" t="n">
        <v>32.6</v>
      </c>
      <c r="I760" s="7" t="str">
        <f aca="false">IF(B760="",TRIM(C760),TRIM(B760))</f>
        <v>Niger Demographic and Health and Multiple Indicator Cluster Survey, 2006</v>
      </c>
      <c r="J760" s="7" t="str">
        <f aca="false">IF(ISNUMBER(SEARCH("Demographic and Health",I760)),"DHS",IF(OR(ISNUMBER(SEARCH("Multiple Indicator Cluster",I760)),ISNUMBER(SEARCH("MICS",I760))),"MICS","Other"))</f>
        <v>DHS</v>
      </c>
      <c r="K760" s="7" t="n">
        <f aca="false">IF(AND(F760="Record or Recall",G760="12-23 m"),1,0)</f>
        <v>0</v>
      </c>
      <c r="L760" s="7" t="n">
        <f aca="false">IF(OR(J760="DHS",J760="MICS"),1,0)</f>
        <v>1</v>
      </c>
    </row>
    <row r="761" customFormat="false" ht="15" hidden="false" customHeight="false" outlineLevel="0" collapsed="false">
      <c r="A761" s="7" t="s">
        <v>374</v>
      </c>
      <c r="B761" s="7" t="s">
        <v>380</v>
      </c>
      <c r="C761" s="7" t="s">
        <v>381</v>
      </c>
      <c r="D761" s="7" t="n">
        <v>2005</v>
      </c>
      <c r="E761" s="7" t="s">
        <v>69</v>
      </c>
      <c r="F761" s="7" t="s">
        <v>63</v>
      </c>
      <c r="G761" s="7" t="s">
        <v>66</v>
      </c>
      <c r="H761" s="7" t="n">
        <v>54.6</v>
      </c>
      <c r="I761" s="7" t="str">
        <f aca="false">IF(B761="",TRIM(C761),TRIM(B761))</f>
        <v>Niger Demographic and Health and Multiple Indicator Cluster Survey, 2006</v>
      </c>
      <c r="J761" s="7" t="str">
        <f aca="false">IF(ISNUMBER(SEARCH("Demographic and Health",I761)),"DHS",IF(OR(ISNUMBER(SEARCH("Multiple Indicator Cluster",I761)),ISNUMBER(SEARCH("MICS",I761))),"MICS","Other"))</f>
        <v>DHS</v>
      </c>
      <c r="K761" s="7" t="n">
        <f aca="false">IF(AND(F761="Record or Recall",G761="12-23 m"),1,0)</f>
        <v>1</v>
      </c>
      <c r="L761" s="7" t="n">
        <f aca="false">IF(OR(J761="DHS",J761="MICS"),1,0)</f>
        <v>1</v>
      </c>
    </row>
    <row r="762" customFormat="false" ht="15" hidden="false" customHeight="false" outlineLevel="0" collapsed="false">
      <c r="A762" s="7" t="s">
        <v>374</v>
      </c>
      <c r="B762" s="7" t="s">
        <v>380</v>
      </c>
      <c r="C762" s="7" t="s">
        <v>381</v>
      </c>
      <c r="D762" s="7" t="n">
        <v>2005</v>
      </c>
      <c r="E762" s="7" t="s">
        <v>69</v>
      </c>
      <c r="F762" s="7" t="s">
        <v>87</v>
      </c>
      <c r="G762" s="7" t="s">
        <v>66</v>
      </c>
      <c r="H762" s="7" t="n">
        <v>22</v>
      </c>
      <c r="I762" s="7" t="str">
        <f aca="false">IF(B762="",TRIM(C762),TRIM(B762))</f>
        <v>Niger Demographic and Health and Multiple Indicator Cluster Survey, 2006</v>
      </c>
      <c r="J762" s="7" t="str">
        <f aca="false">IF(ISNUMBER(SEARCH("Demographic and Health",I762)),"DHS",IF(OR(ISNUMBER(SEARCH("Multiple Indicator Cluster",I762)),ISNUMBER(SEARCH("MICS",I762))),"MICS","Other"))</f>
        <v>DHS</v>
      </c>
      <c r="K762" s="7" t="n">
        <f aca="false">IF(AND(F762="Record or Recall",G762="12-23 m"),1,0)</f>
        <v>0</v>
      </c>
      <c r="L762" s="7" t="n">
        <f aca="false">IF(OR(J762="DHS",J762="MICS"),1,0)</f>
        <v>1</v>
      </c>
    </row>
    <row r="763" customFormat="false" ht="15" hidden="false" customHeight="false" outlineLevel="0" collapsed="false">
      <c r="A763" s="7" t="s">
        <v>374</v>
      </c>
      <c r="B763" s="7" t="s">
        <v>382</v>
      </c>
      <c r="C763" s="7" t="s">
        <v>383</v>
      </c>
      <c r="D763" s="7" t="n">
        <v>2007</v>
      </c>
      <c r="E763" s="7" t="s">
        <v>81</v>
      </c>
      <c r="F763" s="7" t="s">
        <v>86</v>
      </c>
      <c r="G763" s="7" t="s">
        <v>66</v>
      </c>
      <c r="H763" s="7" t="n">
        <v>43.9</v>
      </c>
      <c r="I763" s="7" t="str">
        <f aca="false">IF(B763="",TRIM(C763),TRIM(B763))</f>
        <v>Niger National Nutrition and Child Survival Survey, June-July 2008</v>
      </c>
      <c r="J763" s="7" t="str">
        <f aca="false">IF(ISNUMBER(SEARCH("Demographic and Health",I763)),"DHS",IF(OR(ISNUMBER(SEARCH("Multiple Indicator Cluster",I763)),ISNUMBER(SEARCH("MICS",I763))),"MICS","Other"))</f>
        <v>Other</v>
      </c>
      <c r="K763" s="7" t="n">
        <f aca="false">IF(AND(F763="Record or Recall",G763="12-23 m"),1,0)</f>
        <v>0</v>
      </c>
      <c r="L763" s="7" t="n">
        <f aca="false">IF(OR(J763="DHS",J763="MICS"),1,0)</f>
        <v>0</v>
      </c>
    </row>
    <row r="764" customFormat="false" ht="15" hidden="false" customHeight="false" outlineLevel="0" collapsed="false">
      <c r="A764" s="7" t="s">
        <v>374</v>
      </c>
      <c r="B764" s="7" t="s">
        <v>382</v>
      </c>
      <c r="C764" s="7" t="s">
        <v>383</v>
      </c>
      <c r="D764" s="7" t="n">
        <v>2007</v>
      </c>
      <c r="E764" s="7" t="s">
        <v>81</v>
      </c>
      <c r="F764" s="7" t="s">
        <v>63</v>
      </c>
      <c r="G764" s="7" t="s">
        <v>66</v>
      </c>
      <c r="H764" s="7" t="n">
        <v>68.5</v>
      </c>
      <c r="I764" s="7" t="str">
        <f aca="false">IF(B764="",TRIM(C764),TRIM(B764))</f>
        <v>Niger National Nutrition and Child Survival Survey, June-July 2008</v>
      </c>
      <c r="J764" s="7" t="str">
        <f aca="false">IF(ISNUMBER(SEARCH("Demographic and Health",I764)),"DHS",IF(OR(ISNUMBER(SEARCH("Multiple Indicator Cluster",I764)),ISNUMBER(SEARCH("MICS",I764))),"MICS","Other"))</f>
        <v>Other</v>
      </c>
      <c r="K764" s="7" t="n">
        <f aca="false">IF(AND(F764="Record or Recall",G764="12-23 m"),1,0)</f>
        <v>1</v>
      </c>
      <c r="L764" s="7" t="n">
        <f aca="false">IF(OR(J764="DHS",J764="MICS"),1,0)</f>
        <v>0</v>
      </c>
    </row>
    <row r="765" customFormat="false" ht="15" hidden="false" customHeight="false" outlineLevel="0" collapsed="false">
      <c r="A765" s="7" t="s">
        <v>374</v>
      </c>
      <c r="B765" s="7" t="s">
        <v>382</v>
      </c>
      <c r="C765" s="7" t="s">
        <v>383</v>
      </c>
      <c r="D765" s="7" t="n">
        <v>2007</v>
      </c>
      <c r="E765" s="7" t="s">
        <v>81</v>
      </c>
      <c r="F765" s="7" t="s">
        <v>87</v>
      </c>
      <c r="G765" s="7" t="s">
        <v>66</v>
      </c>
      <c r="H765" s="7" t="n">
        <v>24.6</v>
      </c>
      <c r="I765" s="7" t="str">
        <f aca="false">IF(B765="",TRIM(C765),TRIM(B765))</f>
        <v>Niger National Nutrition and Child Survival Survey, June-July 2008</v>
      </c>
      <c r="J765" s="7" t="str">
        <f aca="false">IF(ISNUMBER(SEARCH("Demographic and Health",I765)),"DHS",IF(OR(ISNUMBER(SEARCH("Multiple Indicator Cluster",I765)),ISNUMBER(SEARCH("MICS",I765))),"MICS","Other"))</f>
        <v>Other</v>
      </c>
      <c r="K765" s="7" t="n">
        <f aca="false">IF(AND(F765="Record or Recall",G765="12-23 m"),1,0)</f>
        <v>0</v>
      </c>
      <c r="L765" s="7" t="n">
        <f aca="false">IF(OR(J765="DHS",J765="MICS"),1,0)</f>
        <v>0</v>
      </c>
    </row>
    <row r="766" customFormat="false" ht="15" hidden="false" customHeight="false" outlineLevel="0" collapsed="false">
      <c r="A766" s="7" t="s">
        <v>374</v>
      </c>
      <c r="B766" s="7" t="s">
        <v>382</v>
      </c>
      <c r="C766" s="7" t="s">
        <v>383</v>
      </c>
      <c r="D766" s="7" t="n">
        <v>2007</v>
      </c>
      <c r="E766" s="7" t="s">
        <v>67</v>
      </c>
      <c r="F766" s="7" t="s">
        <v>86</v>
      </c>
      <c r="G766" s="7" t="s">
        <v>66</v>
      </c>
      <c r="H766" s="7" t="n">
        <v>37.1</v>
      </c>
      <c r="I766" s="7" t="str">
        <f aca="false">IF(B766="",TRIM(C766),TRIM(B766))</f>
        <v>Niger National Nutrition and Child Survival Survey, June-July 2008</v>
      </c>
      <c r="J766" s="7" t="str">
        <f aca="false">IF(ISNUMBER(SEARCH("Demographic and Health",I766)),"DHS",IF(OR(ISNUMBER(SEARCH("Multiple Indicator Cluster",I766)),ISNUMBER(SEARCH("MICS",I766))),"MICS","Other"))</f>
        <v>Other</v>
      </c>
      <c r="K766" s="7" t="n">
        <f aca="false">IF(AND(F766="Record or Recall",G766="12-23 m"),1,0)</f>
        <v>0</v>
      </c>
      <c r="L766" s="7" t="n">
        <f aca="false">IF(OR(J766="DHS",J766="MICS"),1,0)</f>
        <v>0</v>
      </c>
    </row>
    <row r="767" customFormat="false" ht="15" hidden="false" customHeight="false" outlineLevel="0" collapsed="false">
      <c r="A767" s="7" t="s">
        <v>374</v>
      </c>
      <c r="B767" s="7" t="s">
        <v>382</v>
      </c>
      <c r="C767" s="7" t="s">
        <v>383</v>
      </c>
      <c r="D767" s="7" t="n">
        <v>2007</v>
      </c>
      <c r="E767" s="7" t="s">
        <v>67</v>
      </c>
      <c r="F767" s="7" t="s">
        <v>63</v>
      </c>
      <c r="G767" s="7" t="s">
        <v>66</v>
      </c>
      <c r="H767" s="7" t="n">
        <v>54.7</v>
      </c>
      <c r="I767" s="7" t="str">
        <f aca="false">IF(B767="",TRIM(C767),TRIM(B767))</f>
        <v>Niger National Nutrition and Child Survival Survey, June-July 2008</v>
      </c>
      <c r="J767" s="7" t="str">
        <f aca="false">IF(ISNUMBER(SEARCH("Demographic and Health",I767)),"DHS",IF(OR(ISNUMBER(SEARCH("Multiple Indicator Cluster",I767)),ISNUMBER(SEARCH("MICS",I767))),"MICS","Other"))</f>
        <v>Other</v>
      </c>
      <c r="K767" s="7" t="n">
        <f aca="false">IF(AND(F767="Record or Recall",G767="12-23 m"),1,0)</f>
        <v>1</v>
      </c>
      <c r="L767" s="7" t="n">
        <f aca="false">IF(OR(J767="DHS",J767="MICS"),1,0)</f>
        <v>0</v>
      </c>
    </row>
    <row r="768" customFormat="false" ht="15" hidden="false" customHeight="false" outlineLevel="0" collapsed="false">
      <c r="A768" s="7" t="s">
        <v>374</v>
      </c>
      <c r="B768" s="7" t="s">
        <v>382</v>
      </c>
      <c r="C768" s="7" t="s">
        <v>383</v>
      </c>
      <c r="D768" s="7" t="n">
        <v>2007</v>
      </c>
      <c r="E768" s="7" t="s">
        <v>67</v>
      </c>
      <c r="F768" s="7" t="s">
        <v>87</v>
      </c>
      <c r="G768" s="7" t="s">
        <v>66</v>
      </c>
      <c r="H768" s="7" t="n">
        <v>17.6</v>
      </c>
      <c r="I768" s="7" t="str">
        <f aca="false">IF(B768="",TRIM(C768),TRIM(B768))</f>
        <v>Niger National Nutrition and Child Survival Survey, June-July 2008</v>
      </c>
      <c r="J768" s="7" t="str">
        <f aca="false">IF(ISNUMBER(SEARCH("Demographic and Health",I768)),"DHS",IF(OR(ISNUMBER(SEARCH("Multiple Indicator Cluster",I768)),ISNUMBER(SEARCH("MICS",I768))),"MICS","Other"))</f>
        <v>Other</v>
      </c>
      <c r="K768" s="7" t="n">
        <f aca="false">IF(AND(F768="Record or Recall",G768="12-23 m"),1,0)</f>
        <v>0</v>
      </c>
      <c r="L768" s="7" t="n">
        <f aca="false">IF(OR(J768="DHS",J768="MICS"),1,0)</f>
        <v>0</v>
      </c>
    </row>
    <row r="769" customFormat="false" ht="15" hidden="false" customHeight="false" outlineLevel="0" collapsed="false">
      <c r="A769" s="7" t="s">
        <v>374</v>
      </c>
      <c r="B769" s="7" t="s">
        <v>382</v>
      </c>
      <c r="C769" s="7" t="s">
        <v>383</v>
      </c>
      <c r="D769" s="7" t="n">
        <v>2007</v>
      </c>
      <c r="E769" s="7" t="s">
        <v>68</v>
      </c>
      <c r="F769" s="7" t="s">
        <v>86</v>
      </c>
      <c r="G769" s="7" t="s">
        <v>66</v>
      </c>
      <c r="H769" s="7" t="n">
        <v>37.6</v>
      </c>
      <c r="I769" s="7" t="str">
        <f aca="false">IF(B769="",TRIM(C769),TRIM(B769))</f>
        <v>Niger National Nutrition and Child Survival Survey, June-July 2008</v>
      </c>
      <c r="J769" s="7" t="str">
        <f aca="false">IF(ISNUMBER(SEARCH("Demographic and Health",I769)),"DHS",IF(OR(ISNUMBER(SEARCH("Multiple Indicator Cluster",I769)),ISNUMBER(SEARCH("MICS",I769))),"MICS","Other"))</f>
        <v>Other</v>
      </c>
      <c r="K769" s="7" t="n">
        <f aca="false">IF(AND(F769="Record or Recall",G769="12-23 m"),1,0)</f>
        <v>0</v>
      </c>
      <c r="L769" s="7" t="n">
        <f aca="false">IF(OR(J769="DHS",J769="MICS"),1,0)</f>
        <v>0</v>
      </c>
    </row>
    <row r="770" customFormat="false" ht="15" hidden="false" customHeight="false" outlineLevel="0" collapsed="false">
      <c r="A770" s="7" t="s">
        <v>374</v>
      </c>
      <c r="B770" s="7" t="s">
        <v>382</v>
      </c>
      <c r="C770" s="7" t="s">
        <v>383</v>
      </c>
      <c r="D770" s="7" t="n">
        <v>2007</v>
      </c>
      <c r="E770" s="7" t="s">
        <v>68</v>
      </c>
      <c r="F770" s="7" t="s">
        <v>63</v>
      </c>
      <c r="G770" s="7" t="s">
        <v>66</v>
      </c>
      <c r="H770" s="7" t="n">
        <v>65.6</v>
      </c>
      <c r="I770" s="7" t="str">
        <f aca="false">IF(B770="",TRIM(C770),TRIM(B770))</f>
        <v>Niger National Nutrition and Child Survival Survey, June-July 2008</v>
      </c>
      <c r="J770" s="7" t="str">
        <f aca="false">IF(ISNUMBER(SEARCH("Demographic and Health",I770)),"DHS",IF(OR(ISNUMBER(SEARCH("Multiple Indicator Cluster",I770)),ISNUMBER(SEARCH("MICS",I770))),"MICS","Other"))</f>
        <v>Other</v>
      </c>
      <c r="K770" s="7" t="n">
        <f aca="false">IF(AND(F770="Record or Recall",G770="12-23 m"),1,0)</f>
        <v>1</v>
      </c>
      <c r="L770" s="7" t="n">
        <f aca="false">IF(OR(J770="DHS",J770="MICS"),1,0)</f>
        <v>0</v>
      </c>
    </row>
    <row r="771" customFormat="false" ht="15" hidden="false" customHeight="false" outlineLevel="0" collapsed="false">
      <c r="A771" s="7" t="s">
        <v>374</v>
      </c>
      <c r="B771" s="7" t="s">
        <v>382</v>
      </c>
      <c r="C771" s="7" t="s">
        <v>383</v>
      </c>
      <c r="D771" s="7" t="n">
        <v>2007</v>
      </c>
      <c r="E771" s="7" t="s">
        <v>68</v>
      </c>
      <c r="F771" s="7" t="s">
        <v>87</v>
      </c>
      <c r="G771" s="7" t="s">
        <v>66</v>
      </c>
      <c r="H771" s="7" t="n">
        <v>28</v>
      </c>
      <c r="I771" s="7" t="str">
        <f aca="false">IF(B771="",TRIM(C771),TRIM(B771))</f>
        <v>Niger National Nutrition and Child Survival Survey, June-July 2008</v>
      </c>
      <c r="J771" s="7" t="str">
        <f aca="false">IF(ISNUMBER(SEARCH("Demographic and Health",I771)),"DHS",IF(OR(ISNUMBER(SEARCH("Multiple Indicator Cluster",I771)),ISNUMBER(SEARCH("MICS",I771))),"MICS","Other"))</f>
        <v>Other</v>
      </c>
      <c r="K771" s="7" t="n">
        <f aca="false">IF(AND(F771="Record or Recall",G771="12-23 m"),1,0)</f>
        <v>0</v>
      </c>
      <c r="L771" s="7" t="n">
        <f aca="false">IF(OR(J771="DHS",J771="MICS"),1,0)</f>
        <v>0</v>
      </c>
    </row>
    <row r="772" customFormat="false" ht="15" hidden="false" customHeight="false" outlineLevel="0" collapsed="false">
      <c r="A772" s="7" t="s">
        <v>374</v>
      </c>
      <c r="B772" s="7" t="s">
        <v>384</v>
      </c>
      <c r="C772" s="7" t="s">
        <v>385</v>
      </c>
      <c r="D772" s="7" t="n">
        <v>2008</v>
      </c>
      <c r="E772" s="7" t="s">
        <v>62</v>
      </c>
      <c r="F772" s="7" t="s">
        <v>78</v>
      </c>
      <c r="G772" s="7" t="s">
        <v>80</v>
      </c>
      <c r="H772" s="7" t="n">
        <v>78.8</v>
      </c>
      <c r="I772" s="7" t="str">
        <f aca="false">IF(B772="",TRIM(C772),TRIM(B772))</f>
        <v>Demographic and Health / Multiple Indicator Survey of Niger EDSN-MICS-IV 2012</v>
      </c>
      <c r="J772" s="7" t="str">
        <f aca="false">IF(ISNUMBER(SEARCH("Demographic and Health",I772)),"DHS",IF(OR(ISNUMBER(SEARCH("Multiple Indicator Cluster",I772)),ISNUMBER(SEARCH("MICS",I772))),"MICS","Other"))</f>
        <v>DHS</v>
      </c>
      <c r="K772" s="7" t="n">
        <f aca="false">IF(AND(F772="Record or Recall",G772="12-23 m"),1,0)</f>
        <v>0</v>
      </c>
      <c r="L772" s="7" t="n">
        <f aca="false">IF(OR(J772="DHS",J772="MICS"),1,0)</f>
        <v>1</v>
      </c>
    </row>
    <row r="773" customFormat="false" ht="15" hidden="false" customHeight="false" outlineLevel="0" collapsed="false">
      <c r="A773" s="7" t="s">
        <v>374</v>
      </c>
      <c r="B773" s="7" t="s">
        <v>384</v>
      </c>
      <c r="C773" s="7" t="s">
        <v>385</v>
      </c>
      <c r="D773" s="7" t="n">
        <v>2008</v>
      </c>
      <c r="E773" s="7" t="s">
        <v>81</v>
      </c>
      <c r="F773" s="7" t="s">
        <v>78</v>
      </c>
      <c r="G773" s="7" t="s">
        <v>80</v>
      </c>
      <c r="H773" s="7" t="n">
        <v>77.2</v>
      </c>
      <c r="I773" s="7" t="str">
        <f aca="false">IF(B773="",TRIM(C773),TRIM(B773))</f>
        <v>Demographic and Health / Multiple Indicator Survey of Niger EDSN-MICS-IV 2012</v>
      </c>
      <c r="J773" s="7" t="str">
        <f aca="false">IF(ISNUMBER(SEARCH("Demographic and Health",I773)),"DHS",IF(OR(ISNUMBER(SEARCH("Multiple Indicator Cluster",I773)),ISNUMBER(SEARCH("MICS",I773))),"MICS","Other"))</f>
        <v>DHS</v>
      </c>
      <c r="K773" s="7" t="n">
        <f aca="false">IF(AND(F773="Record or Recall",G773="12-23 m"),1,0)</f>
        <v>0</v>
      </c>
      <c r="L773" s="7" t="n">
        <f aca="false">IF(OR(J773="DHS",J773="MICS"),1,0)</f>
        <v>1</v>
      </c>
    </row>
    <row r="774" customFormat="false" ht="15" hidden="false" customHeight="false" outlineLevel="0" collapsed="false">
      <c r="A774" s="7" t="s">
        <v>374</v>
      </c>
      <c r="B774" s="7" t="s">
        <v>384</v>
      </c>
      <c r="C774" s="7" t="s">
        <v>385</v>
      </c>
      <c r="D774" s="7" t="n">
        <v>2008</v>
      </c>
      <c r="E774" s="7" t="s">
        <v>67</v>
      </c>
      <c r="F774" s="7" t="s">
        <v>78</v>
      </c>
      <c r="G774" s="7" t="s">
        <v>80</v>
      </c>
      <c r="H774" s="7" t="n">
        <v>58.2</v>
      </c>
      <c r="I774" s="7" t="str">
        <f aca="false">IF(B774="",TRIM(C774),TRIM(B774))</f>
        <v>Demographic and Health / Multiple Indicator Survey of Niger EDSN-MICS-IV 2012</v>
      </c>
      <c r="J774" s="7" t="str">
        <f aca="false">IF(ISNUMBER(SEARCH("Demographic and Health",I774)),"DHS",IF(OR(ISNUMBER(SEARCH("Multiple Indicator Cluster",I774)),ISNUMBER(SEARCH("MICS",I774))),"MICS","Other"))</f>
        <v>DHS</v>
      </c>
      <c r="K774" s="7" t="n">
        <f aca="false">IF(AND(F774="Record or Recall",G774="12-23 m"),1,0)</f>
        <v>0</v>
      </c>
      <c r="L774" s="7" t="n">
        <f aca="false">IF(OR(J774="DHS",J774="MICS"),1,0)</f>
        <v>1</v>
      </c>
    </row>
    <row r="775" customFormat="false" ht="15" hidden="false" customHeight="false" outlineLevel="0" collapsed="false">
      <c r="A775" s="7" t="s">
        <v>374</v>
      </c>
      <c r="B775" s="7" t="s">
        <v>384</v>
      </c>
      <c r="C775" s="7" t="s">
        <v>385</v>
      </c>
      <c r="D775" s="7" t="n">
        <v>2008</v>
      </c>
      <c r="E775" s="7" t="s">
        <v>82</v>
      </c>
      <c r="F775" s="7" t="s">
        <v>78</v>
      </c>
      <c r="G775" s="7" t="s">
        <v>80</v>
      </c>
      <c r="H775" s="7" t="n">
        <v>34.1</v>
      </c>
      <c r="I775" s="7" t="str">
        <f aca="false">IF(B775="",TRIM(C775),TRIM(B775))</f>
        <v>Demographic and Health / Multiple Indicator Survey of Niger EDSN-MICS-IV 2012</v>
      </c>
      <c r="J775" s="7" t="str">
        <f aca="false">IF(ISNUMBER(SEARCH("Demographic and Health",I775)),"DHS",IF(OR(ISNUMBER(SEARCH("Multiple Indicator Cluster",I775)),ISNUMBER(SEARCH("MICS",I775))),"MICS","Other"))</f>
        <v>DHS</v>
      </c>
      <c r="K775" s="7" t="n">
        <f aca="false">IF(AND(F775="Record or Recall",G775="12-23 m"),1,0)</f>
        <v>0</v>
      </c>
      <c r="L775" s="7" t="n">
        <f aca="false">IF(OR(J775="DHS",J775="MICS"),1,0)</f>
        <v>1</v>
      </c>
    </row>
    <row r="776" customFormat="false" ht="15" hidden="false" customHeight="false" outlineLevel="0" collapsed="false">
      <c r="A776" s="7" t="s">
        <v>374</v>
      </c>
      <c r="B776" s="7" t="s">
        <v>384</v>
      </c>
      <c r="C776" s="7" t="s">
        <v>385</v>
      </c>
      <c r="D776" s="7" t="n">
        <v>2008</v>
      </c>
      <c r="E776" s="7" t="s">
        <v>68</v>
      </c>
      <c r="F776" s="7" t="s">
        <v>78</v>
      </c>
      <c r="G776" s="7" t="s">
        <v>80</v>
      </c>
      <c r="H776" s="7" t="n">
        <v>53.8</v>
      </c>
      <c r="I776" s="7" t="str">
        <f aca="false">IF(B776="",TRIM(C776),TRIM(B776))</f>
        <v>Demographic and Health / Multiple Indicator Survey of Niger EDSN-MICS-IV 2012</v>
      </c>
      <c r="J776" s="7" t="str">
        <f aca="false">IF(ISNUMBER(SEARCH("Demographic and Health",I776)),"DHS",IF(OR(ISNUMBER(SEARCH("Multiple Indicator Cluster",I776)),ISNUMBER(SEARCH("MICS",I776))),"MICS","Other"))</f>
        <v>DHS</v>
      </c>
      <c r="K776" s="7" t="n">
        <f aca="false">IF(AND(F776="Record or Recall",G776="12-23 m"),1,0)</f>
        <v>0</v>
      </c>
      <c r="L776" s="7" t="n">
        <f aca="false">IF(OR(J776="DHS",J776="MICS"),1,0)</f>
        <v>1</v>
      </c>
    </row>
    <row r="777" customFormat="false" ht="15" hidden="false" customHeight="false" outlineLevel="0" collapsed="false">
      <c r="A777" s="7" t="s">
        <v>374</v>
      </c>
      <c r="B777" s="7" t="s">
        <v>384</v>
      </c>
      <c r="C777" s="7" t="s">
        <v>385</v>
      </c>
      <c r="D777" s="7" t="n">
        <v>2008</v>
      </c>
      <c r="E777" s="7" t="s">
        <v>69</v>
      </c>
      <c r="F777" s="7" t="s">
        <v>78</v>
      </c>
      <c r="G777" s="7" t="s">
        <v>80</v>
      </c>
      <c r="H777" s="7" t="n">
        <v>63.8</v>
      </c>
      <c r="I777" s="7" t="str">
        <f aca="false">IF(B777="",TRIM(C777),TRIM(B777))</f>
        <v>Demographic and Health / Multiple Indicator Survey of Niger EDSN-MICS-IV 2012</v>
      </c>
      <c r="J777" s="7" t="str">
        <f aca="false">IF(ISNUMBER(SEARCH("Demographic and Health",I777)),"DHS",IF(OR(ISNUMBER(SEARCH("Multiple Indicator Cluster",I777)),ISNUMBER(SEARCH("MICS",I777))),"MICS","Other"))</f>
        <v>DHS</v>
      </c>
      <c r="K777" s="7" t="n">
        <f aca="false">IF(AND(F777="Record or Recall",G777="12-23 m"),1,0)</f>
        <v>0</v>
      </c>
      <c r="L777" s="7" t="n">
        <f aca="false">IF(OR(J777="DHS",J777="MICS"),1,0)</f>
        <v>1</v>
      </c>
    </row>
    <row r="778" customFormat="false" ht="15" hidden="false" customHeight="false" outlineLevel="0" collapsed="false">
      <c r="A778" s="7" t="s">
        <v>374</v>
      </c>
      <c r="B778" s="7" t="s">
        <v>386</v>
      </c>
      <c r="C778" s="7" t="s">
        <v>387</v>
      </c>
      <c r="D778" s="7" t="n">
        <v>2008</v>
      </c>
      <c r="E778" s="7" t="s">
        <v>62</v>
      </c>
      <c r="F778" s="7" t="s">
        <v>87</v>
      </c>
      <c r="G778" s="7" t="s">
        <v>66</v>
      </c>
      <c r="H778" s="7" t="n">
        <v>31.8</v>
      </c>
      <c r="I778" s="7" t="str">
        <f aca="false">IF(B778="",TRIM(C778),TRIM(B778))</f>
        <v>Niger National Nutrition and Child Survival Survey, May-June 2009</v>
      </c>
      <c r="J778" s="7" t="str">
        <f aca="false">IF(ISNUMBER(SEARCH("Demographic and Health",I778)),"DHS",IF(OR(ISNUMBER(SEARCH("Multiple Indicator Cluster",I778)),ISNUMBER(SEARCH("MICS",I778))),"MICS","Other"))</f>
        <v>Other</v>
      </c>
      <c r="K778" s="7" t="n">
        <f aca="false">IF(AND(F778="Record or Recall",G778="12-23 m"),1,0)</f>
        <v>0</v>
      </c>
      <c r="L778" s="7" t="n">
        <f aca="false">IF(OR(J778="DHS",J778="MICS"),1,0)</f>
        <v>0</v>
      </c>
    </row>
    <row r="779" customFormat="false" ht="15" hidden="false" customHeight="false" outlineLevel="0" collapsed="false">
      <c r="A779" s="7" t="s">
        <v>374</v>
      </c>
      <c r="B779" s="7" t="s">
        <v>386</v>
      </c>
      <c r="C779" s="7" t="s">
        <v>387</v>
      </c>
      <c r="D779" s="7" t="n">
        <v>2008</v>
      </c>
      <c r="E779" s="7" t="s">
        <v>62</v>
      </c>
      <c r="F779" s="7" t="s">
        <v>388</v>
      </c>
      <c r="G779" s="7" t="s">
        <v>66</v>
      </c>
      <c r="H779" s="7" t="n">
        <v>58.8</v>
      </c>
      <c r="I779" s="7" t="str">
        <f aca="false">IF(B779="",TRIM(C779),TRIM(B779))</f>
        <v>Niger National Nutrition and Child Survival Survey, May-June 2009</v>
      </c>
      <c r="J779" s="7" t="str">
        <f aca="false">IF(ISNUMBER(SEARCH("Demographic and Health",I779)),"DHS",IF(OR(ISNUMBER(SEARCH("Multiple Indicator Cluster",I779)),ISNUMBER(SEARCH("MICS",I779))),"MICS","Other"))</f>
        <v>Other</v>
      </c>
      <c r="K779" s="7" t="n">
        <f aca="false">IF(AND(F779="Record or Recall",G779="12-23 m"),1,0)</f>
        <v>0</v>
      </c>
      <c r="L779" s="7" t="n">
        <f aca="false">IF(OR(J779="DHS",J779="MICS"),1,0)</f>
        <v>0</v>
      </c>
    </row>
    <row r="780" customFormat="false" ht="15" hidden="false" customHeight="false" outlineLevel="0" collapsed="false">
      <c r="A780" s="7" t="s">
        <v>374</v>
      </c>
      <c r="B780" s="7" t="s">
        <v>386</v>
      </c>
      <c r="C780" s="7" t="s">
        <v>387</v>
      </c>
      <c r="D780" s="7" t="n">
        <v>2008</v>
      </c>
      <c r="E780" s="7" t="s">
        <v>62</v>
      </c>
      <c r="F780" s="7" t="s">
        <v>86</v>
      </c>
      <c r="G780" s="7" t="s">
        <v>66</v>
      </c>
      <c r="H780" s="7" t="n">
        <v>48.7</v>
      </c>
      <c r="I780" s="7" t="str">
        <f aca="false">IF(B780="",TRIM(C780),TRIM(B780))</f>
        <v>Niger National Nutrition and Child Survival Survey, May-June 2009</v>
      </c>
      <c r="J780" s="7" t="str">
        <f aca="false">IF(ISNUMBER(SEARCH("Demographic and Health",I780)),"DHS",IF(OR(ISNUMBER(SEARCH("Multiple Indicator Cluster",I780)),ISNUMBER(SEARCH("MICS",I780))),"MICS","Other"))</f>
        <v>Other</v>
      </c>
      <c r="K780" s="7" t="n">
        <f aca="false">IF(AND(F780="Record or Recall",G780="12-23 m"),1,0)</f>
        <v>0</v>
      </c>
      <c r="L780" s="7" t="n">
        <f aca="false">IF(OR(J780="DHS",J780="MICS"),1,0)</f>
        <v>0</v>
      </c>
    </row>
    <row r="781" customFormat="false" ht="15" hidden="false" customHeight="false" outlineLevel="0" collapsed="false">
      <c r="A781" s="7" t="s">
        <v>374</v>
      </c>
      <c r="B781" s="7" t="s">
        <v>386</v>
      </c>
      <c r="C781" s="7" t="s">
        <v>387</v>
      </c>
      <c r="D781" s="7" t="n">
        <v>2008</v>
      </c>
      <c r="E781" s="7" t="s">
        <v>62</v>
      </c>
      <c r="F781" s="7" t="s">
        <v>63</v>
      </c>
      <c r="G781" s="7" t="s">
        <v>66</v>
      </c>
      <c r="H781" s="7" t="n">
        <v>80.5</v>
      </c>
      <c r="I781" s="7" t="str">
        <f aca="false">IF(B781="",TRIM(C781),TRIM(B781))</f>
        <v>Niger National Nutrition and Child Survival Survey, May-June 2009</v>
      </c>
      <c r="J781" s="7" t="str">
        <f aca="false">IF(ISNUMBER(SEARCH("Demographic and Health",I781)),"DHS",IF(OR(ISNUMBER(SEARCH("Multiple Indicator Cluster",I781)),ISNUMBER(SEARCH("MICS",I781))),"MICS","Other"))</f>
        <v>Other</v>
      </c>
      <c r="K781" s="7" t="n">
        <f aca="false">IF(AND(F781="Record or Recall",G781="12-23 m"),1,0)</f>
        <v>1</v>
      </c>
      <c r="L781" s="7" t="n">
        <f aca="false">IF(OR(J781="DHS",J781="MICS"),1,0)</f>
        <v>0</v>
      </c>
    </row>
    <row r="782" customFormat="false" ht="15" hidden="false" customHeight="false" outlineLevel="0" collapsed="false">
      <c r="A782" s="7" t="s">
        <v>374</v>
      </c>
      <c r="B782" s="7" t="s">
        <v>386</v>
      </c>
      <c r="C782" s="7" t="s">
        <v>387</v>
      </c>
      <c r="D782" s="7" t="n">
        <v>2008</v>
      </c>
      <c r="E782" s="7" t="s">
        <v>81</v>
      </c>
      <c r="F782" s="7" t="s">
        <v>86</v>
      </c>
      <c r="G782" s="7" t="s">
        <v>66</v>
      </c>
      <c r="H782" s="7" t="n">
        <v>47.7</v>
      </c>
      <c r="I782" s="7" t="str">
        <f aca="false">IF(B782="",TRIM(C782),TRIM(B782))</f>
        <v>Niger National Nutrition and Child Survival Survey, May-June 2009</v>
      </c>
      <c r="J782" s="7" t="str">
        <f aca="false">IF(ISNUMBER(SEARCH("Demographic and Health",I782)),"DHS",IF(OR(ISNUMBER(SEARCH("Multiple Indicator Cluster",I782)),ISNUMBER(SEARCH("MICS",I782))),"MICS","Other"))</f>
        <v>Other</v>
      </c>
      <c r="K782" s="7" t="n">
        <f aca="false">IF(AND(F782="Record or Recall",G782="12-23 m"),1,0)</f>
        <v>0</v>
      </c>
      <c r="L782" s="7" t="n">
        <f aca="false">IF(OR(J782="DHS",J782="MICS"),1,0)</f>
        <v>0</v>
      </c>
    </row>
    <row r="783" customFormat="false" ht="15" hidden="false" customHeight="false" outlineLevel="0" collapsed="false">
      <c r="A783" s="7" t="s">
        <v>374</v>
      </c>
      <c r="B783" s="7" t="s">
        <v>386</v>
      </c>
      <c r="C783" s="7" t="s">
        <v>387</v>
      </c>
      <c r="D783" s="7" t="n">
        <v>2008</v>
      </c>
      <c r="E783" s="7" t="s">
        <v>81</v>
      </c>
      <c r="F783" s="7" t="s">
        <v>63</v>
      </c>
      <c r="G783" s="7" t="s">
        <v>66</v>
      </c>
      <c r="H783" s="7" t="n">
        <v>75.7</v>
      </c>
      <c r="I783" s="7" t="str">
        <f aca="false">IF(B783="",TRIM(C783),TRIM(B783))</f>
        <v>Niger National Nutrition and Child Survival Survey, May-June 2009</v>
      </c>
      <c r="J783" s="7" t="str">
        <f aca="false">IF(ISNUMBER(SEARCH("Demographic and Health",I783)),"DHS",IF(OR(ISNUMBER(SEARCH("Multiple Indicator Cluster",I783)),ISNUMBER(SEARCH("MICS",I783))),"MICS","Other"))</f>
        <v>Other</v>
      </c>
      <c r="K783" s="7" t="n">
        <f aca="false">IF(AND(F783="Record or Recall",G783="12-23 m"),1,0)</f>
        <v>1</v>
      </c>
      <c r="L783" s="7" t="n">
        <f aca="false">IF(OR(J783="DHS",J783="MICS"),1,0)</f>
        <v>0</v>
      </c>
    </row>
    <row r="784" customFormat="false" ht="15" hidden="false" customHeight="false" outlineLevel="0" collapsed="false">
      <c r="A784" s="7" t="s">
        <v>374</v>
      </c>
      <c r="B784" s="7" t="s">
        <v>386</v>
      </c>
      <c r="C784" s="7" t="s">
        <v>387</v>
      </c>
      <c r="D784" s="7" t="n">
        <v>2008</v>
      </c>
      <c r="E784" s="7" t="s">
        <v>81</v>
      </c>
      <c r="F784" s="7" t="s">
        <v>87</v>
      </c>
      <c r="G784" s="7" t="s">
        <v>66</v>
      </c>
      <c r="H784" s="7" t="n">
        <v>28</v>
      </c>
      <c r="I784" s="7" t="str">
        <f aca="false">IF(B784="",TRIM(C784),TRIM(B784))</f>
        <v>Niger National Nutrition and Child Survival Survey, May-June 2009</v>
      </c>
      <c r="J784" s="7" t="str">
        <f aca="false">IF(ISNUMBER(SEARCH("Demographic and Health",I784)),"DHS",IF(OR(ISNUMBER(SEARCH("Multiple Indicator Cluster",I784)),ISNUMBER(SEARCH("MICS",I784))),"MICS","Other"))</f>
        <v>Other</v>
      </c>
      <c r="K784" s="7" t="n">
        <f aca="false">IF(AND(F784="Record or Recall",G784="12-23 m"),1,0)</f>
        <v>0</v>
      </c>
      <c r="L784" s="7" t="n">
        <f aca="false">IF(OR(J784="DHS",J784="MICS"),1,0)</f>
        <v>0</v>
      </c>
    </row>
    <row r="785" customFormat="false" ht="15" hidden="false" customHeight="false" outlineLevel="0" collapsed="false">
      <c r="A785" s="7" t="s">
        <v>374</v>
      </c>
      <c r="B785" s="7" t="s">
        <v>386</v>
      </c>
      <c r="C785" s="7" t="s">
        <v>387</v>
      </c>
      <c r="D785" s="7" t="n">
        <v>2008</v>
      </c>
      <c r="E785" s="7" t="s">
        <v>67</v>
      </c>
      <c r="F785" s="7" t="s">
        <v>86</v>
      </c>
      <c r="G785" s="7" t="s">
        <v>66</v>
      </c>
      <c r="H785" s="7" t="n">
        <v>41.5</v>
      </c>
      <c r="I785" s="7" t="str">
        <f aca="false">IF(B785="",TRIM(C785),TRIM(B785))</f>
        <v>Niger National Nutrition and Child Survival Survey, May-June 2009</v>
      </c>
      <c r="J785" s="7" t="str">
        <f aca="false">IF(ISNUMBER(SEARCH("Demographic and Health",I785)),"DHS",IF(OR(ISNUMBER(SEARCH("Multiple Indicator Cluster",I785)),ISNUMBER(SEARCH("MICS",I785))),"MICS","Other"))</f>
        <v>Other</v>
      </c>
      <c r="K785" s="7" t="n">
        <f aca="false">IF(AND(F785="Record or Recall",G785="12-23 m"),1,0)</f>
        <v>0</v>
      </c>
      <c r="L785" s="7" t="n">
        <f aca="false">IF(OR(J785="DHS",J785="MICS"),1,0)</f>
        <v>0</v>
      </c>
    </row>
    <row r="786" customFormat="false" ht="15" hidden="false" customHeight="false" outlineLevel="0" collapsed="false">
      <c r="A786" s="7" t="s">
        <v>374</v>
      </c>
      <c r="B786" s="7" t="s">
        <v>386</v>
      </c>
      <c r="C786" s="7" t="s">
        <v>387</v>
      </c>
      <c r="D786" s="7" t="n">
        <v>2008</v>
      </c>
      <c r="E786" s="7" t="s">
        <v>67</v>
      </c>
      <c r="F786" s="7" t="s">
        <v>63</v>
      </c>
      <c r="G786" s="7" t="s">
        <v>66</v>
      </c>
      <c r="H786" s="7" t="n">
        <v>64.7</v>
      </c>
      <c r="I786" s="7" t="str">
        <f aca="false">IF(B786="",TRIM(C786),TRIM(B786))</f>
        <v>Niger National Nutrition and Child Survival Survey, May-June 2009</v>
      </c>
      <c r="J786" s="7" t="str">
        <f aca="false">IF(ISNUMBER(SEARCH("Demographic and Health",I786)),"DHS",IF(OR(ISNUMBER(SEARCH("Multiple Indicator Cluster",I786)),ISNUMBER(SEARCH("MICS",I786))),"MICS","Other"))</f>
        <v>Other</v>
      </c>
      <c r="K786" s="7" t="n">
        <f aca="false">IF(AND(F786="Record or Recall",G786="12-23 m"),1,0)</f>
        <v>1</v>
      </c>
      <c r="L786" s="7" t="n">
        <f aca="false">IF(OR(J786="DHS",J786="MICS"),1,0)</f>
        <v>0</v>
      </c>
    </row>
    <row r="787" customFormat="false" ht="15" hidden="false" customHeight="false" outlineLevel="0" collapsed="false">
      <c r="A787" s="7" t="s">
        <v>374</v>
      </c>
      <c r="B787" s="7" t="s">
        <v>386</v>
      </c>
      <c r="C787" s="7" t="s">
        <v>387</v>
      </c>
      <c r="D787" s="7" t="n">
        <v>2008</v>
      </c>
      <c r="E787" s="7" t="s">
        <v>67</v>
      </c>
      <c r="F787" s="7" t="s">
        <v>87</v>
      </c>
      <c r="G787" s="7" t="s">
        <v>66</v>
      </c>
      <c r="H787" s="7" t="n">
        <v>23.2</v>
      </c>
      <c r="I787" s="7" t="str">
        <f aca="false">IF(B787="",TRIM(C787),TRIM(B787))</f>
        <v>Niger National Nutrition and Child Survival Survey, May-June 2009</v>
      </c>
      <c r="J787" s="7" t="str">
        <f aca="false">IF(ISNUMBER(SEARCH("Demographic and Health",I787)),"DHS",IF(OR(ISNUMBER(SEARCH("Multiple Indicator Cluster",I787)),ISNUMBER(SEARCH("MICS",I787))),"MICS","Other"))</f>
        <v>Other</v>
      </c>
      <c r="K787" s="7" t="n">
        <f aca="false">IF(AND(F787="Record or Recall",G787="12-23 m"),1,0)</f>
        <v>0</v>
      </c>
      <c r="L787" s="7" t="n">
        <f aca="false">IF(OR(J787="DHS",J787="MICS"),1,0)</f>
        <v>0</v>
      </c>
    </row>
    <row r="788" customFormat="false" ht="15" hidden="false" customHeight="false" outlineLevel="0" collapsed="false">
      <c r="A788" s="7" t="s">
        <v>374</v>
      </c>
      <c r="B788" s="7" t="s">
        <v>386</v>
      </c>
      <c r="C788" s="7" t="s">
        <v>387</v>
      </c>
      <c r="D788" s="7" t="n">
        <v>2008</v>
      </c>
      <c r="E788" s="7" t="s">
        <v>82</v>
      </c>
      <c r="F788" s="7" t="s">
        <v>86</v>
      </c>
      <c r="G788" s="7" t="s">
        <v>66</v>
      </c>
      <c r="H788" s="7" t="n">
        <v>32.8</v>
      </c>
      <c r="I788" s="7" t="str">
        <f aca="false">IF(B788="",TRIM(C788),TRIM(B788))</f>
        <v>Niger National Nutrition and Child Survival Survey, May-June 2009</v>
      </c>
      <c r="J788" s="7" t="str">
        <f aca="false">IF(ISNUMBER(SEARCH("Demographic and Health",I788)),"DHS",IF(OR(ISNUMBER(SEARCH("Multiple Indicator Cluster",I788)),ISNUMBER(SEARCH("MICS",I788))),"MICS","Other"))</f>
        <v>Other</v>
      </c>
      <c r="K788" s="7" t="n">
        <f aca="false">IF(AND(F788="Record or Recall",G788="12-23 m"),1,0)</f>
        <v>0</v>
      </c>
      <c r="L788" s="7" t="n">
        <f aca="false">IF(OR(J788="DHS",J788="MICS"),1,0)</f>
        <v>0</v>
      </c>
    </row>
    <row r="789" customFormat="false" ht="15" hidden="false" customHeight="false" outlineLevel="0" collapsed="false">
      <c r="A789" s="7" t="s">
        <v>374</v>
      </c>
      <c r="B789" s="7" t="s">
        <v>386</v>
      </c>
      <c r="C789" s="7" t="s">
        <v>387</v>
      </c>
      <c r="D789" s="7" t="n">
        <v>2008</v>
      </c>
      <c r="E789" s="7" t="s">
        <v>82</v>
      </c>
      <c r="F789" s="7" t="s">
        <v>63</v>
      </c>
      <c r="G789" s="7" t="s">
        <v>66</v>
      </c>
      <c r="H789" s="7" t="n">
        <v>51.2</v>
      </c>
      <c r="I789" s="7" t="str">
        <f aca="false">IF(B789="",TRIM(C789),TRIM(B789))</f>
        <v>Niger National Nutrition and Child Survival Survey, May-June 2009</v>
      </c>
      <c r="J789" s="7" t="str">
        <f aca="false">IF(ISNUMBER(SEARCH("Demographic and Health",I789)),"DHS",IF(OR(ISNUMBER(SEARCH("Multiple Indicator Cluster",I789)),ISNUMBER(SEARCH("MICS",I789))),"MICS","Other"))</f>
        <v>Other</v>
      </c>
      <c r="K789" s="7" t="n">
        <f aca="false">IF(AND(F789="Record or Recall",G789="12-23 m"),1,0)</f>
        <v>1</v>
      </c>
      <c r="L789" s="7" t="n">
        <f aca="false">IF(OR(J789="DHS",J789="MICS"),1,0)</f>
        <v>0</v>
      </c>
    </row>
    <row r="790" customFormat="false" ht="15" hidden="false" customHeight="false" outlineLevel="0" collapsed="false">
      <c r="A790" s="7" t="s">
        <v>374</v>
      </c>
      <c r="B790" s="7" t="s">
        <v>386</v>
      </c>
      <c r="C790" s="7" t="s">
        <v>387</v>
      </c>
      <c r="D790" s="7" t="n">
        <v>2008</v>
      </c>
      <c r="E790" s="7" t="s">
        <v>82</v>
      </c>
      <c r="F790" s="7" t="s">
        <v>87</v>
      </c>
      <c r="G790" s="7" t="s">
        <v>66</v>
      </c>
      <c r="H790" s="7" t="n">
        <v>18.4</v>
      </c>
      <c r="I790" s="7" t="str">
        <f aca="false">IF(B790="",TRIM(C790),TRIM(B790))</f>
        <v>Niger National Nutrition and Child Survival Survey, May-June 2009</v>
      </c>
      <c r="J790" s="7" t="str">
        <f aca="false">IF(ISNUMBER(SEARCH("Demographic and Health",I790)),"DHS",IF(OR(ISNUMBER(SEARCH("Multiple Indicator Cluster",I790)),ISNUMBER(SEARCH("MICS",I790))),"MICS","Other"))</f>
        <v>Other</v>
      </c>
      <c r="K790" s="7" t="n">
        <f aca="false">IF(AND(F790="Record or Recall",G790="12-23 m"),1,0)</f>
        <v>0</v>
      </c>
      <c r="L790" s="7" t="n">
        <f aca="false">IF(OR(J790="DHS",J790="MICS"),1,0)</f>
        <v>0</v>
      </c>
    </row>
    <row r="791" customFormat="false" ht="15" hidden="false" customHeight="false" outlineLevel="0" collapsed="false">
      <c r="A791" s="7" t="s">
        <v>374</v>
      </c>
      <c r="B791" s="7" t="s">
        <v>386</v>
      </c>
      <c r="C791" s="7" t="s">
        <v>387</v>
      </c>
      <c r="D791" s="7" t="n">
        <v>2008</v>
      </c>
      <c r="E791" s="7" t="s">
        <v>68</v>
      </c>
      <c r="F791" s="7" t="s">
        <v>86</v>
      </c>
      <c r="G791" s="7" t="s">
        <v>66</v>
      </c>
      <c r="H791" s="7" t="n">
        <v>39</v>
      </c>
      <c r="I791" s="7" t="str">
        <f aca="false">IF(B791="",TRIM(C791),TRIM(B791))</f>
        <v>Niger National Nutrition and Child Survival Survey, May-June 2009</v>
      </c>
      <c r="J791" s="7" t="str">
        <f aca="false">IF(ISNUMBER(SEARCH("Demographic and Health",I791)),"DHS",IF(OR(ISNUMBER(SEARCH("Multiple Indicator Cluster",I791)),ISNUMBER(SEARCH("MICS",I791))),"MICS","Other"))</f>
        <v>Other</v>
      </c>
      <c r="K791" s="7" t="n">
        <f aca="false">IF(AND(F791="Record or Recall",G791="12-23 m"),1,0)</f>
        <v>0</v>
      </c>
      <c r="L791" s="7" t="n">
        <f aca="false">IF(OR(J791="DHS",J791="MICS"),1,0)</f>
        <v>0</v>
      </c>
    </row>
    <row r="792" customFormat="false" ht="15" hidden="false" customHeight="false" outlineLevel="0" collapsed="false">
      <c r="A792" s="7" t="s">
        <v>374</v>
      </c>
      <c r="B792" s="7" t="s">
        <v>386</v>
      </c>
      <c r="C792" s="7" t="s">
        <v>387</v>
      </c>
      <c r="D792" s="7" t="n">
        <v>2008</v>
      </c>
      <c r="E792" s="7" t="s">
        <v>68</v>
      </c>
      <c r="F792" s="7" t="s">
        <v>63</v>
      </c>
      <c r="G792" s="7" t="s">
        <v>66</v>
      </c>
      <c r="H792" s="7" t="n">
        <v>65.5</v>
      </c>
      <c r="I792" s="7" t="str">
        <f aca="false">IF(B792="",TRIM(C792),TRIM(B792))</f>
        <v>Niger National Nutrition and Child Survival Survey, May-June 2009</v>
      </c>
      <c r="J792" s="7" t="str">
        <f aca="false">IF(ISNUMBER(SEARCH("Demographic and Health",I792)),"DHS",IF(OR(ISNUMBER(SEARCH("Multiple Indicator Cluster",I792)),ISNUMBER(SEARCH("MICS",I792))),"MICS","Other"))</f>
        <v>Other</v>
      </c>
      <c r="K792" s="7" t="n">
        <f aca="false">IF(AND(F792="Record or Recall",G792="12-23 m"),1,0)</f>
        <v>1</v>
      </c>
      <c r="L792" s="7" t="n">
        <f aca="false">IF(OR(J792="DHS",J792="MICS"),1,0)</f>
        <v>0</v>
      </c>
    </row>
    <row r="793" customFormat="false" ht="15" hidden="false" customHeight="false" outlineLevel="0" collapsed="false">
      <c r="A793" s="7" t="s">
        <v>374</v>
      </c>
      <c r="B793" s="7" t="s">
        <v>386</v>
      </c>
      <c r="C793" s="7" t="s">
        <v>387</v>
      </c>
      <c r="D793" s="7" t="n">
        <v>2008</v>
      </c>
      <c r="E793" s="7" t="s">
        <v>68</v>
      </c>
      <c r="F793" s="7" t="s">
        <v>87</v>
      </c>
      <c r="G793" s="7" t="s">
        <v>66</v>
      </c>
      <c r="H793" s="7" t="n">
        <v>26.5</v>
      </c>
      <c r="I793" s="7" t="str">
        <f aca="false">IF(B793="",TRIM(C793),TRIM(B793))</f>
        <v>Niger National Nutrition and Child Survival Survey, May-June 2009</v>
      </c>
      <c r="J793" s="7" t="str">
        <f aca="false">IF(ISNUMBER(SEARCH("Demographic and Health",I793)),"DHS",IF(OR(ISNUMBER(SEARCH("Multiple Indicator Cluster",I793)),ISNUMBER(SEARCH("MICS",I793))),"MICS","Other"))</f>
        <v>Other</v>
      </c>
      <c r="K793" s="7" t="n">
        <f aca="false">IF(AND(F793="Record or Recall",G793="12-23 m"),1,0)</f>
        <v>0</v>
      </c>
      <c r="L793" s="7" t="n">
        <f aca="false">IF(OR(J793="DHS",J793="MICS"),1,0)</f>
        <v>0</v>
      </c>
    </row>
    <row r="794" customFormat="false" ht="15" hidden="false" customHeight="false" outlineLevel="0" collapsed="false">
      <c r="A794" s="7" t="s">
        <v>374</v>
      </c>
      <c r="B794" s="7" t="s">
        <v>384</v>
      </c>
      <c r="C794" s="7" t="s">
        <v>385</v>
      </c>
      <c r="D794" s="7" t="n">
        <v>2009</v>
      </c>
      <c r="E794" s="7" t="s">
        <v>62</v>
      </c>
      <c r="F794" s="7" t="s">
        <v>78</v>
      </c>
      <c r="G794" s="7" t="s">
        <v>88</v>
      </c>
      <c r="H794" s="7" t="n">
        <v>76.5</v>
      </c>
      <c r="I794" s="7" t="str">
        <f aca="false">IF(B794="",TRIM(C794),TRIM(B794))</f>
        <v>Demographic and Health / Multiple Indicator Survey of Niger EDSN-MICS-IV 2012</v>
      </c>
      <c r="J794" s="7" t="str">
        <f aca="false">IF(ISNUMBER(SEARCH("Demographic and Health",I794)),"DHS",IF(OR(ISNUMBER(SEARCH("Multiple Indicator Cluster",I794)),ISNUMBER(SEARCH("MICS",I794))),"MICS","Other"))</f>
        <v>DHS</v>
      </c>
      <c r="K794" s="7" t="n">
        <f aca="false">IF(AND(F794="Record or Recall",G794="12-23 m"),1,0)</f>
        <v>0</v>
      </c>
      <c r="L794" s="7" t="n">
        <f aca="false">IF(OR(J794="DHS",J794="MICS"),1,0)</f>
        <v>1</v>
      </c>
    </row>
    <row r="795" customFormat="false" ht="15" hidden="false" customHeight="false" outlineLevel="0" collapsed="false">
      <c r="A795" s="7" t="s">
        <v>374</v>
      </c>
      <c r="B795" s="7" t="s">
        <v>384</v>
      </c>
      <c r="C795" s="7" t="s">
        <v>385</v>
      </c>
      <c r="D795" s="7" t="n">
        <v>2009</v>
      </c>
      <c r="E795" s="7" t="s">
        <v>81</v>
      </c>
      <c r="F795" s="7" t="s">
        <v>78</v>
      </c>
      <c r="G795" s="7" t="s">
        <v>88</v>
      </c>
      <c r="H795" s="7" t="n">
        <v>76.1</v>
      </c>
      <c r="I795" s="7" t="str">
        <f aca="false">IF(B795="",TRIM(C795),TRIM(B795))</f>
        <v>Demographic and Health / Multiple Indicator Survey of Niger EDSN-MICS-IV 2012</v>
      </c>
      <c r="J795" s="7" t="str">
        <f aca="false">IF(ISNUMBER(SEARCH("Demographic and Health",I795)),"DHS",IF(OR(ISNUMBER(SEARCH("Multiple Indicator Cluster",I795)),ISNUMBER(SEARCH("MICS",I795))),"MICS","Other"))</f>
        <v>DHS</v>
      </c>
      <c r="K795" s="7" t="n">
        <f aca="false">IF(AND(F795="Record or Recall",G795="12-23 m"),1,0)</f>
        <v>0</v>
      </c>
      <c r="L795" s="7" t="n">
        <f aca="false">IF(OR(J795="DHS",J795="MICS"),1,0)</f>
        <v>1</v>
      </c>
    </row>
    <row r="796" customFormat="false" ht="15" hidden="false" customHeight="false" outlineLevel="0" collapsed="false">
      <c r="A796" s="7" t="s">
        <v>374</v>
      </c>
      <c r="B796" s="7" t="s">
        <v>384</v>
      </c>
      <c r="C796" s="7" t="s">
        <v>385</v>
      </c>
      <c r="D796" s="7" t="n">
        <v>2009</v>
      </c>
      <c r="E796" s="7" t="s">
        <v>67</v>
      </c>
      <c r="F796" s="7" t="s">
        <v>78</v>
      </c>
      <c r="G796" s="7" t="s">
        <v>88</v>
      </c>
      <c r="H796" s="7" t="n">
        <v>55.1</v>
      </c>
      <c r="I796" s="7" t="str">
        <f aca="false">IF(B796="",TRIM(C796),TRIM(B796))</f>
        <v>Demographic and Health / Multiple Indicator Survey of Niger EDSN-MICS-IV 2012</v>
      </c>
      <c r="J796" s="7" t="str">
        <f aca="false">IF(ISNUMBER(SEARCH("Demographic and Health",I796)),"DHS",IF(OR(ISNUMBER(SEARCH("Multiple Indicator Cluster",I796)),ISNUMBER(SEARCH("MICS",I796))),"MICS","Other"))</f>
        <v>DHS</v>
      </c>
      <c r="K796" s="7" t="n">
        <f aca="false">IF(AND(F796="Record or Recall",G796="12-23 m"),1,0)</f>
        <v>0</v>
      </c>
      <c r="L796" s="7" t="n">
        <f aca="false">IF(OR(J796="DHS",J796="MICS"),1,0)</f>
        <v>1</v>
      </c>
    </row>
    <row r="797" customFormat="false" ht="15" hidden="false" customHeight="false" outlineLevel="0" collapsed="false">
      <c r="A797" s="7" t="s">
        <v>374</v>
      </c>
      <c r="B797" s="7" t="s">
        <v>384</v>
      </c>
      <c r="C797" s="7" t="s">
        <v>385</v>
      </c>
      <c r="D797" s="7" t="n">
        <v>2009</v>
      </c>
      <c r="E797" s="7" t="s">
        <v>82</v>
      </c>
      <c r="F797" s="7" t="s">
        <v>78</v>
      </c>
      <c r="G797" s="7" t="s">
        <v>88</v>
      </c>
      <c r="H797" s="7" t="n">
        <v>32.6</v>
      </c>
      <c r="I797" s="7" t="str">
        <f aca="false">IF(B797="",TRIM(C797),TRIM(B797))</f>
        <v>Demographic and Health / Multiple Indicator Survey of Niger EDSN-MICS-IV 2012</v>
      </c>
      <c r="J797" s="7" t="str">
        <f aca="false">IF(ISNUMBER(SEARCH("Demographic and Health",I797)),"DHS",IF(OR(ISNUMBER(SEARCH("Multiple Indicator Cluster",I797)),ISNUMBER(SEARCH("MICS",I797))),"MICS","Other"))</f>
        <v>DHS</v>
      </c>
      <c r="K797" s="7" t="n">
        <f aca="false">IF(AND(F797="Record or Recall",G797="12-23 m"),1,0)</f>
        <v>0</v>
      </c>
      <c r="L797" s="7" t="n">
        <f aca="false">IF(OR(J797="DHS",J797="MICS"),1,0)</f>
        <v>1</v>
      </c>
    </row>
    <row r="798" customFormat="false" ht="15" hidden="false" customHeight="false" outlineLevel="0" collapsed="false">
      <c r="A798" s="7" t="s">
        <v>374</v>
      </c>
      <c r="B798" s="7" t="s">
        <v>384</v>
      </c>
      <c r="C798" s="7" t="s">
        <v>385</v>
      </c>
      <c r="D798" s="7" t="n">
        <v>2009</v>
      </c>
      <c r="E798" s="7" t="s">
        <v>68</v>
      </c>
      <c r="F798" s="7" t="s">
        <v>78</v>
      </c>
      <c r="G798" s="7" t="s">
        <v>88</v>
      </c>
      <c r="H798" s="7" t="n">
        <v>52.8</v>
      </c>
      <c r="I798" s="7" t="str">
        <f aca="false">IF(B798="",TRIM(C798),TRIM(B798))</f>
        <v>Demographic and Health / Multiple Indicator Survey of Niger EDSN-MICS-IV 2012</v>
      </c>
      <c r="J798" s="7" t="str">
        <f aca="false">IF(ISNUMBER(SEARCH("Demographic and Health",I798)),"DHS",IF(OR(ISNUMBER(SEARCH("Multiple Indicator Cluster",I798)),ISNUMBER(SEARCH("MICS",I798))),"MICS","Other"))</f>
        <v>DHS</v>
      </c>
      <c r="K798" s="7" t="n">
        <f aca="false">IF(AND(F798="Record or Recall",G798="12-23 m"),1,0)</f>
        <v>0</v>
      </c>
      <c r="L798" s="7" t="n">
        <f aca="false">IF(OR(J798="DHS",J798="MICS"),1,0)</f>
        <v>1</v>
      </c>
    </row>
    <row r="799" customFormat="false" ht="15" hidden="false" customHeight="false" outlineLevel="0" collapsed="false">
      <c r="A799" s="7" t="s">
        <v>374</v>
      </c>
      <c r="B799" s="7" t="s">
        <v>384</v>
      </c>
      <c r="C799" s="7" t="s">
        <v>385</v>
      </c>
      <c r="D799" s="7" t="n">
        <v>2009</v>
      </c>
      <c r="E799" s="7" t="s">
        <v>69</v>
      </c>
      <c r="F799" s="7" t="s">
        <v>78</v>
      </c>
      <c r="G799" s="7" t="s">
        <v>88</v>
      </c>
      <c r="H799" s="7" t="n">
        <v>62.1</v>
      </c>
      <c r="I799" s="7" t="str">
        <f aca="false">IF(B799="",TRIM(C799),TRIM(B799))</f>
        <v>Demographic and Health / Multiple Indicator Survey of Niger EDSN-MICS-IV 2012</v>
      </c>
      <c r="J799" s="7" t="str">
        <f aca="false">IF(ISNUMBER(SEARCH("Demographic and Health",I799)),"DHS",IF(OR(ISNUMBER(SEARCH("Multiple Indicator Cluster",I799)),ISNUMBER(SEARCH("MICS",I799))),"MICS","Other"))</f>
        <v>DHS</v>
      </c>
      <c r="K799" s="7" t="n">
        <f aca="false">IF(AND(F799="Record or Recall",G799="12-23 m"),1,0)</f>
        <v>0</v>
      </c>
      <c r="L799" s="7" t="n">
        <f aca="false">IF(OR(J799="DHS",J799="MICS"),1,0)</f>
        <v>1</v>
      </c>
    </row>
    <row r="800" customFormat="false" ht="15" hidden="false" customHeight="false" outlineLevel="0" collapsed="false">
      <c r="A800" s="7" t="s">
        <v>374</v>
      </c>
      <c r="B800" s="7" t="s">
        <v>389</v>
      </c>
      <c r="C800" s="7" t="s">
        <v>390</v>
      </c>
      <c r="D800" s="7" t="n">
        <v>2009</v>
      </c>
      <c r="E800" s="7" t="s">
        <v>62</v>
      </c>
      <c r="F800" s="7" t="s">
        <v>86</v>
      </c>
      <c r="G800" s="7" t="s">
        <v>66</v>
      </c>
      <c r="H800" s="7" t="n">
        <v>57.3</v>
      </c>
      <c r="I800" s="7" t="str">
        <f aca="false">IF(B800="",TRIM(C800),TRIM(B800))</f>
        <v>Niger Child Mortality and Survival Survey 2010, Preliminary Report on Survival Components</v>
      </c>
      <c r="J800" s="7" t="str">
        <f aca="false">IF(ISNUMBER(SEARCH("Demographic and Health",I800)),"DHS",IF(OR(ISNUMBER(SEARCH("Multiple Indicator Cluster",I800)),ISNUMBER(SEARCH("MICS",I800))),"MICS","Other"))</f>
        <v>Other</v>
      </c>
      <c r="K800" s="7" t="n">
        <f aca="false">IF(AND(F800="Record or Recall",G800="12-23 m"),1,0)</f>
        <v>0</v>
      </c>
      <c r="L800" s="7" t="n">
        <f aca="false">IF(OR(J800="DHS",J800="MICS"),1,0)</f>
        <v>0</v>
      </c>
    </row>
    <row r="801" customFormat="false" ht="15" hidden="false" customHeight="false" outlineLevel="0" collapsed="false">
      <c r="A801" s="7" t="s">
        <v>374</v>
      </c>
      <c r="B801" s="7" t="s">
        <v>389</v>
      </c>
      <c r="C801" s="7" t="s">
        <v>390</v>
      </c>
      <c r="D801" s="7" t="n">
        <v>2009</v>
      </c>
      <c r="E801" s="7" t="s">
        <v>62</v>
      </c>
      <c r="F801" s="7" t="s">
        <v>63</v>
      </c>
      <c r="G801" s="7" t="s">
        <v>66</v>
      </c>
      <c r="H801" s="7" t="n">
        <v>86</v>
      </c>
      <c r="I801" s="7" t="str">
        <f aca="false">IF(B801="",TRIM(C801),TRIM(B801))</f>
        <v>Niger Child Mortality and Survival Survey 2010, Preliminary Report on Survival Components</v>
      </c>
      <c r="J801" s="7" t="str">
        <f aca="false">IF(ISNUMBER(SEARCH("Demographic and Health",I801)),"DHS",IF(OR(ISNUMBER(SEARCH("Multiple Indicator Cluster",I801)),ISNUMBER(SEARCH("MICS",I801))),"MICS","Other"))</f>
        <v>Other</v>
      </c>
      <c r="K801" s="7" t="n">
        <f aca="false">IF(AND(F801="Record or Recall",G801="12-23 m"),1,0)</f>
        <v>1</v>
      </c>
      <c r="L801" s="7" t="n">
        <f aca="false">IF(OR(J801="DHS",J801="MICS"),1,0)</f>
        <v>0</v>
      </c>
    </row>
    <row r="802" customFormat="false" ht="15" hidden="false" customHeight="false" outlineLevel="0" collapsed="false">
      <c r="A802" s="7" t="s">
        <v>374</v>
      </c>
      <c r="B802" s="7" t="s">
        <v>389</v>
      </c>
      <c r="C802" s="7" t="s">
        <v>390</v>
      </c>
      <c r="D802" s="7" t="n">
        <v>2009</v>
      </c>
      <c r="E802" s="7" t="s">
        <v>62</v>
      </c>
      <c r="F802" s="7" t="s">
        <v>87</v>
      </c>
      <c r="G802" s="7" t="s">
        <v>66</v>
      </c>
      <c r="H802" s="7" t="n">
        <v>28.7</v>
      </c>
      <c r="I802" s="7" t="str">
        <f aca="false">IF(B802="",TRIM(C802),TRIM(B802))</f>
        <v>Niger Child Mortality and Survival Survey 2010, Preliminary Report on Survival Components</v>
      </c>
      <c r="J802" s="7" t="str">
        <f aca="false">IF(ISNUMBER(SEARCH("Demographic and Health",I802)),"DHS",IF(OR(ISNUMBER(SEARCH("Multiple Indicator Cluster",I802)),ISNUMBER(SEARCH("MICS",I802))),"MICS","Other"))</f>
        <v>Other</v>
      </c>
      <c r="K802" s="7" t="n">
        <f aca="false">IF(AND(F802="Record or Recall",G802="12-23 m"),1,0)</f>
        <v>0</v>
      </c>
      <c r="L802" s="7" t="n">
        <f aca="false">IF(OR(J802="DHS",J802="MICS"),1,0)</f>
        <v>0</v>
      </c>
    </row>
    <row r="803" customFormat="false" ht="15" hidden="false" customHeight="false" outlineLevel="0" collapsed="false">
      <c r="A803" s="7" t="s">
        <v>374</v>
      </c>
      <c r="B803" s="7" t="s">
        <v>389</v>
      </c>
      <c r="C803" s="7" t="s">
        <v>390</v>
      </c>
      <c r="D803" s="7" t="n">
        <v>2009</v>
      </c>
      <c r="E803" s="7" t="s">
        <v>62</v>
      </c>
      <c r="F803" s="7" t="s">
        <v>388</v>
      </c>
      <c r="G803" s="7" t="s">
        <v>66</v>
      </c>
      <c r="H803" s="7" t="n">
        <v>78.7</v>
      </c>
      <c r="I803" s="7" t="str">
        <f aca="false">IF(B803="",TRIM(C803),TRIM(B803))</f>
        <v>Niger Child Mortality and Survival Survey 2010, Preliminary Report on Survival Components</v>
      </c>
      <c r="J803" s="7" t="str">
        <f aca="false">IF(ISNUMBER(SEARCH("Demographic and Health",I803)),"DHS",IF(OR(ISNUMBER(SEARCH("Multiple Indicator Cluster",I803)),ISNUMBER(SEARCH("MICS",I803))),"MICS","Other"))</f>
        <v>Other</v>
      </c>
      <c r="K803" s="7" t="n">
        <f aca="false">IF(AND(F803="Record or Recall",G803="12-23 m"),1,0)</f>
        <v>0</v>
      </c>
      <c r="L803" s="7" t="n">
        <f aca="false">IF(OR(J803="DHS",J803="MICS"),1,0)</f>
        <v>0</v>
      </c>
    </row>
    <row r="804" customFormat="false" ht="15" hidden="false" customHeight="false" outlineLevel="0" collapsed="false">
      <c r="A804" s="7" t="s">
        <v>374</v>
      </c>
      <c r="B804" s="7" t="s">
        <v>389</v>
      </c>
      <c r="C804" s="7" t="s">
        <v>390</v>
      </c>
      <c r="D804" s="7" t="n">
        <v>2009</v>
      </c>
      <c r="E804" s="7" t="s">
        <v>81</v>
      </c>
      <c r="F804" s="7" t="s">
        <v>86</v>
      </c>
      <c r="G804" s="7" t="s">
        <v>66</v>
      </c>
      <c r="H804" s="7" t="n">
        <v>53.6</v>
      </c>
      <c r="I804" s="7" t="str">
        <f aca="false">IF(B804="",TRIM(C804),TRIM(B804))</f>
        <v>Niger Child Mortality and Survival Survey 2010, Preliminary Report on Survival Components</v>
      </c>
      <c r="J804" s="7" t="str">
        <f aca="false">IF(ISNUMBER(SEARCH("Demographic and Health",I804)),"DHS",IF(OR(ISNUMBER(SEARCH("Multiple Indicator Cluster",I804)),ISNUMBER(SEARCH("MICS",I804))),"MICS","Other"))</f>
        <v>Other</v>
      </c>
      <c r="K804" s="7" t="n">
        <f aca="false">IF(AND(F804="Record or Recall",G804="12-23 m"),1,0)</f>
        <v>0</v>
      </c>
      <c r="L804" s="7" t="n">
        <f aca="false">IF(OR(J804="DHS",J804="MICS"),1,0)</f>
        <v>0</v>
      </c>
    </row>
    <row r="805" customFormat="false" ht="15" hidden="false" customHeight="false" outlineLevel="0" collapsed="false">
      <c r="A805" s="7" t="s">
        <v>374</v>
      </c>
      <c r="B805" s="7" t="s">
        <v>389</v>
      </c>
      <c r="C805" s="7" t="s">
        <v>390</v>
      </c>
      <c r="D805" s="7" t="n">
        <v>2009</v>
      </c>
      <c r="E805" s="7" t="s">
        <v>81</v>
      </c>
      <c r="F805" s="7" t="s">
        <v>63</v>
      </c>
      <c r="G805" s="7" t="s">
        <v>66</v>
      </c>
      <c r="H805" s="7" t="n">
        <v>80.6</v>
      </c>
      <c r="I805" s="7" t="str">
        <f aca="false">IF(B805="",TRIM(C805),TRIM(B805))</f>
        <v>Niger Child Mortality and Survival Survey 2010, Preliminary Report on Survival Components</v>
      </c>
      <c r="J805" s="7" t="str">
        <f aca="false">IF(ISNUMBER(SEARCH("Demographic and Health",I805)),"DHS",IF(OR(ISNUMBER(SEARCH("Multiple Indicator Cluster",I805)),ISNUMBER(SEARCH("MICS",I805))),"MICS","Other"))</f>
        <v>Other</v>
      </c>
      <c r="K805" s="7" t="n">
        <f aca="false">IF(AND(F805="Record or Recall",G805="12-23 m"),1,0)</f>
        <v>1</v>
      </c>
      <c r="L805" s="7" t="n">
        <f aca="false">IF(OR(J805="DHS",J805="MICS"),1,0)</f>
        <v>0</v>
      </c>
    </row>
    <row r="806" customFormat="false" ht="15" hidden="false" customHeight="false" outlineLevel="0" collapsed="false">
      <c r="A806" s="7" t="s">
        <v>374</v>
      </c>
      <c r="B806" s="7" t="s">
        <v>389</v>
      </c>
      <c r="C806" s="7" t="s">
        <v>390</v>
      </c>
      <c r="D806" s="7" t="n">
        <v>2009</v>
      </c>
      <c r="E806" s="7" t="s">
        <v>81</v>
      </c>
      <c r="F806" s="7" t="s">
        <v>87</v>
      </c>
      <c r="G806" s="7" t="s">
        <v>66</v>
      </c>
      <c r="H806" s="7" t="n">
        <v>27</v>
      </c>
      <c r="I806" s="7" t="str">
        <f aca="false">IF(B806="",TRIM(C806),TRIM(B806))</f>
        <v>Niger Child Mortality and Survival Survey 2010, Preliminary Report on Survival Components</v>
      </c>
      <c r="J806" s="7" t="str">
        <f aca="false">IF(ISNUMBER(SEARCH("Demographic and Health",I806)),"DHS",IF(OR(ISNUMBER(SEARCH("Multiple Indicator Cluster",I806)),ISNUMBER(SEARCH("MICS",I806))),"MICS","Other"))</f>
        <v>Other</v>
      </c>
      <c r="K806" s="7" t="n">
        <f aca="false">IF(AND(F806="Record or Recall",G806="12-23 m"),1,0)</f>
        <v>0</v>
      </c>
      <c r="L806" s="7" t="n">
        <f aca="false">IF(OR(J806="DHS",J806="MICS"),1,0)</f>
        <v>0</v>
      </c>
    </row>
    <row r="807" customFormat="false" ht="15" hidden="false" customHeight="false" outlineLevel="0" collapsed="false">
      <c r="A807" s="7" t="s">
        <v>374</v>
      </c>
      <c r="B807" s="7" t="s">
        <v>389</v>
      </c>
      <c r="C807" s="7" t="s">
        <v>390</v>
      </c>
      <c r="D807" s="7" t="n">
        <v>2009</v>
      </c>
      <c r="E807" s="7" t="s">
        <v>67</v>
      </c>
      <c r="F807" s="7" t="s">
        <v>86</v>
      </c>
      <c r="G807" s="7" t="s">
        <v>66</v>
      </c>
      <c r="H807" s="7" t="n">
        <v>47</v>
      </c>
      <c r="I807" s="7" t="str">
        <f aca="false">IF(B807="",TRIM(C807),TRIM(B807))</f>
        <v>Niger Child Mortality and Survival Survey 2010, Preliminary Report on Survival Components</v>
      </c>
      <c r="J807" s="7" t="str">
        <f aca="false">IF(ISNUMBER(SEARCH("Demographic and Health",I807)),"DHS",IF(OR(ISNUMBER(SEARCH("Multiple Indicator Cluster",I807)),ISNUMBER(SEARCH("MICS",I807))),"MICS","Other"))</f>
        <v>Other</v>
      </c>
      <c r="K807" s="7" t="n">
        <f aca="false">IF(AND(F807="Record or Recall",G807="12-23 m"),1,0)</f>
        <v>0</v>
      </c>
      <c r="L807" s="7" t="n">
        <f aca="false">IF(OR(J807="DHS",J807="MICS"),1,0)</f>
        <v>0</v>
      </c>
    </row>
    <row r="808" customFormat="false" ht="15" hidden="false" customHeight="false" outlineLevel="0" collapsed="false">
      <c r="A808" s="7" t="s">
        <v>374</v>
      </c>
      <c r="B808" s="7" t="s">
        <v>389</v>
      </c>
      <c r="C808" s="7" t="s">
        <v>390</v>
      </c>
      <c r="D808" s="7" t="n">
        <v>2009</v>
      </c>
      <c r="E808" s="7" t="s">
        <v>67</v>
      </c>
      <c r="F808" s="7" t="s">
        <v>63</v>
      </c>
      <c r="G808" s="7" t="s">
        <v>66</v>
      </c>
      <c r="H808" s="7" t="n">
        <v>69.3</v>
      </c>
      <c r="I808" s="7" t="str">
        <f aca="false">IF(B808="",TRIM(C808),TRIM(B808))</f>
        <v>Niger Child Mortality and Survival Survey 2010, Preliminary Report on Survival Components</v>
      </c>
      <c r="J808" s="7" t="str">
        <f aca="false">IF(ISNUMBER(SEARCH("Demographic and Health",I808)),"DHS",IF(OR(ISNUMBER(SEARCH("Multiple Indicator Cluster",I808)),ISNUMBER(SEARCH("MICS",I808))),"MICS","Other"))</f>
        <v>Other</v>
      </c>
      <c r="K808" s="7" t="n">
        <f aca="false">IF(AND(F808="Record or Recall",G808="12-23 m"),1,0)</f>
        <v>1</v>
      </c>
      <c r="L808" s="7" t="n">
        <f aca="false">IF(OR(J808="DHS",J808="MICS"),1,0)</f>
        <v>0</v>
      </c>
    </row>
    <row r="809" customFormat="false" ht="15" hidden="false" customHeight="false" outlineLevel="0" collapsed="false">
      <c r="A809" s="7" t="s">
        <v>374</v>
      </c>
      <c r="B809" s="7" t="s">
        <v>389</v>
      </c>
      <c r="C809" s="7" t="s">
        <v>390</v>
      </c>
      <c r="D809" s="7" t="n">
        <v>2009</v>
      </c>
      <c r="E809" s="7" t="s">
        <v>67</v>
      </c>
      <c r="F809" s="7" t="s">
        <v>87</v>
      </c>
      <c r="G809" s="7" t="s">
        <v>66</v>
      </c>
      <c r="H809" s="7" t="n">
        <v>22.3</v>
      </c>
      <c r="I809" s="7" t="str">
        <f aca="false">IF(B809="",TRIM(C809),TRIM(B809))</f>
        <v>Niger Child Mortality and Survival Survey 2010, Preliminary Report on Survival Components</v>
      </c>
      <c r="J809" s="7" t="str">
        <f aca="false">IF(ISNUMBER(SEARCH("Demographic and Health",I809)),"DHS",IF(OR(ISNUMBER(SEARCH("Multiple Indicator Cluster",I809)),ISNUMBER(SEARCH("MICS",I809))),"MICS","Other"))</f>
        <v>Other</v>
      </c>
      <c r="K809" s="7" t="n">
        <f aca="false">IF(AND(F809="Record or Recall",G809="12-23 m"),1,0)</f>
        <v>0</v>
      </c>
      <c r="L809" s="7" t="n">
        <f aca="false">IF(OR(J809="DHS",J809="MICS"),1,0)</f>
        <v>0</v>
      </c>
    </row>
    <row r="810" customFormat="false" ht="15" hidden="false" customHeight="false" outlineLevel="0" collapsed="false">
      <c r="A810" s="7" t="s">
        <v>374</v>
      </c>
      <c r="B810" s="7" t="s">
        <v>389</v>
      </c>
      <c r="C810" s="7" t="s">
        <v>390</v>
      </c>
      <c r="D810" s="7" t="n">
        <v>2009</v>
      </c>
      <c r="E810" s="7" t="s">
        <v>68</v>
      </c>
      <c r="F810" s="7" t="s">
        <v>86</v>
      </c>
      <c r="G810" s="7" t="s">
        <v>66</v>
      </c>
      <c r="H810" s="7" t="n">
        <v>45</v>
      </c>
      <c r="I810" s="7" t="str">
        <f aca="false">IF(B810="",TRIM(C810),TRIM(B810))</f>
        <v>Niger Child Mortality and Survival Survey 2010, Preliminary Report on Survival Components</v>
      </c>
      <c r="J810" s="7" t="str">
        <f aca="false">IF(ISNUMBER(SEARCH("Demographic and Health",I810)),"DHS",IF(OR(ISNUMBER(SEARCH("Multiple Indicator Cluster",I810)),ISNUMBER(SEARCH("MICS",I810))),"MICS","Other"))</f>
        <v>Other</v>
      </c>
      <c r="K810" s="7" t="n">
        <f aca="false">IF(AND(F810="Record or Recall",G810="12-23 m"),1,0)</f>
        <v>0</v>
      </c>
      <c r="L810" s="7" t="n">
        <f aca="false">IF(OR(J810="DHS",J810="MICS"),1,0)</f>
        <v>0</v>
      </c>
    </row>
    <row r="811" customFormat="false" ht="15" hidden="false" customHeight="false" outlineLevel="0" collapsed="false">
      <c r="A811" s="7" t="s">
        <v>374</v>
      </c>
      <c r="B811" s="7" t="s">
        <v>389</v>
      </c>
      <c r="C811" s="7" t="s">
        <v>390</v>
      </c>
      <c r="D811" s="7" t="n">
        <v>2009</v>
      </c>
      <c r="E811" s="7" t="s">
        <v>68</v>
      </c>
      <c r="F811" s="7" t="s">
        <v>63</v>
      </c>
      <c r="G811" s="7" t="s">
        <v>66</v>
      </c>
      <c r="H811" s="7" t="n">
        <v>68.6</v>
      </c>
      <c r="I811" s="7" t="str">
        <f aca="false">IF(B811="",TRIM(C811),TRIM(B811))</f>
        <v>Niger Child Mortality and Survival Survey 2010, Preliminary Report on Survival Components</v>
      </c>
      <c r="J811" s="7" t="str">
        <f aca="false">IF(ISNUMBER(SEARCH("Demographic and Health",I811)),"DHS",IF(OR(ISNUMBER(SEARCH("Multiple Indicator Cluster",I811)),ISNUMBER(SEARCH("MICS",I811))),"MICS","Other"))</f>
        <v>Other</v>
      </c>
      <c r="K811" s="7" t="n">
        <f aca="false">IF(AND(F811="Record or Recall",G811="12-23 m"),1,0)</f>
        <v>1</v>
      </c>
      <c r="L811" s="7" t="n">
        <f aca="false">IF(OR(J811="DHS",J811="MICS"),1,0)</f>
        <v>0</v>
      </c>
    </row>
    <row r="812" customFormat="false" ht="15" hidden="false" customHeight="false" outlineLevel="0" collapsed="false">
      <c r="A812" s="7" t="s">
        <v>374</v>
      </c>
      <c r="B812" s="7" t="s">
        <v>389</v>
      </c>
      <c r="C812" s="7" t="s">
        <v>390</v>
      </c>
      <c r="D812" s="7" t="n">
        <v>2009</v>
      </c>
      <c r="E812" s="7" t="s">
        <v>68</v>
      </c>
      <c r="F812" s="7" t="s">
        <v>87</v>
      </c>
      <c r="G812" s="7" t="s">
        <v>66</v>
      </c>
      <c r="H812" s="7" t="n">
        <v>23.6</v>
      </c>
      <c r="I812" s="7" t="str">
        <f aca="false">IF(B812="",TRIM(C812),TRIM(B812))</f>
        <v>Niger Child Mortality and Survival Survey 2010, Preliminary Report on Survival Components</v>
      </c>
      <c r="J812" s="7" t="str">
        <f aca="false">IF(ISNUMBER(SEARCH("Demographic and Health",I812)),"DHS",IF(OR(ISNUMBER(SEARCH("Multiple Indicator Cluster",I812)),ISNUMBER(SEARCH("MICS",I812))),"MICS","Other"))</f>
        <v>Other</v>
      </c>
      <c r="K812" s="7" t="n">
        <f aca="false">IF(AND(F812="Record or Recall",G812="12-23 m"),1,0)</f>
        <v>0</v>
      </c>
      <c r="L812" s="7" t="n">
        <f aca="false">IF(OR(J812="DHS",J812="MICS"),1,0)</f>
        <v>0</v>
      </c>
    </row>
    <row r="813" customFormat="false" ht="15" hidden="false" customHeight="false" outlineLevel="0" collapsed="false">
      <c r="A813" s="7" t="s">
        <v>374</v>
      </c>
      <c r="B813" s="7" t="s">
        <v>389</v>
      </c>
      <c r="C813" s="7" t="s">
        <v>390</v>
      </c>
      <c r="D813" s="7" t="n">
        <v>2009</v>
      </c>
      <c r="E813" s="7" t="s">
        <v>69</v>
      </c>
      <c r="F813" s="7" t="s">
        <v>87</v>
      </c>
      <c r="G813" s="7" t="s">
        <v>66</v>
      </c>
      <c r="H813" s="7" t="n">
        <v>27.1</v>
      </c>
      <c r="I813" s="7" t="str">
        <f aca="false">IF(B813="",TRIM(C813),TRIM(B813))</f>
        <v>Niger Child Mortality and Survival Survey 2010, Preliminary Report on Survival Components</v>
      </c>
      <c r="J813" s="7" t="str">
        <f aca="false">IF(ISNUMBER(SEARCH("Demographic and Health",I813)),"DHS",IF(OR(ISNUMBER(SEARCH("Multiple Indicator Cluster",I813)),ISNUMBER(SEARCH("MICS",I813))),"MICS","Other"))</f>
        <v>Other</v>
      </c>
      <c r="K813" s="7" t="n">
        <f aca="false">IF(AND(F813="Record or Recall",G813="12-23 m"),1,0)</f>
        <v>0</v>
      </c>
      <c r="L813" s="7" t="n">
        <f aca="false">IF(OR(J813="DHS",J813="MICS"),1,0)</f>
        <v>0</v>
      </c>
    </row>
    <row r="814" customFormat="false" ht="15" hidden="false" customHeight="false" outlineLevel="0" collapsed="false">
      <c r="A814" s="7" t="s">
        <v>374</v>
      </c>
      <c r="B814" s="7" t="s">
        <v>389</v>
      </c>
      <c r="C814" s="7" t="s">
        <v>390</v>
      </c>
      <c r="D814" s="7" t="n">
        <v>2009</v>
      </c>
      <c r="E814" s="7" t="s">
        <v>69</v>
      </c>
      <c r="F814" s="7" t="s">
        <v>86</v>
      </c>
      <c r="G814" s="7" t="s">
        <v>66</v>
      </c>
      <c r="H814" s="7" t="n">
        <v>46.2</v>
      </c>
      <c r="I814" s="7" t="str">
        <f aca="false">IF(B814="",TRIM(C814),TRIM(B814))</f>
        <v>Niger Child Mortality and Survival Survey 2010, Preliminary Report on Survival Components</v>
      </c>
      <c r="J814" s="7" t="str">
        <f aca="false">IF(ISNUMBER(SEARCH("Demographic and Health",I814)),"DHS",IF(OR(ISNUMBER(SEARCH("Multiple Indicator Cluster",I814)),ISNUMBER(SEARCH("MICS",I814))),"MICS","Other"))</f>
        <v>Other</v>
      </c>
      <c r="K814" s="7" t="n">
        <f aca="false">IF(AND(F814="Record or Recall",G814="12-23 m"),1,0)</f>
        <v>0</v>
      </c>
      <c r="L814" s="7" t="n">
        <f aca="false">IF(OR(J814="DHS",J814="MICS"),1,0)</f>
        <v>0</v>
      </c>
    </row>
    <row r="815" customFormat="false" ht="15" hidden="false" customHeight="false" outlineLevel="0" collapsed="false">
      <c r="A815" s="7" t="s">
        <v>374</v>
      </c>
      <c r="B815" s="7" t="s">
        <v>389</v>
      </c>
      <c r="C815" s="7" t="s">
        <v>390</v>
      </c>
      <c r="D815" s="7" t="n">
        <v>2009</v>
      </c>
      <c r="E815" s="7" t="s">
        <v>69</v>
      </c>
      <c r="F815" s="7" t="s">
        <v>63</v>
      </c>
      <c r="G815" s="7" t="s">
        <v>66</v>
      </c>
      <c r="H815" s="7" t="n">
        <v>73.3</v>
      </c>
      <c r="I815" s="7" t="str">
        <f aca="false">IF(B815="",TRIM(C815),TRIM(B815))</f>
        <v>Niger Child Mortality and Survival Survey 2010, Preliminary Report on Survival Components</v>
      </c>
      <c r="J815" s="7" t="str">
        <f aca="false">IF(ISNUMBER(SEARCH("Demographic and Health",I815)),"DHS",IF(OR(ISNUMBER(SEARCH("Multiple Indicator Cluster",I815)),ISNUMBER(SEARCH("MICS",I815))),"MICS","Other"))</f>
        <v>Other</v>
      </c>
      <c r="K815" s="7" t="n">
        <f aca="false">IF(AND(F815="Record or Recall",G815="12-23 m"),1,0)</f>
        <v>1</v>
      </c>
      <c r="L815" s="7" t="n">
        <f aca="false">IF(OR(J815="DHS",J815="MICS"),1,0)</f>
        <v>0</v>
      </c>
    </row>
    <row r="816" customFormat="false" ht="15" hidden="false" customHeight="false" outlineLevel="0" collapsed="false">
      <c r="A816" s="7" t="s">
        <v>374</v>
      </c>
      <c r="B816" s="7" t="s">
        <v>384</v>
      </c>
      <c r="C816" s="7" t="s">
        <v>385</v>
      </c>
      <c r="D816" s="7" t="n">
        <v>2010</v>
      </c>
      <c r="E816" s="7" t="s">
        <v>62</v>
      </c>
      <c r="F816" s="7" t="s">
        <v>78</v>
      </c>
      <c r="G816" s="7" t="s">
        <v>91</v>
      </c>
      <c r="H816" s="7" t="n">
        <v>78.8</v>
      </c>
      <c r="I816" s="7" t="str">
        <f aca="false">IF(B816="",TRIM(C816),TRIM(B816))</f>
        <v>Demographic and Health / Multiple Indicator Survey of Niger EDSN-MICS-IV 2012</v>
      </c>
      <c r="J816" s="7" t="str">
        <f aca="false">IF(ISNUMBER(SEARCH("Demographic and Health",I816)),"DHS",IF(OR(ISNUMBER(SEARCH("Multiple Indicator Cluster",I816)),ISNUMBER(SEARCH("MICS",I816))),"MICS","Other"))</f>
        <v>DHS</v>
      </c>
      <c r="K816" s="7" t="n">
        <f aca="false">IF(AND(F816="Record or Recall",G816="12-23 m"),1,0)</f>
        <v>0</v>
      </c>
      <c r="L816" s="7" t="n">
        <f aca="false">IF(OR(J816="DHS",J816="MICS"),1,0)</f>
        <v>1</v>
      </c>
    </row>
    <row r="817" customFormat="false" ht="15" hidden="false" customHeight="false" outlineLevel="0" collapsed="false">
      <c r="A817" s="7" t="s">
        <v>374</v>
      </c>
      <c r="B817" s="7" t="s">
        <v>384</v>
      </c>
      <c r="C817" s="7" t="s">
        <v>385</v>
      </c>
      <c r="D817" s="7" t="n">
        <v>2010</v>
      </c>
      <c r="E817" s="7" t="s">
        <v>81</v>
      </c>
      <c r="F817" s="7" t="s">
        <v>78</v>
      </c>
      <c r="G817" s="7" t="s">
        <v>91</v>
      </c>
      <c r="H817" s="7" t="n">
        <v>79.7</v>
      </c>
      <c r="I817" s="7" t="str">
        <f aca="false">IF(B817="",TRIM(C817),TRIM(B817))</f>
        <v>Demographic and Health / Multiple Indicator Survey of Niger EDSN-MICS-IV 2012</v>
      </c>
      <c r="J817" s="7" t="str">
        <f aca="false">IF(ISNUMBER(SEARCH("Demographic and Health",I817)),"DHS",IF(OR(ISNUMBER(SEARCH("Multiple Indicator Cluster",I817)),ISNUMBER(SEARCH("MICS",I817))),"MICS","Other"))</f>
        <v>DHS</v>
      </c>
      <c r="K817" s="7" t="n">
        <f aca="false">IF(AND(F817="Record or Recall",G817="12-23 m"),1,0)</f>
        <v>0</v>
      </c>
      <c r="L817" s="7" t="n">
        <f aca="false">IF(OR(J817="DHS",J817="MICS"),1,0)</f>
        <v>1</v>
      </c>
    </row>
    <row r="818" customFormat="false" ht="15" hidden="false" customHeight="false" outlineLevel="0" collapsed="false">
      <c r="A818" s="7" t="s">
        <v>374</v>
      </c>
      <c r="B818" s="7" t="s">
        <v>384</v>
      </c>
      <c r="C818" s="7" t="s">
        <v>385</v>
      </c>
      <c r="D818" s="7" t="n">
        <v>2010</v>
      </c>
      <c r="E818" s="7" t="s">
        <v>67</v>
      </c>
      <c r="F818" s="7" t="s">
        <v>78</v>
      </c>
      <c r="G818" s="7" t="s">
        <v>91</v>
      </c>
      <c r="H818" s="7" t="n">
        <v>59.9</v>
      </c>
      <c r="I818" s="7" t="str">
        <f aca="false">IF(B818="",TRIM(C818),TRIM(B818))</f>
        <v>Demographic and Health / Multiple Indicator Survey of Niger EDSN-MICS-IV 2012</v>
      </c>
      <c r="J818" s="7" t="str">
        <f aca="false">IF(ISNUMBER(SEARCH("Demographic and Health",I818)),"DHS",IF(OR(ISNUMBER(SEARCH("Multiple Indicator Cluster",I818)),ISNUMBER(SEARCH("MICS",I818))),"MICS","Other"))</f>
        <v>DHS</v>
      </c>
      <c r="K818" s="7" t="n">
        <f aca="false">IF(AND(F818="Record or Recall",G818="12-23 m"),1,0)</f>
        <v>0</v>
      </c>
      <c r="L818" s="7" t="n">
        <f aca="false">IF(OR(J818="DHS",J818="MICS"),1,0)</f>
        <v>1</v>
      </c>
    </row>
    <row r="819" customFormat="false" ht="15" hidden="false" customHeight="false" outlineLevel="0" collapsed="false">
      <c r="A819" s="7" t="s">
        <v>374</v>
      </c>
      <c r="B819" s="7" t="s">
        <v>384</v>
      </c>
      <c r="C819" s="7" t="s">
        <v>385</v>
      </c>
      <c r="D819" s="7" t="n">
        <v>2010</v>
      </c>
      <c r="E819" s="7" t="s">
        <v>82</v>
      </c>
      <c r="F819" s="7" t="s">
        <v>78</v>
      </c>
      <c r="G819" s="7" t="s">
        <v>91</v>
      </c>
      <c r="H819" s="7" t="n">
        <v>37.9</v>
      </c>
      <c r="I819" s="7" t="str">
        <f aca="false">IF(B819="",TRIM(C819),TRIM(B819))</f>
        <v>Demographic and Health / Multiple Indicator Survey of Niger EDSN-MICS-IV 2012</v>
      </c>
      <c r="J819" s="7" t="str">
        <f aca="false">IF(ISNUMBER(SEARCH("Demographic and Health",I819)),"DHS",IF(OR(ISNUMBER(SEARCH("Multiple Indicator Cluster",I819)),ISNUMBER(SEARCH("MICS",I819))),"MICS","Other"))</f>
        <v>DHS</v>
      </c>
      <c r="K819" s="7" t="n">
        <f aca="false">IF(AND(F819="Record or Recall",G819="12-23 m"),1,0)</f>
        <v>0</v>
      </c>
      <c r="L819" s="7" t="n">
        <f aca="false">IF(OR(J819="DHS",J819="MICS"),1,0)</f>
        <v>1</v>
      </c>
    </row>
    <row r="820" customFormat="false" ht="15" hidden="false" customHeight="false" outlineLevel="0" collapsed="false">
      <c r="A820" s="7" t="s">
        <v>374</v>
      </c>
      <c r="B820" s="7" t="s">
        <v>384</v>
      </c>
      <c r="C820" s="7" t="s">
        <v>385</v>
      </c>
      <c r="D820" s="7" t="n">
        <v>2010</v>
      </c>
      <c r="E820" s="7" t="s">
        <v>68</v>
      </c>
      <c r="F820" s="7" t="s">
        <v>78</v>
      </c>
      <c r="G820" s="7" t="s">
        <v>91</v>
      </c>
      <c r="H820" s="7" t="n">
        <v>52.8</v>
      </c>
      <c r="I820" s="7" t="str">
        <f aca="false">IF(B820="",TRIM(C820),TRIM(B820))</f>
        <v>Demographic and Health / Multiple Indicator Survey of Niger EDSN-MICS-IV 2012</v>
      </c>
      <c r="J820" s="7" t="str">
        <f aca="false">IF(ISNUMBER(SEARCH("Demographic and Health",I820)),"DHS",IF(OR(ISNUMBER(SEARCH("Multiple Indicator Cluster",I820)),ISNUMBER(SEARCH("MICS",I820))),"MICS","Other"))</f>
        <v>DHS</v>
      </c>
      <c r="K820" s="7" t="n">
        <f aca="false">IF(AND(F820="Record or Recall",G820="12-23 m"),1,0)</f>
        <v>0</v>
      </c>
      <c r="L820" s="7" t="n">
        <f aca="false">IF(OR(J820="DHS",J820="MICS"),1,0)</f>
        <v>1</v>
      </c>
    </row>
    <row r="821" customFormat="false" ht="15" hidden="false" customHeight="false" outlineLevel="0" collapsed="false">
      <c r="A821" s="7" t="s">
        <v>374</v>
      </c>
      <c r="B821" s="7" t="s">
        <v>384</v>
      </c>
      <c r="C821" s="7" t="s">
        <v>385</v>
      </c>
      <c r="D821" s="7" t="n">
        <v>2010</v>
      </c>
      <c r="E821" s="7" t="s">
        <v>69</v>
      </c>
      <c r="F821" s="7" t="s">
        <v>78</v>
      </c>
      <c r="G821" s="7" t="s">
        <v>91</v>
      </c>
      <c r="H821" s="7" t="n">
        <v>67.9</v>
      </c>
      <c r="I821" s="7" t="str">
        <f aca="false">IF(B821="",TRIM(C821),TRIM(B821))</f>
        <v>Demographic and Health / Multiple Indicator Survey of Niger EDSN-MICS-IV 2012</v>
      </c>
      <c r="J821" s="7" t="str">
        <f aca="false">IF(ISNUMBER(SEARCH("Demographic and Health",I821)),"DHS",IF(OR(ISNUMBER(SEARCH("Multiple Indicator Cluster",I821)),ISNUMBER(SEARCH("MICS",I821))),"MICS","Other"))</f>
        <v>DHS</v>
      </c>
      <c r="K821" s="7" t="n">
        <f aca="false">IF(AND(F821="Record or Recall",G821="12-23 m"),1,0)</f>
        <v>0</v>
      </c>
      <c r="L821" s="7" t="n">
        <f aca="false">IF(OR(J821="DHS",J821="MICS"),1,0)</f>
        <v>1</v>
      </c>
    </row>
    <row r="822" customFormat="false" ht="15" hidden="false" customHeight="false" outlineLevel="0" collapsed="false">
      <c r="A822" s="7" t="s">
        <v>374</v>
      </c>
      <c r="B822" s="7" t="s">
        <v>384</v>
      </c>
      <c r="C822" s="7" t="s">
        <v>385</v>
      </c>
      <c r="D822" s="7" t="n">
        <v>2011</v>
      </c>
      <c r="E822" s="7" t="s">
        <v>62</v>
      </c>
      <c r="F822" s="7" t="s">
        <v>87</v>
      </c>
      <c r="G822" s="7" t="s">
        <v>66</v>
      </c>
      <c r="H822" s="7" t="n">
        <v>23.4</v>
      </c>
      <c r="I822" s="7" t="str">
        <f aca="false">IF(B822="",TRIM(C822),TRIM(B822))</f>
        <v>Demographic and Health / Multiple Indicator Survey of Niger EDSN-MICS-IV 2012</v>
      </c>
      <c r="J822" s="7" t="str">
        <f aca="false">IF(ISNUMBER(SEARCH("Demographic and Health",I822)),"DHS",IF(OR(ISNUMBER(SEARCH("Multiple Indicator Cluster",I822)),ISNUMBER(SEARCH("MICS",I822))),"MICS","Other"))</f>
        <v>DHS</v>
      </c>
      <c r="K822" s="7" t="n">
        <f aca="false">IF(AND(F822="Record or Recall",G822="12-23 m"),1,0)</f>
        <v>0</v>
      </c>
      <c r="L822" s="7" t="n">
        <f aca="false">IF(OR(J822="DHS",J822="MICS"),1,0)</f>
        <v>1</v>
      </c>
    </row>
    <row r="823" customFormat="false" ht="15" hidden="false" customHeight="false" outlineLevel="0" collapsed="false">
      <c r="A823" s="7" t="s">
        <v>374</v>
      </c>
      <c r="B823" s="7" t="s">
        <v>384</v>
      </c>
      <c r="C823" s="7" t="s">
        <v>385</v>
      </c>
      <c r="D823" s="7" t="n">
        <v>2011</v>
      </c>
      <c r="E823" s="7" t="s">
        <v>62</v>
      </c>
      <c r="F823" s="7" t="s">
        <v>78</v>
      </c>
      <c r="G823" s="7" t="s">
        <v>66</v>
      </c>
      <c r="H823" s="7" t="n">
        <v>82.6</v>
      </c>
      <c r="I823" s="7" t="str">
        <f aca="false">IF(B823="",TRIM(C823),TRIM(B823))</f>
        <v>Demographic and Health / Multiple Indicator Survey of Niger EDSN-MICS-IV 2012</v>
      </c>
      <c r="J823" s="7" t="str">
        <f aca="false">IF(ISNUMBER(SEARCH("Demographic and Health",I823)),"DHS",IF(OR(ISNUMBER(SEARCH("Multiple Indicator Cluster",I823)),ISNUMBER(SEARCH("MICS",I823))),"MICS","Other"))</f>
        <v>DHS</v>
      </c>
      <c r="K823" s="7" t="n">
        <f aca="false">IF(AND(F823="Record or Recall",G823="12-23 m"),1,0)</f>
        <v>0</v>
      </c>
      <c r="L823" s="7" t="n">
        <f aca="false">IF(OR(J823="DHS",J823="MICS"),1,0)</f>
        <v>1</v>
      </c>
    </row>
    <row r="824" customFormat="false" ht="15" hidden="false" customHeight="false" outlineLevel="0" collapsed="false">
      <c r="A824" s="7" t="s">
        <v>374</v>
      </c>
      <c r="B824" s="7" t="s">
        <v>384</v>
      </c>
      <c r="C824" s="7" t="s">
        <v>385</v>
      </c>
      <c r="D824" s="7" t="n">
        <v>2011</v>
      </c>
      <c r="E824" s="7" t="s">
        <v>62</v>
      </c>
      <c r="F824" s="7" t="s">
        <v>86</v>
      </c>
      <c r="G824" s="7" t="s">
        <v>66</v>
      </c>
      <c r="H824" s="7" t="n">
        <v>60.6</v>
      </c>
      <c r="I824" s="7" t="str">
        <f aca="false">IF(B824="",TRIM(C824),TRIM(B824))</f>
        <v>Demographic and Health / Multiple Indicator Survey of Niger EDSN-MICS-IV 2012</v>
      </c>
      <c r="J824" s="7" t="str">
        <f aca="false">IF(ISNUMBER(SEARCH("Demographic and Health",I824)),"DHS",IF(OR(ISNUMBER(SEARCH("Multiple Indicator Cluster",I824)),ISNUMBER(SEARCH("MICS",I824))),"MICS","Other"))</f>
        <v>DHS</v>
      </c>
      <c r="K824" s="7" t="n">
        <f aca="false">IF(AND(F824="Record or Recall",G824="12-23 m"),1,0)</f>
        <v>0</v>
      </c>
      <c r="L824" s="7" t="n">
        <f aca="false">IF(OR(J824="DHS",J824="MICS"),1,0)</f>
        <v>1</v>
      </c>
    </row>
    <row r="825" customFormat="false" ht="15" hidden="false" customHeight="false" outlineLevel="0" collapsed="false">
      <c r="A825" s="7" t="s">
        <v>374</v>
      </c>
      <c r="B825" s="7" t="s">
        <v>384</v>
      </c>
      <c r="C825" s="7" t="s">
        <v>385</v>
      </c>
      <c r="D825" s="7" t="n">
        <v>2011</v>
      </c>
      <c r="E825" s="7" t="s">
        <v>62</v>
      </c>
      <c r="F825" s="7" t="s">
        <v>63</v>
      </c>
      <c r="G825" s="7" t="s">
        <v>66</v>
      </c>
      <c r="H825" s="7" t="n">
        <v>84</v>
      </c>
      <c r="I825" s="7" t="str">
        <f aca="false">IF(B825="",TRIM(C825),TRIM(B825))</f>
        <v>Demographic and Health / Multiple Indicator Survey of Niger EDSN-MICS-IV 2012</v>
      </c>
      <c r="J825" s="7" t="str">
        <f aca="false">IF(ISNUMBER(SEARCH("Demographic and Health",I825)),"DHS",IF(OR(ISNUMBER(SEARCH("Multiple Indicator Cluster",I825)),ISNUMBER(SEARCH("MICS",I825))),"MICS","Other"))</f>
        <v>DHS</v>
      </c>
      <c r="K825" s="7" t="n">
        <f aca="false">IF(AND(F825="Record or Recall",G825="12-23 m"),1,0)</f>
        <v>1</v>
      </c>
      <c r="L825" s="7" t="n">
        <f aca="false">IF(OR(J825="DHS",J825="MICS"),1,0)</f>
        <v>1</v>
      </c>
    </row>
    <row r="826" customFormat="false" ht="15" hidden="false" customHeight="false" outlineLevel="0" collapsed="false">
      <c r="A826" s="7" t="s">
        <v>374</v>
      </c>
      <c r="B826" s="7" t="s">
        <v>384</v>
      </c>
      <c r="C826" s="7" t="s">
        <v>385</v>
      </c>
      <c r="D826" s="7" t="n">
        <v>2011</v>
      </c>
      <c r="E826" s="7" t="s">
        <v>81</v>
      </c>
      <c r="F826" s="7" t="s">
        <v>78</v>
      </c>
      <c r="G826" s="7" t="s">
        <v>66</v>
      </c>
      <c r="H826" s="7" t="n">
        <v>84.4</v>
      </c>
      <c r="I826" s="7" t="str">
        <f aca="false">IF(B826="",TRIM(C826),TRIM(B826))</f>
        <v>Demographic and Health / Multiple Indicator Survey of Niger EDSN-MICS-IV 2012</v>
      </c>
      <c r="J826" s="7" t="str">
        <f aca="false">IF(ISNUMBER(SEARCH("Demographic and Health",I826)),"DHS",IF(OR(ISNUMBER(SEARCH("Multiple Indicator Cluster",I826)),ISNUMBER(SEARCH("MICS",I826))),"MICS","Other"))</f>
        <v>DHS</v>
      </c>
      <c r="K826" s="7" t="n">
        <f aca="false">IF(AND(F826="Record or Recall",G826="12-23 m"),1,0)</f>
        <v>0</v>
      </c>
      <c r="L826" s="7" t="n">
        <f aca="false">IF(OR(J826="DHS",J826="MICS"),1,0)</f>
        <v>1</v>
      </c>
    </row>
    <row r="827" customFormat="false" ht="15" hidden="false" customHeight="false" outlineLevel="0" collapsed="false">
      <c r="A827" s="7" t="s">
        <v>374</v>
      </c>
      <c r="B827" s="7" t="s">
        <v>384</v>
      </c>
      <c r="C827" s="7" t="s">
        <v>385</v>
      </c>
      <c r="D827" s="7" t="n">
        <v>2011</v>
      </c>
      <c r="E827" s="7" t="s">
        <v>81</v>
      </c>
      <c r="F827" s="7" t="s">
        <v>86</v>
      </c>
      <c r="G827" s="7" t="s">
        <v>66</v>
      </c>
      <c r="H827" s="7" t="n">
        <v>62.8</v>
      </c>
      <c r="I827" s="7" t="str">
        <f aca="false">IF(B827="",TRIM(C827),TRIM(B827))</f>
        <v>Demographic and Health / Multiple Indicator Survey of Niger EDSN-MICS-IV 2012</v>
      </c>
      <c r="J827" s="7" t="str">
        <f aca="false">IF(ISNUMBER(SEARCH("Demographic and Health",I827)),"DHS",IF(OR(ISNUMBER(SEARCH("Multiple Indicator Cluster",I827)),ISNUMBER(SEARCH("MICS",I827))),"MICS","Other"))</f>
        <v>DHS</v>
      </c>
      <c r="K827" s="7" t="n">
        <f aca="false">IF(AND(F827="Record or Recall",G827="12-23 m"),1,0)</f>
        <v>0</v>
      </c>
      <c r="L827" s="7" t="n">
        <f aca="false">IF(OR(J827="DHS",J827="MICS"),1,0)</f>
        <v>1</v>
      </c>
    </row>
    <row r="828" customFormat="false" ht="15" hidden="false" customHeight="false" outlineLevel="0" collapsed="false">
      <c r="A828" s="7" t="s">
        <v>374</v>
      </c>
      <c r="B828" s="7" t="s">
        <v>384</v>
      </c>
      <c r="C828" s="7" t="s">
        <v>385</v>
      </c>
      <c r="D828" s="7" t="n">
        <v>2011</v>
      </c>
      <c r="E828" s="7" t="s">
        <v>81</v>
      </c>
      <c r="F828" s="7" t="s">
        <v>63</v>
      </c>
      <c r="G828" s="7" t="s">
        <v>66</v>
      </c>
      <c r="H828" s="7" t="n">
        <v>86.2</v>
      </c>
      <c r="I828" s="7" t="str">
        <f aca="false">IF(B828="",TRIM(C828),TRIM(B828))</f>
        <v>Demographic and Health / Multiple Indicator Survey of Niger EDSN-MICS-IV 2012</v>
      </c>
      <c r="J828" s="7" t="str">
        <f aca="false">IF(ISNUMBER(SEARCH("Demographic and Health",I828)),"DHS",IF(OR(ISNUMBER(SEARCH("Multiple Indicator Cluster",I828)),ISNUMBER(SEARCH("MICS",I828))),"MICS","Other"))</f>
        <v>DHS</v>
      </c>
      <c r="K828" s="7" t="n">
        <f aca="false">IF(AND(F828="Record or Recall",G828="12-23 m"),1,0)</f>
        <v>1</v>
      </c>
      <c r="L828" s="7" t="n">
        <f aca="false">IF(OR(J828="DHS",J828="MICS"),1,0)</f>
        <v>1</v>
      </c>
    </row>
    <row r="829" customFormat="false" ht="15" hidden="false" customHeight="false" outlineLevel="0" collapsed="false">
      <c r="A829" s="7" t="s">
        <v>374</v>
      </c>
      <c r="B829" s="7" t="s">
        <v>384</v>
      </c>
      <c r="C829" s="7" t="s">
        <v>385</v>
      </c>
      <c r="D829" s="7" t="n">
        <v>2011</v>
      </c>
      <c r="E829" s="7" t="s">
        <v>81</v>
      </c>
      <c r="F829" s="7" t="s">
        <v>87</v>
      </c>
      <c r="G829" s="7" t="s">
        <v>66</v>
      </c>
      <c r="H829" s="7" t="n">
        <v>23.3</v>
      </c>
      <c r="I829" s="7" t="str">
        <f aca="false">IF(B829="",TRIM(C829),TRIM(B829))</f>
        <v>Demographic and Health / Multiple Indicator Survey of Niger EDSN-MICS-IV 2012</v>
      </c>
      <c r="J829" s="7" t="str">
        <f aca="false">IF(ISNUMBER(SEARCH("Demographic and Health",I829)),"DHS",IF(OR(ISNUMBER(SEARCH("Multiple Indicator Cluster",I829)),ISNUMBER(SEARCH("MICS",I829))),"MICS","Other"))</f>
        <v>DHS</v>
      </c>
      <c r="K829" s="7" t="n">
        <f aca="false">IF(AND(F829="Record or Recall",G829="12-23 m"),1,0)</f>
        <v>0</v>
      </c>
      <c r="L829" s="7" t="n">
        <f aca="false">IF(OR(J829="DHS",J829="MICS"),1,0)</f>
        <v>1</v>
      </c>
    </row>
    <row r="830" customFormat="false" ht="15" hidden="false" customHeight="false" outlineLevel="0" collapsed="false">
      <c r="A830" s="7" t="s">
        <v>374</v>
      </c>
      <c r="B830" s="7" t="s">
        <v>384</v>
      </c>
      <c r="C830" s="7" t="s">
        <v>385</v>
      </c>
      <c r="D830" s="7" t="n">
        <v>2011</v>
      </c>
      <c r="E830" s="7" t="s">
        <v>67</v>
      </c>
      <c r="F830" s="7" t="s">
        <v>78</v>
      </c>
      <c r="G830" s="7" t="s">
        <v>66</v>
      </c>
      <c r="H830" s="7" t="n">
        <v>64.8</v>
      </c>
      <c r="I830" s="7" t="str">
        <f aca="false">IF(B830="",TRIM(C830),TRIM(B830))</f>
        <v>Demographic and Health / Multiple Indicator Survey of Niger EDSN-MICS-IV 2012</v>
      </c>
      <c r="J830" s="7" t="str">
        <f aca="false">IF(ISNUMBER(SEARCH("Demographic and Health",I830)),"DHS",IF(OR(ISNUMBER(SEARCH("Multiple Indicator Cluster",I830)),ISNUMBER(SEARCH("MICS",I830))),"MICS","Other"))</f>
        <v>DHS</v>
      </c>
      <c r="K830" s="7" t="n">
        <f aca="false">IF(AND(F830="Record or Recall",G830="12-23 m"),1,0)</f>
        <v>0</v>
      </c>
      <c r="L830" s="7" t="n">
        <f aca="false">IF(OR(J830="DHS",J830="MICS"),1,0)</f>
        <v>1</v>
      </c>
    </row>
    <row r="831" customFormat="false" ht="15" hidden="false" customHeight="false" outlineLevel="0" collapsed="false">
      <c r="A831" s="7" t="s">
        <v>374</v>
      </c>
      <c r="B831" s="7" t="s">
        <v>384</v>
      </c>
      <c r="C831" s="7" t="s">
        <v>385</v>
      </c>
      <c r="D831" s="7" t="n">
        <v>2011</v>
      </c>
      <c r="E831" s="7" t="s">
        <v>67</v>
      </c>
      <c r="F831" s="7" t="s">
        <v>86</v>
      </c>
      <c r="G831" s="7" t="s">
        <v>66</v>
      </c>
      <c r="H831" s="7" t="n">
        <v>54.8</v>
      </c>
      <c r="I831" s="7" t="str">
        <f aca="false">IF(B831="",TRIM(C831),TRIM(B831))</f>
        <v>Demographic and Health / Multiple Indicator Survey of Niger EDSN-MICS-IV 2012</v>
      </c>
      <c r="J831" s="7" t="str">
        <f aca="false">IF(ISNUMBER(SEARCH("Demographic and Health",I831)),"DHS",IF(OR(ISNUMBER(SEARCH("Multiple Indicator Cluster",I831)),ISNUMBER(SEARCH("MICS",I831))),"MICS","Other"))</f>
        <v>DHS</v>
      </c>
      <c r="K831" s="7" t="n">
        <f aca="false">IF(AND(F831="Record or Recall",G831="12-23 m"),1,0)</f>
        <v>0</v>
      </c>
      <c r="L831" s="7" t="n">
        <f aca="false">IF(OR(J831="DHS",J831="MICS"),1,0)</f>
        <v>1</v>
      </c>
    </row>
    <row r="832" customFormat="false" ht="15" hidden="false" customHeight="false" outlineLevel="0" collapsed="false">
      <c r="A832" s="7" t="s">
        <v>374</v>
      </c>
      <c r="B832" s="7" t="s">
        <v>384</v>
      </c>
      <c r="C832" s="7" t="s">
        <v>385</v>
      </c>
      <c r="D832" s="7" t="n">
        <v>2011</v>
      </c>
      <c r="E832" s="7" t="s">
        <v>67</v>
      </c>
      <c r="F832" s="7" t="s">
        <v>63</v>
      </c>
      <c r="G832" s="7" t="s">
        <v>66</v>
      </c>
      <c r="H832" s="7" t="n">
        <v>68.1</v>
      </c>
      <c r="I832" s="7" t="str">
        <f aca="false">IF(B832="",TRIM(C832),TRIM(B832))</f>
        <v>Demographic and Health / Multiple Indicator Survey of Niger EDSN-MICS-IV 2012</v>
      </c>
      <c r="J832" s="7" t="str">
        <f aca="false">IF(ISNUMBER(SEARCH("Demographic and Health",I832)),"DHS",IF(OR(ISNUMBER(SEARCH("Multiple Indicator Cluster",I832)),ISNUMBER(SEARCH("MICS",I832))),"MICS","Other"))</f>
        <v>DHS</v>
      </c>
      <c r="K832" s="7" t="n">
        <f aca="false">IF(AND(F832="Record or Recall",G832="12-23 m"),1,0)</f>
        <v>1</v>
      </c>
      <c r="L832" s="7" t="n">
        <f aca="false">IF(OR(J832="DHS",J832="MICS"),1,0)</f>
        <v>1</v>
      </c>
    </row>
    <row r="833" customFormat="false" ht="15" hidden="false" customHeight="false" outlineLevel="0" collapsed="false">
      <c r="A833" s="7" t="s">
        <v>374</v>
      </c>
      <c r="B833" s="7" t="s">
        <v>384</v>
      </c>
      <c r="C833" s="7" t="s">
        <v>385</v>
      </c>
      <c r="D833" s="7" t="n">
        <v>2011</v>
      </c>
      <c r="E833" s="7" t="s">
        <v>67</v>
      </c>
      <c r="F833" s="7" t="s">
        <v>87</v>
      </c>
      <c r="G833" s="7" t="s">
        <v>66</v>
      </c>
      <c r="H833" s="7" t="n">
        <v>13.3</v>
      </c>
      <c r="I833" s="7" t="str">
        <f aca="false">IF(B833="",TRIM(C833),TRIM(B833))</f>
        <v>Demographic and Health / Multiple Indicator Survey of Niger EDSN-MICS-IV 2012</v>
      </c>
      <c r="J833" s="7" t="str">
        <f aca="false">IF(ISNUMBER(SEARCH("Demographic and Health",I833)),"DHS",IF(OR(ISNUMBER(SEARCH("Multiple Indicator Cluster",I833)),ISNUMBER(SEARCH("MICS",I833))),"MICS","Other"))</f>
        <v>DHS</v>
      </c>
      <c r="K833" s="7" t="n">
        <f aca="false">IF(AND(F833="Record or Recall",G833="12-23 m"),1,0)</f>
        <v>0</v>
      </c>
      <c r="L833" s="7" t="n">
        <f aca="false">IF(OR(J833="DHS",J833="MICS"),1,0)</f>
        <v>1</v>
      </c>
    </row>
    <row r="834" customFormat="false" ht="15" hidden="false" customHeight="false" outlineLevel="0" collapsed="false">
      <c r="A834" s="7" t="s">
        <v>374</v>
      </c>
      <c r="B834" s="7" t="s">
        <v>384</v>
      </c>
      <c r="C834" s="7" t="s">
        <v>385</v>
      </c>
      <c r="D834" s="7" t="n">
        <v>2011</v>
      </c>
      <c r="E834" s="7" t="s">
        <v>82</v>
      </c>
      <c r="F834" s="7" t="s">
        <v>78</v>
      </c>
      <c r="G834" s="7" t="s">
        <v>66</v>
      </c>
      <c r="H834" s="7" t="n">
        <v>43.9</v>
      </c>
      <c r="I834" s="7" t="str">
        <f aca="false">IF(B834="",TRIM(C834),TRIM(B834))</f>
        <v>Demographic and Health / Multiple Indicator Survey of Niger EDSN-MICS-IV 2012</v>
      </c>
      <c r="J834" s="7" t="str">
        <f aca="false">IF(ISNUMBER(SEARCH("Demographic and Health",I834)),"DHS",IF(OR(ISNUMBER(SEARCH("Multiple Indicator Cluster",I834)),ISNUMBER(SEARCH("MICS",I834))),"MICS","Other"))</f>
        <v>DHS</v>
      </c>
      <c r="K834" s="7" t="n">
        <f aca="false">IF(AND(F834="Record or Recall",G834="12-23 m"),1,0)</f>
        <v>0</v>
      </c>
      <c r="L834" s="7" t="n">
        <f aca="false">IF(OR(J834="DHS",J834="MICS"),1,0)</f>
        <v>1</v>
      </c>
    </row>
    <row r="835" customFormat="false" ht="15" hidden="false" customHeight="false" outlineLevel="0" collapsed="false">
      <c r="A835" s="7" t="s">
        <v>374</v>
      </c>
      <c r="B835" s="7" t="s">
        <v>384</v>
      </c>
      <c r="C835" s="7" t="s">
        <v>385</v>
      </c>
      <c r="D835" s="7" t="n">
        <v>2011</v>
      </c>
      <c r="E835" s="7" t="s">
        <v>82</v>
      </c>
      <c r="F835" s="7" t="s">
        <v>86</v>
      </c>
      <c r="G835" s="7" t="s">
        <v>66</v>
      </c>
      <c r="H835" s="7" t="n">
        <v>44.2</v>
      </c>
      <c r="I835" s="7" t="str">
        <f aca="false">IF(B835="",TRIM(C835),TRIM(B835))</f>
        <v>Demographic and Health / Multiple Indicator Survey of Niger EDSN-MICS-IV 2012</v>
      </c>
      <c r="J835" s="7" t="str">
        <f aca="false">IF(ISNUMBER(SEARCH("Demographic and Health",I835)),"DHS",IF(OR(ISNUMBER(SEARCH("Multiple Indicator Cluster",I835)),ISNUMBER(SEARCH("MICS",I835))),"MICS","Other"))</f>
        <v>DHS</v>
      </c>
      <c r="K835" s="7" t="n">
        <f aca="false">IF(AND(F835="Record or Recall",G835="12-23 m"),1,0)</f>
        <v>0</v>
      </c>
      <c r="L835" s="7" t="n">
        <f aca="false">IF(OR(J835="DHS",J835="MICS"),1,0)</f>
        <v>1</v>
      </c>
    </row>
    <row r="836" customFormat="false" ht="15" hidden="false" customHeight="false" outlineLevel="0" collapsed="false">
      <c r="A836" s="7" t="s">
        <v>374</v>
      </c>
      <c r="B836" s="7" t="s">
        <v>384</v>
      </c>
      <c r="C836" s="7" t="s">
        <v>385</v>
      </c>
      <c r="D836" s="7" t="n">
        <v>2011</v>
      </c>
      <c r="E836" s="7" t="s">
        <v>82</v>
      </c>
      <c r="F836" s="7" t="s">
        <v>63</v>
      </c>
      <c r="G836" s="7" t="s">
        <v>66</v>
      </c>
      <c r="H836" s="7" t="n">
        <v>52</v>
      </c>
      <c r="I836" s="7" t="str">
        <f aca="false">IF(B836="",TRIM(C836),TRIM(B836))</f>
        <v>Demographic and Health / Multiple Indicator Survey of Niger EDSN-MICS-IV 2012</v>
      </c>
      <c r="J836" s="7" t="str">
        <f aca="false">IF(ISNUMBER(SEARCH("Demographic and Health",I836)),"DHS",IF(OR(ISNUMBER(SEARCH("Multiple Indicator Cluster",I836)),ISNUMBER(SEARCH("MICS",I836))),"MICS","Other"))</f>
        <v>DHS</v>
      </c>
      <c r="K836" s="7" t="n">
        <f aca="false">IF(AND(F836="Record or Recall",G836="12-23 m"),1,0)</f>
        <v>1</v>
      </c>
      <c r="L836" s="7" t="n">
        <f aca="false">IF(OR(J836="DHS",J836="MICS"),1,0)</f>
        <v>1</v>
      </c>
    </row>
    <row r="837" customFormat="false" ht="15" hidden="false" customHeight="false" outlineLevel="0" collapsed="false">
      <c r="A837" s="7" t="s">
        <v>374</v>
      </c>
      <c r="B837" s="7" t="s">
        <v>384</v>
      </c>
      <c r="C837" s="7" t="s">
        <v>385</v>
      </c>
      <c r="D837" s="7" t="n">
        <v>2011</v>
      </c>
      <c r="E837" s="7" t="s">
        <v>82</v>
      </c>
      <c r="F837" s="7" t="s">
        <v>87</v>
      </c>
      <c r="G837" s="7" t="s">
        <v>66</v>
      </c>
      <c r="H837" s="7" t="n">
        <v>7.8</v>
      </c>
      <c r="I837" s="7" t="str">
        <f aca="false">IF(B837="",TRIM(C837),TRIM(B837))</f>
        <v>Demographic and Health / Multiple Indicator Survey of Niger EDSN-MICS-IV 2012</v>
      </c>
      <c r="J837" s="7" t="str">
        <f aca="false">IF(ISNUMBER(SEARCH("Demographic and Health",I837)),"DHS",IF(OR(ISNUMBER(SEARCH("Multiple Indicator Cluster",I837)),ISNUMBER(SEARCH("MICS",I837))),"MICS","Other"))</f>
        <v>DHS</v>
      </c>
      <c r="K837" s="7" t="n">
        <f aca="false">IF(AND(F837="Record or Recall",G837="12-23 m"),1,0)</f>
        <v>0</v>
      </c>
      <c r="L837" s="7" t="n">
        <f aca="false">IF(OR(J837="DHS",J837="MICS"),1,0)</f>
        <v>1</v>
      </c>
    </row>
    <row r="838" customFormat="false" ht="15" hidden="false" customHeight="false" outlineLevel="0" collapsed="false">
      <c r="A838" s="7" t="s">
        <v>374</v>
      </c>
      <c r="B838" s="7" t="s">
        <v>384</v>
      </c>
      <c r="C838" s="7" t="s">
        <v>385</v>
      </c>
      <c r="D838" s="7" t="n">
        <v>2011</v>
      </c>
      <c r="E838" s="7" t="s">
        <v>68</v>
      </c>
      <c r="F838" s="7" t="s">
        <v>78</v>
      </c>
      <c r="G838" s="7" t="s">
        <v>66</v>
      </c>
      <c r="H838" s="7" t="n">
        <v>57.5</v>
      </c>
      <c r="I838" s="7" t="str">
        <f aca="false">IF(B838="",TRIM(C838),TRIM(B838))</f>
        <v>Demographic and Health / Multiple Indicator Survey of Niger EDSN-MICS-IV 2012</v>
      </c>
      <c r="J838" s="7" t="str">
        <f aca="false">IF(ISNUMBER(SEARCH("Demographic and Health",I838)),"DHS",IF(OR(ISNUMBER(SEARCH("Multiple Indicator Cluster",I838)),ISNUMBER(SEARCH("MICS",I838))),"MICS","Other"))</f>
        <v>DHS</v>
      </c>
      <c r="K838" s="7" t="n">
        <f aca="false">IF(AND(F838="Record or Recall",G838="12-23 m"),1,0)</f>
        <v>0</v>
      </c>
      <c r="L838" s="7" t="n">
        <f aca="false">IF(OR(J838="DHS",J838="MICS"),1,0)</f>
        <v>1</v>
      </c>
    </row>
    <row r="839" customFormat="false" ht="15" hidden="false" customHeight="false" outlineLevel="0" collapsed="false">
      <c r="A839" s="7" t="s">
        <v>374</v>
      </c>
      <c r="B839" s="7" t="s">
        <v>384</v>
      </c>
      <c r="C839" s="7" t="s">
        <v>385</v>
      </c>
      <c r="D839" s="7" t="n">
        <v>2011</v>
      </c>
      <c r="E839" s="7" t="s">
        <v>68</v>
      </c>
      <c r="F839" s="7" t="s">
        <v>86</v>
      </c>
      <c r="G839" s="7" t="s">
        <v>66</v>
      </c>
      <c r="H839" s="7" t="n">
        <v>49.6</v>
      </c>
      <c r="I839" s="7" t="str">
        <f aca="false">IF(B839="",TRIM(C839),TRIM(B839))</f>
        <v>Demographic and Health / Multiple Indicator Survey of Niger EDSN-MICS-IV 2012</v>
      </c>
      <c r="J839" s="7" t="str">
        <f aca="false">IF(ISNUMBER(SEARCH("Demographic and Health",I839)),"DHS",IF(OR(ISNUMBER(SEARCH("Multiple Indicator Cluster",I839)),ISNUMBER(SEARCH("MICS",I839))),"MICS","Other"))</f>
        <v>DHS</v>
      </c>
      <c r="K839" s="7" t="n">
        <f aca="false">IF(AND(F839="Record or Recall",G839="12-23 m"),1,0)</f>
        <v>0</v>
      </c>
      <c r="L839" s="7" t="n">
        <f aca="false">IF(OR(J839="DHS",J839="MICS"),1,0)</f>
        <v>1</v>
      </c>
    </row>
    <row r="840" customFormat="false" ht="15" hidden="false" customHeight="false" outlineLevel="0" collapsed="false">
      <c r="A840" s="7" t="s">
        <v>374</v>
      </c>
      <c r="B840" s="7" t="s">
        <v>384</v>
      </c>
      <c r="C840" s="7" t="s">
        <v>385</v>
      </c>
      <c r="D840" s="7" t="n">
        <v>2011</v>
      </c>
      <c r="E840" s="7" t="s">
        <v>68</v>
      </c>
      <c r="F840" s="7" t="s">
        <v>63</v>
      </c>
      <c r="G840" s="7" t="s">
        <v>66</v>
      </c>
      <c r="H840" s="7" t="n">
        <v>68.7</v>
      </c>
      <c r="I840" s="7" t="str">
        <f aca="false">IF(B840="",TRIM(C840),TRIM(B840))</f>
        <v>Demographic and Health / Multiple Indicator Survey of Niger EDSN-MICS-IV 2012</v>
      </c>
      <c r="J840" s="7" t="str">
        <f aca="false">IF(ISNUMBER(SEARCH("Demographic and Health",I840)),"DHS",IF(OR(ISNUMBER(SEARCH("Multiple Indicator Cluster",I840)),ISNUMBER(SEARCH("MICS",I840))),"MICS","Other"))</f>
        <v>DHS</v>
      </c>
      <c r="K840" s="7" t="n">
        <f aca="false">IF(AND(F840="Record or Recall",G840="12-23 m"),1,0)</f>
        <v>1</v>
      </c>
      <c r="L840" s="7" t="n">
        <f aca="false">IF(OR(J840="DHS",J840="MICS"),1,0)</f>
        <v>1</v>
      </c>
    </row>
    <row r="841" customFormat="false" ht="15" hidden="false" customHeight="false" outlineLevel="0" collapsed="false">
      <c r="A841" s="7" t="s">
        <v>374</v>
      </c>
      <c r="B841" s="7" t="s">
        <v>384</v>
      </c>
      <c r="C841" s="7" t="s">
        <v>385</v>
      </c>
      <c r="D841" s="7" t="n">
        <v>2011</v>
      </c>
      <c r="E841" s="7" t="s">
        <v>68</v>
      </c>
      <c r="F841" s="7" t="s">
        <v>87</v>
      </c>
      <c r="G841" s="7" t="s">
        <v>66</v>
      </c>
      <c r="H841" s="7" t="n">
        <v>19.1</v>
      </c>
      <c r="I841" s="7" t="str">
        <f aca="false">IF(B841="",TRIM(C841),TRIM(B841))</f>
        <v>Demographic and Health / Multiple Indicator Survey of Niger EDSN-MICS-IV 2012</v>
      </c>
      <c r="J841" s="7" t="str">
        <f aca="false">IF(ISNUMBER(SEARCH("Demographic and Health",I841)),"DHS",IF(OR(ISNUMBER(SEARCH("Multiple Indicator Cluster",I841)),ISNUMBER(SEARCH("MICS",I841))),"MICS","Other"))</f>
        <v>DHS</v>
      </c>
      <c r="K841" s="7" t="n">
        <f aca="false">IF(AND(F841="Record or Recall",G841="12-23 m"),1,0)</f>
        <v>0</v>
      </c>
      <c r="L841" s="7" t="n">
        <f aca="false">IF(OR(J841="DHS",J841="MICS"),1,0)</f>
        <v>1</v>
      </c>
    </row>
    <row r="842" customFormat="false" ht="15" hidden="false" customHeight="false" outlineLevel="0" collapsed="false">
      <c r="A842" s="7" t="s">
        <v>374</v>
      </c>
      <c r="B842" s="7" t="s">
        <v>384</v>
      </c>
      <c r="C842" s="7" t="s">
        <v>385</v>
      </c>
      <c r="D842" s="7" t="n">
        <v>2011</v>
      </c>
      <c r="E842" s="7" t="s">
        <v>69</v>
      </c>
      <c r="F842" s="7" t="s">
        <v>78</v>
      </c>
      <c r="G842" s="7" t="s">
        <v>66</v>
      </c>
      <c r="H842" s="7" t="n">
        <v>71.1</v>
      </c>
      <c r="I842" s="7" t="str">
        <f aca="false">IF(B842="",TRIM(C842),TRIM(B842))</f>
        <v>Demographic and Health / Multiple Indicator Survey of Niger EDSN-MICS-IV 2012</v>
      </c>
      <c r="J842" s="7" t="str">
        <f aca="false">IF(ISNUMBER(SEARCH("Demographic and Health",I842)),"DHS",IF(OR(ISNUMBER(SEARCH("Multiple Indicator Cluster",I842)),ISNUMBER(SEARCH("MICS",I842))),"MICS","Other"))</f>
        <v>DHS</v>
      </c>
      <c r="K842" s="7" t="n">
        <f aca="false">IF(AND(F842="Record or Recall",G842="12-23 m"),1,0)</f>
        <v>0</v>
      </c>
      <c r="L842" s="7" t="n">
        <f aca="false">IF(OR(J842="DHS",J842="MICS"),1,0)</f>
        <v>1</v>
      </c>
    </row>
    <row r="843" customFormat="false" ht="15" hidden="false" customHeight="false" outlineLevel="0" collapsed="false">
      <c r="A843" s="7" t="s">
        <v>374</v>
      </c>
      <c r="B843" s="7" t="s">
        <v>384</v>
      </c>
      <c r="C843" s="7" t="s">
        <v>385</v>
      </c>
      <c r="D843" s="7" t="n">
        <v>2011</v>
      </c>
      <c r="E843" s="7" t="s">
        <v>69</v>
      </c>
      <c r="F843" s="7" t="s">
        <v>86</v>
      </c>
      <c r="G843" s="7" t="s">
        <v>66</v>
      </c>
      <c r="H843" s="7" t="n">
        <v>55.3</v>
      </c>
      <c r="I843" s="7" t="str">
        <f aca="false">IF(B843="",TRIM(C843),TRIM(B843))</f>
        <v>Demographic and Health / Multiple Indicator Survey of Niger EDSN-MICS-IV 2012</v>
      </c>
      <c r="J843" s="7" t="str">
        <f aca="false">IF(ISNUMBER(SEARCH("Demographic and Health",I843)),"DHS",IF(OR(ISNUMBER(SEARCH("Multiple Indicator Cluster",I843)),ISNUMBER(SEARCH("MICS",I843))),"MICS","Other"))</f>
        <v>DHS</v>
      </c>
      <c r="K843" s="7" t="n">
        <f aca="false">IF(AND(F843="Record or Recall",G843="12-23 m"),1,0)</f>
        <v>0</v>
      </c>
      <c r="L843" s="7" t="n">
        <f aca="false">IF(OR(J843="DHS",J843="MICS"),1,0)</f>
        <v>1</v>
      </c>
    </row>
    <row r="844" customFormat="false" ht="15" hidden="false" customHeight="false" outlineLevel="0" collapsed="false">
      <c r="A844" s="7" t="s">
        <v>374</v>
      </c>
      <c r="B844" s="7" t="s">
        <v>384</v>
      </c>
      <c r="C844" s="7" t="s">
        <v>385</v>
      </c>
      <c r="D844" s="7" t="n">
        <v>2011</v>
      </c>
      <c r="E844" s="7" t="s">
        <v>69</v>
      </c>
      <c r="F844" s="7" t="s">
        <v>63</v>
      </c>
      <c r="G844" s="7" t="s">
        <v>66</v>
      </c>
      <c r="H844" s="7" t="n">
        <v>74.7</v>
      </c>
      <c r="I844" s="7" t="str">
        <f aca="false">IF(B844="",TRIM(C844),TRIM(B844))</f>
        <v>Demographic and Health / Multiple Indicator Survey of Niger EDSN-MICS-IV 2012</v>
      </c>
      <c r="J844" s="7" t="str">
        <f aca="false">IF(ISNUMBER(SEARCH("Demographic and Health",I844)),"DHS",IF(OR(ISNUMBER(SEARCH("Multiple Indicator Cluster",I844)),ISNUMBER(SEARCH("MICS",I844))),"MICS","Other"))</f>
        <v>DHS</v>
      </c>
      <c r="K844" s="7" t="n">
        <f aca="false">IF(AND(F844="Record or Recall",G844="12-23 m"),1,0)</f>
        <v>1</v>
      </c>
      <c r="L844" s="7" t="n">
        <f aca="false">IF(OR(J844="DHS",J844="MICS"),1,0)</f>
        <v>1</v>
      </c>
    </row>
    <row r="845" customFormat="false" ht="15" hidden="false" customHeight="false" outlineLevel="0" collapsed="false">
      <c r="A845" s="7" t="s">
        <v>374</v>
      </c>
      <c r="B845" s="7" t="s">
        <v>384</v>
      </c>
      <c r="C845" s="7" t="s">
        <v>385</v>
      </c>
      <c r="D845" s="7" t="n">
        <v>2011</v>
      </c>
      <c r="E845" s="7" t="s">
        <v>69</v>
      </c>
      <c r="F845" s="7" t="s">
        <v>87</v>
      </c>
      <c r="G845" s="7" t="s">
        <v>66</v>
      </c>
      <c r="H845" s="7" t="n">
        <v>19.4</v>
      </c>
      <c r="I845" s="7" t="str">
        <f aca="false">IF(B845="",TRIM(C845),TRIM(B845))</f>
        <v>Demographic and Health / Multiple Indicator Survey of Niger EDSN-MICS-IV 2012</v>
      </c>
      <c r="J845" s="7" t="str">
        <f aca="false">IF(ISNUMBER(SEARCH("Demographic and Health",I845)),"DHS",IF(OR(ISNUMBER(SEARCH("Multiple Indicator Cluster",I845)),ISNUMBER(SEARCH("MICS",I845))),"MICS","Other"))</f>
        <v>DHS</v>
      </c>
      <c r="K845" s="7" t="n">
        <f aca="false">IF(AND(F845="Record or Recall",G845="12-23 m"),1,0)</f>
        <v>0</v>
      </c>
      <c r="L845" s="7" t="n">
        <f aca="false">IF(OR(J845="DHS",J845="MICS"),1,0)</f>
        <v>1</v>
      </c>
    </row>
    <row r="846" customFormat="false" ht="15" hidden="false" customHeight="false" outlineLevel="0" collapsed="false">
      <c r="A846" s="7" t="s">
        <v>374</v>
      </c>
      <c r="B846" s="7" t="s">
        <v>391</v>
      </c>
      <c r="C846" s="7" t="s">
        <v>392</v>
      </c>
      <c r="D846" s="7" t="n">
        <v>2012</v>
      </c>
      <c r="E846" s="7" t="s">
        <v>62</v>
      </c>
      <c r="F846" s="7" t="s">
        <v>86</v>
      </c>
      <c r="G846" s="7" t="s">
        <v>66</v>
      </c>
      <c r="H846" s="7" t="n">
        <v>42.5</v>
      </c>
      <c r="I846" s="7" t="str">
        <f aca="false">IF(B846="",TRIM(C846),TRIM(B846))</f>
        <v>Post measles campaign and routine immunization coverage evaluation survey, Niger, 2013</v>
      </c>
      <c r="J846" s="7" t="str">
        <f aca="false">IF(ISNUMBER(SEARCH("Demographic and Health",I846)),"DHS",IF(OR(ISNUMBER(SEARCH("Multiple Indicator Cluster",I846)),ISNUMBER(SEARCH("MICS",I846))),"MICS","Other"))</f>
        <v>Other</v>
      </c>
      <c r="K846" s="7" t="n">
        <f aca="false">IF(AND(F846="Record or Recall",G846="12-23 m"),1,0)</f>
        <v>0</v>
      </c>
      <c r="L846" s="7" t="n">
        <f aca="false">IF(OR(J846="DHS",J846="MICS"),1,0)</f>
        <v>0</v>
      </c>
    </row>
    <row r="847" customFormat="false" ht="15" hidden="false" customHeight="false" outlineLevel="0" collapsed="false">
      <c r="A847" s="7" t="s">
        <v>374</v>
      </c>
      <c r="B847" s="7" t="s">
        <v>391</v>
      </c>
      <c r="C847" s="7" t="s">
        <v>392</v>
      </c>
      <c r="D847" s="7" t="n">
        <v>2012</v>
      </c>
      <c r="E847" s="7" t="s">
        <v>62</v>
      </c>
      <c r="F847" s="7" t="s">
        <v>63</v>
      </c>
      <c r="G847" s="7" t="s">
        <v>66</v>
      </c>
      <c r="H847" s="7" t="n">
        <v>85.2</v>
      </c>
      <c r="I847" s="7" t="str">
        <f aca="false">IF(B847="",TRIM(C847),TRIM(B847))</f>
        <v>Post measles campaign and routine immunization coverage evaluation survey, Niger, 2013</v>
      </c>
      <c r="J847" s="7" t="str">
        <f aca="false">IF(ISNUMBER(SEARCH("Demographic and Health",I847)),"DHS",IF(OR(ISNUMBER(SEARCH("Multiple Indicator Cluster",I847)),ISNUMBER(SEARCH("MICS",I847))),"MICS","Other"))</f>
        <v>Other</v>
      </c>
      <c r="K847" s="7" t="n">
        <f aca="false">IF(AND(F847="Record or Recall",G847="12-23 m"),1,0)</f>
        <v>1</v>
      </c>
      <c r="L847" s="7" t="n">
        <f aca="false">IF(OR(J847="DHS",J847="MICS"),1,0)</f>
        <v>0</v>
      </c>
    </row>
    <row r="848" customFormat="false" ht="15" hidden="false" customHeight="false" outlineLevel="0" collapsed="false">
      <c r="A848" s="7" t="s">
        <v>374</v>
      </c>
      <c r="B848" s="7" t="s">
        <v>391</v>
      </c>
      <c r="C848" s="7" t="s">
        <v>392</v>
      </c>
      <c r="D848" s="7" t="n">
        <v>2012</v>
      </c>
      <c r="E848" s="7" t="s">
        <v>81</v>
      </c>
      <c r="F848" s="7" t="s">
        <v>86</v>
      </c>
      <c r="G848" s="7" t="s">
        <v>66</v>
      </c>
      <c r="H848" s="7" t="n">
        <v>44.4</v>
      </c>
      <c r="I848" s="7" t="str">
        <f aca="false">IF(B848="",TRIM(C848),TRIM(B848))</f>
        <v>Post measles campaign and routine immunization coverage evaluation survey, Niger, 2013</v>
      </c>
      <c r="J848" s="7" t="str">
        <f aca="false">IF(ISNUMBER(SEARCH("Demographic and Health",I848)),"DHS",IF(OR(ISNUMBER(SEARCH("Multiple Indicator Cluster",I848)),ISNUMBER(SEARCH("MICS",I848))),"MICS","Other"))</f>
        <v>Other</v>
      </c>
      <c r="K848" s="7" t="n">
        <f aca="false">IF(AND(F848="Record or Recall",G848="12-23 m"),1,0)</f>
        <v>0</v>
      </c>
      <c r="L848" s="7" t="n">
        <f aca="false">IF(OR(J848="DHS",J848="MICS"),1,0)</f>
        <v>0</v>
      </c>
    </row>
    <row r="849" customFormat="false" ht="15" hidden="false" customHeight="false" outlineLevel="0" collapsed="false">
      <c r="A849" s="7" t="s">
        <v>374</v>
      </c>
      <c r="B849" s="7" t="s">
        <v>391</v>
      </c>
      <c r="C849" s="7" t="s">
        <v>392</v>
      </c>
      <c r="D849" s="7" t="n">
        <v>2012</v>
      </c>
      <c r="E849" s="7" t="s">
        <v>81</v>
      </c>
      <c r="F849" s="7" t="s">
        <v>63</v>
      </c>
      <c r="G849" s="7" t="s">
        <v>66</v>
      </c>
      <c r="H849" s="7" t="n">
        <v>87.3</v>
      </c>
      <c r="I849" s="7" t="str">
        <f aca="false">IF(B849="",TRIM(C849),TRIM(B849))</f>
        <v>Post measles campaign and routine immunization coverage evaluation survey, Niger, 2013</v>
      </c>
      <c r="J849" s="7" t="str">
        <f aca="false">IF(ISNUMBER(SEARCH("Demographic and Health",I849)),"DHS",IF(OR(ISNUMBER(SEARCH("Multiple Indicator Cluster",I849)),ISNUMBER(SEARCH("MICS",I849))),"MICS","Other"))</f>
        <v>Other</v>
      </c>
      <c r="K849" s="7" t="n">
        <f aca="false">IF(AND(F849="Record or Recall",G849="12-23 m"),1,0)</f>
        <v>1</v>
      </c>
      <c r="L849" s="7" t="n">
        <f aca="false">IF(OR(J849="DHS",J849="MICS"),1,0)</f>
        <v>0</v>
      </c>
    </row>
    <row r="850" customFormat="false" ht="15" hidden="false" customHeight="false" outlineLevel="0" collapsed="false">
      <c r="A850" s="7" t="s">
        <v>374</v>
      </c>
      <c r="B850" s="7" t="s">
        <v>391</v>
      </c>
      <c r="C850" s="7" t="s">
        <v>392</v>
      </c>
      <c r="D850" s="7" t="n">
        <v>2012</v>
      </c>
      <c r="E850" s="7" t="s">
        <v>67</v>
      </c>
      <c r="F850" s="7" t="s">
        <v>86</v>
      </c>
      <c r="G850" s="7" t="s">
        <v>66</v>
      </c>
      <c r="H850" s="7" t="n">
        <v>36.5</v>
      </c>
      <c r="I850" s="7" t="str">
        <f aca="false">IF(B850="",TRIM(C850),TRIM(B850))</f>
        <v>Post measles campaign and routine immunization coverage evaluation survey, Niger, 2013</v>
      </c>
      <c r="J850" s="7" t="str">
        <f aca="false">IF(ISNUMBER(SEARCH("Demographic and Health",I850)),"DHS",IF(OR(ISNUMBER(SEARCH("Multiple Indicator Cluster",I850)),ISNUMBER(SEARCH("MICS",I850))),"MICS","Other"))</f>
        <v>Other</v>
      </c>
      <c r="K850" s="7" t="n">
        <f aca="false">IF(AND(F850="Record or Recall",G850="12-23 m"),1,0)</f>
        <v>0</v>
      </c>
      <c r="L850" s="7" t="n">
        <f aca="false">IF(OR(J850="DHS",J850="MICS"),1,0)</f>
        <v>0</v>
      </c>
    </row>
    <row r="851" customFormat="false" ht="15" hidden="false" customHeight="false" outlineLevel="0" collapsed="false">
      <c r="A851" s="7" t="s">
        <v>374</v>
      </c>
      <c r="B851" s="7" t="s">
        <v>391</v>
      </c>
      <c r="C851" s="7" t="s">
        <v>392</v>
      </c>
      <c r="D851" s="7" t="n">
        <v>2012</v>
      </c>
      <c r="E851" s="7" t="s">
        <v>67</v>
      </c>
      <c r="F851" s="7" t="s">
        <v>63</v>
      </c>
      <c r="G851" s="7" t="s">
        <v>66</v>
      </c>
      <c r="H851" s="7" t="n">
        <v>77.8</v>
      </c>
      <c r="I851" s="7" t="str">
        <f aca="false">IF(B851="",TRIM(C851),TRIM(B851))</f>
        <v>Post measles campaign and routine immunization coverage evaluation survey, Niger, 2013</v>
      </c>
      <c r="J851" s="7" t="str">
        <f aca="false">IF(ISNUMBER(SEARCH("Demographic and Health",I851)),"DHS",IF(OR(ISNUMBER(SEARCH("Multiple Indicator Cluster",I851)),ISNUMBER(SEARCH("MICS",I851))),"MICS","Other"))</f>
        <v>Other</v>
      </c>
      <c r="K851" s="7" t="n">
        <f aca="false">IF(AND(F851="Record or Recall",G851="12-23 m"),1,0)</f>
        <v>1</v>
      </c>
      <c r="L851" s="7" t="n">
        <f aca="false">IF(OR(J851="DHS",J851="MICS"),1,0)</f>
        <v>0</v>
      </c>
    </row>
    <row r="852" customFormat="false" ht="15" hidden="false" customHeight="false" outlineLevel="0" collapsed="false">
      <c r="A852" s="7" t="s">
        <v>374</v>
      </c>
      <c r="B852" s="7" t="s">
        <v>391</v>
      </c>
      <c r="C852" s="7" t="s">
        <v>392</v>
      </c>
      <c r="D852" s="7" t="n">
        <v>2012</v>
      </c>
      <c r="E852" s="7" t="s">
        <v>82</v>
      </c>
      <c r="F852" s="7" t="s">
        <v>78</v>
      </c>
      <c r="G852" s="7" t="s">
        <v>66</v>
      </c>
      <c r="H852" s="7" t="n">
        <v>46.1</v>
      </c>
      <c r="I852" s="7" t="str">
        <f aca="false">IF(B852="",TRIM(C852),TRIM(B852))</f>
        <v>Post measles campaign and routine immunization coverage evaluation survey, Niger, 2013</v>
      </c>
      <c r="J852" s="7" t="str">
        <f aca="false">IF(ISNUMBER(SEARCH("Demographic and Health",I852)),"DHS",IF(OR(ISNUMBER(SEARCH("Multiple Indicator Cluster",I852)),ISNUMBER(SEARCH("MICS",I852))),"MICS","Other"))</f>
        <v>Other</v>
      </c>
      <c r="K852" s="7" t="n">
        <f aca="false">IF(AND(F852="Record or Recall",G852="12-23 m"),1,0)</f>
        <v>0</v>
      </c>
      <c r="L852" s="7" t="n">
        <f aca="false">IF(OR(J852="DHS",J852="MICS"),1,0)</f>
        <v>0</v>
      </c>
    </row>
    <row r="853" customFormat="false" ht="15" hidden="false" customHeight="false" outlineLevel="0" collapsed="false">
      <c r="A853" s="7" t="s">
        <v>374</v>
      </c>
      <c r="B853" s="7" t="s">
        <v>391</v>
      </c>
      <c r="C853" s="7" t="s">
        <v>392</v>
      </c>
      <c r="D853" s="7" t="n">
        <v>2012</v>
      </c>
      <c r="E853" s="7" t="s">
        <v>82</v>
      </c>
      <c r="F853" s="7" t="s">
        <v>86</v>
      </c>
      <c r="G853" s="7" t="s">
        <v>66</v>
      </c>
      <c r="H853" s="7" t="n">
        <v>12.8</v>
      </c>
      <c r="I853" s="7" t="str">
        <f aca="false">IF(B853="",TRIM(C853),TRIM(B853))</f>
        <v>Post measles campaign and routine immunization coverage evaluation survey, Niger, 2013</v>
      </c>
      <c r="J853" s="7" t="str">
        <f aca="false">IF(ISNUMBER(SEARCH("Demographic and Health",I853)),"DHS",IF(OR(ISNUMBER(SEARCH("Multiple Indicator Cluster",I853)),ISNUMBER(SEARCH("MICS",I853))),"MICS","Other"))</f>
        <v>Other</v>
      </c>
      <c r="K853" s="7" t="n">
        <f aca="false">IF(AND(F853="Record or Recall",G853="12-23 m"),1,0)</f>
        <v>0</v>
      </c>
      <c r="L853" s="7" t="n">
        <f aca="false">IF(OR(J853="DHS",J853="MICS"),1,0)</f>
        <v>0</v>
      </c>
    </row>
    <row r="854" customFormat="false" ht="15" hidden="false" customHeight="false" outlineLevel="0" collapsed="false">
      <c r="A854" s="7" t="s">
        <v>374</v>
      </c>
      <c r="B854" s="7" t="s">
        <v>391</v>
      </c>
      <c r="C854" s="7" t="s">
        <v>392</v>
      </c>
      <c r="D854" s="7" t="n">
        <v>2012</v>
      </c>
      <c r="E854" s="7" t="s">
        <v>82</v>
      </c>
      <c r="F854" s="7" t="s">
        <v>92</v>
      </c>
      <c r="G854" s="7" t="s">
        <v>66</v>
      </c>
      <c r="H854" s="7" t="n">
        <v>9.3</v>
      </c>
      <c r="I854" s="7" t="str">
        <f aca="false">IF(B854="",TRIM(C854),TRIM(B854))</f>
        <v>Post measles campaign and routine immunization coverage evaluation survey, Niger, 2013</v>
      </c>
      <c r="J854" s="7" t="str">
        <f aca="false">IF(ISNUMBER(SEARCH("Demographic and Health",I854)),"DHS",IF(OR(ISNUMBER(SEARCH("Multiple Indicator Cluster",I854)),ISNUMBER(SEARCH("MICS",I854))),"MICS","Other"))</f>
        <v>Other</v>
      </c>
      <c r="K854" s="7" t="n">
        <f aca="false">IF(AND(F854="Record or Recall",G854="12-23 m"),1,0)</f>
        <v>0</v>
      </c>
      <c r="L854" s="7" t="n">
        <f aca="false">IF(OR(J854="DHS",J854="MICS"),1,0)</f>
        <v>0</v>
      </c>
    </row>
    <row r="855" customFormat="false" ht="15" hidden="false" customHeight="false" outlineLevel="0" collapsed="false">
      <c r="A855" s="7" t="s">
        <v>374</v>
      </c>
      <c r="B855" s="7" t="s">
        <v>391</v>
      </c>
      <c r="C855" s="7" t="s">
        <v>392</v>
      </c>
      <c r="D855" s="7" t="n">
        <v>2012</v>
      </c>
      <c r="E855" s="7" t="s">
        <v>82</v>
      </c>
      <c r="F855" s="7" t="s">
        <v>63</v>
      </c>
      <c r="G855" s="7" t="s">
        <v>66</v>
      </c>
      <c r="H855" s="7" t="n">
        <v>63.6</v>
      </c>
      <c r="I855" s="7" t="str">
        <f aca="false">IF(B855="",TRIM(C855),TRIM(B855))</f>
        <v>Post measles campaign and routine immunization coverage evaluation survey, Niger, 2013</v>
      </c>
      <c r="J855" s="7" t="str">
        <f aca="false">IF(ISNUMBER(SEARCH("Demographic and Health",I855)),"DHS",IF(OR(ISNUMBER(SEARCH("Multiple Indicator Cluster",I855)),ISNUMBER(SEARCH("MICS",I855))),"MICS","Other"))</f>
        <v>Other</v>
      </c>
      <c r="K855" s="7" t="n">
        <f aca="false">IF(AND(F855="Record or Recall",G855="12-23 m"),1,0)</f>
        <v>1</v>
      </c>
      <c r="L855" s="7" t="n">
        <f aca="false">IF(OR(J855="DHS",J855="MICS"),1,0)</f>
        <v>0</v>
      </c>
    </row>
    <row r="856" customFormat="false" ht="15" hidden="false" customHeight="false" outlineLevel="0" collapsed="false">
      <c r="A856" s="7" t="s">
        <v>374</v>
      </c>
      <c r="B856" s="7" t="s">
        <v>391</v>
      </c>
      <c r="C856" s="7" t="s">
        <v>392</v>
      </c>
      <c r="D856" s="7" t="n">
        <v>2012</v>
      </c>
      <c r="E856" s="7" t="s">
        <v>68</v>
      </c>
      <c r="F856" s="7" t="s">
        <v>86</v>
      </c>
      <c r="G856" s="7" t="s">
        <v>66</v>
      </c>
      <c r="H856" s="7" t="n">
        <v>34.9</v>
      </c>
      <c r="I856" s="7" t="str">
        <f aca="false">IF(B856="",TRIM(C856),TRIM(B856))</f>
        <v>Post measles campaign and routine immunization coverage evaluation survey, Niger, 2013</v>
      </c>
      <c r="J856" s="7" t="str">
        <f aca="false">IF(ISNUMBER(SEARCH("Demographic and Health",I856)),"DHS",IF(OR(ISNUMBER(SEARCH("Multiple Indicator Cluster",I856)),ISNUMBER(SEARCH("MICS",I856))),"MICS","Other"))</f>
        <v>Other</v>
      </c>
      <c r="K856" s="7" t="n">
        <f aca="false">IF(AND(F856="Record or Recall",G856="12-23 m"),1,0)</f>
        <v>0</v>
      </c>
      <c r="L856" s="7" t="n">
        <f aca="false">IF(OR(J856="DHS",J856="MICS"),1,0)</f>
        <v>0</v>
      </c>
    </row>
    <row r="857" customFormat="false" ht="15" hidden="false" customHeight="false" outlineLevel="0" collapsed="false">
      <c r="A857" s="7" t="s">
        <v>374</v>
      </c>
      <c r="B857" s="7" t="s">
        <v>391</v>
      </c>
      <c r="C857" s="7" t="s">
        <v>392</v>
      </c>
      <c r="D857" s="7" t="n">
        <v>2012</v>
      </c>
      <c r="E857" s="7" t="s">
        <v>68</v>
      </c>
      <c r="F857" s="7" t="s">
        <v>63</v>
      </c>
      <c r="G857" s="7" t="s">
        <v>66</v>
      </c>
      <c r="H857" s="7" t="n">
        <v>74.7</v>
      </c>
      <c r="I857" s="7" t="str">
        <f aca="false">IF(B857="",TRIM(C857),TRIM(B857))</f>
        <v>Post measles campaign and routine immunization coverage evaluation survey, Niger, 2013</v>
      </c>
      <c r="J857" s="7" t="str">
        <f aca="false">IF(ISNUMBER(SEARCH("Demographic and Health",I857)),"DHS",IF(OR(ISNUMBER(SEARCH("Multiple Indicator Cluster",I857)),ISNUMBER(SEARCH("MICS",I857))),"MICS","Other"))</f>
        <v>Other</v>
      </c>
      <c r="K857" s="7" t="n">
        <f aca="false">IF(AND(F857="Record or Recall",G857="12-23 m"),1,0)</f>
        <v>1</v>
      </c>
      <c r="L857" s="7" t="n">
        <f aca="false">IF(OR(J857="DHS",J857="MICS"),1,0)</f>
        <v>0</v>
      </c>
    </row>
    <row r="858" customFormat="false" ht="15" hidden="false" customHeight="false" outlineLevel="0" collapsed="false">
      <c r="A858" s="7" t="s">
        <v>374</v>
      </c>
      <c r="B858" s="7" t="s">
        <v>391</v>
      </c>
      <c r="C858" s="7" t="s">
        <v>392</v>
      </c>
      <c r="D858" s="7" t="n">
        <v>2012</v>
      </c>
      <c r="E858" s="7" t="s">
        <v>69</v>
      </c>
      <c r="F858" s="7" t="s">
        <v>86</v>
      </c>
      <c r="G858" s="7" t="s">
        <v>66</v>
      </c>
      <c r="H858" s="7" t="n">
        <v>15.3</v>
      </c>
      <c r="I858" s="7" t="str">
        <f aca="false">IF(B858="",TRIM(C858),TRIM(B858))</f>
        <v>Post measles campaign and routine immunization coverage evaluation survey, Niger, 2013</v>
      </c>
      <c r="J858" s="7" t="str">
        <f aca="false">IF(ISNUMBER(SEARCH("Demographic and Health",I858)),"DHS",IF(OR(ISNUMBER(SEARCH("Multiple Indicator Cluster",I858)),ISNUMBER(SEARCH("MICS",I858))),"MICS","Other"))</f>
        <v>Other</v>
      </c>
      <c r="K858" s="7" t="n">
        <f aca="false">IF(AND(F858="Record or Recall",G858="12-23 m"),1,0)</f>
        <v>0</v>
      </c>
      <c r="L858" s="7" t="n">
        <f aca="false">IF(OR(J858="DHS",J858="MICS"),1,0)</f>
        <v>0</v>
      </c>
    </row>
    <row r="859" customFormat="false" ht="15" hidden="false" customHeight="false" outlineLevel="0" collapsed="false">
      <c r="A859" s="7" t="s">
        <v>374</v>
      </c>
      <c r="B859" s="7" t="s">
        <v>391</v>
      </c>
      <c r="C859" s="7" t="s">
        <v>392</v>
      </c>
      <c r="D859" s="7" t="n">
        <v>2012</v>
      </c>
      <c r="E859" s="7" t="s">
        <v>69</v>
      </c>
      <c r="F859" s="7" t="s">
        <v>63</v>
      </c>
      <c r="G859" s="7" t="s">
        <v>66</v>
      </c>
      <c r="H859" s="7" t="n">
        <v>74.5</v>
      </c>
      <c r="I859" s="7" t="str">
        <f aca="false">IF(B859="",TRIM(C859),TRIM(B859))</f>
        <v>Post measles campaign and routine immunization coverage evaluation survey, Niger, 2013</v>
      </c>
      <c r="J859" s="7" t="str">
        <f aca="false">IF(ISNUMBER(SEARCH("Demographic and Health",I859)),"DHS",IF(OR(ISNUMBER(SEARCH("Multiple Indicator Cluster",I859)),ISNUMBER(SEARCH("MICS",I859))),"MICS","Other"))</f>
        <v>Other</v>
      </c>
      <c r="K859" s="7" t="n">
        <f aca="false">IF(AND(F859="Record or Recall",G859="12-23 m"),1,0)</f>
        <v>1</v>
      </c>
      <c r="L859" s="7" t="n">
        <f aca="false">IF(OR(J859="DHS",J859="MICS"),1,0)</f>
        <v>0</v>
      </c>
    </row>
    <row r="860" customFormat="false" ht="15" hidden="false" customHeight="false" outlineLevel="0" collapsed="false">
      <c r="A860" s="7" t="s">
        <v>374</v>
      </c>
      <c r="B860" s="7" t="s">
        <v>393</v>
      </c>
      <c r="C860" s="7" t="s">
        <v>394</v>
      </c>
      <c r="D860" s="7" t="n">
        <v>2016</v>
      </c>
      <c r="E860" s="7" t="s">
        <v>62</v>
      </c>
      <c r="F860" s="7" t="s">
        <v>86</v>
      </c>
      <c r="G860" s="7" t="s">
        <v>66</v>
      </c>
      <c r="H860" s="7" t="n">
        <v>69.7</v>
      </c>
      <c r="I860" s="7" t="str">
        <f aca="false">IF(B860="",TRIM(C860),TRIM(B860))</f>
        <v>2017 Niger Vaccination Coverage Survey</v>
      </c>
      <c r="J860" s="7" t="str">
        <f aca="false">IF(ISNUMBER(SEARCH("Demographic and Health",I860)),"DHS",IF(OR(ISNUMBER(SEARCH("Multiple Indicator Cluster",I860)),ISNUMBER(SEARCH("MICS",I860))),"MICS","Other"))</f>
        <v>Other</v>
      </c>
      <c r="K860" s="7" t="n">
        <f aca="false">IF(AND(F860="Record or Recall",G860="12-23 m"),1,0)</f>
        <v>0</v>
      </c>
      <c r="L860" s="7" t="n">
        <f aca="false">IF(OR(J860="DHS",J860="MICS"),1,0)</f>
        <v>0</v>
      </c>
    </row>
    <row r="861" customFormat="false" ht="15" hidden="false" customHeight="false" outlineLevel="0" collapsed="false">
      <c r="A861" s="7" t="s">
        <v>374</v>
      </c>
      <c r="B861" s="7" t="s">
        <v>393</v>
      </c>
      <c r="C861" s="7" t="s">
        <v>394</v>
      </c>
      <c r="D861" s="7" t="n">
        <v>2016</v>
      </c>
      <c r="E861" s="7" t="s">
        <v>62</v>
      </c>
      <c r="F861" s="7" t="s">
        <v>63</v>
      </c>
      <c r="G861" s="7" t="s">
        <v>66</v>
      </c>
      <c r="H861" s="7" t="n">
        <v>91.4</v>
      </c>
      <c r="I861" s="7" t="str">
        <f aca="false">IF(B861="",TRIM(C861),TRIM(B861))</f>
        <v>2017 Niger Vaccination Coverage Survey</v>
      </c>
      <c r="J861" s="7" t="str">
        <f aca="false">IF(ISNUMBER(SEARCH("Demographic and Health",I861)),"DHS",IF(OR(ISNUMBER(SEARCH("Multiple Indicator Cluster",I861)),ISNUMBER(SEARCH("MICS",I861))),"MICS","Other"))</f>
        <v>Other</v>
      </c>
      <c r="K861" s="7" t="n">
        <f aca="false">IF(AND(F861="Record or Recall",G861="12-23 m"),1,0)</f>
        <v>1</v>
      </c>
      <c r="L861" s="7" t="n">
        <f aca="false">IF(OR(J861="DHS",J861="MICS"),1,0)</f>
        <v>0</v>
      </c>
    </row>
    <row r="862" customFormat="false" ht="15" hidden="false" customHeight="false" outlineLevel="0" collapsed="false">
      <c r="A862" s="7" t="s">
        <v>374</v>
      </c>
      <c r="B862" s="7" t="s">
        <v>393</v>
      </c>
      <c r="C862" s="7" t="s">
        <v>394</v>
      </c>
      <c r="D862" s="7" t="n">
        <v>2016</v>
      </c>
      <c r="E862" s="7" t="s">
        <v>81</v>
      </c>
      <c r="F862" s="7" t="s">
        <v>86</v>
      </c>
      <c r="G862" s="7" t="s">
        <v>66</v>
      </c>
      <c r="H862" s="7" t="n">
        <v>68</v>
      </c>
      <c r="I862" s="7" t="str">
        <f aca="false">IF(B862="",TRIM(C862),TRIM(B862))</f>
        <v>2017 Niger Vaccination Coverage Survey</v>
      </c>
      <c r="J862" s="7" t="str">
        <f aca="false">IF(ISNUMBER(SEARCH("Demographic and Health",I862)),"DHS",IF(OR(ISNUMBER(SEARCH("Multiple Indicator Cluster",I862)),ISNUMBER(SEARCH("MICS",I862))),"MICS","Other"))</f>
        <v>Other</v>
      </c>
      <c r="K862" s="7" t="n">
        <f aca="false">IF(AND(F862="Record or Recall",G862="12-23 m"),1,0)</f>
        <v>0</v>
      </c>
      <c r="L862" s="7" t="n">
        <f aca="false">IF(OR(J862="DHS",J862="MICS"),1,0)</f>
        <v>0</v>
      </c>
    </row>
    <row r="863" customFormat="false" ht="15" hidden="false" customHeight="false" outlineLevel="0" collapsed="false">
      <c r="A863" s="7" t="s">
        <v>374</v>
      </c>
      <c r="B863" s="7" t="s">
        <v>393</v>
      </c>
      <c r="C863" s="7" t="s">
        <v>394</v>
      </c>
      <c r="D863" s="7" t="n">
        <v>2016</v>
      </c>
      <c r="E863" s="7" t="s">
        <v>81</v>
      </c>
      <c r="F863" s="7" t="s">
        <v>63</v>
      </c>
      <c r="G863" s="7" t="s">
        <v>66</v>
      </c>
      <c r="H863" s="7" t="n">
        <v>92.1</v>
      </c>
      <c r="I863" s="7" t="str">
        <f aca="false">IF(B863="",TRIM(C863),TRIM(B863))</f>
        <v>2017 Niger Vaccination Coverage Survey</v>
      </c>
      <c r="J863" s="7" t="str">
        <f aca="false">IF(ISNUMBER(SEARCH("Demographic and Health",I863)),"DHS",IF(OR(ISNUMBER(SEARCH("Multiple Indicator Cluster",I863)),ISNUMBER(SEARCH("MICS",I863))),"MICS","Other"))</f>
        <v>Other</v>
      </c>
      <c r="K863" s="7" t="n">
        <f aca="false">IF(AND(F863="Record or Recall",G863="12-23 m"),1,0)</f>
        <v>1</v>
      </c>
      <c r="L863" s="7" t="n">
        <f aca="false">IF(OR(J863="DHS",J863="MICS"),1,0)</f>
        <v>0</v>
      </c>
    </row>
    <row r="864" customFormat="false" ht="15" hidden="false" customHeight="false" outlineLevel="0" collapsed="false">
      <c r="A864" s="7" t="s">
        <v>374</v>
      </c>
      <c r="B864" s="7" t="s">
        <v>393</v>
      </c>
      <c r="C864" s="7" t="s">
        <v>394</v>
      </c>
      <c r="D864" s="7" t="n">
        <v>2016</v>
      </c>
      <c r="E864" s="7" t="s">
        <v>67</v>
      </c>
      <c r="F864" s="7" t="s">
        <v>86</v>
      </c>
      <c r="G864" s="7" t="s">
        <v>66</v>
      </c>
      <c r="H864" s="7" t="n">
        <v>54.3</v>
      </c>
      <c r="I864" s="7" t="str">
        <f aca="false">IF(B864="",TRIM(C864),TRIM(B864))</f>
        <v>2017 Niger Vaccination Coverage Survey</v>
      </c>
      <c r="J864" s="7" t="str">
        <f aca="false">IF(ISNUMBER(SEARCH("Demographic and Health",I864)),"DHS",IF(OR(ISNUMBER(SEARCH("Multiple Indicator Cluster",I864)),ISNUMBER(SEARCH("MICS",I864))),"MICS","Other"))</f>
        <v>Other</v>
      </c>
      <c r="K864" s="7" t="n">
        <f aca="false">IF(AND(F864="Record or Recall",G864="12-23 m"),1,0)</f>
        <v>0</v>
      </c>
      <c r="L864" s="7" t="n">
        <f aca="false">IF(OR(J864="DHS",J864="MICS"),1,0)</f>
        <v>0</v>
      </c>
    </row>
    <row r="865" customFormat="false" ht="15" hidden="false" customHeight="false" outlineLevel="0" collapsed="false">
      <c r="A865" s="7" t="s">
        <v>374</v>
      </c>
      <c r="B865" s="7" t="s">
        <v>393</v>
      </c>
      <c r="C865" s="7" t="s">
        <v>394</v>
      </c>
      <c r="D865" s="7" t="n">
        <v>2016</v>
      </c>
      <c r="E865" s="7" t="s">
        <v>67</v>
      </c>
      <c r="F865" s="7" t="s">
        <v>63</v>
      </c>
      <c r="G865" s="7" t="s">
        <v>66</v>
      </c>
      <c r="H865" s="7" t="n">
        <v>80.2</v>
      </c>
      <c r="I865" s="7" t="str">
        <f aca="false">IF(B865="",TRIM(C865),TRIM(B865))</f>
        <v>2017 Niger Vaccination Coverage Survey</v>
      </c>
      <c r="J865" s="7" t="str">
        <f aca="false">IF(ISNUMBER(SEARCH("Demographic and Health",I865)),"DHS",IF(OR(ISNUMBER(SEARCH("Multiple Indicator Cluster",I865)),ISNUMBER(SEARCH("MICS",I865))),"MICS","Other"))</f>
        <v>Other</v>
      </c>
      <c r="K865" s="7" t="n">
        <f aca="false">IF(AND(F865="Record or Recall",G865="12-23 m"),1,0)</f>
        <v>1</v>
      </c>
      <c r="L865" s="7" t="n">
        <f aca="false">IF(OR(J865="DHS",J865="MICS"),1,0)</f>
        <v>0</v>
      </c>
    </row>
    <row r="866" customFormat="false" ht="15" hidden="false" customHeight="false" outlineLevel="0" collapsed="false">
      <c r="A866" s="7" t="s">
        <v>374</v>
      </c>
      <c r="B866" s="7" t="s">
        <v>393</v>
      </c>
      <c r="C866" s="7" t="s">
        <v>394</v>
      </c>
      <c r="D866" s="7" t="n">
        <v>2016</v>
      </c>
      <c r="E866" s="7" t="s">
        <v>68</v>
      </c>
      <c r="F866" s="7" t="s">
        <v>86</v>
      </c>
      <c r="G866" s="7" t="s">
        <v>66</v>
      </c>
      <c r="H866" s="7" t="n">
        <v>51.8</v>
      </c>
      <c r="I866" s="7" t="str">
        <f aca="false">IF(B866="",TRIM(C866),TRIM(B866))</f>
        <v>2017 Niger Vaccination Coverage Survey</v>
      </c>
      <c r="J866" s="7" t="str">
        <f aca="false">IF(ISNUMBER(SEARCH("Demographic and Health",I866)),"DHS",IF(OR(ISNUMBER(SEARCH("Multiple Indicator Cluster",I866)),ISNUMBER(SEARCH("MICS",I866))),"MICS","Other"))</f>
        <v>Other</v>
      </c>
      <c r="K866" s="7" t="n">
        <f aca="false">IF(AND(F866="Record or Recall",G866="12-23 m"),1,0)</f>
        <v>0</v>
      </c>
      <c r="L866" s="7" t="n">
        <f aca="false">IF(OR(J866="DHS",J866="MICS"),1,0)</f>
        <v>0</v>
      </c>
    </row>
    <row r="867" customFormat="false" ht="15" hidden="false" customHeight="false" outlineLevel="0" collapsed="false">
      <c r="A867" s="7" t="s">
        <v>374</v>
      </c>
      <c r="B867" s="7" t="s">
        <v>393</v>
      </c>
      <c r="C867" s="7" t="s">
        <v>394</v>
      </c>
      <c r="D867" s="7" t="n">
        <v>2016</v>
      </c>
      <c r="E867" s="7" t="s">
        <v>68</v>
      </c>
      <c r="F867" s="7" t="s">
        <v>63</v>
      </c>
      <c r="G867" s="7" t="s">
        <v>66</v>
      </c>
      <c r="H867" s="7" t="n">
        <v>76.1</v>
      </c>
      <c r="I867" s="7" t="str">
        <f aca="false">IF(B867="",TRIM(C867),TRIM(B867))</f>
        <v>2017 Niger Vaccination Coverage Survey</v>
      </c>
      <c r="J867" s="7" t="str">
        <f aca="false">IF(ISNUMBER(SEARCH("Demographic and Health",I867)),"DHS",IF(OR(ISNUMBER(SEARCH("Multiple Indicator Cluster",I867)),ISNUMBER(SEARCH("MICS",I867))),"MICS","Other"))</f>
        <v>Other</v>
      </c>
      <c r="K867" s="7" t="n">
        <f aca="false">IF(AND(F867="Record or Recall",G867="12-23 m"),1,0)</f>
        <v>1</v>
      </c>
      <c r="L867" s="7" t="n">
        <f aca="false">IF(OR(J867="DHS",J867="MICS"),1,0)</f>
        <v>0</v>
      </c>
    </row>
    <row r="868" customFormat="false" ht="15" hidden="false" customHeight="false" outlineLevel="0" collapsed="false">
      <c r="A868" s="7" t="s">
        <v>374</v>
      </c>
      <c r="B868" s="7" t="s">
        <v>393</v>
      </c>
      <c r="C868" s="7" t="s">
        <v>394</v>
      </c>
      <c r="D868" s="7" t="n">
        <v>2016</v>
      </c>
      <c r="E868" s="7" t="s">
        <v>69</v>
      </c>
      <c r="F868" s="7" t="s">
        <v>86</v>
      </c>
      <c r="G868" s="7" t="s">
        <v>66</v>
      </c>
      <c r="H868" s="7" t="n">
        <v>55.4</v>
      </c>
      <c r="I868" s="7" t="str">
        <f aca="false">IF(B868="",TRIM(C868),TRIM(B868))</f>
        <v>2017 Niger Vaccination Coverage Survey</v>
      </c>
      <c r="J868" s="7" t="str">
        <f aca="false">IF(ISNUMBER(SEARCH("Demographic and Health",I868)),"DHS",IF(OR(ISNUMBER(SEARCH("Multiple Indicator Cluster",I868)),ISNUMBER(SEARCH("MICS",I868))),"MICS","Other"))</f>
        <v>Other</v>
      </c>
      <c r="K868" s="7" t="n">
        <f aca="false">IF(AND(F868="Record or Recall",G868="12-23 m"),1,0)</f>
        <v>0</v>
      </c>
      <c r="L868" s="7" t="n">
        <f aca="false">IF(OR(J868="DHS",J868="MICS"),1,0)</f>
        <v>0</v>
      </c>
    </row>
    <row r="869" customFormat="false" ht="15" hidden="false" customHeight="false" outlineLevel="0" collapsed="false">
      <c r="A869" s="7" t="s">
        <v>374</v>
      </c>
      <c r="B869" s="7" t="s">
        <v>393</v>
      </c>
      <c r="C869" s="7" t="s">
        <v>394</v>
      </c>
      <c r="D869" s="7" t="n">
        <v>2016</v>
      </c>
      <c r="E869" s="7" t="s">
        <v>69</v>
      </c>
      <c r="F869" s="7" t="s">
        <v>63</v>
      </c>
      <c r="G869" s="7" t="s">
        <v>66</v>
      </c>
      <c r="H869" s="7" t="n">
        <v>82.3</v>
      </c>
      <c r="I869" s="7" t="str">
        <f aca="false">IF(B869="",TRIM(C869),TRIM(B869))</f>
        <v>2017 Niger Vaccination Coverage Survey</v>
      </c>
      <c r="J869" s="7" t="str">
        <f aca="false">IF(ISNUMBER(SEARCH("Demographic and Health",I869)),"DHS",IF(OR(ISNUMBER(SEARCH("Multiple Indicator Cluster",I869)),ISNUMBER(SEARCH("MICS",I869))),"MICS","Other"))</f>
        <v>Other</v>
      </c>
      <c r="K869" s="7" t="n">
        <f aca="false">IF(AND(F869="Record or Recall",G869="12-23 m"),1,0)</f>
        <v>1</v>
      </c>
      <c r="L869" s="7" t="n">
        <f aca="false">IF(OR(J869="DHS",J869="MICS"),1,0)</f>
        <v>0</v>
      </c>
    </row>
    <row r="870" customFormat="false" ht="15" hidden="false" customHeight="false" outlineLevel="0" collapsed="false">
      <c r="A870" s="7" t="s">
        <v>374</v>
      </c>
      <c r="B870" s="7" t="s">
        <v>395</v>
      </c>
      <c r="C870" s="7" t="s">
        <v>396</v>
      </c>
      <c r="D870" s="7" t="n">
        <v>2018</v>
      </c>
      <c r="E870" s="7" t="s">
        <v>62</v>
      </c>
      <c r="F870" s="7" t="s">
        <v>78</v>
      </c>
      <c r="G870" s="7" t="s">
        <v>91</v>
      </c>
      <c r="H870" s="7" t="n">
        <v>69.1</v>
      </c>
      <c r="I870" s="7" t="str">
        <f aca="false">IF(B870="",TRIM(C870),TRIM(B870))</f>
        <v>National Survey on Fertility and Mortality of Children Under Five in Niger 2021</v>
      </c>
      <c r="J870" s="7" t="str">
        <f aca="false">IF(ISNUMBER(SEARCH("Demographic and Health",I870)),"DHS",IF(OR(ISNUMBER(SEARCH("Multiple Indicator Cluster",I870)),ISNUMBER(SEARCH("MICS",I870))),"MICS","Other"))</f>
        <v>Other</v>
      </c>
      <c r="K870" s="7" t="n">
        <f aca="false">IF(AND(F870="Record or Recall",G870="12-23 m"),1,0)</f>
        <v>0</v>
      </c>
      <c r="L870" s="7" t="n">
        <f aca="false">IF(OR(J870="DHS",J870="MICS"),1,0)</f>
        <v>0</v>
      </c>
    </row>
    <row r="871" customFormat="false" ht="15" hidden="false" customHeight="false" outlineLevel="0" collapsed="false">
      <c r="A871" s="7" t="s">
        <v>374</v>
      </c>
      <c r="B871" s="7" t="s">
        <v>395</v>
      </c>
      <c r="C871" s="7" t="s">
        <v>396</v>
      </c>
      <c r="D871" s="7" t="n">
        <v>2018</v>
      </c>
      <c r="E871" s="7" t="s">
        <v>62</v>
      </c>
      <c r="F871" s="7" t="s">
        <v>86</v>
      </c>
      <c r="G871" s="7" t="s">
        <v>91</v>
      </c>
      <c r="H871" s="7" t="n">
        <v>51</v>
      </c>
      <c r="I871" s="7" t="str">
        <f aca="false">IF(B871="",TRIM(C871),TRIM(B871))</f>
        <v>National Survey on Fertility and Mortality of Children Under Five in Niger 2021</v>
      </c>
      <c r="J871" s="7" t="str">
        <f aca="false">IF(ISNUMBER(SEARCH("Demographic and Health",I871)),"DHS",IF(OR(ISNUMBER(SEARCH("Multiple Indicator Cluster",I871)),ISNUMBER(SEARCH("MICS",I871))),"MICS","Other"))</f>
        <v>Other</v>
      </c>
      <c r="K871" s="7" t="n">
        <f aca="false">IF(AND(F871="Record or Recall",G871="12-23 m"),1,0)</f>
        <v>0</v>
      </c>
      <c r="L871" s="7" t="n">
        <f aca="false">IF(OR(J871="DHS",J871="MICS"),1,0)</f>
        <v>0</v>
      </c>
    </row>
    <row r="872" customFormat="false" ht="15" hidden="false" customHeight="false" outlineLevel="0" collapsed="false">
      <c r="A872" s="7" t="s">
        <v>374</v>
      </c>
      <c r="B872" s="7" t="s">
        <v>395</v>
      </c>
      <c r="C872" s="7" t="s">
        <v>396</v>
      </c>
      <c r="D872" s="7" t="n">
        <v>2018</v>
      </c>
      <c r="E872" s="7" t="s">
        <v>62</v>
      </c>
      <c r="F872" s="7" t="s">
        <v>63</v>
      </c>
      <c r="G872" s="7" t="s">
        <v>91</v>
      </c>
      <c r="H872" s="7" t="n">
        <v>72.2</v>
      </c>
      <c r="I872" s="7" t="str">
        <f aca="false">IF(B872="",TRIM(C872),TRIM(B872))</f>
        <v>National Survey on Fertility and Mortality of Children Under Five in Niger 2021</v>
      </c>
      <c r="J872" s="7" t="str">
        <f aca="false">IF(ISNUMBER(SEARCH("Demographic and Health",I872)),"DHS",IF(OR(ISNUMBER(SEARCH("Multiple Indicator Cluster",I872)),ISNUMBER(SEARCH("MICS",I872))),"MICS","Other"))</f>
        <v>Other</v>
      </c>
      <c r="K872" s="7" t="n">
        <f aca="false">IF(AND(F872="Record or Recall",G872="12-23 m"),1,0)</f>
        <v>0</v>
      </c>
      <c r="L872" s="7" t="n">
        <f aca="false">IF(OR(J872="DHS",J872="MICS"),1,0)</f>
        <v>0</v>
      </c>
    </row>
    <row r="873" customFormat="false" ht="15" hidden="false" customHeight="false" outlineLevel="0" collapsed="false">
      <c r="A873" s="7" t="s">
        <v>374</v>
      </c>
      <c r="B873" s="7" t="s">
        <v>395</v>
      </c>
      <c r="C873" s="7" t="s">
        <v>396</v>
      </c>
      <c r="D873" s="7" t="n">
        <v>2018</v>
      </c>
      <c r="E873" s="7" t="s">
        <v>62</v>
      </c>
      <c r="F873" s="7" t="s">
        <v>87</v>
      </c>
      <c r="G873" s="7" t="s">
        <v>91</v>
      </c>
      <c r="H873" s="7" t="n">
        <v>21.2</v>
      </c>
      <c r="I873" s="7" t="str">
        <f aca="false">IF(B873="",TRIM(C873),TRIM(B873))</f>
        <v>National Survey on Fertility and Mortality of Children Under Five in Niger 2021</v>
      </c>
      <c r="J873" s="7" t="str">
        <f aca="false">IF(ISNUMBER(SEARCH("Demographic and Health",I873)),"DHS",IF(OR(ISNUMBER(SEARCH("Multiple Indicator Cluster",I873)),ISNUMBER(SEARCH("MICS",I873))),"MICS","Other"))</f>
        <v>Other</v>
      </c>
      <c r="K873" s="7" t="n">
        <f aca="false">IF(AND(F873="Record or Recall",G873="12-23 m"),1,0)</f>
        <v>0</v>
      </c>
      <c r="L873" s="7" t="n">
        <f aca="false">IF(OR(J873="DHS",J873="MICS"),1,0)</f>
        <v>0</v>
      </c>
    </row>
    <row r="874" customFormat="false" ht="15" hidden="false" customHeight="false" outlineLevel="0" collapsed="false">
      <c r="A874" s="7" t="s">
        <v>374</v>
      </c>
      <c r="B874" s="7" t="s">
        <v>395</v>
      </c>
      <c r="C874" s="7" t="s">
        <v>396</v>
      </c>
      <c r="D874" s="7" t="n">
        <v>2018</v>
      </c>
      <c r="E874" s="7" t="s">
        <v>81</v>
      </c>
      <c r="F874" s="7" t="s">
        <v>78</v>
      </c>
      <c r="G874" s="7" t="s">
        <v>91</v>
      </c>
      <c r="H874" s="7" t="n">
        <v>70.4</v>
      </c>
      <c r="I874" s="7" t="str">
        <f aca="false">IF(B874="",TRIM(C874),TRIM(B874))</f>
        <v>National Survey on Fertility and Mortality of Children Under Five in Niger 2021</v>
      </c>
      <c r="J874" s="7" t="str">
        <f aca="false">IF(ISNUMBER(SEARCH("Demographic and Health",I874)),"DHS",IF(OR(ISNUMBER(SEARCH("Multiple Indicator Cluster",I874)),ISNUMBER(SEARCH("MICS",I874))),"MICS","Other"))</f>
        <v>Other</v>
      </c>
      <c r="K874" s="7" t="n">
        <f aca="false">IF(AND(F874="Record or Recall",G874="12-23 m"),1,0)</f>
        <v>0</v>
      </c>
      <c r="L874" s="7" t="n">
        <f aca="false">IF(OR(J874="DHS",J874="MICS"),1,0)</f>
        <v>0</v>
      </c>
    </row>
    <row r="875" customFormat="false" ht="15" hidden="false" customHeight="false" outlineLevel="0" collapsed="false">
      <c r="A875" s="7" t="s">
        <v>374</v>
      </c>
      <c r="B875" s="7" t="s">
        <v>395</v>
      </c>
      <c r="C875" s="7" t="s">
        <v>396</v>
      </c>
      <c r="D875" s="7" t="n">
        <v>2018</v>
      </c>
      <c r="E875" s="7" t="s">
        <v>81</v>
      </c>
      <c r="F875" s="7" t="s">
        <v>86</v>
      </c>
      <c r="G875" s="7" t="s">
        <v>91</v>
      </c>
      <c r="H875" s="7" t="n">
        <v>51.4</v>
      </c>
      <c r="I875" s="7" t="str">
        <f aca="false">IF(B875="",TRIM(C875),TRIM(B875))</f>
        <v>National Survey on Fertility and Mortality of Children Under Five in Niger 2021</v>
      </c>
      <c r="J875" s="7" t="str">
        <f aca="false">IF(ISNUMBER(SEARCH("Demographic and Health",I875)),"DHS",IF(OR(ISNUMBER(SEARCH("Multiple Indicator Cluster",I875)),ISNUMBER(SEARCH("MICS",I875))),"MICS","Other"))</f>
        <v>Other</v>
      </c>
      <c r="K875" s="7" t="n">
        <f aca="false">IF(AND(F875="Record or Recall",G875="12-23 m"),1,0)</f>
        <v>0</v>
      </c>
      <c r="L875" s="7" t="n">
        <f aca="false">IF(OR(J875="DHS",J875="MICS"),1,0)</f>
        <v>0</v>
      </c>
    </row>
    <row r="876" customFormat="false" ht="15" hidden="false" customHeight="false" outlineLevel="0" collapsed="false">
      <c r="A876" s="7" t="s">
        <v>374</v>
      </c>
      <c r="B876" s="7" t="s">
        <v>395</v>
      </c>
      <c r="C876" s="7" t="s">
        <v>396</v>
      </c>
      <c r="D876" s="7" t="n">
        <v>2018</v>
      </c>
      <c r="E876" s="7" t="s">
        <v>81</v>
      </c>
      <c r="F876" s="7" t="s">
        <v>63</v>
      </c>
      <c r="G876" s="7" t="s">
        <v>91</v>
      </c>
      <c r="H876" s="7" t="n">
        <v>72.2</v>
      </c>
      <c r="I876" s="7" t="str">
        <f aca="false">IF(B876="",TRIM(C876),TRIM(B876))</f>
        <v>National Survey on Fertility and Mortality of Children Under Five in Niger 2021</v>
      </c>
      <c r="J876" s="7" t="str">
        <f aca="false">IF(ISNUMBER(SEARCH("Demographic and Health",I876)),"DHS",IF(OR(ISNUMBER(SEARCH("Multiple Indicator Cluster",I876)),ISNUMBER(SEARCH("MICS",I876))),"MICS","Other"))</f>
        <v>Other</v>
      </c>
      <c r="K876" s="7" t="n">
        <f aca="false">IF(AND(F876="Record or Recall",G876="12-23 m"),1,0)</f>
        <v>0</v>
      </c>
      <c r="L876" s="7" t="n">
        <f aca="false">IF(OR(J876="DHS",J876="MICS"),1,0)</f>
        <v>0</v>
      </c>
    </row>
    <row r="877" customFormat="false" ht="15" hidden="false" customHeight="false" outlineLevel="0" collapsed="false">
      <c r="A877" s="7" t="s">
        <v>374</v>
      </c>
      <c r="B877" s="7" t="s">
        <v>395</v>
      </c>
      <c r="C877" s="7" t="s">
        <v>396</v>
      </c>
      <c r="D877" s="7" t="n">
        <v>2018</v>
      </c>
      <c r="E877" s="7" t="s">
        <v>81</v>
      </c>
      <c r="F877" s="7" t="s">
        <v>87</v>
      </c>
      <c r="G877" s="7" t="s">
        <v>91</v>
      </c>
      <c r="H877" s="7" t="n">
        <v>20.8</v>
      </c>
      <c r="I877" s="7" t="str">
        <f aca="false">IF(B877="",TRIM(C877),TRIM(B877))</f>
        <v>National Survey on Fertility and Mortality of Children Under Five in Niger 2021</v>
      </c>
      <c r="J877" s="7" t="str">
        <f aca="false">IF(ISNUMBER(SEARCH("Demographic and Health",I877)),"DHS",IF(OR(ISNUMBER(SEARCH("Multiple Indicator Cluster",I877)),ISNUMBER(SEARCH("MICS",I877))),"MICS","Other"))</f>
        <v>Other</v>
      </c>
      <c r="K877" s="7" t="n">
        <f aca="false">IF(AND(F877="Record or Recall",G877="12-23 m"),1,0)</f>
        <v>0</v>
      </c>
      <c r="L877" s="7" t="n">
        <f aca="false">IF(OR(J877="DHS",J877="MICS"),1,0)</f>
        <v>0</v>
      </c>
    </row>
    <row r="878" customFormat="false" ht="15" hidden="false" customHeight="false" outlineLevel="0" collapsed="false">
      <c r="A878" s="7" t="s">
        <v>374</v>
      </c>
      <c r="B878" s="7" t="s">
        <v>395</v>
      </c>
      <c r="C878" s="7" t="s">
        <v>396</v>
      </c>
      <c r="D878" s="7" t="n">
        <v>2018</v>
      </c>
      <c r="E878" s="7" t="s">
        <v>67</v>
      </c>
      <c r="F878" s="7" t="s">
        <v>78</v>
      </c>
      <c r="G878" s="7" t="s">
        <v>91</v>
      </c>
      <c r="H878" s="7" t="n">
        <v>52.7</v>
      </c>
      <c r="I878" s="7" t="str">
        <f aca="false">IF(B878="",TRIM(C878),TRIM(B878))</f>
        <v>National Survey on Fertility and Mortality of Children Under Five in Niger 2021</v>
      </c>
      <c r="J878" s="7" t="str">
        <f aca="false">IF(ISNUMBER(SEARCH("Demographic and Health",I878)),"DHS",IF(OR(ISNUMBER(SEARCH("Multiple Indicator Cluster",I878)),ISNUMBER(SEARCH("MICS",I878))),"MICS","Other"))</f>
        <v>Other</v>
      </c>
      <c r="K878" s="7" t="n">
        <f aca="false">IF(AND(F878="Record or Recall",G878="12-23 m"),1,0)</f>
        <v>0</v>
      </c>
      <c r="L878" s="7" t="n">
        <f aca="false">IF(OR(J878="DHS",J878="MICS"),1,0)</f>
        <v>0</v>
      </c>
    </row>
    <row r="879" customFormat="false" ht="15" hidden="false" customHeight="false" outlineLevel="0" collapsed="false">
      <c r="A879" s="7" t="s">
        <v>374</v>
      </c>
      <c r="B879" s="7" t="s">
        <v>395</v>
      </c>
      <c r="C879" s="7" t="s">
        <v>396</v>
      </c>
      <c r="D879" s="7" t="n">
        <v>2018</v>
      </c>
      <c r="E879" s="7" t="s">
        <v>67</v>
      </c>
      <c r="F879" s="7" t="s">
        <v>86</v>
      </c>
      <c r="G879" s="7" t="s">
        <v>91</v>
      </c>
      <c r="H879" s="7" t="n">
        <v>42.9</v>
      </c>
      <c r="I879" s="7" t="str">
        <f aca="false">IF(B879="",TRIM(C879),TRIM(B879))</f>
        <v>National Survey on Fertility and Mortality of Children Under Five in Niger 2021</v>
      </c>
      <c r="J879" s="7" t="str">
        <f aca="false">IF(ISNUMBER(SEARCH("Demographic and Health",I879)),"DHS",IF(OR(ISNUMBER(SEARCH("Multiple Indicator Cluster",I879)),ISNUMBER(SEARCH("MICS",I879))),"MICS","Other"))</f>
        <v>Other</v>
      </c>
      <c r="K879" s="7" t="n">
        <f aca="false">IF(AND(F879="Record or Recall",G879="12-23 m"),1,0)</f>
        <v>0</v>
      </c>
      <c r="L879" s="7" t="n">
        <f aca="false">IF(OR(J879="DHS",J879="MICS"),1,0)</f>
        <v>0</v>
      </c>
    </row>
    <row r="880" customFormat="false" ht="15" hidden="false" customHeight="false" outlineLevel="0" collapsed="false">
      <c r="A880" s="7" t="s">
        <v>374</v>
      </c>
      <c r="B880" s="7" t="s">
        <v>395</v>
      </c>
      <c r="C880" s="7" t="s">
        <v>396</v>
      </c>
      <c r="D880" s="7" t="n">
        <v>2018</v>
      </c>
      <c r="E880" s="7" t="s">
        <v>67</v>
      </c>
      <c r="F880" s="7" t="s">
        <v>63</v>
      </c>
      <c r="G880" s="7" t="s">
        <v>91</v>
      </c>
      <c r="H880" s="7" t="n">
        <v>56.9</v>
      </c>
      <c r="I880" s="7" t="str">
        <f aca="false">IF(B880="",TRIM(C880),TRIM(B880))</f>
        <v>National Survey on Fertility and Mortality of Children Under Five in Niger 2021</v>
      </c>
      <c r="J880" s="7" t="str">
        <f aca="false">IF(ISNUMBER(SEARCH("Demographic and Health",I880)),"DHS",IF(OR(ISNUMBER(SEARCH("Multiple Indicator Cluster",I880)),ISNUMBER(SEARCH("MICS",I880))),"MICS","Other"))</f>
        <v>Other</v>
      </c>
      <c r="K880" s="7" t="n">
        <f aca="false">IF(AND(F880="Record or Recall",G880="12-23 m"),1,0)</f>
        <v>0</v>
      </c>
      <c r="L880" s="7" t="n">
        <f aca="false">IF(OR(J880="DHS",J880="MICS"),1,0)</f>
        <v>0</v>
      </c>
    </row>
    <row r="881" customFormat="false" ht="15" hidden="false" customHeight="false" outlineLevel="0" collapsed="false">
      <c r="A881" s="7" t="s">
        <v>374</v>
      </c>
      <c r="B881" s="7" t="s">
        <v>395</v>
      </c>
      <c r="C881" s="7" t="s">
        <v>396</v>
      </c>
      <c r="D881" s="7" t="n">
        <v>2018</v>
      </c>
      <c r="E881" s="7" t="s">
        <v>67</v>
      </c>
      <c r="F881" s="7" t="s">
        <v>87</v>
      </c>
      <c r="G881" s="7" t="s">
        <v>91</v>
      </c>
      <c r="H881" s="7" t="n">
        <v>14</v>
      </c>
      <c r="I881" s="7" t="str">
        <f aca="false">IF(B881="",TRIM(C881),TRIM(B881))</f>
        <v>National Survey on Fertility and Mortality of Children Under Five in Niger 2021</v>
      </c>
      <c r="J881" s="7" t="str">
        <f aca="false">IF(ISNUMBER(SEARCH("Demographic and Health",I881)),"DHS",IF(OR(ISNUMBER(SEARCH("Multiple Indicator Cluster",I881)),ISNUMBER(SEARCH("MICS",I881))),"MICS","Other"))</f>
        <v>Other</v>
      </c>
      <c r="K881" s="7" t="n">
        <f aca="false">IF(AND(F881="Record or Recall",G881="12-23 m"),1,0)</f>
        <v>0</v>
      </c>
      <c r="L881" s="7" t="n">
        <f aca="false">IF(OR(J881="DHS",J881="MICS"),1,0)</f>
        <v>0</v>
      </c>
    </row>
    <row r="882" customFormat="false" ht="15" hidden="false" customHeight="false" outlineLevel="0" collapsed="false">
      <c r="A882" s="7" t="s">
        <v>374</v>
      </c>
      <c r="B882" s="7" t="s">
        <v>395</v>
      </c>
      <c r="C882" s="7" t="s">
        <v>396</v>
      </c>
      <c r="D882" s="7" t="n">
        <v>2018</v>
      </c>
      <c r="E882" s="7" t="s">
        <v>82</v>
      </c>
      <c r="F882" s="7" t="s">
        <v>78</v>
      </c>
      <c r="G882" s="7" t="s">
        <v>91</v>
      </c>
      <c r="H882" s="7" t="n">
        <v>21</v>
      </c>
      <c r="I882" s="7" t="str">
        <f aca="false">IF(B882="",TRIM(C882),TRIM(B882))</f>
        <v>National Survey on Fertility and Mortality of Children Under Five in Niger 2021</v>
      </c>
      <c r="J882" s="7" t="str">
        <f aca="false">IF(ISNUMBER(SEARCH("Demographic and Health",I882)),"DHS",IF(OR(ISNUMBER(SEARCH("Multiple Indicator Cluster",I882)),ISNUMBER(SEARCH("MICS",I882))),"MICS","Other"))</f>
        <v>Other</v>
      </c>
      <c r="K882" s="7" t="n">
        <f aca="false">IF(AND(F882="Record or Recall",G882="12-23 m"),1,0)</f>
        <v>0</v>
      </c>
      <c r="L882" s="7" t="n">
        <f aca="false">IF(OR(J882="DHS",J882="MICS"),1,0)</f>
        <v>0</v>
      </c>
    </row>
    <row r="883" customFormat="false" ht="15" hidden="false" customHeight="false" outlineLevel="0" collapsed="false">
      <c r="A883" s="7" t="s">
        <v>374</v>
      </c>
      <c r="B883" s="7" t="s">
        <v>395</v>
      </c>
      <c r="C883" s="7" t="s">
        <v>396</v>
      </c>
      <c r="D883" s="7" t="n">
        <v>2018</v>
      </c>
      <c r="E883" s="7" t="s">
        <v>82</v>
      </c>
      <c r="F883" s="7" t="s">
        <v>86</v>
      </c>
      <c r="G883" s="7" t="s">
        <v>91</v>
      </c>
      <c r="H883" s="7" t="n">
        <v>22.5</v>
      </c>
      <c r="I883" s="7" t="str">
        <f aca="false">IF(B883="",TRIM(C883),TRIM(B883))</f>
        <v>National Survey on Fertility and Mortality of Children Under Five in Niger 2021</v>
      </c>
      <c r="J883" s="7" t="str">
        <f aca="false">IF(ISNUMBER(SEARCH("Demographic and Health",I883)),"DHS",IF(OR(ISNUMBER(SEARCH("Multiple Indicator Cluster",I883)),ISNUMBER(SEARCH("MICS",I883))),"MICS","Other"))</f>
        <v>Other</v>
      </c>
      <c r="K883" s="7" t="n">
        <f aca="false">IF(AND(F883="Record or Recall",G883="12-23 m"),1,0)</f>
        <v>0</v>
      </c>
      <c r="L883" s="7" t="n">
        <f aca="false">IF(OR(J883="DHS",J883="MICS"),1,0)</f>
        <v>0</v>
      </c>
    </row>
    <row r="884" customFormat="false" ht="15" hidden="false" customHeight="false" outlineLevel="0" collapsed="false">
      <c r="A884" s="7" t="s">
        <v>374</v>
      </c>
      <c r="B884" s="7" t="s">
        <v>395</v>
      </c>
      <c r="C884" s="7" t="s">
        <v>396</v>
      </c>
      <c r="D884" s="7" t="n">
        <v>2018</v>
      </c>
      <c r="E884" s="7" t="s">
        <v>82</v>
      </c>
      <c r="F884" s="7" t="s">
        <v>63</v>
      </c>
      <c r="G884" s="7" t="s">
        <v>91</v>
      </c>
      <c r="H884" s="7" t="n">
        <v>27.7</v>
      </c>
      <c r="I884" s="7" t="str">
        <f aca="false">IF(B884="",TRIM(C884),TRIM(B884))</f>
        <v>National Survey on Fertility and Mortality of Children Under Five in Niger 2021</v>
      </c>
      <c r="J884" s="7" t="str">
        <f aca="false">IF(ISNUMBER(SEARCH("Demographic and Health",I884)),"DHS",IF(OR(ISNUMBER(SEARCH("Multiple Indicator Cluster",I884)),ISNUMBER(SEARCH("MICS",I884))),"MICS","Other"))</f>
        <v>Other</v>
      </c>
      <c r="K884" s="7" t="n">
        <f aca="false">IF(AND(F884="Record or Recall",G884="12-23 m"),1,0)</f>
        <v>0</v>
      </c>
      <c r="L884" s="7" t="n">
        <f aca="false">IF(OR(J884="DHS",J884="MICS"),1,0)</f>
        <v>0</v>
      </c>
    </row>
    <row r="885" customFormat="false" ht="15" hidden="false" customHeight="false" outlineLevel="0" collapsed="false">
      <c r="A885" s="7" t="s">
        <v>374</v>
      </c>
      <c r="B885" s="7" t="s">
        <v>395</v>
      </c>
      <c r="C885" s="7" t="s">
        <v>396</v>
      </c>
      <c r="D885" s="7" t="n">
        <v>2018</v>
      </c>
      <c r="E885" s="7" t="s">
        <v>82</v>
      </c>
      <c r="F885" s="7" t="s">
        <v>87</v>
      </c>
      <c r="G885" s="7" t="s">
        <v>91</v>
      </c>
      <c r="H885" s="7" t="n">
        <v>5.2</v>
      </c>
      <c r="I885" s="7" t="str">
        <f aca="false">IF(B885="",TRIM(C885),TRIM(B885))</f>
        <v>National Survey on Fertility and Mortality of Children Under Five in Niger 2021</v>
      </c>
      <c r="J885" s="7" t="str">
        <f aca="false">IF(ISNUMBER(SEARCH("Demographic and Health",I885)),"DHS",IF(OR(ISNUMBER(SEARCH("Multiple Indicator Cluster",I885)),ISNUMBER(SEARCH("MICS",I885))),"MICS","Other"))</f>
        <v>Other</v>
      </c>
      <c r="K885" s="7" t="n">
        <f aca="false">IF(AND(F885="Record or Recall",G885="12-23 m"),1,0)</f>
        <v>0</v>
      </c>
      <c r="L885" s="7" t="n">
        <f aca="false">IF(OR(J885="DHS",J885="MICS"),1,0)</f>
        <v>0</v>
      </c>
    </row>
    <row r="886" customFormat="false" ht="15" hidden="false" customHeight="false" outlineLevel="0" collapsed="false">
      <c r="A886" s="7" t="s">
        <v>374</v>
      </c>
      <c r="B886" s="7" t="s">
        <v>395</v>
      </c>
      <c r="C886" s="7" t="s">
        <v>396</v>
      </c>
      <c r="D886" s="7" t="n">
        <v>2018</v>
      </c>
      <c r="E886" s="7" t="s">
        <v>69</v>
      </c>
      <c r="F886" s="7" t="s">
        <v>78</v>
      </c>
      <c r="G886" s="7" t="s">
        <v>91</v>
      </c>
      <c r="H886" s="7" t="n">
        <v>41.5</v>
      </c>
      <c r="I886" s="7" t="str">
        <f aca="false">IF(B886="",TRIM(C886),TRIM(B886))</f>
        <v>National Survey on Fertility and Mortality of Children Under Five in Niger 2021</v>
      </c>
      <c r="J886" s="7" t="str">
        <f aca="false">IF(ISNUMBER(SEARCH("Demographic and Health",I886)),"DHS",IF(OR(ISNUMBER(SEARCH("Multiple Indicator Cluster",I886)),ISNUMBER(SEARCH("MICS",I886))),"MICS","Other"))</f>
        <v>Other</v>
      </c>
      <c r="K886" s="7" t="n">
        <f aca="false">IF(AND(F886="Record or Recall",G886="12-23 m"),1,0)</f>
        <v>0</v>
      </c>
      <c r="L886" s="7" t="n">
        <f aca="false">IF(OR(J886="DHS",J886="MICS"),1,0)</f>
        <v>0</v>
      </c>
    </row>
    <row r="887" customFormat="false" ht="15" hidden="false" customHeight="false" outlineLevel="0" collapsed="false">
      <c r="A887" s="7" t="s">
        <v>374</v>
      </c>
      <c r="B887" s="7" t="s">
        <v>395</v>
      </c>
      <c r="C887" s="7" t="s">
        <v>396</v>
      </c>
      <c r="D887" s="7" t="n">
        <v>2018</v>
      </c>
      <c r="E887" s="7" t="s">
        <v>69</v>
      </c>
      <c r="F887" s="7" t="s">
        <v>86</v>
      </c>
      <c r="G887" s="7" t="s">
        <v>91</v>
      </c>
      <c r="H887" s="7" t="n">
        <v>36.7</v>
      </c>
      <c r="I887" s="7" t="str">
        <f aca="false">IF(B887="",TRIM(C887),TRIM(B887))</f>
        <v>National Survey on Fertility and Mortality of Children Under Five in Niger 2021</v>
      </c>
      <c r="J887" s="7" t="str">
        <f aca="false">IF(ISNUMBER(SEARCH("Demographic and Health",I887)),"DHS",IF(OR(ISNUMBER(SEARCH("Multiple Indicator Cluster",I887)),ISNUMBER(SEARCH("MICS",I887))),"MICS","Other"))</f>
        <v>Other</v>
      </c>
      <c r="K887" s="7" t="n">
        <f aca="false">IF(AND(F887="Record or Recall",G887="12-23 m"),1,0)</f>
        <v>0</v>
      </c>
      <c r="L887" s="7" t="n">
        <f aca="false">IF(OR(J887="DHS",J887="MICS"),1,0)</f>
        <v>0</v>
      </c>
    </row>
    <row r="888" customFormat="false" ht="15" hidden="false" customHeight="false" outlineLevel="0" collapsed="false">
      <c r="A888" s="7" t="s">
        <v>374</v>
      </c>
      <c r="B888" s="7" t="s">
        <v>395</v>
      </c>
      <c r="C888" s="7" t="s">
        <v>396</v>
      </c>
      <c r="D888" s="7" t="n">
        <v>2018</v>
      </c>
      <c r="E888" s="7" t="s">
        <v>69</v>
      </c>
      <c r="F888" s="7" t="s">
        <v>63</v>
      </c>
      <c r="G888" s="7" t="s">
        <v>91</v>
      </c>
      <c r="H888" s="7" t="n">
        <v>44.6</v>
      </c>
      <c r="I888" s="7" t="str">
        <f aca="false">IF(B888="",TRIM(C888),TRIM(B888))</f>
        <v>National Survey on Fertility and Mortality of Children Under Five in Niger 2021</v>
      </c>
      <c r="J888" s="7" t="str">
        <f aca="false">IF(ISNUMBER(SEARCH("Demographic and Health",I888)),"DHS",IF(OR(ISNUMBER(SEARCH("Multiple Indicator Cluster",I888)),ISNUMBER(SEARCH("MICS",I888))),"MICS","Other"))</f>
        <v>Other</v>
      </c>
      <c r="K888" s="7" t="n">
        <f aca="false">IF(AND(F888="Record or Recall",G888="12-23 m"),1,0)</f>
        <v>0</v>
      </c>
      <c r="L888" s="7" t="n">
        <f aca="false">IF(OR(J888="DHS",J888="MICS"),1,0)</f>
        <v>0</v>
      </c>
    </row>
    <row r="889" customFormat="false" ht="15" hidden="false" customHeight="false" outlineLevel="0" collapsed="false">
      <c r="A889" s="7" t="s">
        <v>374</v>
      </c>
      <c r="B889" s="7" t="s">
        <v>395</v>
      </c>
      <c r="C889" s="7" t="s">
        <v>396</v>
      </c>
      <c r="D889" s="7" t="n">
        <v>2018</v>
      </c>
      <c r="E889" s="7" t="s">
        <v>69</v>
      </c>
      <c r="F889" s="7" t="s">
        <v>87</v>
      </c>
      <c r="G889" s="7" t="s">
        <v>91</v>
      </c>
      <c r="H889" s="7" t="n">
        <v>7.9</v>
      </c>
      <c r="I889" s="7" t="str">
        <f aca="false">IF(B889="",TRIM(C889),TRIM(B889))</f>
        <v>National Survey on Fertility and Mortality of Children Under Five in Niger 2021</v>
      </c>
      <c r="J889" s="7" t="str">
        <f aca="false">IF(ISNUMBER(SEARCH("Demographic and Health",I889)),"DHS",IF(OR(ISNUMBER(SEARCH("Multiple Indicator Cluster",I889)),ISNUMBER(SEARCH("MICS",I889))),"MICS","Other"))</f>
        <v>Other</v>
      </c>
      <c r="K889" s="7" t="n">
        <f aca="false">IF(AND(F889="Record or Recall",G889="12-23 m"),1,0)</f>
        <v>0</v>
      </c>
      <c r="L889" s="7" t="n">
        <f aca="false">IF(OR(J889="DHS",J889="MICS"),1,0)</f>
        <v>0</v>
      </c>
    </row>
    <row r="890" customFormat="false" ht="15" hidden="false" customHeight="false" outlineLevel="0" collapsed="false">
      <c r="A890" s="7" t="s">
        <v>374</v>
      </c>
      <c r="B890" s="7" t="s">
        <v>395</v>
      </c>
      <c r="C890" s="7" t="s">
        <v>396</v>
      </c>
      <c r="D890" s="7" t="n">
        <v>2019</v>
      </c>
      <c r="E890" s="7" t="s">
        <v>62</v>
      </c>
      <c r="F890" s="7" t="s">
        <v>63</v>
      </c>
      <c r="G890" s="7" t="s">
        <v>66</v>
      </c>
      <c r="H890" s="7" t="n">
        <v>80.5</v>
      </c>
      <c r="I890" s="7" t="str">
        <f aca="false">IF(B890="",TRIM(C890),TRIM(B890))</f>
        <v>National Survey on Fertility and Mortality of Children Under Five in Niger 2021</v>
      </c>
      <c r="J890" s="7" t="str">
        <f aca="false">IF(ISNUMBER(SEARCH("Demographic and Health",I890)),"DHS",IF(OR(ISNUMBER(SEARCH("Multiple Indicator Cluster",I890)),ISNUMBER(SEARCH("MICS",I890))),"MICS","Other"))</f>
        <v>Other</v>
      </c>
      <c r="K890" s="7" t="n">
        <f aca="false">IF(AND(F890="Record or Recall",G890="12-23 m"),1,0)</f>
        <v>1</v>
      </c>
      <c r="L890" s="7" t="n">
        <f aca="false">IF(OR(J890="DHS",J890="MICS"),1,0)</f>
        <v>0</v>
      </c>
    </row>
    <row r="891" customFormat="false" ht="15" hidden="false" customHeight="false" outlineLevel="0" collapsed="false">
      <c r="A891" s="7" t="s">
        <v>374</v>
      </c>
      <c r="B891" s="7" t="s">
        <v>395</v>
      </c>
      <c r="C891" s="7" t="s">
        <v>396</v>
      </c>
      <c r="D891" s="7" t="n">
        <v>2019</v>
      </c>
      <c r="E891" s="7" t="s">
        <v>62</v>
      </c>
      <c r="F891" s="7" t="s">
        <v>87</v>
      </c>
      <c r="G891" s="7" t="s">
        <v>66</v>
      </c>
      <c r="H891" s="7" t="n">
        <v>16</v>
      </c>
      <c r="I891" s="7" t="str">
        <f aca="false">IF(B891="",TRIM(C891),TRIM(B891))</f>
        <v>National Survey on Fertility and Mortality of Children Under Five in Niger 2021</v>
      </c>
      <c r="J891" s="7" t="str">
        <f aca="false">IF(ISNUMBER(SEARCH("Demographic and Health",I891)),"DHS",IF(OR(ISNUMBER(SEARCH("Multiple Indicator Cluster",I891)),ISNUMBER(SEARCH("MICS",I891))),"MICS","Other"))</f>
        <v>Other</v>
      </c>
      <c r="K891" s="7" t="n">
        <f aca="false">IF(AND(F891="Record or Recall",G891="12-23 m"),1,0)</f>
        <v>0</v>
      </c>
      <c r="L891" s="7" t="n">
        <f aca="false">IF(OR(J891="DHS",J891="MICS"),1,0)</f>
        <v>0</v>
      </c>
    </row>
    <row r="892" customFormat="false" ht="15" hidden="false" customHeight="false" outlineLevel="0" collapsed="false">
      <c r="A892" s="7" t="s">
        <v>374</v>
      </c>
      <c r="B892" s="7" t="s">
        <v>395</v>
      </c>
      <c r="C892" s="7" t="s">
        <v>396</v>
      </c>
      <c r="D892" s="7" t="n">
        <v>2019</v>
      </c>
      <c r="E892" s="7" t="s">
        <v>62</v>
      </c>
      <c r="F892" s="7" t="s">
        <v>78</v>
      </c>
      <c r="G892" s="7" t="s">
        <v>66</v>
      </c>
      <c r="H892" s="7" t="n">
        <v>79.4</v>
      </c>
      <c r="I892" s="7" t="str">
        <f aca="false">IF(B892="",TRIM(C892),TRIM(B892))</f>
        <v>National Survey on Fertility and Mortality of Children Under Five in Niger 2021</v>
      </c>
      <c r="J892" s="7" t="str">
        <f aca="false">IF(ISNUMBER(SEARCH("Demographic and Health",I892)),"DHS",IF(OR(ISNUMBER(SEARCH("Multiple Indicator Cluster",I892)),ISNUMBER(SEARCH("MICS",I892))),"MICS","Other"))</f>
        <v>Other</v>
      </c>
      <c r="K892" s="7" t="n">
        <f aca="false">IF(AND(F892="Record or Recall",G892="12-23 m"),1,0)</f>
        <v>0</v>
      </c>
      <c r="L892" s="7" t="n">
        <f aca="false">IF(OR(J892="DHS",J892="MICS"),1,0)</f>
        <v>0</v>
      </c>
    </row>
    <row r="893" customFormat="false" ht="15" hidden="false" customHeight="false" outlineLevel="0" collapsed="false">
      <c r="A893" s="7" t="s">
        <v>374</v>
      </c>
      <c r="B893" s="7" t="s">
        <v>395</v>
      </c>
      <c r="C893" s="7" t="s">
        <v>396</v>
      </c>
      <c r="D893" s="7" t="n">
        <v>2019</v>
      </c>
      <c r="E893" s="7" t="s">
        <v>62</v>
      </c>
      <c r="F893" s="7" t="s">
        <v>86</v>
      </c>
      <c r="G893" s="7" t="s">
        <v>66</v>
      </c>
      <c r="H893" s="7" t="n">
        <v>64.5</v>
      </c>
      <c r="I893" s="7" t="str">
        <f aca="false">IF(B893="",TRIM(C893),TRIM(B893))</f>
        <v>National Survey on Fertility and Mortality of Children Under Five in Niger 2021</v>
      </c>
      <c r="J893" s="7" t="str">
        <f aca="false">IF(ISNUMBER(SEARCH("Demographic and Health",I893)),"DHS",IF(OR(ISNUMBER(SEARCH("Multiple Indicator Cluster",I893)),ISNUMBER(SEARCH("MICS",I893))),"MICS","Other"))</f>
        <v>Other</v>
      </c>
      <c r="K893" s="7" t="n">
        <f aca="false">IF(AND(F893="Record or Recall",G893="12-23 m"),1,0)</f>
        <v>0</v>
      </c>
      <c r="L893" s="7" t="n">
        <f aca="false">IF(OR(J893="DHS",J893="MICS"),1,0)</f>
        <v>0</v>
      </c>
    </row>
    <row r="894" customFormat="false" ht="15" hidden="false" customHeight="false" outlineLevel="0" collapsed="false">
      <c r="A894" s="7" t="s">
        <v>374</v>
      </c>
      <c r="B894" s="7" t="s">
        <v>395</v>
      </c>
      <c r="C894" s="7" t="s">
        <v>396</v>
      </c>
      <c r="D894" s="7" t="n">
        <v>2019</v>
      </c>
      <c r="E894" s="7" t="s">
        <v>81</v>
      </c>
      <c r="F894" s="7" t="s">
        <v>78</v>
      </c>
      <c r="G894" s="7" t="s">
        <v>66</v>
      </c>
      <c r="H894" s="7" t="n">
        <v>80.2</v>
      </c>
      <c r="I894" s="7" t="str">
        <f aca="false">IF(B894="",TRIM(C894),TRIM(B894))</f>
        <v>National Survey on Fertility and Mortality of Children Under Five in Niger 2021</v>
      </c>
      <c r="J894" s="7" t="str">
        <f aca="false">IF(ISNUMBER(SEARCH("Demographic and Health",I894)),"DHS",IF(OR(ISNUMBER(SEARCH("Multiple Indicator Cluster",I894)),ISNUMBER(SEARCH("MICS",I894))),"MICS","Other"))</f>
        <v>Other</v>
      </c>
      <c r="K894" s="7" t="n">
        <f aca="false">IF(AND(F894="Record or Recall",G894="12-23 m"),1,0)</f>
        <v>0</v>
      </c>
      <c r="L894" s="7" t="n">
        <f aca="false">IF(OR(J894="DHS",J894="MICS"),1,0)</f>
        <v>0</v>
      </c>
    </row>
    <row r="895" customFormat="false" ht="15" hidden="false" customHeight="false" outlineLevel="0" collapsed="false">
      <c r="A895" s="7" t="s">
        <v>374</v>
      </c>
      <c r="B895" s="7" t="s">
        <v>395</v>
      </c>
      <c r="C895" s="7" t="s">
        <v>396</v>
      </c>
      <c r="D895" s="7" t="n">
        <v>2019</v>
      </c>
      <c r="E895" s="7" t="s">
        <v>81</v>
      </c>
      <c r="F895" s="7" t="s">
        <v>86</v>
      </c>
      <c r="G895" s="7" t="s">
        <v>66</v>
      </c>
      <c r="H895" s="7" t="n">
        <v>64.7</v>
      </c>
      <c r="I895" s="7" t="str">
        <f aca="false">IF(B895="",TRIM(C895),TRIM(B895))</f>
        <v>National Survey on Fertility and Mortality of Children Under Five in Niger 2021</v>
      </c>
      <c r="J895" s="7" t="str">
        <f aca="false">IF(ISNUMBER(SEARCH("Demographic and Health",I895)),"DHS",IF(OR(ISNUMBER(SEARCH("Multiple Indicator Cluster",I895)),ISNUMBER(SEARCH("MICS",I895))),"MICS","Other"))</f>
        <v>Other</v>
      </c>
      <c r="K895" s="7" t="n">
        <f aca="false">IF(AND(F895="Record or Recall",G895="12-23 m"),1,0)</f>
        <v>0</v>
      </c>
      <c r="L895" s="7" t="n">
        <f aca="false">IF(OR(J895="DHS",J895="MICS"),1,0)</f>
        <v>0</v>
      </c>
    </row>
    <row r="896" customFormat="false" ht="15" hidden="false" customHeight="false" outlineLevel="0" collapsed="false">
      <c r="A896" s="7" t="s">
        <v>374</v>
      </c>
      <c r="B896" s="7" t="s">
        <v>395</v>
      </c>
      <c r="C896" s="7" t="s">
        <v>396</v>
      </c>
      <c r="D896" s="7" t="n">
        <v>2019</v>
      </c>
      <c r="E896" s="7" t="s">
        <v>81</v>
      </c>
      <c r="F896" s="7" t="s">
        <v>63</v>
      </c>
      <c r="G896" s="7" t="s">
        <v>66</v>
      </c>
      <c r="H896" s="7" t="n">
        <v>80.6</v>
      </c>
      <c r="I896" s="7" t="str">
        <f aca="false">IF(B896="",TRIM(C896),TRIM(B896))</f>
        <v>National Survey on Fertility and Mortality of Children Under Five in Niger 2021</v>
      </c>
      <c r="J896" s="7" t="str">
        <f aca="false">IF(ISNUMBER(SEARCH("Demographic and Health",I896)),"DHS",IF(OR(ISNUMBER(SEARCH("Multiple Indicator Cluster",I896)),ISNUMBER(SEARCH("MICS",I896))),"MICS","Other"))</f>
        <v>Other</v>
      </c>
      <c r="K896" s="7" t="n">
        <f aca="false">IF(AND(F896="Record or Recall",G896="12-23 m"),1,0)</f>
        <v>1</v>
      </c>
      <c r="L896" s="7" t="n">
        <f aca="false">IF(OR(J896="DHS",J896="MICS"),1,0)</f>
        <v>0</v>
      </c>
    </row>
    <row r="897" customFormat="false" ht="15" hidden="false" customHeight="false" outlineLevel="0" collapsed="false">
      <c r="A897" s="7" t="s">
        <v>374</v>
      </c>
      <c r="B897" s="7" t="s">
        <v>395</v>
      </c>
      <c r="C897" s="7" t="s">
        <v>396</v>
      </c>
      <c r="D897" s="7" t="n">
        <v>2019</v>
      </c>
      <c r="E897" s="7" t="s">
        <v>81</v>
      </c>
      <c r="F897" s="7" t="s">
        <v>87</v>
      </c>
      <c r="G897" s="7" t="s">
        <v>66</v>
      </c>
      <c r="H897" s="7" t="n">
        <v>15.9</v>
      </c>
      <c r="I897" s="7" t="str">
        <f aca="false">IF(B897="",TRIM(C897),TRIM(B897))</f>
        <v>National Survey on Fertility and Mortality of Children Under Five in Niger 2021</v>
      </c>
      <c r="J897" s="7" t="str">
        <f aca="false">IF(ISNUMBER(SEARCH("Demographic and Health",I897)),"DHS",IF(OR(ISNUMBER(SEARCH("Multiple Indicator Cluster",I897)),ISNUMBER(SEARCH("MICS",I897))),"MICS","Other"))</f>
        <v>Other</v>
      </c>
      <c r="K897" s="7" t="n">
        <f aca="false">IF(AND(F897="Record or Recall",G897="12-23 m"),1,0)</f>
        <v>0</v>
      </c>
      <c r="L897" s="7" t="n">
        <f aca="false">IF(OR(J897="DHS",J897="MICS"),1,0)</f>
        <v>0</v>
      </c>
    </row>
    <row r="898" customFormat="false" ht="15" hidden="false" customHeight="false" outlineLevel="0" collapsed="false">
      <c r="A898" s="7" t="s">
        <v>374</v>
      </c>
      <c r="B898" s="7" t="s">
        <v>395</v>
      </c>
      <c r="C898" s="7" t="s">
        <v>396</v>
      </c>
      <c r="D898" s="7" t="n">
        <v>2019</v>
      </c>
      <c r="E898" s="7" t="s">
        <v>67</v>
      </c>
      <c r="F898" s="7" t="s">
        <v>78</v>
      </c>
      <c r="G898" s="7" t="s">
        <v>66</v>
      </c>
      <c r="H898" s="7" t="n">
        <v>62.5</v>
      </c>
      <c r="I898" s="7" t="str">
        <f aca="false">IF(B898="",TRIM(C898),TRIM(B898))</f>
        <v>National Survey on Fertility and Mortality of Children Under Five in Niger 2021</v>
      </c>
      <c r="J898" s="7" t="str">
        <f aca="false">IF(ISNUMBER(SEARCH("Demographic and Health",I898)),"DHS",IF(OR(ISNUMBER(SEARCH("Multiple Indicator Cluster",I898)),ISNUMBER(SEARCH("MICS",I898))),"MICS","Other"))</f>
        <v>Other</v>
      </c>
      <c r="K898" s="7" t="n">
        <f aca="false">IF(AND(F898="Record or Recall",G898="12-23 m"),1,0)</f>
        <v>0</v>
      </c>
      <c r="L898" s="7" t="n">
        <f aca="false">IF(OR(J898="DHS",J898="MICS"),1,0)</f>
        <v>0</v>
      </c>
    </row>
    <row r="899" customFormat="false" ht="15" hidden="false" customHeight="false" outlineLevel="0" collapsed="false">
      <c r="A899" s="7" t="s">
        <v>374</v>
      </c>
      <c r="B899" s="7" t="s">
        <v>395</v>
      </c>
      <c r="C899" s="7" t="s">
        <v>396</v>
      </c>
      <c r="D899" s="7" t="n">
        <v>2019</v>
      </c>
      <c r="E899" s="7" t="s">
        <v>67</v>
      </c>
      <c r="F899" s="7" t="s">
        <v>86</v>
      </c>
      <c r="G899" s="7" t="s">
        <v>66</v>
      </c>
      <c r="H899" s="7" t="n">
        <v>52.9</v>
      </c>
      <c r="I899" s="7" t="str">
        <f aca="false">IF(B899="",TRIM(C899),TRIM(B899))</f>
        <v>National Survey on Fertility and Mortality of Children Under Five in Niger 2021</v>
      </c>
      <c r="J899" s="7" t="str">
        <f aca="false">IF(ISNUMBER(SEARCH("Demographic and Health",I899)),"DHS",IF(OR(ISNUMBER(SEARCH("Multiple Indicator Cluster",I899)),ISNUMBER(SEARCH("MICS",I899))),"MICS","Other"))</f>
        <v>Other</v>
      </c>
      <c r="K899" s="7" t="n">
        <f aca="false">IF(AND(F899="Record or Recall",G899="12-23 m"),1,0)</f>
        <v>0</v>
      </c>
      <c r="L899" s="7" t="n">
        <f aca="false">IF(OR(J899="DHS",J899="MICS"),1,0)</f>
        <v>0</v>
      </c>
    </row>
    <row r="900" customFormat="false" ht="15" hidden="false" customHeight="false" outlineLevel="0" collapsed="false">
      <c r="A900" s="7" t="s">
        <v>374</v>
      </c>
      <c r="B900" s="7" t="s">
        <v>395</v>
      </c>
      <c r="C900" s="7" t="s">
        <v>396</v>
      </c>
      <c r="D900" s="7" t="n">
        <v>2019</v>
      </c>
      <c r="E900" s="7" t="s">
        <v>67</v>
      </c>
      <c r="F900" s="7" t="s">
        <v>63</v>
      </c>
      <c r="G900" s="7" t="s">
        <v>66</v>
      </c>
      <c r="H900" s="7" t="n">
        <v>63.5</v>
      </c>
      <c r="I900" s="7" t="str">
        <f aca="false">IF(B900="",TRIM(C900),TRIM(B900))</f>
        <v>National Survey on Fertility and Mortality of Children Under Five in Niger 2021</v>
      </c>
      <c r="J900" s="7" t="str">
        <f aca="false">IF(ISNUMBER(SEARCH("Demographic and Health",I900)),"DHS",IF(OR(ISNUMBER(SEARCH("Multiple Indicator Cluster",I900)),ISNUMBER(SEARCH("MICS",I900))),"MICS","Other"))</f>
        <v>Other</v>
      </c>
      <c r="K900" s="7" t="n">
        <f aca="false">IF(AND(F900="Record or Recall",G900="12-23 m"),1,0)</f>
        <v>1</v>
      </c>
      <c r="L900" s="7" t="n">
        <f aca="false">IF(OR(J900="DHS",J900="MICS"),1,0)</f>
        <v>0</v>
      </c>
    </row>
    <row r="901" customFormat="false" ht="15" hidden="false" customHeight="false" outlineLevel="0" collapsed="false">
      <c r="A901" s="7" t="s">
        <v>374</v>
      </c>
      <c r="B901" s="7" t="s">
        <v>395</v>
      </c>
      <c r="C901" s="7" t="s">
        <v>396</v>
      </c>
      <c r="D901" s="7" t="n">
        <v>2019</v>
      </c>
      <c r="E901" s="7" t="s">
        <v>67</v>
      </c>
      <c r="F901" s="7" t="s">
        <v>87</v>
      </c>
      <c r="G901" s="7" t="s">
        <v>66</v>
      </c>
      <c r="H901" s="7" t="n">
        <v>10.6</v>
      </c>
      <c r="I901" s="7" t="str">
        <f aca="false">IF(B901="",TRIM(C901),TRIM(B901))</f>
        <v>National Survey on Fertility and Mortality of Children Under Five in Niger 2021</v>
      </c>
      <c r="J901" s="7" t="str">
        <f aca="false">IF(ISNUMBER(SEARCH("Demographic and Health",I901)),"DHS",IF(OR(ISNUMBER(SEARCH("Multiple Indicator Cluster",I901)),ISNUMBER(SEARCH("MICS",I901))),"MICS","Other"))</f>
        <v>Other</v>
      </c>
      <c r="K901" s="7" t="n">
        <f aca="false">IF(AND(F901="Record or Recall",G901="12-23 m"),1,0)</f>
        <v>0</v>
      </c>
      <c r="L901" s="7" t="n">
        <f aca="false">IF(OR(J901="DHS",J901="MICS"),1,0)</f>
        <v>0</v>
      </c>
    </row>
    <row r="902" customFormat="false" ht="15" hidden="false" customHeight="false" outlineLevel="0" collapsed="false">
      <c r="A902" s="7" t="s">
        <v>374</v>
      </c>
      <c r="B902" s="7" t="s">
        <v>395</v>
      </c>
      <c r="C902" s="7" t="s">
        <v>396</v>
      </c>
      <c r="D902" s="7" t="n">
        <v>2019</v>
      </c>
      <c r="E902" s="7" t="s">
        <v>82</v>
      </c>
      <c r="F902" s="7" t="s">
        <v>78</v>
      </c>
      <c r="G902" s="7" t="s">
        <v>66</v>
      </c>
      <c r="H902" s="7" t="n">
        <v>28.5</v>
      </c>
      <c r="I902" s="7" t="str">
        <f aca="false">IF(B902="",TRIM(C902),TRIM(B902))</f>
        <v>National Survey on Fertility and Mortality of Children Under Five in Niger 2021</v>
      </c>
      <c r="J902" s="7" t="str">
        <f aca="false">IF(ISNUMBER(SEARCH("Demographic and Health",I902)),"DHS",IF(OR(ISNUMBER(SEARCH("Multiple Indicator Cluster",I902)),ISNUMBER(SEARCH("MICS",I902))),"MICS","Other"))</f>
        <v>Other</v>
      </c>
      <c r="K902" s="7" t="n">
        <f aca="false">IF(AND(F902="Record or Recall",G902="12-23 m"),1,0)</f>
        <v>0</v>
      </c>
      <c r="L902" s="7" t="n">
        <f aca="false">IF(OR(J902="DHS",J902="MICS"),1,0)</f>
        <v>0</v>
      </c>
    </row>
    <row r="903" customFormat="false" ht="15" hidden="false" customHeight="false" outlineLevel="0" collapsed="false">
      <c r="A903" s="7" t="s">
        <v>374</v>
      </c>
      <c r="B903" s="7" t="s">
        <v>395</v>
      </c>
      <c r="C903" s="7" t="s">
        <v>396</v>
      </c>
      <c r="D903" s="7" t="n">
        <v>2019</v>
      </c>
      <c r="E903" s="7" t="s">
        <v>82</v>
      </c>
      <c r="F903" s="7" t="s">
        <v>86</v>
      </c>
      <c r="G903" s="7" t="s">
        <v>66</v>
      </c>
      <c r="H903" s="7" t="n">
        <v>28.5</v>
      </c>
      <c r="I903" s="7" t="str">
        <f aca="false">IF(B903="",TRIM(C903),TRIM(B903))</f>
        <v>National Survey on Fertility and Mortality of Children Under Five in Niger 2021</v>
      </c>
      <c r="J903" s="7" t="str">
        <f aca="false">IF(ISNUMBER(SEARCH("Demographic and Health",I903)),"DHS",IF(OR(ISNUMBER(SEARCH("Multiple Indicator Cluster",I903)),ISNUMBER(SEARCH("MICS",I903))),"MICS","Other"))</f>
        <v>Other</v>
      </c>
      <c r="K903" s="7" t="n">
        <f aca="false">IF(AND(F903="Record or Recall",G903="12-23 m"),1,0)</f>
        <v>0</v>
      </c>
      <c r="L903" s="7" t="n">
        <f aca="false">IF(OR(J903="DHS",J903="MICS"),1,0)</f>
        <v>0</v>
      </c>
    </row>
    <row r="904" customFormat="false" ht="15" hidden="false" customHeight="false" outlineLevel="0" collapsed="false">
      <c r="A904" s="7" t="s">
        <v>374</v>
      </c>
      <c r="B904" s="7" t="s">
        <v>395</v>
      </c>
      <c r="C904" s="7" t="s">
        <v>396</v>
      </c>
      <c r="D904" s="7" t="n">
        <v>2019</v>
      </c>
      <c r="E904" s="7" t="s">
        <v>82</v>
      </c>
      <c r="F904" s="7" t="s">
        <v>63</v>
      </c>
      <c r="G904" s="7" t="s">
        <v>66</v>
      </c>
      <c r="H904" s="7" t="n">
        <v>32.8</v>
      </c>
      <c r="I904" s="7" t="str">
        <f aca="false">IF(B904="",TRIM(C904),TRIM(B904))</f>
        <v>National Survey on Fertility and Mortality of Children Under Five in Niger 2021</v>
      </c>
      <c r="J904" s="7" t="str">
        <f aca="false">IF(ISNUMBER(SEARCH("Demographic and Health",I904)),"DHS",IF(OR(ISNUMBER(SEARCH("Multiple Indicator Cluster",I904)),ISNUMBER(SEARCH("MICS",I904))),"MICS","Other"))</f>
        <v>Other</v>
      </c>
      <c r="K904" s="7" t="n">
        <f aca="false">IF(AND(F904="Record or Recall",G904="12-23 m"),1,0)</f>
        <v>1</v>
      </c>
      <c r="L904" s="7" t="n">
        <f aca="false">IF(OR(J904="DHS",J904="MICS"),1,0)</f>
        <v>0</v>
      </c>
    </row>
    <row r="905" customFormat="false" ht="15" hidden="false" customHeight="false" outlineLevel="0" collapsed="false">
      <c r="A905" s="7" t="s">
        <v>374</v>
      </c>
      <c r="B905" s="7" t="s">
        <v>395</v>
      </c>
      <c r="C905" s="7" t="s">
        <v>396</v>
      </c>
      <c r="D905" s="7" t="n">
        <v>2019</v>
      </c>
      <c r="E905" s="7" t="s">
        <v>82</v>
      </c>
      <c r="F905" s="7" t="s">
        <v>87</v>
      </c>
      <c r="G905" s="7" t="s">
        <v>66</v>
      </c>
      <c r="H905" s="7" t="n">
        <v>4.3</v>
      </c>
      <c r="I905" s="7" t="str">
        <f aca="false">IF(B905="",TRIM(C905),TRIM(B905))</f>
        <v>National Survey on Fertility and Mortality of Children Under Five in Niger 2021</v>
      </c>
      <c r="J905" s="7" t="str">
        <f aca="false">IF(ISNUMBER(SEARCH("Demographic and Health",I905)),"DHS",IF(OR(ISNUMBER(SEARCH("Multiple Indicator Cluster",I905)),ISNUMBER(SEARCH("MICS",I905))),"MICS","Other"))</f>
        <v>Other</v>
      </c>
      <c r="K905" s="7" t="n">
        <f aca="false">IF(AND(F905="Record or Recall",G905="12-23 m"),1,0)</f>
        <v>0</v>
      </c>
      <c r="L905" s="7" t="n">
        <f aca="false">IF(OR(J905="DHS",J905="MICS"),1,0)</f>
        <v>0</v>
      </c>
    </row>
    <row r="906" customFormat="false" ht="15" hidden="false" customHeight="false" outlineLevel="0" collapsed="false">
      <c r="A906" s="7" t="s">
        <v>374</v>
      </c>
      <c r="B906" s="7" t="s">
        <v>395</v>
      </c>
      <c r="C906" s="7" t="s">
        <v>396</v>
      </c>
      <c r="D906" s="7" t="n">
        <v>2019</v>
      </c>
      <c r="E906" s="7" t="s">
        <v>68</v>
      </c>
      <c r="F906" s="7" t="s">
        <v>63</v>
      </c>
      <c r="G906" s="7" t="s">
        <v>66</v>
      </c>
      <c r="H906" s="7" t="n">
        <v>33</v>
      </c>
      <c r="I906" s="7" t="str">
        <f aca="false">IF(B906="",TRIM(C906),TRIM(B906))</f>
        <v>National Survey on Fertility and Mortality of Children Under Five in Niger 2021</v>
      </c>
      <c r="J906" s="7" t="str">
        <f aca="false">IF(ISNUMBER(SEARCH("Demographic and Health",I906)),"DHS",IF(OR(ISNUMBER(SEARCH("Multiple Indicator Cluster",I906)),ISNUMBER(SEARCH("MICS",I906))),"MICS","Other"))</f>
        <v>Other</v>
      </c>
      <c r="K906" s="7" t="n">
        <f aca="false">IF(AND(F906="Record or Recall",G906="12-23 m"),1,0)</f>
        <v>1</v>
      </c>
      <c r="L906" s="7" t="n">
        <f aca="false">IF(OR(J906="DHS",J906="MICS"),1,0)</f>
        <v>0</v>
      </c>
    </row>
    <row r="907" customFormat="false" ht="15" hidden="false" customHeight="false" outlineLevel="0" collapsed="false">
      <c r="A907" s="7" t="s">
        <v>374</v>
      </c>
      <c r="B907" s="7" t="s">
        <v>395</v>
      </c>
      <c r="C907" s="7" t="s">
        <v>396</v>
      </c>
      <c r="D907" s="7" t="n">
        <v>2019</v>
      </c>
      <c r="E907" s="7" t="s">
        <v>69</v>
      </c>
      <c r="F907" s="7" t="s">
        <v>78</v>
      </c>
      <c r="G907" s="7" t="s">
        <v>66</v>
      </c>
      <c r="H907" s="7" t="n">
        <v>50.5</v>
      </c>
      <c r="I907" s="7" t="str">
        <f aca="false">IF(B907="",TRIM(C907),TRIM(B907))</f>
        <v>National Survey on Fertility and Mortality of Children Under Five in Niger 2021</v>
      </c>
      <c r="J907" s="7" t="str">
        <f aca="false">IF(ISNUMBER(SEARCH("Demographic and Health",I907)),"DHS",IF(OR(ISNUMBER(SEARCH("Multiple Indicator Cluster",I907)),ISNUMBER(SEARCH("MICS",I907))),"MICS","Other"))</f>
        <v>Other</v>
      </c>
      <c r="K907" s="7" t="n">
        <f aca="false">IF(AND(F907="Record or Recall",G907="12-23 m"),1,0)</f>
        <v>0</v>
      </c>
      <c r="L907" s="7" t="n">
        <f aca="false">IF(OR(J907="DHS",J907="MICS"),1,0)</f>
        <v>0</v>
      </c>
    </row>
    <row r="908" customFormat="false" ht="15" hidden="false" customHeight="false" outlineLevel="0" collapsed="false">
      <c r="A908" s="7" t="s">
        <v>374</v>
      </c>
      <c r="B908" s="7" t="s">
        <v>395</v>
      </c>
      <c r="C908" s="7" t="s">
        <v>396</v>
      </c>
      <c r="D908" s="7" t="n">
        <v>2019</v>
      </c>
      <c r="E908" s="7" t="s">
        <v>69</v>
      </c>
      <c r="F908" s="7" t="s">
        <v>86</v>
      </c>
      <c r="G908" s="7" t="s">
        <v>66</v>
      </c>
      <c r="H908" s="7" t="n">
        <v>45.9</v>
      </c>
      <c r="I908" s="7" t="str">
        <f aca="false">IF(B908="",TRIM(C908),TRIM(B908))</f>
        <v>National Survey on Fertility and Mortality of Children Under Five in Niger 2021</v>
      </c>
      <c r="J908" s="7" t="str">
        <f aca="false">IF(ISNUMBER(SEARCH("Demographic and Health",I908)),"DHS",IF(OR(ISNUMBER(SEARCH("Multiple Indicator Cluster",I908)),ISNUMBER(SEARCH("MICS",I908))),"MICS","Other"))</f>
        <v>Other</v>
      </c>
      <c r="K908" s="7" t="n">
        <f aca="false">IF(AND(F908="Record or Recall",G908="12-23 m"),1,0)</f>
        <v>0</v>
      </c>
      <c r="L908" s="7" t="n">
        <f aca="false">IF(OR(J908="DHS",J908="MICS"),1,0)</f>
        <v>0</v>
      </c>
    </row>
    <row r="909" customFormat="false" ht="15" hidden="false" customHeight="false" outlineLevel="0" collapsed="false">
      <c r="A909" s="7" t="s">
        <v>374</v>
      </c>
      <c r="B909" s="7" t="s">
        <v>395</v>
      </c>
      <c r="C909" s="7" t="s">
        <v>396</v>
      </c>
      <c r="D909" s="7" t="n">
        <v>2019</v>
      </c>
      <c r="E909" s="7" t="s">
        <v>69</v>
      </c>
      <c r="F909" s="7" t="s">
        <v>63</v>
      </c>
      <c r="G909" s="7" t="s">
        <v>66</v>
      </c>
      <c r="H909" s="7" t="n">
        <v>51.7</v>
      </c>
      <c r="I909" s="7" t="str">
        <f aca="false">IF(B909="",TRIM(C909),TRIM(B909))</f>
        <v>National Survey on Fertility and Mortality of Children Under Five in Niger 2021</v>
      </c>
      <c r="J909" s="7" t="str">
        <f aca="false">IF(ISNUMBER(SEARCH("Demographic and Health",I909)),"DHS",IF(OR(ISNUMBER(SEARCH("Multiple Indicator Cluster",I909)),ISNUMBER(SEARCH("MICS",I909))),"MICS","Other"))</f>
        <v>Other</v>
      </c>
      <c r="K909" s="7" t="n">
        <f aca="false">IF(AND(F909="Record or Recall",G909="12-23 m"),1,0)</f>
        <v>1</v>
      </c>
      <c r="L909" s="7" t="n">
        <f aca="false">IF(OR(J909="DHS",J909="MICS"),1,0)</f>
        <v>0</v>
      </c>
    </row>
    <row r="910" customFormat="false" ht="15" hidden="false" customHeight="false" outlineLevel="0" collapsed="false">
      <c r="A910" s="7" t="s">
        <v>374</v>
      </c>
      <c r="B910" s="7" t="s">
        <v>395</v>
      </c>
      <c r="C910" s="7" t="s">
        <v>396</v>
      </c>
      <c r="D910" s="7" t="n">
        <v>2019</v>
      </c>
      <c r="E910" s="7" t="s">
        <v>69</v>
      </c>
      <c r="F910" s="7" t="s">
        <v>87</v>
      </c>
      <c r="G910" s="7" t="s">
        <v>66</v>
      </c>
      <c r="H910" s="7" t="n">
        <v>5.8</v>
      </c>
      <c r="I910" s="7" t="str">
        <f aca="false">IF(B910="",TRIM(C910),TRIM(B910))</f>
        <v>National Survey on Fertility and Mortality of Children Under Five in Niger 2021</v>
      </c>
      <c r="J910" s="7" t="str">
        <f aca="false">IF(ISNUMBER(SEARCH("Demographic and Health",I910)),"DHS",IF(OR(ISNUMBER(SEARCH("Multiple Indicator Cluster",I910)),ISNUMBER(SEARCH("MICS",I910))),"MICS","Other"))</f>
        <v>Other</v>
      </c>
      <c r="K910" s="7" t="n">
        <f aca="false">IF(AND(F910="Record or Recall",G910="12-23 m"),1,0)</f>
        <v>0</v>
      </c>
      <c r="L910" s="7" t="n">
        <f aca="false">IF(OR(J910="DHS",J910="MICS"),1,0)</f>
        <v>0</v>
      </c>
    </row>
    <row r="911" customFormat="false" ht="15" hidden="false" customHeight="false" outlineLevel="0" collapsed="false">
      <c r="A911" s="7" t="s">
        <v>374</v>
      </c>
      <c r="B911" s="7" t="s">
        <v>397</v>
      </c>
      <c r="C911" s="7" t="s">
        <v>398</v>
      </c>
      <c r="D911" s="7" t="n">
        <v>2022</v>
      </c>
      <c r="E911" s="7" t="s">
        <v>62</v>
      </c>
      <c r="F911" s="7" t="s">
        <v>86</v>
      </c>
      <c r="G911" s="7" t="s">
        <v>66</v>
      </c>
      <c r="H911" s="7" t="n">
        <v>59.5</v>
      </c>
      <c r="I911" s="7" t="str">
        <f aca="false">IF(B911="",TRIM(C911),TRIM(B911))</f>
        <v>National Routine Vaccination Coverage Survey, Niger, 2023-2024</v>
      </c>
      <c r="J911" s="7" t="str">
        <f aca="false">IF(ISNUMBER(SEARCH("Demographic and Health",I911)),"DHS",IF(OR(ISNUMBER(SEARCH("Multiple Indicator Cluster",I911)),ISNUMBER(SEARCH("MICS",I911))),"MICS","Other"))</f>
        <v>Other</v>
      </c>
      <c r="K911" s="7" t="n">
        <f aca="false">IF(AND(F911="Record or Recall",G911="12-23 m"),1,0)</f>
        <v>0</v>
      </c>
      <c r="L911" s="7" t="n">
        <f aca="false">IF(OR(J911="DHS",J911="MICS"),1,0)</f>
        <v>0</v>
      </c>
    </row>
    <row r="912" customFormat="false" ht="15" hidden="false" customHeight="false" outlineLevel="0" collapsed="false">
      <c r="A912" s="7" t="s">
        <v>374</v>
      </c>
      <c r="B912" s="7" t="s">
        <v>397</v>
      </c>
      <c r="C912" s="7" t="s">
        <v>398</v>
      </c>
      <c r="D912" s="7" t="n">
        <v>2022</v>
      </c>
      <c r="E912" s="7" t="s">
        <v>62</v>
      </c>
      <c r="F912" s="7" t="s">
        <v>87</v>
      </c>
      <c r="G912" s="7" t="s">
        <v>66</v>
      </c>
      <c r="H912" s="7" t="n">
        <v>87.5</v>
      </c>
      <c r="I912" s="7" t="str">
        <f aca="false">IF(B912="",TRIM(C912),TRIM(B912))</f>
        <v>National Routine Vaccination Coverage Survey, Niger, 2023-2024</v>
      </c>
      <c r="J912" s="7" t="str">
        <f aca="false">IF(ISNUMBER(SEARCH("Demographic and Health",I912)),"DHS",IF(OR(ISNUMBER(SEARCH("Multiple Indicator Cluster",I912)),ISNUMBER(SEARCH("MICS",I912))),"MICS","Other"))</f>
        <v>Other</v>
      </c>
      <c r="K912" s="7" t="n">
        <f aca="false">IF(AND(F912="Record or Recall",G912="12-23 m"),1,0)</f>
        <v>0</v>
      </c>
      <c r="L912" s="7" t="n">
        <f aca="false">IF(OR(J912="DHS",J912="MICS"),1,0)</f>
        <v>0</v>
      </c>
    </row>
    <row r="913" customFormat="false" ht="15" hidden="false" customHeight="false" outlineLevel="0" collapsed="false">
      <c r="A913" s="7" t="s">
        <v>374</v>
      </c>
      <c r="B913" s="7" t="s">
        <v>397</v>
      </c>
      <c r="C913" s="7" t="s">
        <v>398</v>
      </c>
      <c r="D913" s="7" t="n">
        <v>2022</v>
      </c>
      <c r="E913" s="7" t="s">
        <v>62</v>
      </c>
      <c r="F913" s="7" t="s">
        <v>388</v>
      </c>
      <c r="G913" s="7" t="s">
        <v>66</v>
      </c>
      <c r="H913" s="7" t="n">
        <v>77.3</v>
      </c>
      <c r="I913" s="7" t="str">
        <f aca="false">IF(B913="",TRIM(C913),TRIM(B913))</f>
        <v>National Routine Vaccination Coverage Survey, Niger, 2023-2024</v>
      </c>
      <c r="J913" s="7" t="str">
        <f aca="false">IF(ISNUMBER(SEARCH("Demographic and Health",I913)),"DHS",IF(OR(ISNUMBER(SEARCH("Multiple Indicator Cluster",I913)),ISNUMBER(SEARCH("MICS",I913))),"MICS","Other"))</f>
        <v>Other</v>
      </c>
      <c r="K913" s="7" t="n">
        <f aca="false">IF(AND(F913="Record or Recall",G913="12-23 m"),1,0)</f>
        <v>0</v>
      </c>
      <c r="L913" s="7" t="n">
        <f aca="false">IF(OR(J913="DHS",J913="MICS"),1,0)</f>
        <v>0</v>
      </c>
    </row>
    <row r="914" customFormat="false" ht="15" hidden="false" customHeight="false" outlineLevel="0" collapsed="false">
      <c r="A914" s="7" t="s">
        <v>374</v>
      </c>
      <c r="B914" s="7" t="s">
        <v>397</v>
      </c>
      <c r="C914" s="7" t="s">
        <v>398</v>
      </c>
      <c r="D914" s="7" t="n">
        <v>2022</v>
      </c>
      <c r="E914" s="7" t="s">
        <v>62</v>
      </c>
      <c r="F914" s="7" t="s">
        <v>63</v>
      </c>
      <c r="G914" s="7" t="s">
        <v>66</v>
      </c>
      <c r="H914" s="7" t="n">
        <v>89.3</v>
      </c>
      <c r="I914" s="7" t="str">
        <f aca="false">IF(B914="",TRIM(C914),TRIM(B914))</f>
        <v>National Routine Vaccination Coverage Survey, Niger, 2023-2024</v>
      </c>
      <c r="J914" s="7" t="str">
        <f aca="false">IF(ISNUMBER(SEARCH("Demographic and Health",I914)),"DHS",IF(OR(ISNUMBER(SEARCH("Multiple Indicator Cluster",I914)),ISNUMBER(SEARCH("MICS",I914))),"MICS","Other"))</f>
        <v>Other</v>
      </c>
      <c r="K914" s="7" t="n">
        <f aca="false">IF(AND(F914="Record or Recall",G914="12-23 m"),1,0)</f>
        <v>1</v>
      </c>
      <c r="L914" s="7" t="n">
        <f aca="false">IF(OR(J914="DHS",J914="MICS"),1,0)</f>
        <v>0</v>
      </c>
    </row>
    <row r="915" customFormat="false" ht="15" hidden="false" customHeight="false" outlineLevel="0" collapsed="false">
      <c r="A915" s="7" t="s">
        <v>374</v>
      </c>
      <c r="B915" s="7" t="s">
        <v>397</v>
      </c>
      <c r="C915" s="7" t="s">
        <v>398</v>
      </c>
      <c r="D915" s="7" t="n">
        <v>2022</v>
      </c>
      <c r="E915" s="7" t="s">
        <v>81</v>
      </c>
      <c r="F915" s="7" t="s">
        <v>86</v>
      </c>
      <c r="G915" s="7" t="s">
        <v>66</v>
      </c>
      <c r="H915" s="7" t="n">
        <v>72.5</v>
      </c>
      <c r="I915" s="7" t="str">
        <f aca="false">IF(B915="",TRIM(C915),TRIM(B915))</f>
        <v>National Routine Vaccination Coverage Survey, Niger, 2023-2024</v>
      </c>
      <c r="J915" s="7" t="str">
        <f aca="false">IF(ISNUMBER(SEARCH("Demographic and Health",I915)),"DHS",IF(OR(ISNUMBER(SEARCH("Multiple Indicator Cluster",I915)),ISNUMBER(SEARCH("MICS",I915))),"MICS","Other"))</f>
        <v>Other</v>
      </c>
      <c r="K915" s="7" t="n">
        <f aca="false">IF(AND(F915="Record or Recall",G915="12-23 m"),1,0)</f>
        <v>0</v>
      </c>
      <c r="L915" s="7" t="n">
        <f aca="false">IF(OR(J915="DHS",J915="MICS"),1,0)</f>
        <v>0</v>
      </c>
    </row>
    <row r="916" customFormat="false" ht="15" hidden="false" customHeight="false" outlineLevel="0" collapsed="false">
      <c r="A916" s="7" t="s">
        <v>374</v>
      </c>
      <c r="B916" s="7" t="s">
        <v>397</v>
      </c>
      <c r="C916" s="7" t="s">
        <v>398</v>
      </c>
      <c r="D916" s="7" t="n">
        <v>2022</v>
      </c>
      <c r="E916" s="7" t="s">
        <v>81</v>
      </c>
      <c r="F916" s="7" t="s">
        <v>87</v>
      </c>
      <c r="G916" s="7" t="s">
        <v>66</v>
      </c>
      <c r="H916" s="7" t="n">
        <v>87.9</v>
      </c>
      <c r="I916" s="7" t="str">
        <f aca="false">IF(B916="",TRIM(C916),TRIM(B916))</f>
        <v>National Routine Vaccination Coverage Survey, Niger, 2023-2024</v>
      </c>
      <c r="J916" s="7" t="str">
        <f aca="false">IF(ISNUMBER(SEARCH("Demographic and Health",I916)),"DHS",IF(OR(ISNUMBER(SEARCH("Multiple Indicator Cluster",I916)),ISNUMBER(SEARCH("MICS",I916))),"MICS","Other"))</f>
        <v>Other</v>
      </c>
      <c r="K916" s="7" t="n">
        <f aca="false">IF(AND(F916="Record or Recall",G916="12-23 m"),1,0)</f>
        <v>0</v>
      </c>
      <c r="L916" s="7" t="n">
        <f aca="false">IF(OR(J916="DHS",J916="MICS"),1,0)</f>
        <v>0</v>
      </c>
    </row>
    <row r="917" customFormat="false" ht="15" hidden="false" customHeight="false" outlineLevel="0" collapsed="false">
      <c r="A917" s="7" t="s">
        <v>374</v>
      </c>
      <c r="B917" s="7" t="s">
        <v>397</v>
      </c>
      <c r="C917" s="7" t="s">
        <v>398</v>
      </c>
      <c r="D917" s="7" t="n">
        <v>2022</v>
      </c>
      <c r="E917" s="7" t="s">
        <v>81</v>
      </c>
      <c r="F917" s="7" t="s">
        <v>63</v>
      </c>
      <c r="G917" s="7" t="s">
        <v>66</v>
      </c>
      <c r="H917" s="7" t="n">
        <v>94.1</v>
      </c>
      <c r="I917" s="7" t="str">
        <f aca="false">IF(B917="",TRIM(C917),TRIM(B917))</f>
        <v>National Routine Vaccination Coverage Survey, Niger, 2023-2024</v>
      </c>
      <c r="J917" s="7" t="str">
        <f aca="false">IF(ISNUMBER(SEARCH("Demographic and Health",I917)),"DHS",IF(OR(ISNUMBER(SEARCH("Multiple Indicator Cluster",I917)),ISNUMBER(SEARCH("MICS",I917))),"MICS","Other"))</f>
        <v>Other</v>
      </c>
      <c r="K917" s="7" t="n">
        <f aca="false">IF(AND(F917="Record or Recall",G917="12-23 m"),1,0)</f>
        <v>1</v>
      </c>
      <c r="L917" s="7" t="n">
        <f aca="false">IF(OR(J917="DHS",J917="MICS"),1,0)</f>
        <v>0</v>
      </c>
    </row>
    <row r="918" customFormat="false" ht="15" hidden="false" customHeight="false" outlineLevel="0" collapsed="false">
      <c r="A918" s="7" t="s">
        <v>374</v>
      </c>
      <c r="B918" s="7" t="s">
        <v>397</v>
      </c>
      <c r="C918" s="7" t="s">
        <v>398</v>
      </c>
      <c r="D918" s="7" t="n">
        <v>2022</v>
      </c>
      <c r="E918" s="7" t="s">
        <v>67</v>
      </c>
      <c r="F918" s="7" t="s">
        <v>86</v>
      </c>
      <c r="G918" s="7" t="s">
        <v>66</v>
      </c>
      <c r="H918" s="7" t="n">
        <v>59.7</v>
      </c>
      <c r="I918" s="7" t="str">
        <f aca="false">IF(B918="",TRIM(C918),TRIM(B918))</f>
        <v>National Routine Vaccination Coverage Survey, Niger, 2023-2024</v>
      </c>
      <c r="J918" s="7" t="str">
        <f aca="false">IF(ISNUMBER(SEARCH("Demographic and Health",I918)),"DHS",IF(OR(ISNUMBER(SEARCH("Multiple Indicator Cluster",I918)),ISNUMBER(SEARCH("MICS",I918))),"MICS","Other"))</f>
        <v>Other</v>
      </c>
      <c r="K918" s="7" t="n">
        <f aca="false">IF(AND(F918="Record or Recall",G918="12-23 m"),1,0)</f>
        <v>0</v>
      </c>
      <c r="L918" s="7" t="n">
        <f aca="false">IF(OR(J918="DHS",J918="MICS"),1,0)</f>
        <v>0</v>
      </c>
    </row>
    <row r="919" customFormat="false" ht="15" hidden="false" customHeight="false" outlineLevel="0" collapsed="false">
      <c r="A919" s="7" t="s">
        <v>374</v>
      </c>
      <c r="B919" s="7" t="s">
        <v>397</v>
      </c>
      <c r="C919" s="7" t="s">
        <v>398</v>
      </c>
      <c r="D919" s="7" t="n">
        <v>2022</v>
      </c>
      <c r="E919" s="7" t="s">
        <v>67</v>
      </c>
      <c r="F919" s="7" t="s">
        <v>87</v>
      </c>
      <c r="G919" s="7" t="s">
        <v>66</v>
      </c>
      <c r="H919" s="7" t="n">
        <v>76.2</v>
      </c>
      <c r="I919" s="7" t="str">
        <f aca="false">IF(B919="",TRIM(C919),TRIM(B919))</f>
        <v>National Routine Vaccination Coverage Survey, Niger, 2023-2024</v>
      </c>
      <c r="J919" s="7" t="str">
        <f aca="false">IF(ISNUMBER(SEARCH("Demographic and Health",I919)),"DHS",IF(OR(ISNUMBER(SEARCH("Multiple Indicator Cluster",I919)),ISNUMBER(SEARCH("MICS",I919))),"MICS","Other"))</f>
        <v>Other</v>
      </c>
      <c r="K919" s="7" t="n">
        <f aca="false">IF(AND(F919="Record or Recall",G919="12-23 m"),1,0)</f>
        <v>0</v>
      </c>
      <c r="L919" s="7" t="n">
        <f aca="false">IF(OR(J919="DHS",J919="MICS"),1,0)</f>
        <v>0</v>
      </c>
    </row>
    <row r="920" customFormat="false" ht="15" hidden="false" customHeight="false" outlineLevel="0" collapsed="false">
      <c r="A920" s="7" t="s">
        <v>374</v>
      </c>
      <c r="B920" s="7" t="s">
        <v>397</v>
      </c>
      <c r="C920" s="7" t="s">
        <v>398</v>
      </c>
      <c r="D920" s="7" t="n">
        <v>2022</v>
      </c>
      <c r="E920" s="7" t="s">
        <v>67</v>
      </c>
      <c r="F920" s="7" t="s">
        <v>63</v>
      </c>
      <c r="G920" s="7" t="s">
        <v>66</v>
      </c>
      <c r="H920" s="7" t="n">
        <v>85.8</v>
      </c>
      <c r="I920" s="7" t="str">
        <f aca="false">IF(B920="",TRIM(C920),TRIM(B920))</f>
        <v>National Routine Vaccination Coverage Survey, Niger, 2023-2024</v>
      </c>
      <c r="J920" s="7" t="str">
        <f aca="false">IF(ISNUMBER(SEARCH("Demographic and Health",I920)),"DHS",IF(OR(ISNUMBER(SEARCH("Multiple Indicator Cluster",I920)),ISNUMBER(SEARCH("MICS",I920))),"MICS","Other"))</f>
        <v>Other</v>
      </c>
      <c r="K920" s="7" t="n">
        <f aca="false">IF(AND(F920="Record or Recall",G920="12-23 m"),1,0)</f>
        <v>1</v>
      </c>
      <c r="L920" s="7" t="n">
        <f aca="false">IF(OR(J920="DHS",J920="MICS"),1,0)</f>
        <v>0</v>
      </c>
    </row>
    <row r="921" customFormat="false" ht="15" hidden="false" customHeight="false" outlineLevel="0" collapsed="false">
      <c r="A921" s="7" t="s">
        <v>374</v>
      </c>
      <c r="B921" s="7" t="s">
        <v>397</v>
      </c>
      <c r="C921" s="7" t="s">
        <v>398</v>
      </c>
      <c r="D921" s="7" t="n">
        <v>2022</v>
      </c>
      <c r="E921" s="7" t="s">
        <v>82</v>
      </c>
      <c r="F921" s="7" t="s">
        <v>63</v>
      </c>
      <c r="G921" s="7" t="s">
        <v>66</v>
      </c>
      <c r="H921" s="7" t="n">
        <v>67.4</v>
      </c>
      <c r="I921" s="7" t="str">
        <f aca="false">IF(B921="",TRIM(C921),TRIM(B921))</f>
        <v>National Routine Vaccination Coverage Survey, Niger, 2023-2024</v>
      </c>
      <c r="J921" s="7" t="str">
        <f aca="false">IF(ISNUMBER(SEARCH("Demographic and Health",I921)),"DHS",IF(OR(ISNUMBER(SEARCH("Multiple Indicator Cluster",I921)),ISNUMBER(SEARCH("MICS",I921))),"MICS","Other"))</f>
        <v>Other</v>
      </c>
      <c r="K921" s="7" t="n">
        <f aca="false">IF(AND(F921="Record or Recall",G921="12-23 m"),1,0)</f>
        <v>1</v>
      </c>
      <c r="L921" s="7" t="n">
        <f aca="false">IF(OR(J921="DHS",J921="MICS"),1,0)</f>
        <v>0</v>
      </c>
    </row>
    <row r="922" customFormat="false" ht="15" hidden="false" customHeight="false" outlineLevel="0" collapsed="false">
      <c r="A922" s="7" t="s">
        <v>374</v>
      </c>
      <c r="B922" s="7" t="s">
        <v>397</v>
      </c>
      <c r="C922" s="7" t="s">
        <v>398</v>
      </c>
      <c r="D922" s="7" t="n">
        <v>2022</v>
      </c>
      <c r="E922" s="7" t="s">
        <v>68</v>
      </c>
      <c r="F922" s="7" t="s">
        <v>87</v>
      </c>
      <c r="G922" s="7" t="s">
        <v>66</v>
      </c>
      <c r="H922" s="7" t="n">
        <v>69.4</v>
      </c>
      <c r="I922" s="7" t="str">
        <f aca="false">IF(B922="",TRIM(C922),TRIM(B922))</f>
        <v>National Routine Vaccination Coverage Survey, Niger, 2023-2024</v>
      </c>
      <c r="J922" s="7" t="str">
        <f aca="false">IF(ISNUMBER(SEARCH("Demographic and Health",I922)),"DHS",IF(OR(ISNUMBER(SEARCH("Multiple Indicator Cluster",I922)),ISNUMBER(SEARCH("MICS",I922))),"MICS","Other"))</f>
        <v>Other</v>
      </c>
      <c r="K922" s="7" t="n">
        <f aca="false">IF(AND(F922="Record or Recall",G922="12-23 m"),1,0)</f>
        <v>0</v>
      </c>
      <c r="L922" s="7" t="n">
        <f aca="false">IF(OR(J922="DHS",J922="MICS"),1,0)</f>
        <v>0</v>
      </c>
    </row>
    <row r="923" customFormat="false" ht="15" hidden="false" customHeight="false" outlineLevel="0" collapsed="false">
      <c r="A923" s="7" t="s">
        <v>374</v>
      </c>
      <c r="B923" s="7" t="s">
        <v>397</v>
      </c>
      <c r="C923" s="7" t="s">
        <v>398</v>
      </c>
      <c r="D923" s="7" t="n">
        <v>2022</v>
      </c>
      <c r="E923" s="7" t="s">
        <v>68</v>
      </c>
      <c r="F923" s="7" t="s">
        <v>63</v>
      </c>
      <c r="G923" s="7" t="s">
        <v>66</v>
      </c>
      <c r="H923" s="7" t="n">
        <v>76.2</v>
      </c>
      <c r="I923" s="7" t="str">
        <f aca="false">IF(B923="",TRIM(C923),TRIM(B923))</f>
        <v>National Routine Vaccination Coverage Survey, Niger, 2023-2024</v>
      </c>
      <c r="J923" s="7" t="str">
        <f aca="false">IF(ISNUMBER(SEARCH("Demographic and Health",I923)),"DHS",IF(OR(ISNUMBER(SEARCH("Multiple Indicator Cluster",I923)),ISNUMBER(SEARCH("MICS",I923))),"MICS","Other"))</f>
        <v>Other</v>
      </c>
      <c r="K923" s="7" t="n">
        <f aca="false">IF(AND(F923="Record or Recall",G923="12-23 m"),1,0)</f>
        <v>1</v>
      </c>
      <c r="L923" s="7" t="n">
        <f aca="false">IF(OR(J923="DHS",J923="MICS"),1,0)</f>
        <v>0</v>
      </c>
    </row>
    <row r="924" customFormat="false" ht="15" hidden="false" customHeight="false" outlineLevel="0" collapsed="false">
      <c r="A924" s="7" t="s">
        <v>374</v>
      </c>
      <c r="B924" s="7" t="s">
        <v>397</v>
      </c>
      <c r="C924" s="7" t="s">
        <v>398</v>
      </c>
      <c r="D924" s="7" t="n">
        <v>2022</v>
      </c>
      <c r="E924" s="7" t="s">
        <v>68</v>
      </c>
      <c r="F924" s="7" t="s">
        <v>86</v>
      </c>
      <c r="G924" s="7" t="s">
        <v>66</v>
      </c>
      <c r="H924" s="7" t="n">
        <v>44.5</v>
      </c>
      <c r="I924" s="7" t="str">
        <f aca="false">IF(B924="",TRIM(C924),TRIM(B924))</f>
        <v>National Routine Vaccination Coverage Survey, Niger, 2023-2024</v>
      </c>
      <c r="J924" s="7" t="str">
        <f aca="false">IF(ISNUMBER(SEARCH("Demographic and Health",I924)),"DHS",IF(OR(ISNUMBER(SEARCH("Multiple Indicator Cluster",I924)),ISNUMBER(SEARCH("MICS",I924))),"MICS","Other"))</f>
        <v>Other</v>
      </c>
      <c r="K924" s="7" t="n">
        <f aca="false">IF(AND(F924="Record or Recall",G924="12-23 m"),1,0)</f>
        <v>0</v>
      </c>
      <c r="L924" s="7" t="n">
        <f aca="false">IF(OR(J924="DHS",J924="MICS"),1,0)</f>
        <v>0</v>
      </c>
    </row>
    <row r="925" customFormat="false" ht="15" hidden="false" customHeight="false" outlineLevel="0" collapsed="false">
      <c r="A925" s="7" t="s">
        <v>374</v>
      </c>
      <c r="B925" s="7" t="s">
        <v>397</v>
      </c>
      <c r="C925" s="7" t="s">
        <v>398</v>
      </c>
      <c r="D925" s="7" t="n">
        <v>2022</v>
      </c>
      <c r="E925" s="7" t="s">
        <v>69</v>
      </c>
      <c r="F925" s="7" t="s">
        <v>87</v>
      </c>
      <c r="G925" s="7" t="s">
        <v>66</v>
      </c>
      <c r="H925" s="7" t="n">
        <v>71.7</v>
      </c>
      <c r="I925" s="7" t="str">
        <f aca="false">IF(B925="",TRIM(C925),TRIM(B925))</f>
        <v>National Routine Vaccination Coverage Survey, Niger, 2023-2024</v>
      </c>
      <c r="J925" s="7" t="str">
        <f aca="false">IF(ISNUMBER(SEARCH("Demographic and Health",I925)),"DHS",IF(OR(ISNUMBER(SEARCH("Multiple Indicator Cluster",I925)),ISNUMBER(SEARCH("MICS",I925))),"MICS","Other"))</f>
        <v>Other</v>
      </c>
      <c r="K925" s="7" t="n">
        <f aca="false">IF(AND(F925="Record or Recall",G925="12-23 m"),1,0)</f>
        <v>0</v>
      </c>
      <c r="L925" s="7" t="n">
        <f aca="false">IF(OR(J925="DHS",J925="MICS"),1,0)</f>
        <v>0</v>
      </c>
    </row>
    <row r="926" customFormat="false" ht="15" hidden="false" customHeight="false" outlineLevel="0" collapsed="false">
      <c r="A926" s="7" t="s">
        <v>374</v>
      </c>
      <c r="B926" s="7" t="s">
        <v>397</v>
      </c>
      <c r="C926" s="7" t="s">
        <v>398</v>
      </c>
      <c r="D926" s="7" t="n">
        <v>2022</v>
      </c>
      <c r="E926" s="7" t="s">
        <v>69</v>
      </c>
      <c r="F926" s="7" t="s">
        <v>63</v>
      </c>
      <c r="G926" s="7" t="s">
        <v>66</v>
      </c>
      <c r="H926" s="7" t="n">
        <v>85.9</v>
      </c>
      <c r="I926" s="7" t="str">
        <f aca="false">IF(B926="",TRIM(C926),TRIM(B926))</f>
        <v>National Routine Vaccination Coverage Survey, Niger, 2023-2024</v>
      </c>
      <c r="J926" s="7" t="str">
        <f aca="false">IF(ISNUMBER(SEARCH("Demographic and Health",I926)),"DHS",IF(OR(ISNUMBER(SEARCH("Multiple Indicator Cluster",I926)),ISNUMBER(SEARCH("MICS",I926))),"MICS","Other"))</f>
        <v>Other</v>
      </c>
      <c r="K926" s="7" t="n">
        <f aca="false">IF(AND(F926="Record or Recall",G926="12-23 m"),1,0)</f>
        <v>1</v>
      </c>
      <c r="L926" s="7" t="n">
        <f aca="false">IF(OR(J926="DHS",J926="MICS"),1,0)</f>
        <v>0</v>
      </c>
    </row>
    <row r="927" customFormat="false" ht="15" hidden="false" customHeight="false" outlineLevel="0" collapsed="false">
      <c r="A927" s="7" t="s">
        <v>374</v>
      </c>
      <c r="B927" s="7" t="s">
        <v>397</v>
      </c>
      <c r="C927" s="7" t="s">
        <v>398</v>
      </c>
      <c r="D927" s="7" t="n">
        <v>2022</v>
      </c>
      <c r="E927" s="7" t="s">
        <v>69</v>
      </c>
      <c r="F927" s="7" t="s">
        <v>86</v>
      </c>
      <c r="G927" s="7" t="s">
        <v>66</v>
      </c>
      <c r="H927" s="7" t="n">
        <v>65.6</v>
      </c>
      <c r="I927" s="7" t="str">
        <f aca="false">IF(B927="",TRIM(C927),TRIM(B927))</f>
        <v>National Routine Vaccination Coverage Survey, Niger, 2023-2024</v>
      </c>
      <c r="J927" s="7" t="str">
        <f aca="false">IF(ISNUMBER(SEARCH("Demographic and Health",I927)),"DHS",IF(OR(ISNUMBER(SEARCH("Multiple Indicator Cluster",I927)),ISNUMBER(SEARCH("MICS",I927))),"MICS","Other"))</f>
        <v>Other</v>
      </c>
      <c r="K927" s="7" t="n">
        <f aca="false">IF(AND(F927="Record or Recall",G927="12-23 m"),1,0)</f>
        <v>0</v>
      </c>
      <c r="L927" s="7" t="n">
        <f aca="false">IF(OR(J927="DHS",J927="MICS"),1,0)</f>
        <v>0</v>
      </c>
    </row>
    <row r="928" customFormat="false" ht="15" hidden="false" customHeight="false" outlineLevel="0" collapsed="false">
      <c r="A928" s="7" t="s">
        <v>399</v>
      </c>
      <c r="B928" s="7" t="s">
        <v>400</v>
      </c>
      <c r="C928" s="7" t="s">
        <v>401</v>
      </c>
      <c r="D928" s="7" t="n">
        <v>1989</v>
      </c>
      <c r="E928" s="7" t="s">
        <v>62</v>
      </c>
      <c r="F928" s="7" t="s">
        <v>63</v>
      </c>
      <c r="G928" s="7" t="s">
        <v>66</v>
      </c>
      <c r="H928" s="7" t="n">
        <v>59</v>
      </c>
      <c r="I928" s="7" t="str">
        <f aca="false">IF(B928="",TRIM(C928),TRIM(B928))</f>
        <v>National Immunisation Coverage Survey 1990</v>
      </c>
      <c r="J928" s="7" t="str">
        <f aca="false">IF(ISNUMBER(SEARCH("Demographic and Health",I928)),"DHS",IF(OR(ISNUMBER(SEARCH("Multiple Indicator Cluster",I928)),ISNUMBER(SEARCH("MICS",I928))),"MICS","Other"))</f>
        <v>Other</v>
      </c>
      <c r="K928" s="7" t="n">
        <f aca="false">IF(AND(F928="Record or Recall",G928="12-23 m"),1,0)</f>
        <v>1</v>
      </c>
      <c r="L928" s="7" t="n">
        <f aca="false">IF(OR(J928="DHS",J928="MICS"),1,0)</f>
        <v>0</v>
      </c>
    </row>
    <row r="929" customFormat="false" ht="15" hidden="false" customHeight="false" outlineLevel="0" collapsed="false">
      <c r="A929" s="7" t="s">
        <v>399</v>
      </c>
      <c r="B929" s="7" t="s">
        <v>400</v>
      </c>
      <c r="C929" s="7" t="s">
        <v>401</v>
      </c>
      <c r="D929" s="7" t="n">
        <v>1989</v>
      </c>
      <c r="E929" s="7" t="s">
        <v>67</v>
      </c>
      <c r="F929" s="7" t="s">
        <v>63</v>
      </c>
      <c r="G929" s="7" t="s">
        <v>66</v>
      </c>
      <c r="H929" s="7" t="n">
        <v>20</v>
      </c>
      <c r="I929" s="7" t="str">
        <f aca="false">IF(B929="",TRIM(C929),TRIM(B929))</f>
        <v>National Immunisation Coverage Survey 1990</v>
      </c>
      <c r="J929" s="7" t="str">
        <f aca="false">IF(ISNUMBER(SEARCH("Demographic and Health",I929)),"DHS",IF(OR(ISNUMBER(SEARCH("Multiple Indicator Cluster",I929)),ISNUMBER(SEARCH("MICS",I929))),"MICS","Other"))</f>
        <v>Other</v>
      </c>
      <c r="K929" s="7" t="n">
        <f aca="false">IF(AND(F929="Record or Recall",G929="12-23 m"),1,0)</f>
        <v>1</v>
      </c>
      <c r="L929" s="7" t="n">
        <f aca="false">IF(OR(J929="DHS",J929="MICS"),1,0)</f>
        <v>0</v>
      </c>
    </row>
    <row r="930" customFormat="false" ht="15" hidden="false" customHeight="false" outlineLevel="0" collapsed="false">
      <c r="A930" s="7" t="s">
        <v>399</v>
      </c>
      <c r="B930" s="7" t="s">
        <v>400</v>
      </c>
      <c r="C930" s="7" t="s">
        <v>401</v>
      </c>
      <c r="D930" s="7" t="n">
        <v>1989</v>
      </c>
      <c r="E930" s="7" t="s">
        <v>82</v>
      </c>
      <c r="F930" s="7" t="s">
        <v>63</v>
      </c>
      <c r="G930" s="7" t="s">
        <v>66</v>
      </c>
      <c r="H930" s="7" t="n">
        <v>15</v>
      </c>
      <c r="I930" s="7" t="str">
        <f aca="false">IF(B930="",TRIM(C930),TRIM(B930))</f>
        <v>National Immunisation Coverage Survey 1990</v>
      </c>
      <c r="J930" s="7" t="str">
        <f aca="false">IF(ISNUMBER(SEARCH("Demographic and Health",I930)),"DHS",IF(OR(ISNUMBER(SEARCH("Multiple Indicator Cluster",I930)),ISNUMBER(SEARCH("MICS",I930))),"MICS","Other"))</f>
        <v>Other</v>
      </c>
      <c r="K930" s="7" t="n">
        <f aca="false">IF(AND(F930="Record or Recall",G930="12-23 m"),1,0)</f>
        <v>1</v>
      </c>
      <c r="L930" s="7" t="n">
        <f aca="false">IF(OR(J930="DHS",J930="MICS"),1,0)</f>
        <v>0</v>
      </c>
    </row>
    <row r="931" customFormat="false" ht="15" hidden="false" customHeight="false" outlineLevel="0" collapsed="false">
      <c r="A931" s="7" t="s">
        <v>399</v>
      </c>
      <c r="B931" s="7" t="s">
        <v>400</v>
      </c>
      <c r="C931" s="7" t="s">
        <v>401</v>
      </c>
      <c r="D931" s="7" t="n">
        <v>1989</v>
      </c>
      <c r="E931" s="7" t="s">
        <v>68</v>
      </c>
      <c r="F931" s="7" t="s">
        <v>63</v>
      </c>
      <c r="G931" s="7" t="s">
        <v>66</v>
      </c>
      <c r="H931" s="7" t="n">
        <v>32</v>
      </c>
      <c r="I931" s="7" t="str">
        <f aca="false">IF(B931="",TRIM(C931),TRIM(B931))</f>
        <v>National Immunisation Coverage Survey 1990</v>
      </c>
      <c r="J931" s="7" t="str">
        <f aca="false">IF(ISNUMBER(SEARCH("Demographic and Health",I931)),"DHS",IF(OR(ISNUMBER(SEARCH("Multiple Indicator Cluster",I931)),ISNUMBER(SEARCH("MICS",I931))),"MICS","Other"))</f>
        <v>Other</v>
      </c>
      <c r="K931" s="7" t="n">
        <f aca="false">IF(AND(F931="Record or Recall",G931="12-23 m"),1,0)</f>
        <v>1</v>
      </c>
      <c r="L931" s="7" t="n">
        <f aca="false">IF(OR(J931="DHS",J931="MICS"),1,0)</f>
        <v>0</v>
      </c>
    </row>
    <row r="932" customFormat="false" ht="15" hidden="false" customHeight="false" outlineLevel="0" collapsed="false">
      <c r="A932" s="7" t="s">
        <v>399</v>
      </c>
      <c r="B932" s="7" t="s">
        <v>400</v>
      </c>
      <c r="C932" s="7" t="s">
        <v>401</v>
      </c>
      <c r="D932" s="7" t="n">
        <v>1989</v>
      </c>
      <c r="E932" s="7" t="s">
        <v>69</v>
      </c>
      <c r="F932" s="7" t="s">
        <v>63</v>
      </c>
      <c r="G932" s="7" t="s">
        <v>66</v>
      </c>
      <c r="H932" s="7" t="n">
        <v>20</v>
      </c>
      <c r="I932" s="7" t="str">
        <f aca="false">IF(B932="",TRIM(C932),TRIM(B932))</f>
        <v>National Immunisation Coverage Survey 1990</v>
      </c>
      <c r="J932" s="7" t="str">
        <f aca="false">IF(ISNUMBER(SEARCH("Demographic and Health",I932)),"DHS",IF(OR(ISNUMBER(SEARCH("Multiple Indicator Cluster",I932)),ISNUMBER(SEARCH("MICS",I932))),"MICS","Other"))</f>
        <v>Other</v>
      </c>
      <c r="K932" s="7" t="n">
        <f aca="false">IF(AND(F932="Record or Recall",G932="12-23 m"),1,0)</f>
        <v>1</v>
      </c>
      <c r="L932" s="7" t="n">
        <f aca="false">IF(OR(J932="DHS",J932="MICS"),1,0)</f>
        <v>0</v>
      </c>
    </row>
    <row r="933" customFormat="false" ht="15" hidden="false" customHeight="false" outlineLevel="0" collapsed="false">
      <c r="A933" s="7" t="s">
        <v>399</v>
      </c>
      <c r="B933" s="7" t="s">
        <v>402</v>
      </c>
      <c r="C933" s="7" t="s">
        <v>403</v>
      </c>
      <c r="D933" s="7" t="n">
        <v>1996</v>
      </c>
      <c r="E933" s="7" t="s">
        <v>62</v>
      </c>
      <c r="F933" s="7" t="s">
        <v>78</v>
      </c>
      <c r="G933" s="7" t="s">
        <v>66</v>
      </c>
      <c r="H933" s="7" t="n">
        <v>36.3</v>
      </c>
      <c r="I933" s="7" t="str">
        <f aca="false">IF(B933="",TRIM(C933),TRIM(B933))</f>
        <v>Chad Demographic and Health Survey 1996-1997</v>
      </c>
      <c r="J933" s="7" t="str">
        <f aca="false">IF(ISNUMBER(SEARCH("Demographic and Health",I933)),"DHS",IF(OR(ISNUMBER(SEARCH("Multiple Indicator Cluster",I933)),ISNUMBER(SEARCH("MICS",I933))),"MICS","Other"))</f>
        <v>DHS</v>
      </c>
      <c r="K933" s="7" t="n">
        <f aca="false">IF(AND(F933="Record or Recall",G933="12-23 m"),1,0)</f>
        <v>0</v>
      </c>
      <c r="L933" s="7" t="n">
        <f aca="false">IF(OR(J933="DHS",J933="MICS"),1,0)</f>
        <v>1</v>
      </c>
    </row>
    <row r="934" customFormat="false" ht="15" hidden="false" customHeight="false" outlineLevel="0" collapsed="false">
      <c r="A934" s="7" t="s">
        <v>399</v>
      </c>
      <c r="B934" s="7" t="s">
        <v>402</v>
      </c>
      <c r="C934" s="7" t="s">
        <v>403</v>
      </c>
      <c r="D934" s="7" t="n">
        <v>1996</v>
      </c>
      <c r="E934" s="7" t="s">
        <v>62</v>
      </c>
      <c r="F934" s="7" t="s">
        <v>86</v>
      </c>
      <c r="G934" s="7" t="s">
        <v>66</v>
      </c>
      <c r="H934" s="7" t="n">
        <v>23.9</v>
      </c>
      <c r="I934" s="7" t="str">
        <f aca="false">IF(B934="",TRIM(C934),TRIM(B934))</f>
        <v>Chad Demographic and Health Survey 1996-1997</v>
      </c>
      <c r="J934" s="7" t="str">
        <f aca="false">IF(ISNUMBER(SEARCH("Demographic and Health",I934)),"DHS",IF(OR(ISNUMBER(SEARCH("Multiple Indicator Cluster",I934)),ISNUMBER(SEARCH("MICS",I934))),"MICS","Other"))</f>
        <v>DHS</v>
      </c>
      <c r="K934" s="7" t="n">
        <f aca="false">IF(AND(F934="Record or Recall",G934="12-23 m"),1,0)</f>
        <v>0</v>
      </c>
      <c r="L934" s="7" t="n">
        <f aca="false">IF(OR(J934="DHS",J934="MICS"),1,0)</f>
        <v>1</v>
      </c>
    </row>
    <row r="935" customFormat="false" ht="15" hidden="false" customHeight="false" outlineLevel="0" collapsed="false">
      <c r="A935" s="7" t="s">
        <v>399</v>
      </c>
      <c r="B935" s="7" t="s">
        <v>402</v>
      </c>
      <c r="C935" s="7" t="s">
        <v>403</v>
      </c>
      <c r="D935" s="7" t="n">
        <v>1996</v>
      </c>
      <c r="E935" s="7" t="s">
        <v>62</v>
      </c>
      <c r="F935" s="7" t="s">
        <v>63</v>
      </c>
      <c r="G935" s="7" t="s">
        <v>66</v>
      </c>
      <c r="H935" s="7" t="n">
        <v>38.8</v>
      </c>
      <c r="I935" s="7" t="str">
        <f aca="false">IF(B935="",TRIM(C935),TRIM(B935))</f>
        <v>Chad Demographic and Health Survey 1996-1997</v>
      </c>
      <c r="J935" s="7" t="str">
        <f aca="false">IF(ISNUMBER(SEARCH("Demographic and Health",I935)),"DHS",IF(OR(ISNUMBER(SEARCH("Multiple Indicator Cluster",I935)),ISNUMBER(SEARCH("MICS",I935))),"MICS","Other"))</f>
        <v>DHS</v>
      </c>
      <c r="K935" s="7" t="n">
        <f aca="false">IF(AND(F935="Record or Recall",G935="12-23 m"),1,0)</f>
        <v>1</v>
      </c>
      <c r="L935" s="7" t="n">
        <f aca="false">IF(OR(J935="DHS",J935="MICS"),1,0)</f>
        <v>1</v>
      </c>
    </row>
    <row r="936" customFormat="false" ht="15" hidden="false" customHeight="false" outlineLevel="0" collapsed="false">
      <c r="A936" s="7" t="s">
        <v>399</v>
      </c>
      <c r="B936" s="7" t="s">
        <v>402</v>
      </c>
      <c r="C936" s="7" t="s">
        <v>403</v>
      </c>
      <c r="D936" s="7" t="n">
        <v>1996</v>
      </c>
      <c r="E936" s="7" t="s">
        <v>62</v>
      </c>
      <c r="F936" s="7" t="s">
        <v>87</v>
      </c>
      <c r="G936" s="7" t="s">
        <v>66</v>
      </c>
      <c r="H936" s="7" t="n">
        <v>14.9</v>
      </c>
      <c r="I936" s="7" t="str">
        <f aca="false">IF(B936="",TRIM(C936),TRIM(B936))</f>
        <v>Chad Demographic and Health Survey 1996-1997</v>
      </c>
      <c r="J936" s="7" t="str">
        <f aca="false">IF(ISNUMBER(SEARCH("Demographic and Health",I936)),"DHS",IF(OR(ISNUMBER(SEARCH("Multiple Indicator Cluster",I936)),ISNUMBER(SEARCH("MICS",I936))),"MICS","Other"))</f>
        <v>DHS</v>
      </c>
      <c r="K936" s="7" t="n">
        <f aca="false">IF(AND(F936="Record or Recall",G936="12-23 m"),1,0)</f>
        <v>0</v>
      </c>
      <c r="L936" s="7" t="n">
        <f aca="false">IF(OR(J936="DHS",J936="MICS"),1,0)</f>
        <v>1</v>
      </c>
    </row>
    <row r="937" customFormat="false" ht="15" hidden="false" customHeight="false" outlineLevel="0" collapsed="false">
      <c r="A937" s="7" t="s">
        <v>399</v>
      </c>
      <c r="B937" s="7" t="s">
        <v>402</v>
      </c>
      <c r="C937" s="7" t="s">
        <v>403</v>
      </c>
      <c r="D937" s="7" t="n">
        <v>1996</v>
      </c>
      <c r="E937" s="7" t="s">
        <v>81</v>
      </c>
      <c r="F937" s="7" t="s">
        <v>78</v>
      </c>
      <c r="G937" s="7" t="s">
        <v>66</v>
      </c>
      <c r="H937" s="7" t="n">
        <v>34.2</v>
      </c>
      <c r="I937" s="7" t="str">
        <f aca="false">IF(B937="",TRIM(C937),TRIM(B937))</f>
        <v>Chad Demographic and Health Survey 1996-1997</v>
      </c>
      <c r="J937" s="7" t="str">
        <f aca="false">IF(ISNUMBER(SEARCH("Demographic and Health",I937)),"DHS",IF(OR(ISNUMBER(SEARCH("Multiple Indicator Cluster",I937)),ISNUMBER(SEARCH("MICS",I937))),"MICS","Other"))</f>
        <v>DHS</v>
      </c>
      <c r="K937" s="7" t="n">
        <f aca="false">IF(AND(F937="Record or Recall",G937="12-23 m"),1,0)</f>
        <v>0</v>
      </c>
      <c r="L937" s="7" t="n">
        <f aca="false">IF(OR(J937="DHS",J937="MICS"),1,0)</f>
        <v>1</v>
      </c>
    </row>
    <row r="938" customFormat="false" ht="15" hidden="false" customHeight="false" outlineLevel="0" collapsed="false">
      <c r="A938" s="7" t="s">
        <v>399</v>
      </c>
      <c r="B938" s="7" t="s">
        <v>402</v>
      </c>
      <c r="C938" s="7" t="s">
        <v>403</v>
      </c>
      <c r="D938" s="7" t="n">
        <v>1996</v>
      </c>
      <c r="E938" s="7" t="s">
        <v>81</v>
      </c>
      <c r="F938" s="7" t="s">
        <v>86</v>
      </c>
      <c r="G938" s="7" t="s">
        <v>66</v>
      </c>
      <c r="H938" s="7" t="n">
        <v>25.9</v>
      </c>
      <c r="I938" s="7" t="str">
        <f aca="false">IF(B938="",TRIM(C938),TRIM(B938))</f>
        <v>Chad Demographic and Health Survey 1996-1997</v>
      </c>
      <c r="J938" s="7" t="str">
        <f aca="false">IF(ISNUMBER(SEARCH("Demographic and Health",I938)),"DHS",IF(OR(ISNUMBER(SEARCH("Multiple Indicator Cluster",I938)),ISNUMBER(SEARCH("MICS",I938))),"MICS","Other"))</f>
        <v>DHS</v>
      </c>
      <c r="K938" s="7" t="n">
        <f aca="false">IF(AND(F938="Record or Recall",G938="12-23 m"),1,0)</f>
        <v>0</v>
      </c>
      <c r="L938" s="7" t="n">
        <f aca="false">IF(OR(J938="DHS",J938="MICS"),1,0)</f>
        <v>1</v>
      </c>
    </row>
    <row r="939" customFormat="false" ht="15" hidden="false" customHeight="false" outlineLevel="0" collapsed="false">
      <c r="A939" s="7" t="s">
        <v>399</v>
      </c>
      <c r="B939" s="7" t="s">
        <v>402</v>
      </c>
      <c r="C939" s="7" t="s">
        <v>403</v>
      </c>
      <c r="D939" s="7" t="n">
        <v>1996</v>
      </c>
      <c r="E939" s="7" t="s">
        <v>81</v>
      </c>
      <c r="F939" s="7" t="s">
        <v>63</v>
      </c>
      <c r="G939" s="7" t="s">
        <v>66</v>
      </c>
      <c r="H939" s="7" t="n">
        <v>39.1</v>
      </c>
      <c r="I939" s="7" t="str">
        <f aca="false">IF(B939="",TRIM(C939),TRIM(B939))</f>
        <v>Chad Demographic and Health Survey 1996-1997</v>
      </c>
      <c r="J939" s="7" t="str">
        <f aca="false">IF(ISNUMBER(SEARCH("Demographic and Health",I939)),"DHS",IF(OR(ISNUMBER(SEARCH("Multiple Indicator Cluster",I939)),ISNUMBER(SEARCH("MICS",I939))),"MICS","Other"))</f>
        <v>DHS</v>
      </c>
      <c r="K939" s="7" t="n">
        <f aca="false">IF(AND(F939="Record or Recall",G939="12-23 m"),1,0)</f>
        <v>1</v>
      </c>
      <c r="L939" s="7" t="n">
        <f aca="false">IF(OR(J939="DHS",J939="MICS"),1,0)</f>
        <v>1</v>
      </c>
    </row>
    <row r="940" customFormat="false" ht="15" hidden="false" customHeight="false" outlineLevel="0" collapsed="false">
      <c r="A940" s="7" t="s">
        <v>399</v>
      </c>
      <c r="B940" s="7" t="s">
        <v>402</v>
      </c>
      <c r="C940" s="7" t="s">
        <v>403</v>
      </c>
      <c r="D940" s="7" t="n">
        <v>1996</v>
      </c>
      <c r="E940" s="7" t="s">
        <v>81</v>
      </c>
      <c r="F940" s="7" t="s">
        <v>87</v>
      </c>
      <c r="G940" s="7" t="s">
        <v>66</v>
      </c>
      <c r="H940" s="7" t="n">
        <v>13.2</v>
      </c>
      <c r="I940" s="7" t="str">
        <f aca="false">IF(B940="",TRIM(C940),TRIM(B940))</f>
        <v>Chad Demographic and Health Survey 1996-1997</v>
      </c>
      <c r="J940" s="7" t="str">
        <f aca="false">IF(ISNUMBER(SEARCH("Demographic and Health",I940)),"DHS",IF(OR(ISNUMBER(SEARCH("Multiple Indicator Cluster",I940)),ISNUMBER(SEARCH("MICS",I940))),"MICS","Other"))</f>
        <v>DHS</v>
      </c>
      <c r="K940" s="7" t="n">
        <f aca="false">IF(AND(F940="Record or Recall",G940="12-23 m"),1,0)</f>
        <v>0</v>
      </c>
      <c r="L940" s="7" t="n">
        <f aca="false">IF(OR(J940="DHS",J940="MICS"),1,0)</f>
        <v>1</v>
      </c>
    </row>
    <row r="941" customFormat="false" ht="15" hidden="false" customHeight="false" outlineLevel="0" collapsed="false">
      <c r="A941" s="7" t="s">
        <v>399</v>
      </c>
      <c r="B941" s="7" t="s">
        <v>402</v>
      </c>
      <c r="C941" s="7" t="s">
        <v>403</v>
      </c>
      <c r="D941" s="7" t="n">
        <v>1996</v>
      </c>
      <c r="E941" s="7" t="s">
        <v>67</v>
      </c>
      <c r="F941" s="7" t="s">
        <v>78</v>
      </c>
      <c r="G941" s="7" t="s">
        <v>66</v>
      </c>
      <c r="H941" s="7" t="n">
        <v>16</v>
      </c>
      <c r="I941" s="7" t="str">
        <f aca="false">IF(B941="",TRIM(C941),TRIM(B941))</f>
        <v>Chad Demographic and Health Survey 1996-1997</v>
      </c>
      <c r="J941" s="7" t="str">
        <f aca="false">IF(ISNUMBER(SEARCH("Demographic and Health",I941)),"DHS",IF(OR(ISNUMBER(SEARCH("Multiple Indicator Cluster",I941)),ISNUMBER(SEARCH("MICS",I941))),"MICS","Other"))</f>
        <v>DHS</v>
      </c>
      <c r="K941" s="7" t="n">
        <f aca="false">IF(AND(F941="Record or Recall",G941="12-23 m"),1,0)</f>
        <v>0</v>
      </c>
      <c r="L941" s="7" t="n">
        <f aca="false">IF(OR(J941="DHS",J941="MICS"),1,0)</f>
        <v>1</v>
      </c>
    </row>
    <row r="942" customFormat="false" ht="15" hidden="false" customHeight="false" outlineLevel="0" collapsed="false">
      <c r="A942" s="7" t="s">
        <v>399</v>
      </c>
      <c r="B942" s="7" t="s">
        <v>402</v>
      </c>
      <c r="C942" s="7" t="s">
        <v>403</v>
      </c>
      <c r="D942" s="7" t="n">
        <v>1996</v>
      </c>
      <c r="E942" s="7" t="s">
        <v>67</v>
      </c>
      <c r="F942" s="7" t="s">
        <v>86</v>
      </c>
      <c r="G942" s="7" t="s">
        <v>66</v>
      </c>
      <c r="H942" s="7" t="n">
        <v>13.7</v>
      </c>
      <c r="I942" s="7" t="str">
        <f aca="false">IF(B942="",TRIM(C942),TRIM(B942))</f>
        <v>Chad Demographic and Health Survey 1996-1997</v>
      </c>
      <c r="J942" s="7" t="str">
        <f aca="false">IF(ISNUMBER(SEARCH("Demographic and Health",I942)),"DHS",IF(OR(ISNUMBER(SEARCH("Multiple Indicator Cluster",I942)),ISNUMBER(SEARCH("MICS",I942))),"MICS","Other"))</f>
        <v>DHS</v>
      </c>
      <c r="K942" s="7" t="n">
        <f aca="false">IF(AND(F942="Record or Recall",G942="12-23 m"),1,0)</f>
        <v>0</v>
      </c>
      <c r="L942" s="7" t="n">
        <f aca="false">IF(OR(J942="DHS",J942="MICS"),1,0)</f>
        <v>1</v>
      </c>
    </row>
    <row r="943" customFormat="false" ht="15" hidden="false" customHeight="false" outlineLevel="0" collapsed="false">
      <c r="A943" s="7" t="s">
        <v>399</v>
      </c>
      <c r="B943" s="7" t="s">
        <v>402</v>
      </c>
      <c r="C943" s="7" t="s">
        <v>403</v>
      </c>
      <c r="D943" s="7" t="n">
        <v>1996</v>
      </c>
      <c r="E943" s="7" t="s">
        <v>67</v>
      </c>
      <c r="F943" s="7" t="s">
        <v>63</v>
      </c>
      <c r="G943" s="7" t="s">
        <v>66</v>
      </c>
      <c r="H943" s="7" t="n">
        <v>19.5</v>
      </c>
      <c r="I943" s="7" t="str">
        <f aca="false">IF(B943="",TRIM(C943),TRIM(B943))</f>
        <v>Chad Demographic and Health Survey 1996-1997</v>
      </c>
      <c r="J943" s="7" t="str">
        <f aca="false">IF(ISNUMBER(SEARCH("Demographic and Health",I943)),"DHS",IF(OR(ISNUMBER(SEARCH("Multiple Indicator Cluster",I943)),ISNUMBER(SEARCH("MICS",I943))),"MICS","Other"))</f>
        <v>DHS</v>
      </c>
      <c r="K943" s="7" t="n">
        <f aca="false">IF(AND(F943="Record or Recall",G943="12-23 m"),1,0)</f>
        <v>1</v>
      </c>
      <c r="L943" s="7" t="n">
        <f aca="false">IF(OR(J943="DHS",J943="MICS"),1,0)</f>
        <v>1</v>
      </c>
    </row>
    <row r="944" customFormat="false" ht="15" hidden="false" customHeight="false" outlineLevel="0" collapsed="false">
      <c r="A944" s="7" t="s">
        <v>399</v>
      </c>
      <c r="B944" s="7" t="s">
        <v>402</v>
      </c>
      <c r="C944" s="7" t="s">
        <v>403</v>
      </c>
      <c r="D944" s="7" t="n">
        <v>1996</v>
      </c>
      <c r="E944" s="7" t="s">
        <v>67</v>
      </c>
      <c r="F944" s="7" t="s">
        <v>87</v>
      </c>
      <c r="G944" s="7" t="s">
        <v>66</v>
      </c>
      <c r="H944" s="7" t="n">
        <v>5.8</v>
      </c>
      <c r="I944" s="7" t="str">
        <f aca="false">IF(B944="",TRIM(C944),TRIM(B944))</f>
        <v>Chad Demographic and Health Survey 1996-1997</v>
      </c>
      <c r="J944" s="7" t="str">
        <f aca="false">IF(ISNUMBER(SEARCH("Demographic and Health",I944)),"DHS",IF(OR(ISNUMBER(SEARCH("Multiple Indicator Cluster",I944)),ISNUMBER(SEARCH("MICS",I944))),"MICS","Other"))</f>
        <v>DHS</v>
      </c>
      <c r="K944" s="7" t="n">
        <f aca="false">IF(AND(F944="Record or Recall",G944="12-23 m"),1,0)</f>
        <v>0</v>
      </c>
      <c r="L944" s="7" t="n">
        <f aca="false">IF(OR(J944="DHS",J944="MICS"),1,0)</f>
        <v>1</v>
      </c>
    </row>
    <row r="945" customFormat="false" ht="15" hidden="false" customHeight="false" outlineLevel="0" collapsed="false">
      <c r="A945" s="7" t="s">
        <v>399</v>
      </c>
      <c r="B945" s="7" t="s">
        <v>402</v>
      </c>
      <c r="C945" s="7" t="s">
        <v>403</v>
      </c>
      <c r="D945" s="7" t="n">
        <v>1996</v>
      </c>
      <c r="E945" s="7" t="s">
        <v>82</v>
      </c>
      <c r="F945" s="7" t="s">
        <v>78</v>
      </c>
      <c r="G945" s="7" t="s">
        <v>66</v>
      </c>
      <c r="H945" s="7" t="n">
        <v>8.8</v>
      </c>
      <c r="I945" s="7" t="str">
        <f aca="false">IF(B945="",TRIM(C945),TRIM(B945))</f>
        <v>Chad Demographic and Health Survey 1996-1997</v>
      </c>
      <c r="J945" s="7" t="str">
        <f aca="false">IF(ISNUMBER(SEARCH("Demographic and Health",I945)),"DHS",IF(OR(ISNUMBER(SEARCH("Multiple Indicator Cluster",I945)),ISNUMBER(SEARCH("MICS",I945))),"MICS","Other"))</f>
        <v>DHS</v>
      </c>
      <c r="K945" s="7" t="n">
        <f aca="false">IF(AND(F945="Record or Recall",G945="12-23 m"),1,0)</f>
        <v>0</v>
      </c>
      <c r="L945" s="7" t="n">
        <f aca="false">IF(OR(J945="DHS",J945="MICS"),1,0)</f>
        <v>1</v>
      </c>
    </row>
    <row r="946" customFormat="false" ht="15" hidden="false" customHeight="false" outlineLevel="0" collapsed="false">
      <c r="A946" s="7" t="s">
        <v>399</v>
      </c>
      <c r="B946" s="7" t="s">
        <v>402</v>
      </c>
      <c r="C946" s="7" t="s">
        <v>403</v>
      </c>
      <c r="D946" s="7" t="n">
        <v>1996</v>
      </c>
      <c r="E946" s="7" t="s">
        <v>82</v>
      </c>
      <c r="F946" s="7" t="s">
        <v>86</v>
      </c>
      <c r="G946" s="7" t="s">
        <v>66</v>
      </c>
      <c r="H946" s="7" t="n">
        <v>8.7</v>
      </c>
      <c r="I946" s="7" t="str">
        <f aca="false">IF(B946="",TRIM(C946),TRIM(B946))</f>
        <v>Chad Demographic and Health Survey 1996-1997</v>
      </c>
      <c r="J946" s="7" t="str">
        <f aca="false">IF(ISNUMBER(SEARCH("Demographic and Health",I946)),"DHS",IF(OR(ISNUMBER(SEARCH("Multiple Indicator Cluster",I946)),ISNUMBER(SEARCH("MICS",I946))),"MICS","Other"))</f>
        <v>DHS</v>
      </c>
      <c r="K946" s="7" t="n">
        <f aca="false">IF(AND(F946="Record or Recall",G946="12-23 m"),1,0)</f>
        <v>0</v>
      </c>
      <c r="L946" s="7" t="n">
        <f aca="false">IF(OR(J946="DHS",J946="MICS"),1,0)</f>
        <v>1</v>
      </c>
    </row>
    <row r="947" customFormat="false" ht="15" hidden="false" customHeight="false" outlineLevel="0" collapsed="false">
      <c r="A947" s="7" t="s">
        <v>399</v>
      </c>
      <c r="B947" s="7" t="s">
        <v>402</v>
      </c>
      <c r="C947" s="7" t="s">
        <v>403</v>
      </c>
      <c r="D947" s="7" t="n">
        <v>1996</v>
      </c>
      <c r="E947" s="7" t="s">
        <v>82</v>
      </c>
      <c r="F947" s="7" t="s">
        <v>63</v>
      </c>
      <c r="G947" s="7" t="s">
        <v>66</v>
      </c>
      <c r="H947" s="7" t="n">
        <v>11.3</v>
      </c>
      <c r="I947" s="7" t="str">
        <f aca="false">IF(B947="",TRIM(C947),TRIM(B947))</f>
        <v>Chad Demographic and Health Survey 1996-1997</v>
      </c>
      <c r="J947" s="7" t="str">
        <f aca="false">IF(ISNUMBER(SEARCH("Demographic and Health",I947)),"DHS",IF(OR(ISNUMBER(SEARCH("Multiple Indicator Cluster",I947)),ISNUMBER(SEARCH("MICS",I947))),"MICS","Other"))</f>
        <v>DHS</v>
      </c>
      <c r="K947" s="7" t="n">
        <f aca="false">IF(AND(F947="Record or Recall",G947="12-23 m"),1,0)</f>
        <v>1</v>
      </c>
      <c r="L947" s="7" t="n">
        <f aca="false">IF(OR(J947="DHS",J947="MICS"),1,0)</f>
        <v>1</v>
      </c>
    </row>
    <row r="948" customFormat="false" ht="15" hidden="false" customHeight="false" outlineLevel="0" collapsed="false">
      <c r="A948" s="7" t="s">
        <v>399</v>
      </c>
      <c r="B948" s="7" t="s">
        <v>402</v>
      </c>
      <c r="C948" s="7" t="s">
        <v>403</v>
      </c>
      <c r="D948" s="7" t="n">
        <v>1996</v>
      </c>
      <c r="E948" s="7" t="s">
        <v>82</v>
      </c>
      <c r="F948" s="7" t="s">
        <v>87</v>
      </c>
      <c r="G948" s="7" t="s">
        <v>66</v>
      </c>
      <c r="H948" s="7" t="n">
        <v>2.6</v>
      </c>
      <c r="I948" s="7" t="str">
        <f aca="false">IF(B948="",TRIM(C948),TRIM(B948))</f>
        <v>Chad Demographic and Health Survey 1996-1997</v>
      </c>
      <c r="J948" s="7" t="str">
        <f aca="false">IF(ISNUMBER(SEARCH("Demographic and Health",I948)),"DHS",IF(OR(ISNUMBER(SEARCH("Multiple Indicator Cluster",I948)),ISNUMBER(SEARCH("MICS",I948))),"MICS","Other"))</f>
        <v>DHS</v>
      </c>
      <c r="K948" s="7" t="n">
        <f aca="false">IF(AND(F948="Record or Recall",G948="12-23 m"),1,0)</f>
        <v>0</v>
      </c>
      <c r="L948" s="7" t="n">
        <f aca="false">IF(OR(J948="DHS",J948="MICS"),1,0)</f>
        <v>1</v>
      </c>
    </row>
    <row r="949" customFormat="false" ht="15" hidden="false" customHeight="false" outlineLevel="0" collapsed="false">
      <c r="A949" s="7" t="s">
        <v>399</v>
      </c>
      <c r="B949" s="7" t="s">
        <v>402</v>
      </c>
      <c r="C949" s="7" t="s">
        <v>403</v>
      </c>
      <c r="D949" s="7" t="n">
        <v>1996</v>
      </c>
      <c r="E949" s="7" t="s">
        <v>68</v>
      </c>
      <c r="F949" s="7" t="s">
        <v>63</v>
      </c>
      <c r="G949" s="7" t="s">
        <v>66</v>
      </c>
      <c r="H949" s="7" t="n">
        <v>22.8</v>
      </c>
      <c r="I949" s="7" t="str">
        <f aca="false">IF(B949="",TRIM(C949),TRIM(B949))</f>
        <v>Chad Demographic and Health Survey 1996-1997</v>
      </c>
      <c r="J949" s="7" t="str">
        <f aca="false">IF(ISNUMBER(SEARCH("Demographic and Health",I949)),"DHS",IF(OR(ISNUMBER(SEARCH("Multiple Indicator Cluster",I949)),ISNUMBER(SEARCH("MICS",I949))),"MICS","Other"))</f>
        <v>DHS</v>
      </c>
      <c r="K949" s="7" t="n">
        <f aca="false">IF(AND(F949="Record or Recall",G949="12-23 m"),1,0)</f>
        <v>1</v>
      </c>
      <c r="L949" s="7" t="n">
        <f aca="false">IF(OR(J949="DHS",J949="MICS"),1,0)</f>
        <v>1</v>
      </c>
    </row>
    <row r="950" customFormat="false" ht="15" hidden="false" customHeight="false" outlineLevel="0" collapsed="false">
      <c r="A950" s="7" t="s">
        <v>399</v>
      </c>
      <c r="B950" s="7" t="s">
        <v>402</v>
      </c>
      <c r="C950" s="7" t="s">
        <v>403</v>
      </c>
      <c r="D950" s="7" t="n">
        <v>1996</v>
      </c>
      <c r="E950" s="7" t="s">
        <v>68</v>
      </c>
      <c r="F950" s="7" t="s">
        <v>87</v>
      </c>
      <c r="G950" s="7" t="s">
        <v>66</v>
      </c>
      <c r="H950" s="7" t="n">
        <v>7.6</v>
      </c>
      <c r="I950" s="7" t="str">
        <f aca="false">IF(B950="",TRIM(C950),TRIM(B950))</f>
        <v>Chad Demographic and Health Survey 1996-1997</v>
      </c>
      <c r="J950" s="7" t="str">
        <f aca="false">IF(ISNUMBER(SEARCH("Demographic and Health",I950)),"DHS",IF(OR(ISNUMBER(SEARCH("Multiple Indicator Cluster",I950)),ISNUMBER(SEARCH("MICS",I950))),"MICS","Other"))</f>
        <v>DHS</v>
      </c>
      <c r="K950" s="7" t="n">
        <f aca="false">IF(AND(F950="Record or Recall",G950="12-23 m"),1,0)</f>
        <v>0</v>
      </c>
      <c r="L950" s="7" t="n">
        <f aca="false">IF(OR(J950="DHS",J950="MICS"),1,0)</f>
        <v>1</v>
      </c>
    </row>
    <row r="951" customFormat="false" ht="15" hidden="false" customHeight="false" outlineLevel="0" collapsed="false">
      <c r="A951" s="7" t="s">
        <v>399</v>
      </c>
      <c r="B951" s="7" t="s">
        <v>402</v>
      </c>
      <c r="C951" s="7" t="s">
        <v>403</v>
      </c>
      <c r="D951" s="7" t="n">
        <v>1996</v>
      </c>
      <c r="E951" s="7" t="s">
        <v>68</v>
      </c>
      <c r="F951" s="7" t="s">
        <v>78</v>
      </c>
      <c r="G951" s="7" t="s">
        <v>66</v>
      </c>
      <c r="H951" s="7" t="n">
        <v>17.2</v>
      </c>
      <c r="I951" s="7" t="str">
        <f aca="false">IF(B951="",TRIM(C951),TRIM(B951))</f>
        <v>Chad Demographic and Health Survey 1996-1997</v>
      </c>
      <c r="J951" s="7" t="str">
        <f aca="false">IF(ISNUMBER(SEARCH("Demographic and Health",I951)),"DHS",IF(OR(ISNUMBER(SEARCH("Multiple Indicator Cluster",I951)),ISNUMBER(SEARCH("MICS",I951))),"MICS","Other"))</f>
        <v>DHS</v>
      </c>
      <c r="K951" s="7" t="n">
        <f aca="false">IF(AND(F951="Record or Recall",G951="12-23 m"),1,0)</f>
        <v>0</v>
      </c>
      <c r="L951" s="7" t="n">
        <f aca="false">IF(OR(J951="DHS",J951="MICS"),1,0)</f>
        <v>1</v>
      </c>
    </row>
    <row r="952" customFormat="false" ht="15" hidden="false" customHeight="false" outlineLevel="0" collapsed="false">
      <c r="A952" s="7" t="s">
        <v>399</v>
      </c>
      <c r="B952" s="7" t="s">
        <v>402</v>
      </c>
      <c r="C952" s="7" t="s">
        <v>403</v>
      </c>
      <c r="D952" s="7" t="n">
        <v>1996</v>
      </c>
      <c r="E952" s="7" t="s">
        <v>68</v>
      </c>
      <c r="F952" s="7" t="s">
        <v>86</v>
      </c>
      <c r="G952" s="7" t="s">
        <v>66</v>
      </c>
      <c r="H952" s="7" t="n">
        <v>15.1</v>
      </c>
      <c r="I952" s="7" t="str">
        <f aca="false">IF(B952="",TRIM(C952),TRIM(B952))</f>
        <v>Chad Demographic and Health Survey 1996-1997</v>
      </c>
      <c r="J952" s="7" t="str">
        <f aca="false">IF(ISNUMBER(SEARCH("Demographic and Health",I952)),"DHS",IF(OR(ISNUMBER(SEARCH("Multiple Indicator Cluster",I952)),ISNUMBER(SEARCH("MICS",I952))),"MICS","Other"))</f>
        <v>DHS</v>
      </c>
      <c r="K952" s="7" t="n">
        <f aca="false">IF(AND(F952="Record or Recall",G952="12-23 m"),1,0)</f>
        <v>0</v>
      </c>
      <c r="L952" s="7" t="n">
        <f aca="false">IF(OR(J952="DHS",J952="MICS"),1,0)</f>
        <v>1</v>
      </c>
    </row>
    <row r="953" customFormat="false" ht="15" hidden="false" customHeight="false" outlineLevel="0" collapsed="false">
      <c r="A953" s="7" t="s">
        <v>399</v>
      </c>
      <c r="B953" s="7" t="s">
        <v>402</v>
      </c>
      <c r="C953" s="7" t="s">
        <v>403</v>
      </c>
      <c r="D953" s="7" t="n">
        <v>1996</v>
      </c>
      <c r="E953" s="7" t="s">
        <v>69</v>
      </c>
      <c r="F953" s="7" t="s">
        <v>78</v>
      </c>
      <c r="G953" s="7" t="s">
        <v>66</v>
      </c>
      <c r="H953" s="7" t="n">
        <v>15</v>
      </c>
      <c r="I953" s="7" t="str">
        <f aca="false">IF(B953="",TRIM(C953),TRIM(B953))</f>
        <v>Chad Demographic and Health Survey 1996-1997</v>
      </c>
      <c r="J953" s="7" t="str">
        <f aca="false">IF(ISNUMBER(SEARCH("Demographic and Health",I953)),"DHS",IF(OR(ISNUMBER(SEARCH("Multiple Indicator Cluster",I953)),ISNUMBER(SEARCH("MICS",I953))),"MICS","Other"))</f>
        <v>DHS</v>
      </c>
      <c r="K953" s="7" t="n">
        <f aca="false">IF(AND(F953="Record or Recall",G953="12-23 m"),1,0)</f>
        <v>0</v>
      </c>
      <c r="L953" s="7" t="n">
        <f aca="false">IF(OR(J953="DHS",J953="MICS"),1,0)</f>
        <v>1</v>
      </c>
    </row>
    <row r="954" customFormat="false" ht="15" hidden="false" customHeight="false" outlineLevel="0" collapsed="false">
      <c r="A954" s="7" t="s">
        <v>399</v>
      </c>
      <c r="B954" s="7" t="s">
        <v>402</v>
      </c>
      <c r="C954" s="7" t="s">
        <v>403</v>
      </c>
      <c r="D954" s="7" t="n">
        <v>1996</v>
      </c>
      <c r="E954" s="7" t="s">
        <v>69</v>
      </c>
      <c r="F954" s="7" t="s">
        <v>86</v>
      </c>
      <c r="G954" s="7" t="s">
        <v>66</v>
      </c>
      <c r="H954" s="7" t="n">
        <v>13.6</v>
      </c>
      <c r="I954" s="7" t="str">
        <f aca="false">IF(B954="",TRIM(C954),TRIM(B954))</f>
        <v>Chad Demographic and Health Survey 1996-1997</v>
      </c>
      <c r="J954" s="7" t="str">
        <f aca="false">IF(ISNUMBER(SEARCH("Demographic and Health",I954)),"DHS",IF(OR(ISNUMBER(SEARCH("Multiple Indicator Cluster",I954)),ISNUMBER(SEARCH("MICS",I954))),"MICS","Other"))</f>
        <v>DHS</v>
      </c>
      <c r="K954" s="7" t="n">
        <f aca="false">IF(AND(F954="Record or Recall",G954="12-23 m"),1,0)</f>
        <v>0</v>
      </c>
      <c r="L954" s="7" t="n">
        <f aca="false">IF(OR(J954="DHS",J954="MICS"),1,0)</f>
        <v>1</v>
      </c>
    </row>
    <row r="955" customFormat="false" ht="15" hidden="false" customHeight="false" outlineLevel="0" collapsed="false">
      <c r="A955" s="7" t="s">
        <v>399</v>
      </c>
      <c r="B955" s="7" t="s">
        <v>402</v>
      </c>
      <c r="C955" s="7" t="s">
        <v>403</v>
      </c>
      <c r="D955" s="7" t="n">
        <v>1996</v>
      </c>
      <c r="E955" s="7" t="s">
        <v>69</v>
      </c>
      <c r="F955" s="7" t="s">
        <v>63</v>
      </c>
      <c r="G955" s="7" t="s">
        <v>66</v>
      </c>
      <c r="H955" s="7" t="n">
        <v>18.1</v>
      </c>
      <c r="I955" s="7" t="str">
        <f aca="false">IF(B955="",TRIM(C955),TRIM(B955))</f>
        <v>Chad Demographic and Health Survey 1996-1997</v>
      </c>
      <c r="J955" s="7" t="str">
        <f aca="false">IF(ISNUMBER(SEARCH("Demographic and Health",I955)),"DHS",IF(OR(ISNUMBER(SEARCH("Multiple Indicator Cluster",I955)),ISNUMBER(SEARCH("MICS",I955))),"MICS","Other"))</f>
        <v>DHS</v>
      </c>
      <c r="K955" s="7" t="n">
        <f aca="false">IF(AND(F955="Record or Recall",G955="12-23 m"),1,0)</f>
        <v>1</v>
      </c>
      <c r="L955" s="7" t="n">
        <f aca="false">IF(OR(J955="DHS",J955="MICS"),1,0)</f>
        <v>1</v>
      </c>
    </row>
    <row r="956" customFormat="false" ht="15" hidden="false" customHeight="false" outlineLevel="0" collapsed="false">
      <c r="A956" s="7" t="s">
        <v>399</v>
      </c>
      <c r="B956" s="7" t="s">
        <v>402</v>
      </c>
      <c r="C956" s="7" t="s">
        <v>403</v>
      </c>
      <c r="D956" s="7" t="n">
        <v>1996</v>
      </c>
      <c r="E956" s="7" t="s">
        <v>69</v>
      </c>
      <c r="F956" s="7" t="s">
        <v>87</v>
      </c>
      <c r="G956" s="7" t="s">
        <v>66</v>
      </c>
      <c r="H956" s="7" t="n">
        <v>4.5</v>
      </c>
      <c r="I956" s="7" t="str">
        <f aca="false">IF(B956="",TRIM(C956),TRIM(B956))</f>
        <v>Chad Demographic and Health Survey 1996-1997</v>
      </c>
      <c r="J956" s="7" t="str">
        <f aca="false">IF(ISNUMBER(SEARCH("Demographic and Health",I956)),"DHS",IF(OR(ISNUMBER(SEARCH("Multiple Indicator Cluster",I956)),ISNUMBER(SEARCH("MICS",I956))),"MICS","Other"))</f>
        <v>DHS</v>
      </c>
      <c r="K956" s="7" t="n">
        <f aca="false">IF(AND(F956="Record or Recall",G956="12-23 m"),1,0)</f>
        <v>0</v>
      </c>
      <c r="L956" s="7" t="n">
        <f aca="false">IF(OR(J956="DHS",J956="MICS"),1,0)</f>
        <v>1</v>
      </c>
    </row>
    <row r="957" customFormat="false" ht="15" hidden="false" customHeight="false" outlineLevel="0" collapsed="false">
      <c r="A957" s="7" t="s">
        <v>399</v>
      </c>
      <c r="B957" s="7" t="s">
        <v>404</v>
      </c>
      <c r="C957" s="7" t="s">
        <v>405</v>
      </c>
      <c r="D957" s="7" t="n">
        <v>1999</v>
      </c>
      <c r="E957" s="7" t="s">
        <v>62</v>
      </c>
      <c r="F957" s="7" t="s">
        <v>78</v>
      </c>
      <c r="G957" s="7" t="s">
        <v>66</v>
      </c>
      <c r="H957" s="7" t="n">
        <v>42</v>
      </c>
      <c r="I957" s="7" t="str">
        <f aca="false">IF(B957="",TRIM(C957),TRIM(B957))</f>
        <v>Chad Multiple Indicator Cluster Survey 2000</v>
      </c>
      <c r="J957" s="7" t="str">
        <f aca="false">IF(ISNUMBER(SEARCH("Demographic and Health",I957)),"DHS",IF(OR(ISNUMBER(SEARCH("Multiple Indicator Cluster",I957)),ISNUMBER(SEARCH("MICS",I957))),"MICS","Other"))</f>
        <v>MICS</v>
      </c>
      <c r="K957" s="7" t="n">
        <f aca="false">IF(AND(F957="Record or Recall",G957="12-23 m"),1,0)</f>
        <v>0</v>
      </c>
      <c r="L957" s="7" t="n">
        <f aca="false">IF(OR(J957="DHS",J957="MICS"),1,0)</f>
        <v>1</v>
      </c>
    </row>
    <row r="958" customFormat="false" ht="15" hidden="false" customHeight="false" outlineLevel="0" collapsed="false">
      <c r="A958" s="7" t="s">
        <v>399</v>
      </c>
      <c r="B958" s="7" t="s">
        <v>404</v>
      </c>
      <c r="C958" s="7" t="s">
        <v>405</v>
      </c>
      <c r="D958" s="7" t="n">
        <v>1999</v>
      </c>
      <c r="E958" s="7" t="s">
        <v>62</v>
      </c>
      <c r="F958" s="7" t="s">
        <v>86</v>
      </c>
      <c r="G958" s="7" t="s">
        <v>66</v>
      </c>
      <c r="H958" s="7" t="n">
        <v>9.8</v>
      </c>
      <c r="I958" s="7" t="str">
        <f aca="false">IF(B958="",TRIM(C958),TRIM(B958))</f>
        <v>Chad Multiple Indicator Cluster Survey 2000</v>
      </c>
      <c r="J958" s="7" t="str">
        <f aca="false">IF(ISNUMBER(SEARCH("Demographic and Health",I958)),"DHS",IF(OR(ISNUMBER(SEARCH("Multiple Indicator Cluster",I958)),ISNUMBER(SEARCH("MICS",I958))),"MICS","Other"))</f>
        <v>MICS</v>
      </c>
      <c r="K958" s="7" t="n">
        <f aca="false">IF(AND(F958="Record or Recall",G958="12-23 m"),1,0)</f>
        <v>0</v>
      </c>
      <c r="L958" s="7" t="n">
        <f aca="false">IF(OR(J958="DHS",J958="MICS"),1,0)</f>
        <v>1</v>
      </c>
    </row>
    <row r="959" customFormat="false" ht="15" hidden="false" customHeight="false" outlineLevel="0" collapsed="false">
      <c r="A959" s="7" t="s">
        <v>399</v>
      </c>
      <c r="B959" s="7" t="s">
        <v>404</v>
      </c>
      <c r="C959" s="7" t="s">
        <v>405</v>
      </c>
      <c r="D959" s="7" t="n">
        <v>1999</v>
      </c>
      <c r="E959" s="7" t="s">
        <v>62</v>
      </c>
      <c r="F959" s="7" t="s">
        <v>63</v>
      </c>
      <c r="G959" s="7" t="s">
        <v>66</v>
      </c>
      <c r="H959" s="7" t="n">
        <v>45.4</v>
      </c>
      <c r="I959" s="7" t="str">
        <f aca="false">IF(B959="",TRIM(C959),TRIM(B959))</f>
        <v>Chad Multiple Indicator Cluster Survey 2000</v>
      </c>
      <c r="J959" s="7" t="str">
        <f aca="false">IF(ISNUMBER(SEARCH("Demographic and Health",I959)),"DHS",IF(OR(ISNUMBER(SEARCH("Multiple Indicator Cluster",I959)),ISNUMBER(SEARCH("MICS",I959))),"MICS","Other"))</f>
        <v>MICS</v>
      </c>
      <c r="K959" s="7" t="n">
        <f aca="false">IF(AND(F959="Record or Recall",G959="12-23 m"),1,0)</f>
        <v>1</v>
      </c>
      <c r="L959" s="7" t="n">
        <f aca="false">IF(OR(J959="DHS",J959="MICS"),1,0)</f>
        <v>1</v>
      </c>
    </row>
    <row r="960" customFormat="false" ht="15" hidden="false" customHeight="false" outlineLevel="0" collapsed="false">
      <c r="A960" s="7" t="s">
        <v>399</v>
      </c>
      <c r="B960" s="7" t="s">
        <v>404</v>
      </c>
      <c r="C960" s="7" t="s">
        <v>405</v>
      </c>
      <c r="D960" s="7" t="n">
        <v>1999</v>
      </c>
      <c r="E960" s="7" t="s">
        <v>62</v>
      </c>
      <c r="F960" s="7" t="s">
        <v>87</v>
      </c>
      <c r="G960" s="7" t="s">
        <v>66</v>
      </c>
      <c r="H960" s="7" t="n">
        <v>35.6</v>
      </c>
      <c r="I960" s="7" t="str">
        <f aca="false">IF(B960="",TRIM(C960),TRIM(B960))</f>
        <v>Chad Multiple Indicator Cluster Survey 2000</v>
      </c>
      <c r="J960" s="7" t="str">
        <f aca="false">IF(ISNUMBER(SEARCH("Demographic and Health",I960)),"DHS",IF(OR(ISNUMBER(SEARCH("Multiple Indicator Cluster",I960)),ISNUMBER(SEARCH("MICS",I960))),"MICS","Other"))</f>
        <v>MICS</v>
      </c>
      <c r="K960" s="7" t="n">
        <f aca="false">IF(AND(F960="Record or Recall",G960="12-23 m"),1,0)</f>
        <v>0</v>
      </c>
      <c r="L960" s="7" t="n">
        <f aca="false">IF(OR(J960="DHS",J960="MICS"),1,0)</f>
        <v>1</v>
      </c>
    </row>
    <row r="961" customFormat="false" ht="15" hidden="false" customHeight="false" outlineLevel="0" collapsed="false">
      <c r="A961" s="7" t="s">
        <v>399</v>
      </c>
      <c r="B961" s="7" t="s">
        <v>404</v>
      </c>
      <c r="C961" s="7" t="s">
        <v>405</v>
      </c>
      <c r="D961" s="7" t="n">
        <v>1999</v>
      </c>
      <c r="E961" s="7" t="s">
        <v>81</v>
      </c>
      <c r="F961" s="7" t="s">
        <v>78</v>
      </c>
      <c r="G961" s="7" t="s">
        <v>66</v>
      </c>
      <c r="H961" s="7" t="n">
        <v>42.8</v>
      </c>
      <c r="I961" s="7" t="str">
        <f aca="false">IF(B961="",TRIM(C961),TRIM(B961))</f>
        <v>Chad Multiple Indicator Cluster Survey 2000</v>
      </c>
      <c r="J961" s="7" t="str">
        <f aca="false">IF(ISNUMBER(SEARCH("Demographic and Health",I961)),"DHS",IF(OR(ISNUMBER(SEARCH("Multiple Indicator Cluster",I961)),ISNUMBER(SEARCH("MICS",I961))),"MICS","Other"))</f>
        <v>MICS</v>
      </c>
      <c r="K961" s="7" t="n">
        <f aca="false">IF(AND(F961="Record or Recall",G961="12-23 m"),1,0)</f>
        <v>0</v>
      </c>
      <c r="L961" s="7" t="n">
        <f aca="false">IF(OR(J961="DHS",J961="MICS"),1,0)</f>
        <v>1</v>
      </c>
    </row>
    <row r="962" customFormat="false" ht="15" hidden="false" customHeight="false" outlineLevel="0" collapsed="false">
      <c r="A962" s="7" t="s">
        <v>399</v>
      </c>
      <c r="B962" s="7" t="s">
        <v>404</v>
      </c>
      <c r="C962" s="7" t="s">
        <v>405</v>
      </c>
      <c r="D962" s="7" t="n">
        <v>1999</v>
      </c>
      <c r="E962" s="7" t="s">
        <v>81</v>
      </c>
      <c r="F962" s="7" t="s">
        <v>86</v>
      </c>
      <c r="G962" s="7" t="s">
        <v>66</v>
      </c>
      <c r="H962" s="7" t="n">
        <v>9.8</v>
      </c>
      <c r="I962" s="7" t="str">
        <f aca="false">IF(B962="",TRIM(C962),TRIM(B962))</f>
        <v>Chad Multiple Indicator Cluster Survey 2000</v>
      </c>
      <c r="J962" s="7" t="str">
        <f aca="false">IF(ISNUMBER(SEARCH("Demographic and Health",I962)),"DHS",IF(OR(ISNUMBER(SEARCH("Multiple Indicator Cluster",I962)),ISNUMBER(SEARCH("MICS",I962))),"MICS","Other"))</f>
        <v>MICS</v>
      </c>
      <c r="K962" s="7" t="n">
        <f aca="false">IF(AND(F962="Record or Recall",G962="12-23 m"),1,0)</f>
        <v>0</v>
      </c>
      <c r="L962" s="7" t="n">
        <f aca="false">IF(OR(J962="DHS",J962="MICS"),1,0)</f>
        <v>1</v>
      </c>
    </row>
    <row r="963" customFormat="false" ht="15" hidden="false" customHeight="false" outlineLevel="0" collapsed="false">
      <c r="A963" s="7" t="s">
        <v>399</v>
      </c>
      <c r="B963" s="7" t="s">
        <v>404</v>
      </c>
      <c r="C963" s="7" t="s">
        <v>405</v>
      </c>
      <c r="D963" s="7" t="n">
        <v>1999</v>
      </c>
      <c r="E963" s="7" t="s">
        <v>81</v>
      </c>
      <c r="F963" s="7" t="s">
        <v>63</v>
      </c>
      <c r="G963" s="7" t="s">
        <v>66</v>
      </c>
      <c r="H963" s="7" t="n">
        <v>45.1</v>
      </c>
      <c r="I963" s="7" t="str">
        <f aca="false">IF(B963="",TRIM(C963),TRIM(B963))</f>
        <v>Chad Multiple Indicator Cluster Survey 2000</v>
      </c>
      <c r="J963" s="7" t="str">
        <f aca="false">IF(ISNUMBER(SEARCH("Demographic and Health",I963)),"DHS",IF(OR(ISNUMBER(SEARCH("Multiple Indicator Cluster",I963)),ISNUMBER(SEARCH("MICS",I963))),"MICS","Other"))</f>
        <v>MICS</v>
      </c>
      <c r="K963" s="7" t="n">
        <f aca="false">IF(AND(F963="Record or Recall",G963="12-23 m"),1,0)</f>
        <v>1</v>
      </c>
      <c r="L963" s="7" t="n">
        <f aca="false">IF(OR(J963="DHS",J963="MICS"),1,0)</f>
        <v>1</v>
      </c>
    </row>
    <row r="964" customFormat="false" ht="15" hidden="false" customHeight="false" outlineLevel="0" collapsed="false">
      <c r="A964" s="7" t="s">
        <v>399</v>
      </c>
      <c r="B964" s="7" t="s">
        <v>404</v>
      </c>
      <c r="C964" s="7" t="s">
        <v>405</v>
      </c>
      <c r="D964" s="7" t="n">
        <v>1999</v>
      </c>
      <c r="E964" s="7" t="s">
        <v>81</v>
      </c>
      <c r="F964" s="7" t="s">
        <v>87</v>
      </c>
      <c r="G964" s="7" t="s">
        <v>66</v>
      </c>
      <c r="H964" s="7" t="n">
        <v>35.3</v>
      </c>
      <c r="I964" s="7" t="str">
        <f aca="false">IF(B964="",TRIM(C964),TRIM(B964))</f>
        <v>Chad Multiple Indicator Cluster Survey 2000</v>
      </c>
      <c r="J964" s="7" t="str">
        <f aca="false">IF(ISNUMBER(SEARCH("Demographic and Health",I964)),"DHS",IF(OR(ISNUMBER(SEARCH("Multiple Indicator Cluster",I964)),ISNUMBER(SEARCH("MICS",I964))),"MICS","Other"))</f>
        <v>MICS</v>
      </c>
      <c r="K964" s="7" t="n">
        <f aca="false">IF(AND(F964="Record or Recall",G964="12-23 m"),1,0)</f>
        <v>0</v>
      </c>
      <c r="L964" s="7" t="n">
        <f aca="false">IF(OR(J964="DHS",J964="MICS"),1,0)</f>
        <v>1</v>
      </c>
    </row>
    <row r="965" customFormat="false" ht="15" hidden="false" customHeight="false" outlineLevel="0" collapsed="false">
      <c r="A965" s="7" t="s">
        <v>399</v>
      </c>
      <c r="B965" s="7" t="s">
        <v>404</v>
      </c>
      <c r="C965" s="7" t="s">
        <v>405</v>
      </c>
      <c r="D965" s="7" t="n">
        <v>1999</v>
      </c>
      <c r="E965" s="7" t="s">
        <v>67</v>
      </c>
      <c r="F965" s="7" t="s">
        <v>78</v>
      </c>
      <c r="G965" s="7" t="s">
        <v>66</v>
      </c>
      <c r="H965" s="7" t="n">
        <v>17.3</v>
      </c>
      <c r="I965" s="7" t="str">
        <f aca="false">IF(B965="",TRIM(C965),TRIM(B965))</f>
        <v>Chad Multiple Indicator Cluster Survey 2000</v>
      </c>
      <c r="J965" s="7" t="str">
        <f aca="false">IF(ISNUMBER(SEARCH("Demographic and Health",I965)),"DHS",IF(OR(ISNUMBER(SEARCH("Multiple Indicator Cluster",I965)),ISNUMBER(SEARCH("MICS",I965))),"MICS","Other"))</f>
        <v>MICS</v>
      </c>
      <c r="K965" s="7" t="n">
        <f aca="false">IF(AND(F965="Record or Recall",G965="12-23 m"),1,0)</f>
        <v>0</v>
      </c>
      <c r="L965" s="7" t="n">
        <f aca="false">IF(OR(J965="DHS",J965="MICS"),1,0)</f>
        <v>1</v>
      </c>
    </row>
    <row r="966" customFormat="false" ht="15" hidden="false" customHeight="false" outlineLevel="0" collapsed="false">
      <c r="A966" s="7" t="s">
        <v>399</v>
      </c>
      <c r="B966" s="7" t="s">
        <v>404</v>
      </c>
      <c r="C966" s="7" t="s">
        <v>405</v>
      </c>
      <c r="D966" s="7" t="n">
        <v>1999</v>
      </c>
      <c r="E966" s="7" t="s">
        <v>67</v>
      </c>
      <c r="F966" s="7" t="s">
        <v>86</v>
      </c>
      <c r="G966" s="7" t="s">
        <v>66</v>
      </c>
      <c r="H966" s="7" t="n">
        <v>10.5</v>
      </c>
      <c r="I966" s="7" t="str">
        <f aca="false">IF(B966="",TRIM(C966),TRIM(B966))</f>
        <v>Chad Multiple Indicator Cluster Survey 2000</v>
      </c>
      <c r="J966" s="7" t="str">
        <f aca="false">IF(ISNUMBER(SEARCH("Demographic and Health",I966)),"DHS",IF(OR(ISNUMBER(SEARCH("Multiple Indicator Cluster",I966)),ISNUMBER(SEARCH("MICS",I966))),"MICS","Other"))</f>
        <v>MICS</v>
      </c>
      <c r="K966" s="7" t="n">
        <f aca="false">IF(AND(F966="Record or Recall",G966="12-23 m"),1,0)</f>
        <v>0</v>
      </c>
      <c r="L966" s="7" t="n">
        <f aca="false">IF(OR(J966="DHS",J966="MICS"),1,0)</f>
        <v>1</v>
      </c>
    </row>
    <row r="967" customFormat="false" ht="15" hidden="false" customHeight="false" outlineLevel="0" collapsed="false">
      <c r="A967" s="7" t="s">
        <v>399</v>
      </c>
      <c r="B967" s="7" t="s">
        <v>404</v>
      </c>
      <c r="C967" s="7" t="s">
        <v>405</v>
      </c>
      <c r="D967" s="7" t="n">
        <v>1999</v>
      </c>
      <c r="E967" s="7" t="s">
        <v>67</v>
      </c>
      <c r="F967" s="7" t="s">
        <v>63</v>
      </c>
      <c r="G967" s="7" t="s">
        <v>66</v>
      </c>
      <c r="H967" s="7" t="n">
        <v>20.7</v>
      </c>
      <c r="I967" s="7" t="str">
        <f aca="false">IF(B967="",TRIM(C967),TRIM(B967))</f>
        <v>Chad Multiple Indicator Cluster Survey 2000</v>
      </c>
      <c r="J967" s="7" t="str">
        <f aca="false">IF(ISNUMBER(SEARCH("Demographic and Health",I967)),"DHS",IF(OR(ISNUMBER(SEARCH("Multiple Indicator Cluster",I967)),ISNUMBER(SEARCH("MICS",I967))),"MICS","Other"))</f>
        <v>MICS</v>
      </c>
      <c r="K967" s="7" t="n">
        <f aca="false">IF(AND(F967="Record or Recall",G967="12-23 m"),1,0)</f>
        <v>1</v>
      </c>
      <c r="L967" s="7" t="n">
        <f aca="false">IF(OR(J967="DHS",J967="MICS"),1,0)</f>
        <v>1</v>
      </c>
    </row>
    <row r="968" customFormat="false" ht="15" hidden="false" customHeight="false" outlineLevel="0" collapsed="false">
      <c r="A968" s="7" t="s">
        <v>399</v>
      </c>
      <c r="B968" s="7" t="s">
        <v>404</v>
      </c>
      <c r="C968" s="7" t="s">
        <v>405</v>
      </c>
      <c r="D968" s="7" t="n">
        <v>1999</v>
      </c>
      <c r="E968" s="7" t="s">
        <v>67</v>
      </c>
      <c r="F968" s="7" t="s">
        <v>87</v>
      </c>
      <c r="G968" s="7" t="s">
        <v>66</v>
      </c>
      <c r="H968" s="7" t="n">
        <v>10.2</v>
      </c>
      <c r="I968" s="7" t="str">
        <f aca="false">IF(B968="",TRIM(C968),TRIM(B968))</f>
        <v>Chad Multiple Indicator Cluster Survey 2000</v>
      </c>
      <c r="J968" s="7" t="str">
        <f aca="false">IF(ISNUMBER(SEARCH("Demographic and Health",I968)),"DHS",IF(OR(ISNUMBER(SEARCH("Multiple Indicator Cluster",I968)),ISNUMBER(SEARCH("MICS",I968))),"MICS","Other"))</f>
        <v>MICS</v>
      </c>
      <c r="K968" s="7" t="n">
        <f aca="false">IF(AND(F968="Record or Recall",G968="12-23 m"),1,0)</f>
        <v>0</v>
      </c>
      <c r="L968" s="7" t="n">
        <f aca="false">IF(OR(J968="DHS",J968="MICS"),1,0)</f>
        <v>1</v>
      </c>
    </row>
    <row r="969" customFormat="false" ht="15" hidden="false" customHeight="false" outlineLevel="0" collapsed="false">
      <c r="A969" s="7" t="s">
        <v>399</v>
      </c>
      <c r="B969" s="7" t="s">
        <v>404</v>
      </c>
      <c r="C969" s="7" t="s">
        <v>405</v>
      </c>
      <c r="D969" s="7" t="n">
        <v>1999</v>
      </c>
      <c r="E969" s="7" t="s">
        <v>82</v>
      </c>
      <c r="F969" s="7" t="s">
        <v>78</v>
      </c>
      <c r="G969" s="7" t="s">
        <v>66</v>
      </c>
      <c r="H969" s="7" t="n">
        <v>9.3</v>
      </c>
      <c r="I969" s="7" t="str">
        <f aca="false">IF(B969="",TRIM(C969),TRIM(B969))</f>
        <v>Chad Multiple Indicator Cluster Survey 2000</v>
      </c>
      <c r="J969" s="7" t="str">
        <f aca="false">IF(ISNUMBER(SEARCH("Demographic and Health",I969)),"DHS",IF(OR(ISNUMBER(SEARCH("Multiple Indicator Cluster",I969)),ISNUMBER(SEARCH("MICS",I969))),"MICS","Other"))</f>
        <v>MICS</v>
      </c>
      <c r="K969" s="7" t="n">
        <f aca="false">IF(AND(F969="Record or Recall",G969="12-23 m"),1,0)</f>
        <v>0</v>
      </c>
      <c r="L969" s="7" t="n">
        <f aca="false">IF(OR(J969="DHS",J969="MICS"),1,0)</f>
        <v>1</v>
      </c>
    </row>
    <row r="970" customFormat="false" ht="15" hidden="false" customHeight="false" outlineLevel="0" collapsed="false">
      <c r="A970" s="7" t="s">
        <v>399</v>
      </c>
      <c r="B970" s="7" t="s">
        <v>404</v>
      </c>
      <c r="C970" s="7" t="s">
        <v>405</v>
      </c>
      <c r="D970" s="7" t="n">
        <v>1999</v>
      </c>
      <c r="E970" s="7" t="s">
        <v>82</v>
      </c>
      <c r="F970" s="7" t="s">
        <v>86</v>
      </c>
      <c r="G970" s="7" t="s">
        <v>66</v>
      </c>
      <c r="H970" s="7" t="n">
        <v>1.1</v>
      </c>
      <c r="I970" s="7" t="str">
        <f aca="false">IF(B970="",TRIM(C970),TRIM(B970))</f>
        <v>Chad Multiple Indicator Cluster Survey 2000</v>
      </c>
      <c r="J970" s="7" t="str">
        <f aca="false">IF(ISNUMBER(SEARCH("Demographic and Health",I970)),"DHS",IF(OR(ISNUMBER(SEARCH("Multiple Indicator Cluster",I970)),ISNUMBER(SEARCH("MICS",I970))),"MICS","Other"))</f>
        <v>MICS</v>
      </c>
      <c r="K970" s="7" t="n">
        <f aca="false">IF(AND(F970="Record or Recall",G970="12-23 m"),1,0)</f>
        <v>0</v>
      </c>
      <c r="L970" s="7" t="n">
        <f aca="false">IF(OR(J970="DHS",J970="MICS"),1,0)</f>
        <v>1</v>
      </c>
    </row>
    <row r="971" customFormat="false" ht="15" hidden="false" customHeight="false" outlineLevel="0" collapsed="false">
      <c r="A971" s="7" t="s">
        <v>399</v>
      </c>
      <c r="B971" s="7" t="s">
        <v>404</v>
      </c>
      <c r="C971" s="7" t="s">
        <v>405</v>
      </c>
      <c r="D971" s="7" t="n">
        <v>1999</v>
      </c>
      <c r="E971" s="7" t="s">
        <v>82</v>
      </c>
      <c r="F971" s="7" t="s">
        <v>63</v>
      </c>
      <c r="G971" s="7" t="s">
        <v>66</v>
      </c>
      <c r="H971" s="7" t="n">
        <v>15.2</v>
      </c>
      <c r="I971" s="7" t="str">
        <f aca="false">IF(B971="",TRIM(C971),TRIM(B971))</f>
        <v>Chad Multiple Indicator Cluster Survey 2000</v>
      </c>
      <c r="J971" s="7" t="str">
        <f aca="false">IF(ISNUMBER(SEARCH("Demographic and Health",I971)),"DHS",IF(OR(ISNUMBER(SEARCH("Multiple Indicator Cluster",I971)),ISNUMBER(SEARCH("MICS",I971))),"MICS","Other"))</f>
        <v>MICS</v>
      </c>
      <c r="K971" s="7" t="n">
        <f aca="false">IF(AND(F971="Record or Recall",G971="12-23 m"),1,0)</f>
        <v>1</v>
      </c>
      <c r="L971" s="7" t="n">
        <f aca="false">IF(OR(J971="DHS",J971="MICS"),1,0)</f>
        <v>1</v>
      </c>
    </row>
    <row r="972" customFormat="false" ht="15" hidden="false" customHeight="false" outlineLevel="0" collapsed="false">
      <c r="A972" s="7" t="s">
        <v>399</v>
      </c>
      <c r="B972" s="7" t="s">
        <v>404</v>
      </c>
      <c r="C972" s="7" t="s">
        <v>405</v>
      </c>
      <c r="D972" s="7" t="n">
        <v>1999</v>
      </c>
      <c r="E972" s="7" t="s">
        <v>82</v>
      </c>
      <c r="F972" s="7" t="s">
        <v>87</v>
      </c>
      <c r="G972" s="7" t="s">
        <v>66</v>
      </c>
      <c r="H972" s="7" t="n">
        <v>14.1</v>
      </c>
      <c r="I972" s="7" t="str">
        <f aca="false">IF(B972="",TRIM(C972),TRIM(B972))</f>
        <v>Chad Multiple Indicator Cluster Survey 2000</v>
      </c>
      <c r="J972" s="7" t="str">
        <f aca="false">IF(ISNUMBER(SEARCH("Demographic and Health",I972)),"DHS",IF(OR(ISNUMBER(SEARCH("Multiple Indicator Cluster",I972)),ISNUMBER(SEARCH("MICS",I972))),"MICS","Other"))</f>
        <v>MICS</v>
      </c>
      <c r="K972" s="7" t="n">
        <f aca="false">IF(AND(F972="Record or Recall",G972="12-23 m"),1,0)</f>
        <v>0</v>
      </c>
      <c r="L972" s="7" t="n">
        <f aca="false">IF(OR(J972="DHS",J972="MICS"),1,0)</f>
        <v>1</v>
      </c>
    </row>
    <row r="973" customFormat="false" ht="15" hidden="false" customHeight="false" outlineLevel="0" collapsed="false">
      <c r="A973" s="7" t="s">
        <v>399</v>
      </c>
      <c r="B973" s="7" t="s">
        <v>404</v>
      </c>
      <c r="C973" s="7" t="s">
        <v>405</v>
      </c>
      <c r="D973" s="7" t="n">
        <v>1999</v>
      </c>
      <c r="E973" s="7" t="s">
        <v>68</v>
      </c>
      <c r="F973" s="7" t="s">
        <v>78</v>
      </c>
      <c r="G973" s="7" t="s">
        <v>66</v>
      </c>
      <c r="H973" s="7" t="n">
        <v>24.5</v>
      </c>
      <c r="I973" s="7" t="str">
        <f aca="false">IF(B973="",TRIM(C973),TRIM(B973))</f>
        <v>Chad Multiple Indicator Cluster Survey 2000</v>
      </c>
      <c r="J973" s="7" t="str">
        <f aca="false">IF(ISNUMBER(SEARCH("Demographic and Health",I973)),"DHS",IF(OR(ISNUMBER(SEARCH("Multiple Indicator Cluster",I973)),ISNUMBER(SEARCH("MICS",I973))),"MICS","Other"))</f>
        <v>MICS</v>
      </c>
      <c r="K973" s="7" t="n">
        <f aca="false">IF(AND(F973="Record or Recall",G973="12-23 m"),1,0)</f>
        <v>0</v>
      </c>
      <c r="L973" s="7" t="n">
        <f aca="false">IF(OR(J973="DHS",J973="MICS"),1,0)</f>
        <v>1</v>
      </c>
    </row>
    <row r="974" customFormat="false" ht="15" hidden="false" customHeight="false" outlineLevel="0" collapsed="false">
      <c r="A974" s="7" t="s">
        <v>399</v>
      </c>
      <c r="B974" s="7" t="s">
        <v>404</v>
      </c>
      <c r="C974" s="7" t="s">
        <v>405</v>
      </c>
      <c r="D974" s="7" t="n">
        <v>1999</v>
      </c>
      <c r="E974" s="7" t="s">
        <v>68</v>
      </c>
      <c r="F974" s="7" t="s">
        <v>86</v>
      </c>
      <c r="G974" s="7" t="s">
        <v>66</v>
      </c>
      <c r="H974" s="7" t="n">
        <v>5.7</v>
      </c>
      <c r="I974" s="7" t="str">
        <f aca="false">IF(B974="",TRIM(C974),TRIM(B974))</f>
        <v>Chad Multiple Indicator Cluster Survey 2000</v>
      </c>
      <c r="J974" s="7" t="str">
        <f aca="false">IF(ISNUMBER(SEARCH("Demographic and Health",I974)),"DHS",IF(OR(ISNUMBER(SEARCH("Multiple Indicator Cluster",I974)),ISNUMBER(SEARCH("MICS",I974))),"MICS","Other"))</f>
        <v>MICS</v>
      </c>
      <c r="K974" s="7" t="n">
        <f aca="false">IF(AND(F974="Record or Recall",G974="12-23 m"),1,0)</f>
        <v>0</v>
      </c>
      <c r="L974" s="7" t="n">
        <f aca="false">IF(OR(J974="DHS",J974="MICS"),1,0)</f>
        <v>1</v>
      </c>
    </row>
    <row r="975" customFormat="false" ht="15" hidden="false" customHeight="false" outlineLevel="0" collapsed="false">
      <c r="A975" s="7" t="s">
        <v>399</v>
      </c>
      <c r="B975" s="7" t="s">
        <v>404</v>
      </c>
      <c r="C975" s="7" t="s">
        <v>405</v>
      </c>
      <c r="D975" s="7" t="n">
        <v>1999</v>
      </c>
      <c r="E975" s="7" t="s">
        <v>68</v>
      </c>
      <c r="F975" s="7" t="s">
        <v>63</v>
      </c>
      <c r="G975" s="7" t="s">
        <v>66</v>
      </c>
      <c r="H975" s="7" t="n">
        <v>29.7</v>
      </c>
      <c r="I975" s="7" t="str">
        <f aca="false">IF(B975="",TRIM(C975),TRIM(B975))</f>
        <v>Chad Multiple Indicator Cluster Survey 2000</v>
      </c>
      <c r="J975" s="7" t="str">
        <f aca="false">IF(ISNUMBER(SEARCH("Demographic and Health",I975)),"DHS",IF(OR(ISNUMBER(SEARCH("Multiple Indicator Cluster",I975)),ISNUMBER(SEARCH("MICS",I975))),"MICS","Other"))</f>
        <v>MICS</v>
      </c>
      <c r="K975" s="7" t="n">
        <f aca="false">IF(AND(F975="Record or Recall",G975="12-23 m"),1,0)</f>
        <v>1</v>
      </c>
      <c r="L975" s="7" t="n">
        <f aca="false">IF(OR(J975="DHS",J975="MICS"),1,0)</f>
        <v>1</v>
      </c>
    </row>
    <row r="976" customFormat="false" ht="15" hidden="false" customHeight="false" outlineLevel="0" collapsed="false">
      <c r="A976" s="7" t="s">
        <v>399</v>
      </c>
      <c r="B976" s="7" t="s">
        <v>404</v>
      </c>
      <c r="C976" s="7" t="s">
        <v>405</v>
      </c>
      <c r="D976" s="7" t="n">
        <v>1999</v>
      </c>
      <c r="E976" s="7" t="s">
        <v>68</v>
      </c>
      <c r="F976" s="7" t="s">
        <v>87</v>
      </c>
      <c r="G976" s="7" t="s">
        <v>66</v>
      </c>
      <c r="H976" s="7" t="n">
        <v>24</v>
      </c>
      <c r="I976" s="7" t="str">
        <f aca="false">IF(B976="",TRIM(C976),TRIM(B976))</f>
        <v>Chad Multiple Indicator Cluster Survey 2000</v>
      </c>
      <c r="J976" s="7" t="str">
        <f aca="false">IF(ISNUMBER(SEARCH("Demographic and Health",I976)),"DHS",IF(OR(ISNUMBER(SEARCH("Multiple Indicator Cluster",I976)),ISNUMBER(SEARCH("MICS",I976))),"MICS","Other"))</f>
        <v>MICS</v>
      </c>
      <c r="K976" s="7" t="n">
        <f aca="false">IF(AND(F976="Record or Recall",G976="12-23 m"),1,0)</f>
        <v>0</v>
      </c>
      <c r="L976" s="7" t="n">
        <f aca="false">IF(OR(J976="DHS",J976="MICS"),1,0)</f>
        <v>1</v>
      </c>
    </row>
    <row r="977" customFormat="false" ht="15" hidden="false" customHeight="false" outlineLevel="0" collapsed="false">
      <c r="A977" s="7" t="s">
        <v>399</v>
      </c>
      <c r="B977" s="7" t="s">
        <v>404</v>
      </c>
      <c r="C977" s="7" t="s">
        <v>405</v>
      </c>
      <c r="D977" s="7" t="n">
        <v>1999</v>
      </c>
      <c r="E977" s="7" t="s">
        <v>69</v>
      </c>
      <c r="F977" s="7" t="s">
        <v>78</v>
      </c>
      <c r="G977" s="7" t="s">
        <v>66</v>
      </c>
      <c r="H977" s="7" t="n">
        <v>42.3</v>
      </c>
      <c r="I977" s="7" t="str">
        <f aca="false">IF(B977="",TRIM(C977),TRIM(B977))</f>
        <v>Chad Multiple Indicator Cluster Survey 2000</v>
      </c>
      <c r="J977" s="7" t="str">
        <f aca="false">IF(ISNUMBER(SEARCH("Demographic and Health",I977)),"DHS",IF(OR(ISNUMBER(SEARCH("Multiple Indicator Cluster",I977)),ISNUMBER(SEARCH("MICS",I977))),"MICS","Other"))</f>
        <v>MICS</v>
      </c>
      <c r="K977" s="7" t="n">
        <f aca="false">IF(AND(F977="Record or Recall",G977="12-23 m"),1,0)</f>
        <v>0</v>
      </c>
      <c r="L977" s="7" t="n">
        <f aca="false">IF(OR(J977="DHS",J977="MICS"),1,0)</f>
        <v>1</v>
      </c>
    </row>
    <row r="978" customFormat="false" ht="15" hidden="false" customHeight="false" outlineLevel="0" collapsed="false">
      <c r="A978" s="7" t="s">
        <v>399</v>
      </c>
      <c r="B978" s="7" t="s">
        <v>404</v>
      </c>
      <c r="C978" s="7" t="s">
        <v>405</v>
      </c>
      <c r="D978" s="7" t="n">
        <v>1999</v>
      </c>
      <c r="E978" s="7" t="s">
        <v>69</v>
      </c>
      <c r="F978" s="7" t="s">
        <v>86</v>
      </c>
      <c r="G978" s="7" t="s">
        <v>66</v>
      </c>
      <c r="H978" s="7" t="n">
        <v>5.6</v>
      </c>
      <c r="I978" s="7" t="str">
        <f aca="false">IF(B978="",TRIM(C978),TRIM(B978))</f>
        <v>Chad Multiple Indicator Cluster Survey 2000</v>
      </c>
      <c r="J978" s="7" t="str">
        <f aca="false">IF(ISNUMBER(SEARCH("Demographic and Health",I978)),"DHS",IF(OR(ISNUMBER(SEARCH("Multiple Indicator Cluster",I978)),ISNUMBER(SEARCH("MICS",I978))),"MICS","Other"))</f>
        <v>MICS</v>
      </c>
      <c r="K978" s="7" t="n">
        <f aca="false">IF(AND(F978="Record or Recall",G978="12-23 m"),1,0)</f>
        <v>0</v>
      </c>
      <c r="L978" s="7" t="n">
        <f aca="false">IF(OR(J978="DHS",J978="MICS"),1,0)</f>
        <v>1</v>
      </c>
    </row>
    <row r="979" customFormat="false" ht="15" hidden="false" customHeight="false" outlineLevel="0" collapsed="false">
      <c r="A979" s="7" t="s">
        <v>399</v>
      </c>
      <c r="B979" s="7" t="s">
        <v>404</v>
      </c>
      <c r="C979" s="7" t="s">
        <v>405</v>
      </c>
      <c r="D979" s="7" t="n">
        <v>1999</v>
      </c>
      <c r="E979" s="7" t="s">
        <v>69</v>
      </c>
      <c r="F979" s="7" t="s">
        <v>63</v>
      </c>
      <c r="G979" s="7" t="s">
        <v>66</v>
      </c>
      <c r="H979" s="7" t="n">
        <v>50.6</v>
      </c>
      <c r="I979" s="7" t="str">
        <f aca="false">IF(B979="",TRIM(C979),TRIM(B979))</f>
        <v>Chad Multiple Indicator Cluster Survey 2000</v>
      </c>
      <c r="J979" s="7" t="str">
        <f aca="false">IF(ISNUMBER(SEARCH("Demographic and Health",I979)),"DHS",IF(OR(ISNUMBER(SEARCH("Multiple Indicator Cluster",I979)),ISNUMBER(SEARCH("MICS",I979))),"MICS","Other"))</f>
        <v>MICS</v>
      </c>
      <c r="K979" s="7" t="n">
        <f aca="false">IF(AND(F979="Record or Recall",G979="12-23 m"),1,0)</f>
        <v>1</v>
      </c>
      <c r="L979" s="7" t="n">
        <f aca="false">IF(OR(J979="DHS",J979="MICS"),1,0)</f>
        <v>1</v>
      </c>
    </row>
    <row r="980" customFormat="false" ht="15" hidden="false" customHeight="false" outlineLevel="0" collapsed="false">
      <c r="A980" s="7" t="s">
        <v>399</v>
      </c>
      <c r="B980" s="7" t="s">
        <v>404</v>
      </c>
      <c r="C980" s="7" t="s">
        <v>405</v>
      </c>
      <c r="D980" s="7" t="n">
        <v>1999</v>
      </c>
      <c r="E980" s="7" t="s">
        <v>69</v>
      </c>
      <c r="F980" s="7" t="s">
        <v>87</v>
      </c>
      <c r="G980" s="7" t="s">
        <v>66</v>
      </c>
      <c r="H980" s="7" t="n">
        <v>45</v>
      </c>
      <c r="I980" s="7" t="str">
        <f aca="false">IF(B980="",TRIM(C980),TRIM(B980))</f>
        <v>Chad Multiple Indicator Cluster Survey 2000</v>
      </c>
      <c r="J980" s="7" t="str">
        <f aca="false">IF(ISNUMBER(SEARCH("Demographic and Health",I980)),"DHS",IF(OR(ISNUMBER(SEARCH("Multiple Indicator Cluster",I980)),ISNUMBER(SEARCH("MICS",I980))),"MICS","Other"))</f>
        <v>MICS</v>
      </c>
      <c r="K980" s="7" t="n">
        <f aca="false">IF(AND(F980="Record or Recall",G980="12-23 m"),1,0)</f>
        <v>0</v>
      </c>
      <c r="L980" s="7" t="n">
        <f aca="false">IF(OR(J980="DHS",J980="MICS"),1,0)</f>
        <v>1</v>
      </c>
    </row>
    <row r="981" customFormat="false" ht="15" hidden="false" customHeight="false" outlineLevel="0" collapsed="false">
      <c r="A981" s="7" t="s">
        <v>399</v>
      </c>
      <c r="B981" s="7" t="s">
        <v>406</v>
      </c>
      <c r="C981" s="7" t="s">
        <v>407</v>
      </c>
      <c r="D981" s="7" t="n">
        <v>2001</v>
      </c>
      <c r="E981" s="7" t="s">
        <v>62</v>
      </c>
      <c r="F981" s="7" t="s">
        <v>63</v>
      </c>
      <c r="G981" s="7" t="s">
        <v>66</v>
      </c>
      <c r="H981" s="7" t="n">
        <v>51.5</v>
      </c>
      <c r="I981" s="7" t="str">
        <f aca="false">IF(B981="",TRIM(C981),TRIM(B981))</f>
        <v>Chad EPI Review 2002</v>
      </c>
      <c r="J981" s="7" t="str">
        <f aca="false">IF(ISNUMBER(SEARCH("Demographic and Health",I981)),"DHS",IF(OR(ISNUMBER(SEARCH("Multiple Indicator Cluster",I981)),ISNUMBER(SEARCH("MICS",I981))),"MICS","Other"))</f>
        <v>Other</v>
      </c>
      <c r="K981" s="7" t="n">
        <f aca="false">IF(AND(F981="Record or Recall",G981="12-23 m"),1,0)</f>
        <v>1</v>
      </c>
      <c r="L981" s="7" t="n">
        <f aca="false">IF(OR(J981="DHS",J981="MICS"),1,0)</f>
        <v>0</v>
      </c>
    </row>
    <row r="982" customFormat="false" ht="15" hidden="false" customHeight="false" outlineLevel="0" collapsed="false">
      <c r="A982" s="7" t="s">
        <v>399</v>
      </c>
      <c r="B982" s="7" t="s">
        <v>406</v>
      </c>
      <c r="C982" s="7" t="s">
        <v>407</v>
      </c>
      <c r="D982" s="7" t="n">
        <v>2001</v>
      </c>
      <c r="E982" s="7" t="s">
        <v>81</v>
      </c>
      <c r="F982" s="7" t="s">
        <v>63</v>
      </c>
      <c r="G982" s="7" t="s">
        <v>66</v>
      </c>
      <c r="H982" s="7" t="n">
        <v>44</v>
      </c>
      <c r="I982" s="7" t="str">
        <f aca="false">IF(B982="",TRIM(C982),TRIM(B982))</f>
        <v>Chad EPI Review 2002</v>
      </c>
      <c r="J982" s="7" t="str">
        <f aca="false">IF(ISNUMBER(SEARCH("Demographic and Health",I982)),"DHS",IF(OR(ISNUMBER(SEARCH("Multiple Indicator Cluster",I982)),ISNUMBER(SEARCH("MICS",I982))),"MICS","Other"))</f>
        <v>Other</v>
      </c>
      <c r="K982" s="7" t="n">
        <f aca="false">IF(AND(F982="Record or Recall",G982="12-23 m"),1,0)</f>
        <v>1</v>
      </c>
      <c r="L982" s="7" t="n">
        <f aca="false">IF(OR(J982="DHS",J982="MICS"),1,0)</f>
        <v>0</v>
      </c>
    </row>
    <row r="983" customFormat="false" ht="15" hidden="false" customHeight="false" outlineLevel="0" collapsed="false">
      <c r="A983" s="7" t="s">
        <v>399</v>
      </c>
      <c r="B983" s="7" t="s">
        <v>406</v>
      </c>
      <c r="C983" s="7" t="s">
        <v>407</v>
      </c>
      <c r="D983" s="7" t="n">
        <v>2001</v>
      </c>
      <c r="E983" s="7" t="s">
        <v>67</v>
      </c>
      <c r="F983" s="7" t="s">
        <v>63</v>
      </c>
      <c r="G983" s="7" t="s">
        <v>66</v>
      </c>
      <c r="H983" s="7" t="n">
        <v>25.5</v>
      </c>
      <c r="I983" s="7" t="str">
        <f aca="false">IF(B983="",TRIM(C983),TRIM(B983))</f>
        <v>Chad EPI Review 2002</v>
      </c>
      <c r="J983" s="7" t="str">
        <f aca="false">IF(ISNUMBER(SEARCH("Demographic and Health",I983)),"DHS",IF(OR(ISNUMBER(SEARCH("Multiple Indicator Cluster",I983)),ISNUMBER(SEARCH("MICS",I983))),"MICS","Other"))</f>
        <v>Other</v>
      </c>
      <c r="K983" s="7" t="n">
        <f aca="false">IF(AND(F983="Record or Recall",G983="12-23 m"),1,0)</f>
        <v>1</v>
      </c>
      <c r="L983" s="7" t="n">
        <f aca="false">IF(OR(J983="DHS",J983="MICS"),1,0)</f>
        <v>0</v>
      </c>
    </row>
    <row r="984" customFormat="false" ht="15" hidden="false" customHeight="false" outlineLevel="0" collapsed="false">
      <c r="A984" s="7" t="s">
        <v>399</v>
      </c>
      <c r="B984" s="7" t="s">
        <v>406</v>
      </c>
      <c r="C984" s="7" t="s">
        <v>407</v>
      </c>
      <c r="D984" s="7" t="n">
        <v>2001</v>
      </c>
      <c r="E984" s="7" t="s">
        <v>82</v>
      </c>
      <c r="F984" s="7" t="s">
        <v>63</v>
      </c>
      <c r="G984" s="7" t="s">
        <v>66</v>
      </c>
      <c r="H984" s="7" t="n">
        <v>17.1</v>
      </c>
      <c r="I984" s="7" t="str">
        <f aca="false">IF(B984="",TRIM(C984),TRIM(B984))</f>
        <v>Chad EPI Review 2002</v>
      </c>
      <c r="J984" s="7" t="str">
        <f aca="false">IF(ISNUMBER(SEARCH("Demographic and Health",I984)),"DHS",IF(OR(ISNUMBER(SEARCH("Multiple Indicator Cluster",I984)),ISNUMBER(SEARCH("MICS",I984))),"MICS","Other"))</f>
        <v>Other</v>
      </c>
      <c r="K984" s="7" t="n">
        <f aca="false">IF(AND(F984="Record or Recall",G984="12-23 m"),1,0)</f>
        <v>1</v>
      </c>
      <c r="L984" s="7" t="n">
        <f aca="false">IF(OR(J984="DHS",J984="MICS"),1,0)</f>
        <v>0</v>
      </c>
    </row>
    <row r="985" customFormat="false" ht="15" hidden="false" customHeight="false" outlineLevel="0" collapsed="false">
      <c r="A985" s="7" t="s">
        <v>399</v>
      </c>
      <c r="B985" s="7" t="s">
        <v>406</v>
      </c>
      <c r="C985" s="7" t="s">
        <v>407</v>
      </c>
      <c r="D985" s="7" t="n">
        <v>2001</v>
      </c>
      <c r="E985" s="7" t="s">
        <v>68</v>
      </c>
      <c r="F985" s="7" t="s">
        <v>63</v>
      </c>
      <c r="G985" s="7" t="s">
        <v>66</v>
      </c>
      <c r="H985" s="7" t="n">
        <v>26</v>
      </c>
      <c r="I985" s="7" t="str">
        <f aca="false">IF(B985="",TRIM(C985),TRIM(B985))</f>
        <v>Chad EPI Review 2002</v>
      </c>
      <c r="J985" s="7" t="str">
        <f aca="false">IF(ISNUMBER(SEARCH("Demographic and Health",I985)),"DHS",IF(OR(ISNUMBER(SEARCH("Multiple Indicator Cluster",I985)),ISNUMBER(SEARCH("MICS",I985))),"MICS","Other"))</f>
        <v>Other</v>
      </c>
      <c r="K985" s="7" t="n">
        <f aca="false">IF(AND(F985="Record or Recall",G985="12-23 m"),1,0)</f>
        <v>1</v>
      </c>
      <c r="L985" s="7" t="n">
        <f aca="false">IF(OR(J985="DHS",J985="MICS"),1,0)</f>
        <v>0</v>
      </c>
    </row>
    <row r="986" customFormat="false" ht="15" hidden="false" customHeight="false" outlineLevel="0" collapsed="false">
      <c r="A986" s="7" t="s">
        <v>399</v>
      </c>
      <c r="B986" s="7" t="s">
        <v>406</v>
      </c>
      <c r="C986" s="7" t="s">
        <v>407</v>
      </c>
      <c r="D986" s="7" t="n">
        <v>2001</v>
      </c>
      <c r="E986" s="7" t="s">
        <v>69</v>
      </c>
      <c r="F986" s="7" t="s">
        <v>63</v>
      </c>
      <c r="G986" s="7" t="s">
        <v>66</v>
      </c>
      <c r="H986" s="7" t="n">
        <v>26</v>
      </c>
      <c r="I986" s="7" t="str">
        <f aca="false">IF(B986="",TRIM(C986),TRIM(B986))</f>
        <v>Chad EPI Review 2002</v>
      </c>
      <c r="J986" s="7" t="str">
        <f aca="false">IF(ISNUMBER(SEARCH("Demographic and Health",I986)),"DHS",IF(OR(ISNUMBER(SEARCH("Multiple Indicator Cluster",I986)),ISNUMBER(SEARCH("MICS",I986))),"MICS","Other"))</f>
        <v>Other</v>
      </c>
      <c r="K986" s="7" t="n">
        <f aca="false">IF(AND(F986="Record or Recall",G986="12-23 m"),1,0)</f>
        <v>1</v>
      </c>
      <c r="L986" s="7" t="n">
        <f aca="false">IF(OR(J986="DHS",J986="MICS"),1,0)</f>
        <v>0</v>
      </c>
    </row>
    <row r="987" customFormat="false" ht="15" hidden="false" customHeight="false" outlineLevel="0" collapsed="false">
      <c r="A987" s="7" t="s">
        <v>399</v>
      </c>
      <c r="B987" s="7" t="s">
        <v>408</v>
      </c>
      <c r="C987" s="7" t="s">
        <v>409</v>
      </c>
      <c r="D987" s="7" t="n">
        <v>2003</v>
      </c>
      <c r="E987" s="7" t="s">
        <v>62</v>
      </c>
      <c r="F987" s="7" t="s">
        <v>78</v>
      </c>
      <c r="G987" s="7" t="s">
        <v>66</v>
      </c>
      <c r="H987" s="7" t="n">
        <v>36.5</v>
      </c>
      <c r="I987" s="7" t="str">
        <f aca="false">IF(B987="",TRIM(C987),TRIM(B987))</f>
        <v>Chad Demographic and Health Survey 2004</v>
      </c>
      <c r="J987" s="7" t="str">
        <f aca="false">IF(ISNUMBER(SEARCH("Demographic and Health",I987)),"DHS",IF(OR(ISNUMBER(SEARCH("Multiple Indicator Cluster",I987)),ISNUMBER(SEARCH("MICS",I987))),"MICS","Other"))</f>
        <v>DHS</v>
      </c>
      <c r="K987" s="7" t="n">
        <f aca="false">IF(AND(F987="Record or Recall",G987="12-23 m"),1,0)</f>
        <v>0</v>
      </c>
      <c r="L987" s="7" t="n">
        <f aca="false">IF(OR(J987="DHS",J987="MICS"),1,0)</f>
        <v>1</v>
      </c>
    </row>
    <row r="988" customFormat="false" ht="15" hidden="false" customHeight="false" outlineLevel="0" collapsed="false">
      <c r="A988" s="7" t="s">
        <v>399</v>
      </c>
      <c r="B988" s="7" t="s">
        <v>408</v>
      </c>
      <c r="C988" s="7" t="s">
        <v>409</v>
      </c>
      <c r="D988" s="7" t="n">
        <v>2003</v>
      </c>
      <c r="E988" s="7" t="s">
        <v>62</v>
      </c>
      <c r="F988" s="7" t="s">
        <v>86</v>
      </c>
      <c r="G988" s="7" t="s">
        <v>66</v>
      </c>
      <c r="H988" s="7" t="n">
        <v>20.3</v>
      </c>
      <c r="I988" s="7" t="str">
        <f aca="false">IF(B988="",TRIM(C988),TRIM(B988))</f>
        <v>Chad Demographic and Health Survey 2004</v>
      </c>
      <c r="J988" s="7" t="str">
        <f aca="false">IF(ISNUMBER(SEARCH("Demographic and Health",I988)),"DHS",IF(OR(ISNUMBER(SEARCH("Multiple Indicator Cluster",I988)),ISNUMBER(SEARCH("MICS",I988))),"MICS","Other"))</f>
        <v>DHS</v>
      </c>
      <c r="K988" s="7" t="n">
        <f aca="false">IF(AND(F988="Record or Recall",G988="12-23 m"),1,0)</f>
        <v>0</v>
      </c>
      <c r="L988" s="7" t="n">
        <f aca="false">IF(OR(J988="DHS",J988="MICS"),1,0)</f>
        <v>1</v>
      </c>
    </row>
    <row r="989" customFormat="false" ht="15" hidden="false" customHeight="false" outlineLevel="0" collapsed="false">
      <c r="A989" s="7" t="s">
        <v>399</v>
      </c>
      <c r="B989" s="7" t="s">
        <v>408</v>
      </c>
      <c r="C989" s="7" t="s">
        <v>409</v>
      </c>
      <c r="D989" s="7" t="n">
        <v>2003</v>
      </c>
      <c r="E989" s="7" t="s">
        <v>62</v>
      </c>
      <c r="F989" s="7" t="s">
        <v>63</v>
      </c>
      <c r="G989" s="7" t="s">
        <v>66</v>
      </c>
      <c r="H989" s="7" t="n">
        <v>40.2</v>
      </c>
      <c r="I989" s="7" t="str">
        <f aca="false">IF(B989="",TRIM(C989),TRIM(B989))</f>
        <v>Chad Demographic and Health Survey 2004</v>
      </c>
      <c r="J989" s="7" t="str">
        <f aca="false">IF(ISNUMBER(SEARCH("Demographic and Health",I989)),"DHS",IF(OR(ISNUMBER(SEARCH("Multiple Indicator Cluster",I989)),ISNUMBER(SEARCH("MICS",I989))),"MICS","Other"))</f>
        <v>DHS</v>
      </c>
      <c r="K989" s="7" t="n">
        <f aca="false">IF(AND(F989="Record or Recall",G989="12-23 m"),1,0)</f>
        <v>1</v>
      </c>
      <c r="L989" s="7" t="n">
        <f aca="false">IF(OR(J989="DHS",J989="MICS"),1,0)</f>
        <v>1</v>
      </c>
    </row>
    <row r="990" customFormat="false" ht="15" hidden="false" customHeight="false" outlineLevel="0" collapsed="false">
      <c r="A990" s="7" t="s">
        <v>399</v>
      </c>
      <c r="B990" s="7" t="s">
        <v>408</v>
      </c>
      <c r="C990" s="7" t="s">
        <v>409</v>
      </c>
      <c r="D990" s="7" t="n">
        <v>2003</v>
      </c>
      <c r="E990" s="7" t="s">
        <v>62</v>
      </c>
      <c r="F990" s="7" t="s">
        <v>87</v>
      </c>
      <c r="G990" s="7" t="s">
        <v>66</v>
      </c>
      <c r="H990" s="7" t="n">
        <v>19.9</v>
      </c>
      <c r="I990" s="7" t="str">
        <f aca="false">IF(B990="",TRIM(C990),TRIM(B990))</f>
        <v>Chad Demographic and Health Survey 2004</v>
      </c>
      <c r="J990" s="7" t="str">
        <f aca="false">IF(ISNUMBER(SEARCH("Demographic and Health",I990)),"DHS",IF(OR(ISNUMBER(SEARCH("Multiple Indicator Cluster",I990)),ISNUMBER(SEARCH("MICS",I990))),"MICS","Other"))</f>
        <v>DHS</v>
      </c>
      <c r="K990" s="7" t="n">
        <f aca="false">IF(AND(F990="Record or Recall",G990="12-23 m"),1,0)</f>
        <v>0</v>
      </c>
      <c r="L990" s="7" t="n">
        <f aca="false">IF(OR(J990="DHS",J990="MICS"),1,0)</f>
        <v>1</v>
      </c>
    </row>
    <row r="991" customFormat="false" ht="15" hidden="false" customHeight="false" outlineLevel="0" collapsed="false">
      <c r="A991" s="7" t="s">
        <v>399</v>
      </c>
      <c r="B991" s="7" t="s">
        <v>408</v>
      </c>
      <c r="C991" s="7" t="s">
        <v>409</v>
      </c>
      <c r="D991" s="7" t="n">
        <v>2003</v>
      </c>
      <c r="E991" s="7" t="s">
        <v>81</v>
      </c>
      <c r="F991" s="7" t="s">
        <v>86</v>
      </c>
      <c r="G991" s="7" t="s">
        <v>66</v>
      </c>
      <c r="H991" s="7" t="n">
        <v>23.6</v>
      </c>
      <c r="I991" s="7" t="str">
        <f aca="false">IF(B991="",TRIM(C991),TRIM(B991))</f>
        <v>Chad Demographic and Health Survey 2004</v>
      </c>
      <c r="J991" s="7" t="str">
        <f aca="false">IF(ISNUMBER(SEARCH("Demographic and Health",I991)),"DHS",IF(OR(ISNUMBER(SEARCH("Multiple Indicator Cluster",I991)),ISNUMBER(SEARCH("MICS",I991))),"MICS","Other"))</f>
        <v>DHS</v>
      </c>
      <c r="K991" s="7" t="n">
        <f aca="false">IF(AND(F991="Record or Recall",G991="12-23 m"),1,0)</f>
        <v>0</v>
      </c>
      <c r="L991" s="7" t="n">
        <f aca="false">IF(OR(J991="DHS",J991="MICS"),1,0)</f>
        <v>1</v>
      </c>
    </row>
    <row r="992" customFormat="false" ht="15" hidden="false" customHeight="false" outlineLevel="0" collapsed="false">
      <c r="A992" s="7" t="s">
        <v>399</v>
      </c>
      <c r="B992" s="7" t="s">
        <v>408</v>
      </c>
      <c r="C992" s="7" t="s">
        <v>409</v>
      </c>
      <c r="D992" s="7" t="n">
        <v>2003</v>
      </c>
      <c r="E992" s="7" t="s">
        <v>81</v>
      </c>
      <c r="F992" s="7" t="s">
        <v>63</v>
      </c>
      <c r="G992" s="7" t="s">
        <v>66</v>
      </c>
      <c r="H992" s="7" t="n">
        <v>44.6</v>
      </c>
      <c r="I992" s="7" t="str">
        <f aca="false">IF(B992="",TRIM(C992),TRIM(B992))</f>
        <v>Chad Demographic and Health Survey 2004</v>
      </c>
      <c r="J992" s="7" t="str">
        <f aca="false">IF(ISNUMBER(SEARCH("Demographic and Health",I992)),"DHS",IF(OR(ISNUMBER(SEARCH("Multiple Indicator Cluster",I992)),ISNUMBER(SEARCH("MICS",I992))),"MICS","Other"))</f>
        <v>DHS</v>
      </c>
      <c r="K992" s="7" t="n">
        <f aca="false">IF(AND(F992="Record or Recall",G992="12-23 m"),1,0)</f>
        <v>1</v>
      </c>
      <c r="L992" s="7" t="n">
        <f aca="false">IF(OR(J992="DHS",J992="MICS"),1,0)</f>
        <v>1</v>
      </c>
    </row>
    <row r="993" customFormat="false" ht="15" hidden="false" customHeight="false" outlineLevel="0" collapsed="false">
      <c r="A993" s="7" t="s">
        <v>399</v>
      </c>
      <c r="B993" s="7" t="s">
        <v>408</v>
      </c>
      <c r="C993" s="7" t="s">
        <v>409</v>
      </c>
      <c r="D993" s="7" t="n">
        <v>2003</v>
      </c>
      <c r="E993" s="7" t="s">
        <v>81</v>
      </c>
      <c r="F993" s="7" t="s">
        <v>87</v>
      </c>
      <c r="G993" s="7" t="s">
        <v>66</v>
      </c>
      <c r="H993" s="7" t="n">
        <v>21</v>
      </c>
      <c r="I993" s="7" t="str">
        <f aca="false">IF(B993="",TRIM(C993),TRIM(B993))</f>
        <v>Chad Demographic and Health Survey 2004</v>
      </c>
      <c r="J993" s="7" t="str">
        <f aca="false">IF(ISNUMBER(SEARCH("Demographic and Health",I993)),"DHS",IF(OR(ISNUMBER(SEARCH("Multiple Indicator Cluster",I993)),ISNUMBER(SEARCH("MICS",I993))),"MICS","Other"))</f>
        <v>DHS</v>
      </c>
      <c r="K993" s="7" t="n">
        <f aca="false">IF(AND(F993="Record or Recall",G993="12-23 m"),1,0)</f>
        <v>0</v>
      </c>
      <c r="L993" s="7" t="n">
        <f aca="false">IF(OR(J993="DHS",J993="MICS"),1,0)</f>
        <v>1</v>
      </c>
    </row>
    <row r="994" customFormat="false" ht="15" hidden="false" customHeight="false" outlineLevel="0" collapsed="false">
      <c r="A994" s="7" t="s">
        <v>399</v>
      </c>
      <c r="B994" s="7" t="s">
        <v>408</v>
      </c>
      <c r="C994" s="7" t="s">
        <v>409</v>
      </c>
      <c r="D994" s="7" t="n">
        <v>2003</v>
      </c>
      <c r="E994" s="7" t="s">
        <v>81</v>
      </c>
      <c r="F994" s="7" t="s">
        <v>78</v>
      </c>
      <c r="G994" s="7" t="s">
        <v>66</v>
      </c>
      <c r="H994" s="7" t="n">
        <v>41.5</v>
      </c>
      <c r="I994" s="7" t="str">
        <f aca="false">IF(B994="",TRIM(C994),TRIM(B994))</f>
        <v>Chad Demographic and Health Survey 2004</v>
      </c>
      <c r="J994" s="7" t="str">
        <f aca="false">IF(ISNUMBER(SEARCH("Demographic and Health",I994)),"DHS",IF(OR(ISNUMBER(SEARCH("Multiple Indicator Cluster",I994)),ISNUMBER(SEARCH("MICS",I994))),"MICS","Other"))</f>
        <v>DHS</v>
      </c>
      <c r="K994" s="7" t="n">
        <f aca="false">IF(AND(F994="Record or Recall",G994="12-23 m"),1,0)</f>
        <v>0</v>
      </c>
      <c r="L994" s="7" t="n">
        <f aca="false">IF(OR(J994="DHS",J994="MICS"),1,0)</f>
        <v>1</v>
      </c>
    </row>
    <row r="995" customFormat="false" ht="15" hidden="false" customHeight="false" outlineLevel="0" collapsed="false">
      <c r="A995" s="7" t="s">
        <v>399</v>
      </c>
      <c r="B995" s="7" t="s">
        <v>408</v>
      </c>
      <c r="C995" s="7" t="s">
        <v>409</v>
      </c>
      <c r="D995" s="7" t="n">
        <v>2003</v>
      </c>
      <c r="E995" s="7" t="s">
        <v>67</v>
      </c>
      <c r="F995" s="7" t="s">
        <v>78</v>
      </c>
      <c r="G995" s="7" t="s">
        <v>66</v>
      </c>
      <c r="H995" s="7" t="n">
        <v>15.9</v>
      </c>
      <c r="I995" s="7" t="str">
        <f aca="false">IF(B995="",TRIM(C995),TRIM(B995))</f>
        <v>Chad Demographic and Health Survey 2004</v>
      </c>
      <c r="J995" s="7" t="str">
        <f aca="false">IF(ISNUMBER(SEARCH("Demographic and Health",I995)),"DHS",IF(OR(ISNUMBER(SEARCH("Multiple Indicator Cluster",I995)),ISNUMBER(SEARCH("MICS",I995))),"MICS","Other"))</f>
        <v>DHS</v>
      </c>
      <c r="K995" s="7" t="n">
        <f aca="false">IF(AND(F995="Record or Recall",G995="12-23 m"),1,0)</f>
        <v>0</v>
      </c>
      <c r="L995" s="7" t="n">
        <f aca="false">IF(OR(J995="DHS",J995="MICS"),1,0)</f>
        <v>1</v>
      </c>
    </row>
    <row r="996" customFormat="false" ht="15" hidden="false" customHeight="false" outlineLevel="0" collapsed="false">
      <c r="A996" s="7" t="s">
        <v>399</v>
      </c>
      <c r="B996" s="7" t="s">
        <v>408</v>
      </c>
      <c r="C996" s="7" t="s">
        <v>409</v>
      </c>
      <c r="D996" s="7" t="n">
        <v>2003</v>
      </c>
      <c r="E996" s="7" t="s">
        <v>67</v>
      </c>
      <c r="F996" s="7" t="s">
        <v>86</v>
      </c>
      <c r="G996" s="7" t="s">
        <v>66</v>
      </c>
      <c r="H996" s="7" t="n">
        <v>11.6</v>
      </c>
      <c r="I996" s="7" t="str">
        <f aca="false">IF(B996="",TRIM(C996),TRIM(B996))</f>
        <v>Chad Demographic and Health Survey 2004</v>
      </c>
      <c r="J996" s="7" t="str">
        <f aca="false">IF(ISNUMBER(SEARCH("Demographic and Health",I996)),"DHS",IF(OR(ISNUMBER(SEARCH("Multiple Indicator Cluster",I996)),ISNUMBER(SEARCH("MICS",I996))),"MICS","Other"))</f>
        <v>DHS</v>
      </c>
      <c r="K996" s="7" t="n">
        <f aca="false">IF(AND(F996="Record or Recall",G996="12-23 m"),1,0)</f>
        <v>0</v>
      </c>
      <c r="L996" s="7" t="n">
        <f aca="false">IF(OR(J996="DHS",J996="MICS"),1,0)</f>
        <v>1</v>
      </c>
    </row>
    <row r="997" customFormat="false" ht="15" hidden="false" customHeight="false" outlineLevel="0" collapsed="false">
      <c r="A997" s="7" t="s">
        <v>399</v>
      </c>
      <c r="B997" s="7" t="s">
        <v>408</v>
      </c>
      <c r="C997" s="7" t="s">
        <v>409</v>
      </c>
      <c r="D997" s="7" t="n">
        <v>2003</v>
      </c>
      <c r="E997" s="7" t="s">
        <v>67</v>
      </c>
      <c r="F997" s="7" t="s">
        <v>63</v>
      </c>
      <c r="G997" s="7" t="s">
        <v>66</v>
      </c>
      <c r="H997" s="7" t="n">
        <v>20.1</v>
      </c>
      <c r="I997" s="7" t="str">
        <f aca="false">IF(B997="",TRIM(C997),TRIM(B997))</f>
        <v>Chad Demographic and Health Survey 2004</v>
      </c>
      <c r="J997" s="7" t="str">
        <f aca="false">IF(ISNUMBER(SEARCH("Demographic and Health",I997)),"DHS",IF(OR(ISNUMBER(SEARCH("Multiple Indicator Cluster",I997)),ISNUMBER(SEARCH("MICS",I997))),"MICS","Other"))</f>
        <v>DHS</v>
      </c>
      <c r="K997" s="7" t="n">
        <f aca="false">IF(AND(F997="Record or Recall",G997="12-23 m"),1,0)</f>
        <v>1</v>
      </c>
      <c r="L997" s="7" t="n">
        <f aca="false">IF(OR(J997="DHS",J997="MICS"),1,0)</f>
        <v>1</v>
      </c>
    </row>
    <row r="998" customFormat="false" ht="15" hidden="false" customHeight="false" outlineLevel="0" collapsed="false">
      <c r="A998" s="7" t="s">
        <v>399</v>
      </c>
      <c r="B998" s="7" t="s">
        <v>408</v>
      </c>
      <c r="C998" s="7" t="s">
        <v>409</v>
      </c>
      <c r="D998" s="7" t="n">
        <v>2003</v>
      </c>
      <c r="E998" s="7" t="s">
        <v>67</v>
      </c>
      <c r="F998" s="7" t="s">
        <v>87</v>
      </c>
      <c r="G998" s="7" t="s">
        <v>66</v>
      </c>
      <c r="H998" s="7" t="n">
        <v>8.5</v>
      </c>
      <c r="I998" s="7" t="str">
        <f aca="false">IF(B998="",TRIM(C998),TRIM(B998))</f>
        <v>Chad Demographic and Health Survey 2004</v>
      </c>
      <c r="J998" s="7" t="str">
        <f aca="false">IF(ISNUMBER(SEARCH("Demographic and Health",I998)),"DHS",IF(OR(ISNUMBER(SEARCH("Multiple Indicator Cluster",I998)),ISNUMBER(SEARCH("MICS",I998))),"MICS","Other"))</f>
        <v>DHS</v>
      </c>
      <c r="K998" s="7" t="n">
        <f aca="false">IF(AND(F998="Record or Recall",G998="12-23 m"),1,0)</f>
        <v>0</v>
      </c>
      <c r="L998" s="7" t="n">
        <f aca="false">IF(OR(J998="DHS",J998="MICS"),1,0)</f>
        <v>1</v>
      </c>
    </row>
    <row r="999" customFormat="false" ht="15" hidden="false" customHeight="false" outlineLevel="0" collapsed="false">
      <c r="A999" s="7" t="s">
        <v>399</v>
      </c>
      <c r="B999" s="7" t="s">
        <v>408</v>
      </c>
      <c r="C999" s="7" t="s">
        <v>409</v>
      </c>
      <c r="D999" s="7" t="n">
        <v>2003</v>
      </c>
      <c r="E999" s="7" t="s">
        <v>82</v>
      </c>
      <c r="F999" s="7" t="s">
        <v>78</v>
      </c>
      <c r="G999" s="7" t="s">
        <v>66</v>
      </c>
      <c r="H999" s="7" t="n">
        <v>6.4</v>
      </c>
      <c r="I999" s="7" t="str">
        <f aca="false">IF(B999="",TRIM(C999),TRIM(B999))</f>
        <v>Chad Demographic and Health Survey 2004</v>
      </c>
      <c r="J999" s="7" t="str">
        <f aca="false">IF(ISNUMBER(SEARCH("Demographic and Health",I999)),"DHS",IF(OR(ISNUMBER(SEARCH("Multiple Indicator Cluster",I999)),ISNUMBER(SEARCH("MICS",I999))),"MICS","Other"))</f>
        <v>DHS</v>
      </c>
      <c r="K999" s="7" t="n">
        <f aca="false">IF(AND(F999="Record or Recall",G999="12-23 m"),1,0)</f>
        <v>0</v>
      </c>
      <c r="L999" s="7" t="n">
        <f aca="false">IF(OR(J999="DHS",J999="MICS"),1,0)</f>
        <v>1</v>
      </c>
    </row>
    <row r="1000" customFormat="false" ht="15" hidden="false" customHeight="false" outlineLevel="0" collapsed="false">
      <c r="A1000" s="7" t="s">
        <v>399</v>
      </c>
      <c r="B1000" s="7" t="s">
        <v>408</v>
      </c>
      <c r="C1000" s="7" t="s">
        <v>409</v>
      </c>
      <c r="D1000" s="7" t="n">
        <v>2003</v>
      </c>
      <c r="E1000" s="7" t="s">
        <v>82</v>
      </c>
      <c r="F1000" s="7" t="s">
        <v>86</v>
      </c>
      <c r="G1000" s="7" t="s">
        <v>66</v>
      </c>
      <c r="H1000" s="7" t="n">
        <v>8</v>
      </c>
      <c r="I1000" s="7" t="str">
        <f aca="false">IF(B1000="",TRIM(C1000),TRIM(B1000))</f>
        <v>Chad Demographic and Health Survey 2004</v>
      </c>
      <c r="J1000" s="7" t="str">
        <f aca="false">IF(ISNUMBER(SEARCH("Demographic and Health",I1000)),"DHS",IF(OR(ISNUMBER(SEARCH("Multiple Indicator Cluster",I1000)),ISNUMBER(SEARCH("MICS",I1000))),"MICS","Other"))</f>
        <v>DHS</v>
      </c>
      <c r="K1000" s="7" t="n">
        <f aca="false">IF(AND(F1000="Record or Recall",G1000="12-23 m"),1,0)</f>
        <v>0</v>
      </c>
      <c r="L1000" s="7" t="n">
        <f aca="false">IF(OR(J1000="DHS",J1000="MICS"),1,0)</f>
        <v>1</v>
      </c>
    </row>
    <row r="1001" customFormat="false" ht="15" hidden="false" customHeight="false" outlineLevel="0" collapsed="false">
      <c r="A1001" s="7" t="s">
        <v>399</v>
      </c>
      <c r="B1001" s="7" t="s">
        <v>408</v>
      </c>
      <c r="C1001" s="7" t="s">
        <v>409</v>
      </c>
      <c r="D1001" s="7" t="n">
        <v>2003</v>
      </c>
      <c r="E1001" s="7" t="s">
        <v>82</v>
      </c>
      <c r="F1001" s="7" t="s">
        <v>63</v>
      </c>
      <c r="G1001" s="7" t="s">
        <v>66</v>
      </c>
      <c r="H1001" s="7" t="n">
        <v>11.3</v>
      </c>
      <c r="I1001" s="7" t="str">
        <f aca="false">IF(B1001="",TRIM(C1001),TRIM(B1001))</f>
        <v>Chad Demographic and Health Survey 2004</v>
      </c>
      <c r="J1001" s="7" t="str">
        <f aca="false">IF(ISNUMBER(SEARCH("Demographic and Health",I1001)),"DHS",IF(OR(ISNUMBER(SEARCH("Multiple Indicator Cluster",I1001)),ISNUMBER(SEARCH("MICS",I1001))),"MICS","Other"))</f>
        <v>DHS</v>
      </c>
      <c r="K1001" s="7" t="n">
        <f aca="false">IF(AND(F1001="Record or Recall",G1001="12-23 m"),1,0)</f>
        <v>1</v>
      </c>
      <c r="L1001" s="7" t="n">
        <f aca="false">IF(OR(J1001="DHS",J1001="MICS"),1,0)</f>
        <v>1</v>
      </c>
    </row>
    <row r="1002" customFormat="false" ht="15" hidden="false" customHeight="false" outlineLevel="0" collapsed="false">
      <c r="A1002" s="7" t="s">
        <v>399</v>
      </c>
      <c r="B1002" s="7" t="s">
        <v>408</v>
      </c>
      <c r="C1002" s="7" t="s">
        <v>409</v>
      </c>
      <c r="D1002" s="7" t="n">
        <v>2003</v>
      </c>
      <c r="E1002" s="7" t="s">
        <v>82</v>
      </c>
      <c r="F1002" s="7" t="s">
        <v>87</v>
      </c>
      <c r="G1002" s="7" t="s">
        <v>66</v>
      </c>
      <c r="H1002" s="7" t="n">
        <v>3.3</v>
      </c>
      <c r="I1002" s="7" t="str">
        <f aca="false">IF(B1002="",TRIM(C1002),TRIM(B1002))</f>
        <v>Chad Demographic and Health Survey 2004</v>
      </c>
      <c r="J1002" s="7" t="str">
        <f aca="false">IF(ISNUMBER(SEARCH("Demographic and Health",I1002)),"DHS",IF(OR(ISNUMBER(SEARCH("Multiple Indicator Cluster",I1002)),ISNUMBER(SEARCH("MICS",I1002))),"MICS","Other"))</f>
        <v>DHS</v>
      </c>
      <c r="K1002" s="7" t="n">
        <f aca="false">IF(AND(F1002="Record or Recall",G1002="12-23 m"),1,0)</f>
        <v>0</v>
      </c>
      <c r="L1002" s="7" t="n">
        <f aca="false">IF(OR(J1002="DHS",J1002="MICS"),1,0)</f>
        <v>1</v>
      </c>
    </row>
    <row r="1003" customFormat="false" ht="15" hidden="false" customHeight="false" outlineLevel="0" collapsed="false">
      <c r="A1003" s="7" t="s">
        <v>399</v>
      </c>
      <c r="B1003" s="7" t="s">
        <v>408</v>
      </c>
      <c r="C1003" s="7" t="s">
        <v>409</v>
      </c>
      <c r="D1003" s="7" t="n">
        <v>2003</v>
      </c>
      <c r="E1003" s="7" t="s">
        <v>68</v>
      </c>
      <c r="F1003" s="7" t="s">
        <v>78</v>
      </c>
      <c r="G1003" s="7" t="s">
        <v>66</v>
      </c>
      <c r="H1003" s="7" t="n">
        <v>14.8</v>
      </c>
      <c r="I1003" s="7" t="str">
        <f aca="false">IF(B1003="",TRIM(C1003),TRIM(B1003))</f>
        <v>Chad Demographic and Health Survey 2004</v>
      </c>
      <c r="J1003" s="7" t="str">
        <f aca="false">IF(ISNUMBER(SEARCH("Demographic and Health",I1003)),"DHS",IF(OR(ISNUMBER(SEARCH("Multiple Indicator Cluster",I1003)),ISNUMBER(SEARCH("MICS",I1003))),"MICS","Other"))</f>
        <v>DHS</v>
      </c>
      <c r="K1003" s="7" t="n">
        <f aca="false">IF(AND(F1003="Record or Recall",G1003="12-23 m"),1,0)</f>
        <v>0</v>
      </c>
      <c r="L1003" s="7" t="n">
        <f aca="false">IF(OR(J1003="DHS",J1003="MICS"),1,0)</f>
        <v>1</v>
      </c>
    </row>
    <row r="1004" customFormat="false" ht="15" hidden="false" customHeight="false" outlineLevel="0" collapsed="false">
      <c r="A1004" s="7" t="s">
        <v>399</v>
      </c>
      <c r="B1004" s="7" t="s">
        <v>408</v>
      </c>
      <c r="C1004" s="7" t="s">
        <v>409</v>
      </c>
      <c r="D1004" s="7" t="n">
        <v>2003</v>
      </c>
      <c r="E1004" s="7" t="s">
        <v>68</v>
      </c>
      <c r="F1004" s="7" t="s">
        <v>86</v>
      </c>
      <c r="G1004" s="7" t="s">
        <v>66</v>
      </c>
      <c r="H1004" s="7" t="n">
        <v>13.6</v>
      </c>
      <c r="I1004" s="7" t="str">
        <f aca="false">IF(B1004="",TRIM(C1004),TRIM(B1004))</f>
        <v>Chad Demographic and Health Survey 2004</v>
      </c>
      <c r="J1004" s="7" t="str">
        <f aca="false">IF(ISNUMBER(SEARCH("Demographic and Health",I1004)),"DHS",IF(OR(ISNUMBER(SEARCH("Multiple Indicator Cluster",I1004)),ISNUMBER(SEARCH("MICS",I1004))),"MICS","Other"))</f>
        <v>DHS</v>
      </c>
      <c r="K1004" s="7" t="n">
        <f aca="false">IF(AND(F1004="Record or Recall",G1004="12-23 m"),1,0)</f>
        <v>0</v>
      </c>
      <c r="L1004" s="7" t="n">
        <f aca="false">IF(OR(J1004="DHS",J1004="MICS"),1,0)</f>
        <v>1</v>
      </c>
    </row>
    <row r="1005" customFormat="false" ht="15" hidden="false" customHeight="false" outlineLevel="0" collapsed="false">
      <c r="A1005" s="7" t="s">
        <v>399</v>
      </c>
      <c r="B1005" s="7" t="s">
        <v>408</v>
      </c>
      <c r="C1005" s="7" t="s">
        <v>409</v>
      </c>
      <c r="D1005" s="7" t="n">
        <v>2003</v>
      </c>
      <c r="E1005" s="7" t="s">
        <v>68</v>
      </c>
      <c r="F1005" s="7" t="s">
        <v>63</v>
      </c>
      <c r="G1005" s="7" t="s">
        <v>66</v>
      </c>
      <c r="H1005" s="7" t="n">
        <v>22.8</v>
      </c>
      <c r="I1005" s="7" t="str">
        <f aca="false">IF(B1005="",TRIM(C1005),TRIM(B1005))</f>
        <v>Chad Demographic and Health Survey 2004</v>
      </c>
      <c r="J1005" s="7" t="str">
        <f aca="false">IF(ISNUMBER(SEARCH("Demographic and Health",I1005)),"DHS",IF(OR(ISNUMBER(SEARCH("Multiple Indicator Cluster",I1005)),ISNUMBER(SEARCH("MICS",I1005))),"MICS","Other"))</f>
        <v>DHS</v>
      </c>
      <c r="K1005" s="7" t="n">
        <f aca="false">IF(AND(F1005="Record or Recall",G1005="12-23 m"),1,0)</f>
        <v>1</v>
      </c>
      <c r="L1005" s="7" t="n">
        <f aca="false">IF(OR(J1005="DHS",J1005="MICS"),1,0)</f>
        <v>1</v>
      </c>
    </row>
    <row r="1006" customFormat="false" ht="15" hidden="false" customHeight="false" outlineLevel="0" collapsed="false">
      <c r="A1006" s="7" t="s">
        <v>399</v>
      </c>
      <c r="B1006" s="7" t="s">
        <v>408</v>
      </c>
      <c r="C1006" s="7" t="s">
        <v>409</v>
      </c>
      <c r="D1006" s="7" t="n">
        <v>2003</v>
      </c>
      <c r="E1006" s="7" t="s">
        <v>68</v>
      </c>
      <c r="F1006" s="7" t="s">
        <v>87</v>
      </c>
      <c r="G1006" s="7" t="s">
        <v>66</v>
      </c>
      <c r="H1006" s="7" t="n">
        <v>9.2</v>
      </c>
      <c r="I1006" s="7" t="str">
        <f aca="false">IF(B1006="",TRIM(C1006),TRIM(B1006))</f>
        <v>Chad Demographic and Health Survey 2004</v>
      </c>
      <c r="J1006" s="7" t="str">
        <f aca="false">IF(ISNUMBER(SEARCH("Demographic and Health",I1006)),"DHS",IF(OR(ISNUMBER(SEARCH("Multiple Indicator Cluster",I1006)),ISNUMBER(SEARCH("MICS",I1006))),"MICS","Other"))</f>
        <v>DHS</v>
      </c>
      <c r="K1006" s="7" t="n">
        <f aca="false">IF(AND(F1006="Record or Recall",G1006="12-23 m"),1,0)</f>
        <v>0</v>
      </c>
      <c r="L1006" s="7" t="n">
        <f aca="false">IF(OR(J1006="DHS",J1006="MICS"),1,0)</f>
        <v>1</v>
      </c>
    </row>
    <row r="1007" customFormat="false" ht="15" hidden="false" customHeight="false" outlineLevel="0" collapsed="false">
      <c r="A1007" s="7" t="s">
        <v>399</v>
      </c>
      <c r="B1007" s="7" t="s">
        <v>408</v>
      </c>
      <c r="C1007" s="7" t="s">
        <v>409</v>
      </c>
      <c r="D1007" s="7" t="n">
        <v>2003</v>
      </c>
      <c r="E1007" s="7" t="s">
        <v>69</v>
      </c>
      <c r="F1007" s="7" t="s">
        <v>78</v>
      </c>
      <c r="G1007" s="7" t="s">
        <v>66</v>
      </c>
      <c r="H1007" s="7" t="n">
        <v>28.1</v>
      </c>
      <c r="I1007" s="7" t="str">
        <f aca="false">IF(B1007="",TRIM(C1007),TRIM(B1007))</f>
        <v>Chad Demographic and Health Survey 2004</v>
      </c>
      <c r="J1007" s="7" t="str">
        <f aca="false">IF(ISNUMBER(SEARCH("Demographic and Health",I1007)),"DHS",IF(OR(ISNUMBER(SEARCH("Multiple Indicator Cluster",I1007)),ISNUMBER(SEARCH("MICS",I1007))),"MICS","Other"))</f>
        <v>DHS</v>
      </c>
      <c r="K1007" s="7" t="n">
        <f aca="false">IF(AND(F1007="Record or Recall",G1007="12-23 m"),1,0)</f>
        <v>0</v>
      </c>
      <c r="L1007" s="7" t="n">
        <f aca="false">IF(OR(J1007="DHS",J1007="MICS"),1,0)</f>
        <v>1</v>
      </c>
    </row>
    <row r="1008" customFormat="false" ht="15" hidden="false" customHeight="false" outlineLevel="0" collapsed="false">
      <c r="A1008" s="7" t="s">
        <v>399</v>
      </c>
      <c r="B1008" s="7" t="s">
        <v>408</v>
      </c>
      <c r="C1008" s="7" t="s">
        <v>409</v>
      </c>
      <c r="D1008" s="7" t="n">
        <v>2003</v>
      </c>
      <c r="E1008" s="7" t="s">
        <v>69</v>
      </c>
      <c r="F1008" s="7" t="s">
        <v>86</v>
      </c>
      <c r="G1008" s="7" t="s">
        <v>66</v>
      </c>
      <c r="H1008" s="7" t="n">
        <v>12.3</v>
      </c>
      <c r="I1008" s="7" t="str">
        <f aca="false">IF(B1008="",TRIM(C1008),TRIM(B1008))</f>
        <v>Chad Demographic and Health Survey 2004</v>
      </c>
      <c r="J1008" s="7" t="str">
        <f aca="false">IF(ISNUMBER(SEARCH("Demographic and Health",I1008)),"DHS",IF(OR(ISNUMBER(SEARCH("Multiple Indicator Cluster",I1008)),ISNUMBER(SEARCH("MICS",I1008))),"MICS","Other"))</f>
        <v>DHS</v>
      </c>
      <c r="K1008" s="7" t="n">
        <f aca="false">IF(AND(F1008="Record or Recall",G1008="12-23 m"),1,0)</f>
        <v>0</v>
      </c>
      <c r="L1008" s="7" t="n">
        <f aca="false">IF(OR(J1008="DHS",J1008="MICS"),1,0)</f>
        <v>1</v>
      </c>
    </row>
    <row r="1009" customFormat="false" ht="15" hidden="false" customHeight="false" outlineLevel="0" collapsed="false">
      <c r="A1009" s="7" t="s">
        <v>399</v>
      </c>
      <c r="B1009" s="7" t="s">
        <v>408</v>
      </c>
      <c r="C1009" s="7" t="s">
        <v>409</v>
      </c>
      <c r="D1009" s="7" t="n">
        <v>2003</v>
      </c>
      <c r="E1009" s="7" t="s">
        <v>69</v>
      </c>
      <c r="F1009" s="7" t="s">
        <v>63</v>
      </c>
      <c r="G1009" s="7" t="s">
        <v>66</v>
      </c>
      <c r="H1009" s="7" t="n">
        <v>35.5</v>
      </c>
      <c r="I1009" s="7" t="str">
        <f aca="false">IF(B1009="",TRIM(C1009),TRIM(B1009))</f>
        <v>Chad Demographic and Health Survey 2004</v>
      </c>
      <c r="J1009" s="7" t="str">
        <f aca="false">IF(ISNUMBER(SEARCH("Demographic and Health",I1009)),"DHS",IF(OR(ISNUMBER(SEARCH("Multiple Indicator Cluster",I1009)),ISNUMBER(SEARCH("MICS",I1009))),"MICS","Other"))</f>
        <v>DHS</v>
      </c>
      <c r="K1009" s="7" t="n">
        <f aca="false">IF(AND(F1009="Record or Recall",G1009="12-23 m"),1,0)</f>
        <v>1</v>
      </c>
      <c r="L1009" s="7" t="n">
        <f aca="false">IF(OR(J1009="DHS",J1009="MICS"),1,0)</f>
        <v>1</v>
      </c>
    </row>
    <row r="1010" customFormat="false" ht="15" hidden="false" customHeight="false" outlineLevel="0" collapsed="false">
      <c r="A1010" s="7" t="s">
        <v>399</v>
      </c>
      <c r="B1010" s="7" t="s">
        <v>408</v>
      </c>
      <c r="C1010" s="7" t="s">
        <v>409</v>
      </c>
      <c r="D1010" s="7" t="n">
        <v>2003</v>
      </c>
      <c r="E1010" s="7" t="s">
        <v>69</v>
      </c>
      <c r="F1010" s="7" t="s">
        <v>87</v>
      </c>
      <c r="G1010" s="7" t="s">
        <v>66</v>
      </c>
      <c r="H1010" s="7" t="n">
        <v>23.2</v>
      </c>
      <c r="I1010" s="7" t="str">
        <f aca="false">IF(B1010="",TRIM(C1010),TRIM(B1010))</f>
        <v>Chad Demographic and Health Survey 2004</v>
      </c>
      <c r="J1010" s="7" t="str">
        <f aca="false">IF(ISNUMBER(SEARCH("Demographic and Health",I1010)),"DHS",IF(OR(ISNUMBER(SEARCH("Multiple Indicator Cluster",I1010)),ISNUMBER(SEARCH("MICS",I1010))),"MICS","Other"))</f>
        <v>DHS</v>
      </c>
      <c r="K1010" s="7" t="n">
        <f aca="false">IF(AND(F1010="Record or Recall",G1010="12-23 m"),1,0)</f>
        <v>0</v>
      </c>
      <c r="L1010" s="7" t="n">
        <f aca="false">IF(OR(J1010="DHS",J1010="MICS"),1,0)</f>
        <v>1</v>
      </c>
    </row>
    <row r="1011" customFormat="false" ht="15" hidden="false" customHeight="false" outlineLevel="0" collapsed="false">
      <c r="A1011" s="7" t="s">
        <v>399</v>
      </c>
      <c r="B1011" s="7" t="s">
        <v>410</v>
      </c>
      <c r="C1011" s="7" t="s">
        <v>411</v>
      </c>
      <c r="D1011" s="7" t="n">
        <v>2009</v>
      </c>
      <c r="E1011" s="7" t="s">
        <v>62</v>
      </c>
      <c r="F1011" s="7" t="s">
        <v>63</v>
      </c>
      <c r="G1011" s="7" t="s">
        <v>66</v>
      </c>
      <c r="H1011" s="7" t="n">
        <v>46.5</v>
      </c>
      <c r="I1011" s="7" t="str">
        <f aca="false">IF(B1011="",TRIM(C1011),TRIM(B1011))</f>
        <v>Chad Multiple Indicator Cluster Survey 2010</v>
      </c>
      <c r="J1011" s="7" t="str">
        <f aca="false">IF(ISNUMBER(SEARCH("Demographic and Health",I1011)),"DHS",IF(OR(ISNUMBER(SEARCH("Multiple Indicator Cluster",I1011)),ISNUMBER(SEARCH("MICS",I1011))),"MICS","Other"))</f>
        <v>MICS</v>
      </c>
      <c r="K1011" s="7" t="n">
        <f aca="false">IF(AND(F1011="Record or Recall",G1011="12-23 m"),1,0)</f>
        <v>1</v>
      </c>
      <c r="L1011" s="7" t="n">
        <f aca="false">IF(OR(J1011="DHS",J1011="MICS"),1,0)</f>
        <v>1</v>
      </c>
    </row>
    <row r="1012" customFormat="false" ht="15" hidden="false" customHeight="false" outlineLevel="0" collapsed="false">
      <c r="A1012" s="7" t="s">
        <v>399</v>
      </c>
      <c r="B1012" s="7" t="s">
        <v>410</v>
      </c>
      <c r="C1012" s="7" t="s">
        <v>411</v>
      </c>
      <c r="D1012" s="7" t="n">
        <v>2009</v>
      </c>
      <c r="E1012" s="7" t="s">
        <v>62</v>
      </c>
      <c r="F1012" s="7" t="s">
        <v>87</v>
      </c>
      <c r="G1012" s="7" t="s">
        <v>66</v>
      </c>
      <c r="H1012" s="7" t="n">
        <v>30.3</v>
      </c>
      <c r="I1012" s="7" t="str">
        <f aca="false">IF(B1012="",TRIM(C1012),TRIM(B1012))</f>
        <v>Chad Multiple Indicator Cluster Survey 2010</v>
      </c>
      <c r="J1012" s="7" t="str">
        <f aca="false">IF(ISNUMBER(SEARCH("Demographic and Health",I1012)),"DHS",IF(OR(ISNUMBER(SEARCH("Multiple Indicator Cluster",I1012)),ISNUMBER(SEARCH("MICS",I1012))),"MICS","Other"))</f>
        <v>MICS</v>
      </c>
      <c r="K1012" s="7" t="n">
        <f aca="false">IF(AND(F1012="Record or Recall",G1012="12-23 m"),1,0)</f>
        <v>0</v>
      </c>
      <c r="L1012" s="7" t="n">
        <f aca="false">IF(OR(J1012="DHS",J1012="MICS"),1,0)</f>
        <v>1</v>
      </c>
    </row>
    <row r="1013" customFormat="false" ht="15" hidden="false" customHeight="false" outlineLevel="0" collapsed="false">
      <c r="A1013" s="7" t="s">
        <v>399</v>
      </c>
      <c r="B1013" s="7" t="s">
        <v>410</v>
      </c>
      <c r="C1013" s="7" t="s">
        <v>411</v>
      </c>
      <c r="D1013" s="7" t="n">
        <v>2009</v>
      </c>
      <c r="E1013" s="7" t="s">
        <v>62</v>
      </c>
      <c r="F1013" s="7" t="s">
        <v>78</v>
      </c>
      <c r="G1013" s="7" t="s">
        <v>66</v>
      </c>
      <c r="H1013" s="7" t="n">
        <v>43.8</v>
      </c>
      <c r="I1013" s="7" t="str">
        <f aca="false">IF(B1013="",TRIM(C1013),TRIM(B1013))</f>
        <v>Chad Multiple Indicator Cluster Survey 2010</v>
      </c>
      <c r="J1013" s="7" t="str">
        <f aca="false">IF(ISNUMBER(SEARCH("Demographic and Health",I1013)),"DHS",IF(OR(ISNUMBER(SEARCH("Multiple Indicator Cluster",I1013)),ISNUMBER(SEARCH("MICS",I1013))),"MICS","Other"))</f>
        <v>MICS</v>
      </c>
      <c r="K1013" s="7" t="n">
        <f aca="false">IF(AND(F1013="Record or Recall",G1013="12-23 m"),1,0)</f>
        <v>0</v>
      </c>
      <c r="L1013" s="7" t="n">
        <f aca="false">IF(OR(J1013="DHS",J1013="MICS"),1,0)</f>
        <v>1</v>
      </c>
    </row>
    <row r="1014" customFormat="false" ht="15" hidden="false" customHeight="false" outlineLevel="0" collapsed="false">
      <c r="A1014" s="7" t="s">
        <v>399</v>
      </c>
      <c r="B1014" s="7" t="s">
        <v>410</v>
      </c>
      <c r="C1014" s="7" t="s">
        <v>411</v>
      </c>
      <c r="D1014" s="7" t="n">
        <v>2009</v>
      </c>
      <c r="E1014" s="7" t="s">
        <v>62</v>
      </c>
      <c r="F1014" s="7" t="s">
        <v>86</v>
      </c>
      <c r="G1014" s="7" t="s">
        <v>66</v>
      </c>
      <c r="H1014" s="7" t="n">
        <v>16.2</v>
      </c>
      <c r="I1014" s="7" t="str">
        <f aca="false">IF(B1014="",TRIM(C1014),TRIM(B1014))</f>
        <v>Chad Multiple Indicator Cluster Survey 2010</v>
      </c>
      <c r="J1014" s="7" t="str">
        <f aca="false">IF(ISNUMBER(SEARCH("Demographic and Health",I1014)),"DHS",IF(OR(ISNUMBER(SEARCH("Multiple Indicator Cluster",I1014)),ISNUMBER(SEARCH("MICS",I1014))),"MICS","Other"))</f>
        <v>MICS</v>
      </c>
      <c r="K1014" s="7" t="n">
        <f aca="false">IF(AND(F1014="Record or Recall",G1014="12-23 m"),1,0)</f>
        <v>0</v>
      </c>
      <c r="L1014" s="7" t="n">
        <f aca="false">IF(OR(J1014="DHS",J1014="MICS"),1,0)</f>
        <v>1</v>
      </c>
    </row>
    <row r="1015" customFormat="false" ht="15" hidden="false" customHeight="false" outlineLevel="0" collapsed="false">
      <c r="A1015" s="7" t="s">
        <v>399</v>
      </c>
      <c r="B1015" s="7" t="s">
        <v>410</v>
      </c>
      <c r="C1015" s="7" t="s">
        <v>411</v>
      </c>
      <c r="D1015" s="7" t="n">
        <v>2009</v>
      </c>
      <c r="E1015" s="7" t="s">
        <v>81</v>
      </c>
      <c r="F1015" s="7" t="s">
        <v>78</v>
      </c>
      <c r="G1015" s="7" t="s">
        <v>66</v>
      </c>
      <c r="H1015" s="7" t="n">
        <v>42</v>
      </c>
      <c r="I1015" s="7" t="str">
        <f aca="false">IF(B1015="",TRIM(C1015),TRIM(B1015))</f>
        <v>Chad Multiple Indicator Cluster Survey 2010</v>
      </c>
      <c r="J1015" s="7" t="str">
        <f aca="false">IF(ISNUMBER(SEARCH("Demographic and Health",I1015)),"DHS",IF(OR(ISNUMBER(SEARCH("Multiple Indicator Cluster",I1015)),ISNUMBER(SEARCH("MICS",I1015))),"MICS","Other"))</f>
        <v>MICS</v>
      </c>
      <c r="K1015" s="7" t="n">
        <f aca="false">IF(AND(F1015="Record or Recall",G1015="12-23 m"),1,0)</f>
        <v>0</v>
      </c>
      <c r="L1015" s="7" t="n">
        <f aca="false">IF(OR(J1015="DHS",J1015="MICS"),1,0)</f>
        <v>1</v>
      </c>
    </row>
    <row r="1016" customFormat="false" ht="15" hidden="false" customHeight="false" outlineLevel="0" collapsed="false">
      <c r="A1016" s="7" t="s">
        <v>399</v>
      </c>
      <c r="B1016" s="7" t="s">
        <v>410</v>
      </c>
      <c r="C1016" s="7" t="s">
        <v>411</v>
      </c>
      <c r="D1016" s="7" t="n">
        <v>2009</v>
      </c>
      <c r="E1016" s="7" t="s">
        <v>81</v>
      </c>
      <c r="F1016" s="7" t="s">
        <v>86</v>
      </c>
      <c r="G1016" s="7" t="s">
        <v>66</v>
      </c>
      <c r="H1016" s="7" t="n">
        <v>19.1</v>
      </c>
      <c r="I1016" s="7" t="str">
        <f aca="false">IF(B1016="",TRIM(C1016),TRIM(B1016))</f>
        <v>Chad Multiple Indicator Cluster Survey 2010</v>
      </c>
      <c r="J1016" s="7" t="str">
        <f aca="false">IF(ISNUMBER(SEARCH("Demographic and Health",I1016)),"DHS",IF(OR(ISNUMBER(SEARCH("Multiple Indicator Cluster",I1016)),ISNUMBER(SEARCH("MICS",I1016))),"MICS","Other"))</f>
        <v>MICS</v>
      </c>
      <c r="K1016" s="7" t="n">
        <f aca="false">IF(AND(F1016="Record or Recall",G1016="12-23 m"),1,0)</f>
        <v>0</v>
      </c>
      <c r="L1016" s="7" t="n">
        <f aca="false">IF(OR(J1016="DHS",J1016="MICS"),1,0)</f>
        <v>1</v>
      </c>
    </row>
    <row r="1017" customFormat="false" ht="15" hidden="false" customHeight="false" outlineLevel="0" collapsed="false">
      <c r="A1017" s="7" t="s">
        <v>399</v>
      </c>
      <c r="B1017" s="7" t="s">
        <v>410</v>
      </c>
      <c r="C1017" s="7" t="s">
        <v>411</v>
      </c>
      <c r="D1017" s="7" t="n">
        <v>2009</v>
      </c>
      <c r="E1017" s="7" t="s">
        <v>81</v>
      </c>
      <c r="F1017" s="7" t="s">
        <v>63</v>
      </c>
      <c r="G1017" s="7" t="s">
        <v>66</v>
      </c>
      <c r="H1017" s="7" t="n">
        <v>45.4</v>
      </c>
      <c r="I1017" s="7" t="str">
        <f aca="false">IF(B1017="",TRIM(C1017),TRIM(B1017))</f>
        <v>Chad Multiple Indicator Cluster Survey 2010</v>
      </c>
      <c r="J1017" s="7" t="str">
        <f aca="false">IF(ISNUMBER(SEARCH("Demographic and Health",I1017)),"DHS",IF(OR(ISNUMBER(SEARCH("Multiple Indicator Cluster",I1017)),ISNUMBER(SEARCH("MICS",I1017))),"MICS","Other"))</f>
        <v>MICS</v>
      </c>
      <c r="K1017" s="7" t="n">
        <f aca="false">IF(AND(F1017="Record or Recall",G1017="12-23 m"),1,0)</f>
        <v>1</v>
      </c>
      <c r="L1017" s="7" t="n">
        <f aca="false">IF(OR(J1017="DHS",J1017="MICS"),1,0)</f>
        <v>1</v>
      </c>
    </row>
    <row r="1018" customFormat="false" ht="15" hidden="false" customHeight="false" outlineLevel="0" collapsed="false">
      <c r="A1018" s="7" t="s">
        <v>399</v>
      </c>
      <c r="B1018" s="7" t="s">
        <v>410</v>
      </c>
      <c r="C1018" s="7" t="s">
        <v>411</v>
      </c>
      <c r="D1018" s="7" t="n">
        <v>2009</v>
      </c>
      <c r="E1018" s="7" t="s">
        <v>81</v>
      </c>
      <c r="F1018" s="7" t="s">
        <v>87</v>
      </c>
      <c r="G1018" s="7" t="s">
        <v>66</v>
      </c>
      <c r="H1018" s="7" t="n">
        <v>26.3</v>
      </c>
      <c r="I1018" s="7" t="str">
        <f aca="false">IF(B1018="",TRIM(C1018),TRIM(B1018))</f>
        <v>Chad Multiple Indicator Cluster Survey 2010</v>
      </c>
      <c r="J1018" s="7" t="str">
        <f aca="false">IF(ISNUMBER(SEARCH("Demographic and Health",I1018)),"DHS",IF(OR(ISNUMBER(SEARCH("Multiple Indicator Cluster",I1018)),ISNUMBER(SEARCH("MICS",I1018))),"MICS","Other"))</f>
        <v>MICS</v>
      </c>
      <c r="K1018" s="7" t="n">
        <f aca="false">IF(AND(F1018="Record or Recall",G1018="12-23 m"),1,0)</f>
        <v>0</v>
      </c>
      <c r="L1018" s="7" t="n">
        <f aca="false">IF(OR(J1018="DHS",J1018="MICS"),1,0)</f>
        <v>1</v>
      </c>
    </row>
    <row r="1019" customFormat="false" ht="15" hidden="false" customHeight="false" outlineLevel="0" collapsed="false">
      <c r="A1019" s="7" t="s">
        <v>399</v>
      </c>
      <c r="B1019" s="7" t="s">
        <v>410</v>
      </c>
      <c r="C1019" s="7" t="s">
        <v>411</v>
      </c>
      <c r="D1019" s="7" t="n">
        <v>2009</v>
      </c>
      <c r="E1019" s="7" t="s">
        <v>67</v>
      </c>
      <c r="F1019" s="7" t="s">
        <v>78</v>
      </c>
      <c r="G1019" s="7" t="s">
        <v>66</v>
      </c>
      <c r="H1019" s="7" t="n">
        <v>15.5</v>
      </c>
      <c r="I1019" s="7" t="str">
        <f aca="false">IF(B1019="",TRIM(C1019),TRIM(B1019))</f>
        <v>Chad Multiple Indicator Cluster Survey 2010</v>
      </c>
      <c r="J1019" s="7" t="str">
        <f aca="false">IF(ISNUMBER(SEARCH("Demographic and Health",I1019)),"DHS",IF(OR(ISNUMBER(SEARCH("Multiple Indicator Cluster",I1019)),ISNUMBER(SEARCH("MICS",I1019))),"MICS","Other"))</f>
        <v>MICS</v>
      </c>
      <c r="K1019" s="7" t="n">
        <f aca="false">IF(AND(F1019="Record or Recall",G1019="12-23 m"),1,0)</f>
        <v>0</v>
      </c>
      <c r="L1019" s="7" t="n">
        <f aca="false">IF(OR(J1019="DHS",J1019="MICS"),1,0)</f>
        <v>1</v>
      </c>
    </row>
    <row r="1020" customFormat="false" ht="15" hidden="false" customHeight="false" outlineLevel="0" collapsed="false">
      <c r="A1020" s="7" t="s">
        <v>399</v>
      </c>
      <c r="B1020" s="7" t="s">
        <v>410</v>
      </c>
      <c r="C1020" s="7" t="s">
        <v>411</v>
      </c>
      <c r="D1020" s="7" t="n">
        <v>2009</v>
      </c>
      <c r="E1020" s="7" t="s">
        <v>67</v>
      </c>
      <c r="F1020" s="7" t="s">
        <v>86</v>
      </c>
      <c r="G1020" s="7" t="s">
        <v>66</v>
      </c>
      <c r="H1020" s="7" t="n">
        <v>10.5</v>
      </c>
      <c r="I1020" s="7" t="str">
        <f aca="false">IF(B1020="",TRIM(C1020),TRIM(B1020))</f>
        <v>Chad Multiple Indicator Cluster Survey 2010</v>
      </c>
      <c r="J1020" s="7" t="str">
        <f aca="false">IF(ISNUMBER(SEARCH("Demographic and Health",I1020)),"DHS",IF(OR(ISNUMBER(SEARCH("Multiple Indicator Cluster",I1020)),ISNUMBER(SEARCH("MICS",I1020))),"MICS","Other"))</f>
        <v>MICS</v>
      </c>
      <c r="K1020" s="7" t="n">
        <f aca="false">IF(AND(F1020="Record or Recall",G1020="12-23 m"),1,0)</f>
        <v>0</v>
      </c>
      <c r="L1020" s="7" t="n">
        <f aca="false">IF(OR(J1020="DHS",J1020="MICS"),1,0)</f>
        <v>1</v>
      </c>
    </row>
    <row r="1021" customFormat="false" ht="15" hidden="false" customHeight="false" outlineLevel="0" collapsed="false">
      <c r="A1021" s="7" t="s">
        <v>399</v>
      </c>
      <c r="B1021" s="7" t="s">
        <v>410</v>
      </c>
      <c r="C1021" s="7" t="s">
        <v>411</v>
      </c>
      <c r="D1021" s="7" t="n">
        <v>2009</v>
      </c>
      <c r="E1021" s="7" t="s">
        <v>67</v>
      </c>
      <c r="F1021" s="7" t="s">
        <v>63</v>
      </c>
      <c r="G1021" s="7" t="s">
        <v>66</v>
      </c>
      <c r="H1021" s="7" t="n">
        <v>19.7</v>
      </c>
      <c r="I1021" s="7" t="str">
        <f aca="false">IF(B1021="",TRIM(C1021),TRIM(B1021))</f>
        <v>Chad Multiple Indicator Cluster Survey 2010</v>
      </c>
      <c r="J1021" s="7" t="str">
        <f aca="false">IF(ISNUMBER(SEARCH("Demographic and Health",I1021)),"DHS",IF(OR(ISNUMBER(SEARCH("Multiple Indicator Cluster",I1021)),ISNUMBER(SEARCH("MICS",I1021))),"MICS","Other"))</f>
        <v>MICS</v>
      </c>
      <c r="K1021" s="7" t="n">
        <f aca="false">IF(AND(F1021="Record or Recall",G1021="12-23 m"),1,0)</f>
        <v>1</v>
      </c>
      <c r="L1021" s="7" t="n">
        <f aca="false">IF(OR(J1021="DHS",J1021="MICS"),1,0)</f>
        <v>1</v>
      </c>
    </row>
    <row r="1022" customFormat="false" ht="15" hidden="false" customHeight="false" outlineLevel="0" collapsed="false">
      <c r="A1022" s="7" t="s">
        <v>399</v>
      </c>
      <c r="B1022" s="7" t="s">
        <v>410</v>
      </c>
      <c r="C1022" s="7" t="s">
        <v>411</v>
      </c>
      <c r="D1022" s="7" t="n">
        <v>2009</v>
      </c>
      <c r="E1022" s="7" t="s">
        <v>67</v>
      </c>
      <c r="F1022" s="7" t="s">
        <v>87</v>
      </c>
      <c r="G1022" s="7" t="s">
        <v>66</v>
      </c>
      <c r="H1022" s="7" t="n">
        <v>9.2</v>
      </c>
      <c r="I1022" s="7" t="str">
        <f aca="false">IF(B1022="",TRIM(C1022),TRIM(B1022))</f>
        <v>Chad Multiple Indicator Cluster Survey 2010</v>
      </c>
      <c r="J1022" s="7" t="str">
        <f aca="false">IF(ISNUMBER(SEARCH("Demographic and Health",I1022)),"DHS",IF(OR(ISNUMBER(SEARCH("Multiple Indicator Cluster",I1022)),ISNUMBER(SEARCH("MICS",I1022))),"MICS","Other"))</f>
        <v>MICS</v>
      </c>
      <c r="K1022" s="7" t="n">
        <f aca="false">IF(AND(F1022="Record or Recall",G1022="12-23 m"),1,0)</f>
        <v>0</v>
      </c>
      <c r="L1022" s="7" t="n">
        <f aca="false">IF(OR(J1022="DHS",J1022="MICS"),1,0)</f>
        <v>1</v>
      </c>
    </row>
    <row r="1023" customFormat="false" ht="15" hidden="false" customHeight="false" outlineLevel="0" collapsed="false">
      <c r="A1023" s="7" t="s">
        <v>399</v>
      </c>
      <c r="B1023" s="7" t="s">
        <v>410</v>
      </c>
      <c r="C1023" s="7" t="s">
        <v>411</v>
      </c>
      <c r="D1023" s="7" t="n">
        <v>2009</v>
      </c>
      <c r="E1023" s="7" t="s">
        <v>82</v>
      </c>
      <c r="F1023" s="7" t="s">
        <v>78</v>
      </c>
      <c r="G1023" s="7" t="s">
        <v>66</v>
      </c>
      <c r="H1023" s="7" t="n">
        <v>2.8</v>
      </c>
      <c r="I1023" s="7" t="str">
        <f aca="false">IF(B1023="",TRIM(C1023),TRIM(B1023))</f>
        <v>Chad Multiple Indicator Cluster Survey 2010</v>
      </c>
      <c r="J1023" s="7" t="str">
        <f aca="false">IF(ISNUMBER(SEARCH("Demographic and Health",I1023)),"DHS",IF(OR(ISNUMBER(SEARCH("Multiple Indicator Cluster",I1023)),ISNUMBER(SEARCH("MICS",I1023))),"MICS","Other"))</f>
        <v>MICS</v>
      </c>
      <c r="K1023" s="7" t="n">
        <f aca="false">IF(AND(F1023="Record or Recall",G1023="12-23 m"),1,0)</f>
        <v>0</v>
      </c>
      <c r="L1023" s="7" t="n">
        <f aca="false">IF(OR(J1023="DHS",J1023="MICS"),1,0)</f>
        <v>1</v>
      </c>
    </row>
    <row r="1024" customFormat="false" ht="15" hidden="false" customHeight="false" outlineLevel="0" collapsed="false">
      <c r="A1024" s="7" t="s">
        <v>399</v>
      </c>
      <c r="B1024" s="7" t="s">
        <v>410</v>
      </c>
      <c r="C1024" s="7" t="s">
        <v>411</v>
      </c>
      <c r="D1024" s="7" t="n">
        <v>2009</v>
      </c>
      <c r="E1024" s="7" t="s">
        <v>82</v>
      </c>
      <c r="F1024" s="7" t="s">
        <v>86</v>
      </c>
      <c r="G1024" s="7" t="s">
        <v>66</v>
      </c>
      <c r="H1024" s="7" t="n">
        <v>6</v>
      </c>
      <c r="I1024" s="7" t="str">
        <f aca="false">IF(B1024="",TRIM(C1024),TRIM(B1024))</f>
        <v>Chad Multiple Indicator Cluster Survey 2010</v>
      </c>
      <c r="J1024" s="7" t="str">
        <f aca="false">IF(ISNUMBER(SEARCH("Demographic and Health",I1024)),"DHS",IF(OR(ISNUMBER(SEARCH("Multiple Indicator Cluster",I1024)),ISNUMBER(SEARCH("MICS",I1024))),"MICS","Other"))</f>
        <v>MICS</v>
      </c>
      <c r="K1024" s="7" t="n">
        <f aca="false">IF(AND(F1024="Record or Recall",G1024="12-23 m"),1,0)</f>
        <v>0</v>
      </c>
      <c r="L1024" s="7" t="n">
        <f aca="false">IF(OR(J1024="DHS",J1024="MICS"),1,0)</f>
        <v>1</v>
      </c>
    </row>
    <row r="1025" customFormat="false" ht="15" hidden="false" customHeight="false" outlineLevel="0" collapsed="false">
      <c r="A1025" s="7" t="s">
        <v>399</v>
      </c>
      <c r="B1025" s="7" t="s">
        <v>410</v>
      </c>
      <c r="C1025" s="7" t="s">
        <v>411</v>
      </c>
      <c r="D1025" s="7" t="n">
        <v>2009</v>
      </c>
      <c r="E1025" s="7" t="s">
        <v>82</v>
      </c>
      <c r="F1025" s="7" t="s">
        <v>63</v>
      </c>
      <c r="G1025" s="7" t="s">
        <v>66</v>
      </c>
      <c r="H1025" s="7" t="n">
        <v>7.5</v>
      </c>
      <c r="I1025" s="7" t="str">
        <f aca="false">IF(B1025="",TRIM(C1025),TRIM(B1025))</f>
        <v>Chad Multiple Indicator Cluster Survey 2010</v>
      </c>
      <c r="J1025" s="7" t="str">
        <f aca="false">IF(ISNUMBER(SEARCH("Demographic and Health",I1025)),"DHS",IF(OR(ISNUMBER(SEARCH("Multiple Indicator Cluster",I1025)),ISNUMBER(SEARCH("MICS",I1025))),"MICS","Other"))</f>
        <v>MICS</v>
      </c>
      <c r="K1025" s="7" t="n">
        <f aca="false">IF(AND(F1025="Record or Recall",G1025="12-23 m"),1,0)</f>
        <v>1</v>
      </c>
      <c r="L1025" s="7" t="n">
        <f aca="false">IF(OR(J1025="DHS",J1025="MICS"),1,0)</f>
        <v>1</v>
      </c>
    </row>
    <row r="1026" customFormat="false" ht="15" hidden="false" customHeight="false" outlineLevel="0" collapsed="false">
      <c r="A1026" s="7" t="s">
        <v>399</v>
      </c>
      <c r="B1026" s="7" t="s">
        <v>410</v>
      </c>
      <c r="C1026" s="7" t="s">
        <v>411</v>
      </c>
      <c r="D1026" s="7" t="n">
        <v>2009</v>
      </c>
      <c r="E1026" s="7" t="s">
        <v>82</v>
      </c>
      <c r="F1026" s="7" t="s">
        <v>87</v>
      </c>
      <c r="G1026" s="7" t="s">
        <v>66</v>
      </c>
      <c r="H1026" s="7" t="n">
        <v>1.5</v>
      </c>
      <c r="I1026" s="7" t="str">
        <f aca="false">IF(B1026="",TRIM(C1026),TRIM(B1026))</f>
        <v>Chad Multiple Indicator Cluster Survey 2010</v>
      </c>
      <c r="J1026" s="7" t="str">
        <f aca="false">IF(ISNUMBER(SEARCH("Demographic and Health",I1026)),"DHS",IF(OR(ISNUMBER(SEARCH("Multiple Indicator Cluster",I1026)),ISNUMBER(SEARCH("MICS",I1026))),"MICS","Other"))</f>
        <v>MICS</v>
      </c>
      <c r="K1026" s="7" t="n">
        <f aca="false">IF(AND(F1026="Record or Recall",G1026="12-23 m"),1,0)</f>
        <v>0</v>
      </c>
      <c r="L1026" s="7" t="n">
        <f aca="false">IF(OR(J1026="DHS",J1026="MICS"),1,0)</f>
        <v>1</v>
      </c>
    </row>
    <row r="1027" customFormat="false" ht="15" hidden="false" customHeight="false" outlineLevel="0" collapsed="false">
      <c r="A1027" s="7" t="s">
        <v>399</v>
      </c>
      <c r="B1027" s="7" t="s">
        <v>410</v>
      </c>
      <c r="C1027" s="7" t="s">
        <v>411</v>
      </c>
      <c r="D1027" s="7" t="n">
        <v>2009</v>
      </c>
      <c r="E1027" s="7" t="s">
        <v>68</v>
      </c>
      <c r="F1027" s="7" t="s">
        <v>78</v>
      </c>
      <c r="G1027" s="7" t="s">
        <v>66</v>
      </c>
      <c r="H1027" s="7" t="n">
        <v>30.1</v>
      </c>
      <c r="I1027" s="7" t="str">
        <f aca="false">IF(B1027="",TRIM(C1027),TRIM(B1027))</f>
        <v>Chad Multiple Indicator Cluster Survey 2010</v>
      </c>
      <c r="J1027" s="7" t="str">
        <f aca="false">IF(ISNUMBER(SEARCH("Demographic and Health",I1027)),"DHS",IF(OR(ISNUMBER(SEARCH("Multiple Indicator Cluster",I1027)),ISNUMBER(SEARCH("MICS",I1027))),"MICS","Other"))</f>
        <v>MICS</v>
      </c>
      <c r="K1027" s="7" t="n">
        <f aca="false">IF(AND(F1027="Record or Recall",G1027="12-23 m"),1,0)</f>
        <v>0</v>
      </c>
      <c r="L1027" s="7" t="n">
        <f aca="false">IF(OR(J1027="DHS",J1027="MICS"),1,0)</f>
        <v>1</v>
      </c>
    </row>
    <row r="1028" customFormat="false" ht="15" hidden="false" customHeight="false" outlineLevel="0" collapsed="false">
      <c r="A1028" s="7" t="s">
        <v>399</v>
      </c>
      <c r="B1028" s="7" t="s">
        <v>410</v>
      </c>
      <c r="C1028" s="7" t="s">
        <v>411</v>
      </c>
      <c r="D1028" s="7" t="n">
        <v>2009</v>
      </c>
      <c r="E1028" s="7" t="s">
        <v>68</v>
      </c>
      <c r="F1028" s="7" t="s">
        <v>86</v>
      </c>
      <c r="G1028" s="7" t="s">
        <v>66</v>
      </c>
      <c r="H1028" s="7" t="n">
        <v>12.5</v>
      </c>
      <c r="I1028" s="7" t="str">
        <f aca="false">IF(B1028="",TRIM(C1028),TRIM(B1028))</f>
        <v>Chad Multiple Indicator Cluster Survey 2010</v>
      </c>
      <c r="J1028" s="7" t="str">
        <f aca="false">IF(ISNUMBER(SEARCH("Demographic and Health",I1028)),"DHS",IF(OR(ISNUMBER(SEARCH("Multiple Indicator Cluster",I1028)),ISNUMBER(SEARCH("MICS",I1028))),"MICS","Other"))</f>
        <v>MICS</v>
      </c>
      <c r="K1028" s="7" t="n">
        <f aca="false">IF(AND(F1028="Record or Recall",G1028="12-23 m"),1,0)</f>
        <v>0</v>
      </c>
      <c r="L1028" s="7" t="n">
        <f aca="false">IF(OR(J1028="DHS",J1028="MICS"),1,0)</f>
        <v>1</v>
      </c>
    </row>
    <row r="1029" customFormat="false" ht="15" hidden="false" customHeight="false" outlineLevel="0" collapsed="false">
      <c r="A1029" s="7" t="s">
        <v>399</v>
      </c>
      <c r="B1029" s="7" t="s">
        <v>410</v>
      </c>
      <c r="C1029" s="7" t="s">
        <v>411</v>
      </c>
      <c r="D1029" s="7" t="n">
        <v>2009</v>
      </c>
      <c r="E1029" s="7" t="s">
        <v>68</v>
      </c>
      <c r="F1029" s="7" t="s">
        <v>63</v>
      </c>
      <c r="G1029" s="7" t="s">
        <v>66</v>
      </c>
      <c r="H1029" s="7" t="n">
        <v>36</v>
      </c>
      <c r="I1029" s="7" t="str">
        <f aca="false">IF(B1029="",TRIM(C1029),TRIM(B1029))</f>
        <v>Chad Multiple Indicator Cluster Survey 2010</v>
      </c>
      <c r="J1029" s="7" t="str">
        <f aca="false">IF(ISNUMBER(SEARCH("Demographic and Health",I1029)),"DHS",IF(OR(ISNUMBER(SEARCH("Multiple Indicator Cluster",I1029)),ISNUMBER(SEARCH("MICS",I1029))),"MICS","Other"))</f>
        <v>MICS</v>
      </c>
      <c r="K1029" s="7" t="n">
        <f aca="false">IF(AND(F1029="Record or Recall",G1029="12-23 m"),1,0)</f>
        <v>1</v>
      </c>
      <c r="L1029" s="7" t="n">
        <f aca="false">IF(OR(J1029="DHS",J1029="MICS"),1,0)</f>
        <v>1</v>
      </c>
    </row>
    <row r="1030" customFormat="false" ht="15" hidden="false" customHeight="false" outlineLevel="0" collapsed="false">
      <c r="A1030" s="7" t="s">
        <v>399</v>
      </c>
      <c r="B1030" s="7" t="s">
        <v>410</v>
      </c>
      <c r="C1030" s="7" t="s">
        <v>411</v>
      </c>
      <c r="D1030" s="7" t="n">
        <v>2009</v>
      </c>
      <c r="E1030" s="7" t="s">
        <v>68</v>
      </c>
      <c r="F1030" s="7" t="s">
        <v>87</v>
      </c>
      <c r="G1030" s="7" t="s">
        <v>66</v>
      </c>
      <c r="H1030" s="7" t="n">
        <v>23.5</v>
      </c>
      <c r="I1030" s="7" t="str">
        <f aca="false">IF(B1030="",TRIM(C1030),TRIM(B1030))</f>
        <v>Chad Multiple Indicator Cluster Survey 2010</v>
      </c>
      <c r="J1030" s="7" t="str">
        <f aca="false">IF(ISNUMBER(SEARCH("Demographic and Health",I1030)),"DHS",IF(OR(ISNUMBER(SEARCH("Multiple Indicator Cluster",I1030)),ISNUMBER(SEARCH("MICS",I1030))),"MICS","Other"))</f>
        <v>MICS</v>
      </c>
      <c r="K1030" s="7" t="n">
        <f aca="false">IF(AND(F1030="Record or Recall",G1030="12-23 m"),1,0)</f>
        <v>0</v>
      </c>
      <c r="L1030" s="7" t="n">
        <f aca="false">IF(OR(J1030="DHS",J1030="MICS"),1,0)</f>
        <v>1</v>
      </c>
    </row>
    <row r="1031" customFormat="false" ht="15" hidden="false" customHeight="false" outlineLevel="0" collapsed="false">
      <c r="A1031" s="7" t="s">
        <v>399</v>
      </c>
      <c r="B1031" s="7" t="s">
        <v>410</v>
      </c>
      <c r="C1031" s="7" t="s">
        <v>411</v>
      </c>
      <c r="D1031" s="7" t="n">
        <v>2009</v>
      </c>
      <c r="E1031" s="7" t="s">
        <v>69</v>
      </c>
      <c r="F1031" s="7" t="s">
        <v>78</v>
      </c>
      <c r="G1031" s="7" t="s">
        <v>66</v>
      </c>
      <c r="H1031" s="7" t="n">
        <v>25</v>
      </c>
      <c r="I1031" s="7" t="str">
        <f aca="false">IF(B1031="",TRIM(C1031),TRIM(B1031))</f>
        <v>Chad Multiple Indicator Cluster Survey 2010</v>
      </c>
      <c r="J1031" s="7" t="str">
        <f aca="false">IF(ISNUMBER(SEARCH("Demographic and Health",I1031)),"DHS",IF(OR(ISNUMBER(SEARCH("Multiple Indicator Cluster",I1031)),ISNUMBER(SEARCH("MICS",I1031))),"MICS","Other"))</f>
        <v>MICS</v>
      </c>
      <c r="K1031" s="7" t="n">
        <f aca="false">IF(AND(F1031="Record or Recall",G1031="12-23 m"),1,0)</f>
        <v>0</v>
      </c>
      <c r="L1031" s="7" t="n">
        <f aca="false">IF(OR(J1031="DHS",J1031="MICS"),1,0)</f>
        <v>1</v>
      </c>
    </row>
    <row r="1032" customFormat="false" ht="15" hidden="false" customHeight="false" outlineLevel="0" collapsed="false">
      <c r="A1032" s="7" t="s">
        <v>399</v>
      </c>
      <c r="B1032" s="7" t="s">
        <v>410</v>
      </c>
      <c r="C1032" s="7" t="s">
        <v>411</v>
      </c>
      <c r="D1032" s="7" t="n">
        <v>2009</v>
      </c>
      <c r="E1032" s="7" t="s">
        <v>69</v>
      </c>
      <c r="F1032" s="7" t="s">
        <v>86</v>
      </c>
      <c r="G1032" s="7" t="s">
        <v>66</v>
      </c>
      <c r="H1032" s="7" t="n">
        <v>10.3</v>
      </c>
      <c r="I1032" s="7" t="str">
        <f aca="false">IF(B1032="",TRIM(C1032),TRIM(B1032))</f>
        <v>Chad Multiple Indicator Cluster Survey 2010</v>
      </c>
      <c r="J1032" s="7" t="str">
        <f aca="false">IF(ISNUMBER(SEARCH("Demographic and Health",I1032)),"DHS",IF(OR(ISNUMBER(SEARCH("Multiple Indicator Cluster",I1032)),ISNUMBER(SEARCH("MICS",I1032))),"MICS","Other"))</f>
        <v>MICS</v>
      </c>
      <c r="K1032" s="7" t="n">
        <f aca="false">IF(AND(F1032="Record or Recall",G1032="12-23 m"),1,0)</f>
        <v>0</v>
      </c>
      <c r="L1032" s="7" t="n">
        <f aca="false">IF(OR(J1032="DHS",J1032="MICS"),1,0)</f>
        <v>1</v>
      </c>
    </row>
    <row r="1033" customFormat="false" ht="15" hidden="false" customHeight="false" outlineLevel="0" collapsed="false">
      <c r="A1033" s="7" t="s">
        <v>399</v>
      </c>
      <c r="B1033" s="7" t="s">
        <v>410</v>
      </c>
      <c r="C1033" s="7" t="s">
        <v>411</v>
      </c>
      <c r="D1033" s="7" t="n">
        <v>2009</v>
      </c>
      <c r="E1033" s="7" t="s">
        <v>69</v>
      </c>
      <c r="F1033" s="7" t="s">
        <v>63</v>
      </c>
      <c r="G1033" s="7" t="s">
        <v>66</v>
      </c>
      <c r="H1033" s="7" t="n">
        <v>31.8</v>
      </c>
      <c r="I1033" s="7" t="str">
        <f aca="false">IF(B1033="",TRIM(C1033),TRIM(B1033))</f>
        <v>Chad Multiple Indicator Cluster Survey 2010</v>
      </c>
      <c r="J1033" s="7" t="str">
        <f aca="false">IF(ISNUMBER(SEARCH("Demographic and Health",I1033)),"DHS",IF(OR(ISNUMBER(SEARCH("Multiple Indicator Cluster",I1033)),ISNUMBER(SEARCH("MICS",I1033))),"MICS","Other"))</f>
        <v>MICS</v>
      </c>
      <c r="K1033" s="7" t="n">
        <f aca="false">IF(AND(F1033="Record or Recall",G1033="12-23 m"),1,0)</f>
        <v>1</v>
      </c>
      <c r="L1033" s="7" t="n">
        <f aca="false">IF(OR(J1033="DHS",J1033="MICS"),1,0)</f>
        <v>1</v>
      </c>
    </row>
    <row r="1034" customFormat="false" ht="15" hidden="false" customHeight="false" outlineLevel="0" collapsed="false">
      <c r="A1034" s="7" t="s">
        <v>399</v>
      </c>
      <c r="B1034" s="7" t="s">
        <v>410</v>
      </c>
      <c r="C1034" s="7" t="s">
        <v>411</v>
      </c>
      <c r="D1034" s="7" t="n">
        <v>2009</v>
      </c>
      <c r="E1034" s="7" t="s">
        <v>69</v>
      </c>
      <c r="F1034" s="7" t="s">
        <v>87</v>
      </c>
      <c r="G1034" s="7" t="s">
        <v>66</v>
      </c>
      <c r="H1034" s="7" t="n">
        <v>21.5</v>
      </c>
      <c r="I1034" s="7" t="str">
        <f aca="false">IF(B1034="",TRIM(C1034),TRIM(B1034))</f>
        <v>Chad Multiple Indicator Cluster Survey 2010</v>
      </c>
      <c r="J1034" s="7" t="str">
        <f aca="false">IF(ISNUMBER(SEARCH("Demographic and Health",I1034)),"DHS",IF(OR(ISNUMBER(SEARCH("Multiple Indicator Cluster",I1034)),ISNUMBER(SEARCH("MICS",I1034))),"MICS","Other"))</f>
        <v>MICS</v>
      </c>
      <c r="K1034" s="7" t="n">
        <f aca="false">IF(AND(F1034="Record or Recall",G1034="12-23 m"),1,0)</f>
        <v>0</v>
      </c>
      <c r="L1034" s="7" t="n">
        <f aca="false">IF(OR(J1034="DHS",J1034="MICS"),1,0)</f>
        <v>1</v>
      </c>
    </row>
    <row r="1035" customFormat="false" ht="15" hidden="false" customHeight="false" outlineLevel="0" collapsed="false">
      <c r="A1035" s="7" t="s">
        <v>399</v>
      </c>
      <c r="B1035" s="7" t="s">
        <v>412</v>
      </c>
      <c r="C1035" s="7" t="s">
        <v>413</v>
      </c>
      <c r="D1035" s="7" t="n">
        <v>2011</v>
      </c>
      <c r="E1035" s="7" t="s">
        <v>62</v>
      </c>
      <c r="F1035" s="7" t="s">
        <v>78</v>
      </c>
      <c r="G1035" s="7" t="s">
        <v>66</v>
      </c>
      <c r="H1035" s="7" t="n">
        <v>27</v>
      </c>
      <c r="I1035" s="7" t="str">
        <f aca="false">IF(B1035="",TRIM(C1035),TRIM(B1035))</f>
        <v>Chad Vaccination Coverage Survey 2012</v>
      </c>
      <c r="J1035" s="7" t="str">
        <f aca="false">IF(ISNUMBER(SEARCH("Demographic and Health",I1035)),"DHS",IF(OR(ISNUMBER(SEARCH("Multiple Indicator Cluster",I1035)),ISNUMBER(SEARCH("MICS",I1035))),"MICS","Other"))</f>
        <v>Other</v>
      </c>
      <c r="K1035" s="7" t="n">
        <f aca="false">IF(AND(F1035="Record or Recall",G1035="12-23 m"),1,0)</f>
        <v>0</v>
      </c>
      <c r="L1035" s="7" t="n">
        <f aca="false">IF(OR(J1035="DHS",J1035="MICS"),1,0)</f>
        <v>0</v>
      </c>
    </row>
    <row r="1036" customFormat="false" ht="15" hidden="false" customHeight="false" outlineLevel="0" collapsed="false">
      <c r="A1036" s="7" t="s">
        <v>399</v>
      </c>
      <c r="B1036" s="7" t="s">
        <v>412</v>
      </c>
      <c r="C1036" s="7" t="s">
        <v>413</v>
      </c>
      <c r="D1036" s="7" t="n">
        <v>2011</v>
      </c>
      <c r="E1036" s="7" t="s">
        <v>62</v>
      </c>
      <c r="F1036" s="7" t="s">
        <v>86</v>
      </c>
      <c r="G1036" s="7" t="s">
        <v>66</v>
      </c>
      <c r="H1036" s="7" t="n">
        <v>57</v>
      </c>
      <c r="I1036" s="7" t="str">
        <f aca="false">IF(B1036="",TRIM(C1036),TRIM(B1036))</f>
        <v>Chad Vaccination Coverage Survey 2012</v>
      </c>
      <c r="J1036" s="7" t="str">
        <f aca="false">IF(ISNUMBER(SEARCH("Demographic and Health",I1036)),"DHS",IF(OR(ISNUMBER(SEARCH("Multiple Indicator Cluster",I1036)),ISNUMBER(SEARCH("MICS",I1036))),"MICS","Other"))</f>
        <v>Other</v>
      </c>
      <c r="K1036" s="7" t="n">
        <f aca="false">IF(AND(F1036="Record or Recall",G1036="12-23 m"),1,0)</f>
        <v>0</v>
      </c>
      <c r="L1036" s="7" t="n">
        <f aca="false">IF(OR(J1036="DHS",J1036="MICS"),1,0)</f>
        <v>0</v>
      </c>
    </row>
    <row r="1037" customFormat="false" ht="15" hidden="false" customHeight="false" outlineLevel="0" collapsed="false">
      <c r="A1037" s="7" t="s">
        <v>399</v>
      </c>
      <c r="B1037" s="7" t="s">
        <v>412</v>
      </c>
      <c r="C1037" s="7" t="s">
        <v>413</v>
      </c>
      <c r="D1037" s="7" t="n">
        <v>2011</v>
      </c>
      <c r="E1037" s="7" t="s">
        <v>62</v>
      </c>
      <c r="F1037" s="7" t="s">
        <v>63</v>
      </c>
      <c r="G1037" s="7" t="s">
        <v>66</v>
      </c>
      <c r="H1037" s="7" t="n">
        <v>68</v>
      </c>
      <c r="I1037" s="7" t="str">
        <f aca="false">IF(B1037="",TRIM(C1037),TRIM(B1037))</f>
        <v>Chad Vaccination Coverage Survey 2012</v>
      </c>
      <c r="J1037" s="7" t="str">
        <f aca="false">IF(ISNUMBER(SEARCH("Demographic and Health",I1037)),"DHS",IF(OR(ISNUMBER(SEARCH("Multiple Indicator Cluster",I1037)),ISNUMBER(SEARCH("MICS",I1037))),"MICS","Other"))</f>
        <v>Other</v>
      </c>
      <c r="K1037" s="7" t="n">
        <f aca="false">IF(AND(F1037="Record or Recall",G1037="12-23 m"),1,0)</f>
        <v>1</v>
      </c>
      <c r="L1037" s="7" t="n">
        <f aca="false">IF(OR(J1037="DHS",J1037="MICS"),1,0)</f>
        <v>0</v>
      </c>
    </row>
    <row r="1038" customFormat="false" ht="15" hidden="false" customHeight="false" outlineLevel="0" collapsed="false">
      <c r="A1038" s="7" t="s">
        <v>399</v>
      </c>
      <c r="B1038" s="7" t="s">
        <v>412</v>
      </c>
      <c r="C1038" s="7" t="s">
        <v>413</v>
      </c>
      <c r="D1038" s="7" t="n">
        <v>2011</v>
      </c>
      <c r="E1038" s="7" t="s">
        <v>81</v>
      </c>
      <c r="F1038" s="7" t="s">
        <v>78</v>
      </c>
      <c r="G1038" s="7" t="s">
        <v>66</v>
      </c>
      <c r="H1038" s="7" t="n">
        <v>32</v>
      </c>
      <c r="I1038" s="7" t="str">
        <f aca="false">IF(B1038="",TRIM(C1038),TRIM(B1038))</f>
        <v>Chad Vaccination Coverage Survey 2012</v>
      </c>
      <c r="J1038" s="7" t="str">
        <f aca="false">IF(ISNUMBER(SEARCH("Demographic and Health",I1038)),"DHS",IF(OR(ISNUMBER(SEARCH("Multiple Indicator Cluster",I1038)),ISNUMBER(SEARCH("MICS",I1038))),"MICS","Other"))</f>
        <v>Other</v>
      </c>
      <c r="K1038" s="7" t="n">
        <f aca="false">IF(AND(F1038="Record or Recall",G1038="12-23 m"),1,0)</f>
        <v>0</v>
      </c>
      <c r="L1038" s="7" t="n">
        <f aca="false">IF(OR(J1038="DHS",J1038="MICS"),1,0)</f>
        <v>0</v>
      </c>
    </row>
    <row r="1039" customFormat="false" ht="15" hidden="false" customHeight="false" outlineLevel="0" collapsed="false">
      <c r="A1039" s="7" t="s">
        <v>399</v>
      </c>
      <c r="B1039" s="7" t="s">
        <v>412</v>
      </c>
      <c r="C1039" s="7" t="s">
        <v>413</v>
      </c>
      <c r="D1039" s="7" t="n">
        <v>2011</v>
      </c>
      <c r="E1039" s="7" t="s">
        <v>81</v>
      </c>
      <c r="F1039" s="7" t="s">
        <v>86</v>
      </c>
      <c r="G1039" s="7" t="s">
        <v>66</v>
      </c>
      <c r="H1039" s="7" t="n">
        <v>15</v>
      </c>
      <c r="I1039" s="7" t="str">
        <f aca="false">IF(B1039="",TRIM(C1039),TRIM(B1039))</f>
        <v>Chad Vaccination Coverage Survey 2012</v>
      </c>
      <c r="J1039" s="7" t="str">
        <f aca="false">IF(ISNUMBER(SEARCH("Demographic and Health",I1039)),"DHS",IF(OR(ISNUMBER(SEARCH("Multiple Indicator Cluster",I1039)),ISNUMBER(SEARCH("MICS",I1039))),"MICS","Other"))</f>
        <v>Other</v>
      </c>
      <c r="K1039" s="7" t="n">
        <f aca="false">IF(AND(F1039="Record or Recall",G1039="12-23 m"),1,0)</f>
        <v>0</v>
      </c>
      <c r="L1039" s="7" t="n">
        <f aca="false">IF(OR(J1039="DHS",J1039="MICS"),1,0)</f>
        <v>0</v>
      </c>
    </row>
    <row r="1040" customFormat="false" ht="15" hidden="false" customHeight="false" outlineLevel="0" collapsed="false">
      <c r="A1040" s="7" t="s">
        <v>399</v>
      </c>
      <c r="B1040" s="7" t="s">
        <v>412</v>
      </c>
      <c r="C1040" s="7" t="s">
        <v>413</v>
      </c>
      <c r="D1040" s="7" t="n">
        <v>2011</v>
      </c>
      <c r="E1040" s="7" t="s">
        <v>81</v>
      </c>
      <c r="F1040" s="7" t="s">
        <v>63</v>
      </c>
      <c r="G1040" s="7" t="s">
        <v>66</v>
      </c>
      <c r="H1040" s="7" t="n">
        <v>55</v>
      </c>
      <c r="I1040" s="7" t="str">
        <f aca="false">IF(B1040="",TRIM(C1040),TRIM(B1040))</f>
        <v>Chad Vaccination Coverage Survey 2012</v>
      </c>
      <c r="J1040" s="7" t="str">
        <f aca="false">IF(ISNUMBER(SEARCH("Demographic and Health",I1040)),"DHS",IF(OR(ISNUMBER(SEARCH("Multiple Indicator Cluster",I1040)),ISNUMBER(SEARCH("MICS",I1040))),"MICS","Other"))</f>
        <v>Other</v>
      </c>
      <c r="K1040" s="7" t="n">
        <f aca="false">IF(AND(F1040="Record or Recall",G1040="12-23 m"),1,0)</f>
        <v>1</v>
      </c>
      <c r="L1040" s="7" t="n">
        <f aca="false">IF(OR(J1040="DHS",J1040="MICS"),1,0)</f>
        <v>0</v>
      </c>
    </row>
    <row r="1041" customFormat="false" ht="15" hidden="false" customHeight="false" outlineLevel="0" collapsed="false">
      <c r="A1041" s="7" t="s">
        <v>399</v>
      </c>
      <c r="B1041" s="7" t="s">
        <v>412</v>
      </c>
      <c r="C1041" s="7" t="s">
        <v>413</v>
      </c>
      <c r="D1041" s="7" t="n">
        <v>2011</v>
      </c>
      <c r="E1041" s="7" t="s">
        <v>67</v>
      </c>
      <c r="F1041" s="7" t="s">
        <v>78</v>
      </c>
      <c r="G1041" s="7" t="s">
        <v>66</v>
      </c>
      <c r="H1041" s="7" t="n">
        <v>14</v>
      </c>
      <c r="I1041" s="7" t="str">
        <f aca="false">IF(B1041="",TRIM(C1041),TRIM(B1041))</f>
        <v>Chad Vaccination Coverage Survey 2012</v>
      </c>
      <c r="J1041" s="7" t="str">
        <f aca="false">IF(ISNUMBER(SEARCH("Demographic and Health",I1041)),"DHS",IF(OR(ISNUMBER(SEARCH("Multiple Indicator Cluster",I1041)),ISNUMBER(SEARCH("MICS",I1041))),"MICS","Other"))</f>
        <v>Other</v>
      </c>
      <c r="K1041" s="7" t="n">
        <f aca="false">IF(AND(F1041="Record or Recall",G1041="12-23 m"),1,0)</f>
        <v>0</v>
      </c>
      <c r="L1041" s="7" t="n">
        <f aca="false">IF(OR(J1041="DHS",J1041="MICS"),1,0)</f>
        <v>0</v>
      </c>
    </row>
    <row r="1042" customFormat="false" ht="15" hidden="false" customHeight="false" outlineLevel="0" collapsed="false">
      <c r="A1042" s="7" t="s">
        <v>399</v>
      </c>
      <c r="B1042" s="7" t="s">
        <v>412</v>
      </c>
      <c r="C1042" s="7" t="s">
        <v>413</v>
      </c>
      <c r="D1042" s="7" t="n">
        <v>2011</v>
      </c>
      <c r="E1042" s="7" t="s">
        <v>67</v>
      </c>
      <c r="F1042" s="7" t="s">
        <v>86</v>
      </c>
      <c r="G1042" s="7" t="s">
        <v>66</v>
      </c>
      <c r="H1042" s="7" t="n">
        <v>9</v>
      </c>
      <c r="I1042" s="7" t="str">
        <f aca="false">IF(B1042="",TRIM(C1042),TRIM(B1042))</f>
        <v>Chad Vaccination Coverage Survey 2012</v>
      </c>
      <c r="J1042" s="7" t="str">
        <f aca="false">IF(ISNUMBER(SEARCH("Demographic and Health",I1042)),"DHS",IF(OR(ISNUMBER(SEARCH("Multiple Indicator Cluster",I1042)),ISNUMBER(SEARCH("MICS",I1042))),"MICS","Other"))</f>
        <v>Other</v>
      </c>
      <c r="K1042" s="7" t="n">
        <f aca="false">IF(AND(F1042="Record or Recall",G1042="12-23 m"),1,0)</f>
        <v>0</v>
      </c>
      <c r="L1042" s="7" t="n">
        <f aca="false">IF(OR(J1042="DHS",J1042="MICS"),1,0)</f>
        <v>0</v>
      </c>
    </row>
    <row r="1043" customFormat="false" ht="15" hidden="false" customHeight="false" outlineLevel="0" collapsed="false">
      <c r="A1043" s="7" t="s">
        <v>399</v>
      </c>
      <c r="B1043" s="7" t="s">
        <v>412</v>
      </c>
      <c r="C1043" s="7" t="s">
        <v>413</v>
      </c>
      <c r="D1043" s="7" t="n">
        <v>2011</v>
      </c>
      <c r="E1043" s="7" t="s">
        <v>67</v>
      </c>
      <c r="F1043" s="7" t="s">
        <v>63</v>
      </c>
      <c r="G1043" s="7" t="s">
        <v>66</v>
      </c>
      <c r="H1043" s="7" t="n">
        <v>42</v>
      </c>
      <c r="I1043" s="7" t="str">
        <f aca="false">IF(B1043="",TRIM(C1043),TRIM(B1043))</f>
        <v>Chad Vaccination Coverage Survey 2012</v>
      </c>
      <c r="J1043" s="7" t="str">
        <f aca="false">IF(ISNUMBER(SEARCH("Demographic and Health",I1043)),"DHS",IF(OR(ISNUMBER(SEARCH("Multiple Indicator Cluster",I1043)),ISNUMBER(SEARCH("MICS",I1043))),"MICS","Other"))</f>
        <v>Other</v>
      </c>
      <c r="K1043" s="7" t="n">
        <f aca="false">IF(AND(F1043="Record or Recall",G1043="12-23 m"),1,0)</f>
        <v>1</v>
      </c>
      <c r="L1043" s="7" t="n">
        <f aca="false">IF(OR(J1043="DHS",J1043="MICS"),1,0)</f>
        <v>0</v>
      </c>
    </row>
    <row r="1044" customFormat="false" ht="15" hidden="false" customHeight="false" outlineLevel="0" collapsed="false">
      <c r="A1044" s="7" t="s">
        <v>399</v>
      </c>
      <c r="B1044" s="7" t="s">
        <v>412</v>
      </c>
      <c r="C1044" s="7" t="s">
        <v>413</v>
      </c>
      <c r="D1044" s="7" t="n">
        <v>2011</v>
      </c>
      <c r="E1044" s="7" t="s">
        <v>82</v>
      </c>
      <c r="F1044" s="7" t="s">
        <v>78</v>
      </c>
      <c r="G1044" s="7" t="s">
        <v>66</v>
      </c>
      <c r="H1044" s="7" t="n">
        <v>5</v>
      </c>
      <c r="I1044" s="7" t="str">
        <f aca="false">IF(B1044="",TRIM(C1044),TRIM(B1044))</f>
        <v>Chad Vaccination Coverage Survey 2012</v>
      </c>
      <c r="J1044" s="7" t="str">
        <f aca="false">IF(ISNUMBER(SEARCH("Demographic and Health",I1044)),"DHS",IF(OR(ISNUMBER(SEARCH("Multiple Indicator Cluster",I1044)),ISNUMBER(SEARCH("MICS",I1044))),"MICS","Other"))</f>
        <v>Other</v>
      </c>
      <c r="K1044" s="7" t="n">
        <f aca="false">IF(AND(F1044="Record or Recall",G1044="12-23 m"),1,0)</f>
        <v>0</v>
      </c>
      <c r="L1044" s="7" t="n">
        <f aca="false">IF(OR(J1044="DHS",J1044="MICS"),1,0)</f>
        <v>0</v>
      </c>
    </row>
    <row r="1045" customFormat="false" ht="15" hidden="false" customHeight="false" outlineLevel="0" collapsed="false">
      <c r="A1045" s="7" t="s">
        <v>399</v>
      </c>
      <c r="B1045" s="7" t="s">
        <v>412</v>
      </c>
      <c r="C1045" s="7" t="s">
        <v>413</v>
      </c>
      <c r="D1045" s="7" t="n">
        <v>2011</v>
      </c>
      <c r="E1045" s="7" t="s">
        <v>82</v>
      </c>
      <c r="F1045" s="7" t="s">
        <v>86</v>
      </c>
      <c r="G1045" s="7" t="s">
        <v>66</v>
      </c>
      <c r="H1045" s="7" t="n">
        <v>5</v>
      </c>
      <c r="I1045" s="7" t="str">
        <f aca="false">IF(B1045="",TRIM(C1045),TRIM(B1045))</f>
        <v>Chad Vaccination Coverage Survey 2012</v>
      </c>
      <c r="J1045" s="7" t="str">
        <f aca="false">IF(ISNUMBER(SEARCH("Demographic and Health",I1045)),"DHS",IF(OR(ISNUMBER(SEARCH("Multiple Indicator Cluster",I1045)),ISNUMBER(SEARCH("MICS",I1045))),"MICS","Other"))</f>
        <v>Other</v>
      </c>
      <c r="K1045" s="7" t="n">
        <f aca="false">IF(AND(F1045="Record or Recall",G1045="12-23 m"),1,0)</f>
        <v>0</v>
      </c>
      <c r="L1045" s="7" t="n">
        <f aca="false">IF(OR(J1045="DHS",J1045="MICS"),1,0)</f>
        <v>0</v>
      </c>
    </row>
    <row r="1046" customFormat="false" ht="15" hidden="false" customHeight="false" outlineLevel="0" collapsed="false">
      <c r="A1046" s="7" t="s">
        <v>399</v>
      </c>
      <c r="B1046" s="7" t="s">
        <v>412</v>
      </c>
      <c r="C1046" s="7" t="s">
        <v>413</v>
      </c>
      <c r="D1046" s="7" t="n">
        <v>2011</v>
      </c>
      <c r="E1046" s="7" t="s">
        <v>82</v>
      </c>
      <c r="F1046" s="7" t="s">
        <v>63</v>
      </c>
      <c r="G1046" s="7" t="s">
        <v>66</v>
      </c>
      <c r="H1046" s="7" t="n">
        <v>32</v>
      </c>
      <c r="I1046" s="7" t="str">
        <f aca="false">IF(B1046="",TRIM(C1046),TRIM(B1046))</f>
        <v>Chad Vaccination Coverage Survey 2012</v>
      </c>
      <c r="J1046" s="7" t="str">
        <f aca="false">IF(ISNUMBER(SEARCH("Demographic and Health",I1046)),"DHS",IF(OR(ISNUMBER(SEARCH("Multiple Indicator Cluster",I1046)),ISNUMBER(SEARCH("MICS",I1046))),"MICS","Other"))</f>
        <v>Other</v>
      </c>
      <c r="K1046" s="7" t="n">
        <f aca="false">IF(AND(F1046="Record or Recall",G1046="12-23 m"),1,0)</f>
        <v>1</v>
      </c>
      <c r="L1046" s="7" t="n">
        <f aca="false">IF(OR(J1046="DHS",J1046="MICS"),1,0)</f>
        <v>0</v>
      </c>
    </row>
    <row r="1047" customFormat="false" ht="15" hidden="false" customHeight="false" outlineLevel="0" collapsed="false">
      <c r="A1047" s="7" t="s">
        <v>399</v>
      </c>
      <c r="B1047" s="7" t="s">
        <v>412</v>
      </c>
      <c r="C1047" s="7" t="s">
        <v>413</v>
      </c>
      <c r="D1047" s="7" t="n">
        <v>2011</v>
      </c>
      <c r="E1047" s="7" t="s">
        <v>68</v>
      </c>
      <c r="F1047" s="7" t="s">
        <v>78</v>
      </c>
      <c r="G1047" s="7" t="s">
        <v>66</v>
      </c>
      <c r="H1047" s="7" t="n">
        <v>18</v>
      </c>
      <c r="I1047" s="7" t="str">
        <f aca="false">IF(B1047="",TRIM(C1047),TRIM(B1047))</f>
        <v>Chad Vaccination Coverage Survey 2012</v>
      </c>
      <c r="J1047" s="7" t="str">
        <f aca="false">IF(ISNUMBER(SEARCH("Demographic and Health",I1047)),"DHS",IF(OR(ISNUMBER(SEARCH("Multiple Indicator Cluster",I1047)),ISNUMBER(SEARCH("MICS",I1047))),"MICS","Other"))</f>
        <v>Other</v>
      </c>
      <c r="K1047" s="7" t="n">
        <f aca="false">IF(AND(F1047="Record or Recall",G1047="12-23 m"),1,0)</f>
        <v>0</v>
      </c>
      <c r="L1047" s="7" t="n">
        <f aca="false">IF(OR(J1047="DHS",J1047="MICS"),1,0)</f>
        <v>0</v>
      </c>
    </row>
    <row r="1048" customFormat="false" ht="15" hidden="false" customHeight="false" outlineLevel="0" collapsed="false">
      <c r="A1048" s="7" t="s">
        <v>399</v>
      </c>
      <c r="B1048" s="7" t="s">
        <v>412</v>
      </c>
      <c r="C1048" s="7" t="s">
        <v>413</v>
      </c>
      <c r="D1048" s="7" t="n">
        <v>2011</v>
      </c>
      <c r="E1048" s="7" t="s">
        <v>68</v>
      </c>
      <c r="F1048" s="7" t="s">
        <v>86</v>
      </c>
      <c r="G1048" s="7" t="s">
        <v>66</v>
      </c>
      <c r="H1048" s="7" t="n">
        <v>13</v>
      </c>
      <c r="I1048" s="7" t="str">
        <f aca="false">IF(B1048="",TRIM(C1048),TRIM(B1048))</f>
        <v>Chad Vaccination Coverage Survey 2012</v>
      </c>
      <c r="J1048" s="7" t="str">
        <f aca="false">IF(ISNUMBER(SEARCH("Demographic and Health",I1048)),"DHS",IF(OR(ISNUMBER(SEARCH("Multiple Indicator Cluster",I1048)),ISNUMBER(SEARCH("MICS",I1048))),"MICS","Other"))</f>
        <v>Other</v>
      </c>
      <c r="K1048" s="7" t="n">
        <f aca="false">IF(AND(F1048="Record or Recall",G1048="12-23 m"),1,0)</f>
        <v>0</v>
      </c>
      <c r="L1048" s="7" t="n">
        <f aca="false">IF(OR(J1048="DHS",J1048="MICS"),1,0)</f>
        <v>0</v>
      </c>
    </row>
    <row r="1049" customFormat="false" ht="15" hidden="false" customHeight="false" outlineLevel="0" collapsed="false">
      <c r="A1049" s="7" t="s">
        <v>399</v>
      </c>
      <c r="B1049" s="7" t="s">
        <v>412</v>
      </c>
      <c r="C1049" s="7" t="s">
        <v>413</v>
      </c>
      <c r="D1049" s="7" t="n">
        <v>2011</v>
      </c>
      <c r="E1049" s="7" t="s">
        <v>68</v>
      </c>
      <c r="F1049" s="7" t="s">
        <v>63</v>
      </c>
      <c r="G1049" s="7" t="s">
        <v>66</v>
      </c>
      <c r="H1049" s="7" t="n">
        <v>54</v>
      </c>
      <c r="I1049" s="7" t="str">
        <f aca="false">IF(B1049="",TRIM(C1049),TRIM(B1049))</f>
        <v>Chad Vaccination Coverage Survey 2012</v>
      </c>
      <c r="J1049" s="7" t="str">
        <f aca="false">IF(ISNUMBER(SEARCH("Demographic and Health",I1049)),"DHS",IF(OR(ISNUMBER(SEARCH("Multiple Indicator Cluster",I1049)),ISNUMBER(SEARCH("MICS",I1049))),"MICS","Other"))</f>
        <v>Other</v>
      </c>
      <c r="K1049" s="7" t="n">
        <f aca="false">IF(AND(F1049="Record or Recall",G1049="12-23 m"),1,0)</f>
        <v>1</v>
      </c>
      <c r="L1049" s="7" t="n">
        <f aca="false">IF(OR(J1049="DHS",J1049="MICS"),1,0)</f>
        <v>0</v>
      </c>
    </row>
    <row r="1050" customFormat="false" ht="15" hidden="false" customHeight="false" outlineLevel="0" collapsed="false">
      <c r="A1050" s="7" t="s">
        <v>399</v>
      </c>
      <c r="B1050" s="7" t="s">
        <v>412</v>
      </c>
      <c r="C1050" s="7" t="s">
        <v>413</v>
      </c>
      <c r="D1050" s="7" t="n">
        <v>2011</v>
      </c>
      <c r="E1050" s="7" t="s">
        <v>69</v>
      </c>
      <c r="F1050" s="7" t="s">
        <v>78</v>
      </c>
      <c r="G1050" s="7" t="s">
        <v>66</v>
      </c>
      <c r="H1050" s="7" t="n">
        <v>17</v>
      </c>
      <c r="I1050" s="7" t="str">
        <f aca="false">IF(B1050="",TRIM(C1050),TRIM(B1050))</f>
        <v>Chad Vaccination Coverage Survey 2012</v>
      </c>
      <c r="J1050" s="7" t="str">
        <f aca="false">IF(ISNUMBER(SEARCH("Demographic and Health",I1050)),"DHS",IF(OR(ISNUMBER(SEARCH("Multiple Indicator Cluster",I1050)),ISNUMBER(SEARCH("MICS",I1050))),"MICS","Other"))</f>
        <v>Other</v>
      </c>
      <c r="K1050" s="7" t="n">
        <f aca="false">IF(AND(F1050="Record or Recall",G1050="12-23 m"),1,0)</f>
        <v>0</v>
      </c>
      <c r="L1050" s="7" t="n">
        <f aca="false">IF(OR(J1050="DHS",J1050="MICS"),1,0)</f>
        <v>0</v>
      </c>
    </row>
    <row r="1051" customFormat="false" ht="15" hidden="false" customHeight="false" outlineLevel="0" collapsed="false">
      <c r="A1051" s="7" t="s">
        <v>399</v>
      </c>
      <c r="B1051" s="7" t="s">
        <v>412</v>
      </c>
      <c r="C1051" s="7" t="s">
        <v>413</v>
      </c>
      <c r="D1051" s="7" t="n">
        <v>2011</v>
      </c>
      <c r="E1051" s="7" t="s">
        <v>69</v>
      </c>
      <c r="F1051" s="7" t="s">
        <v>86</v>
      </c>
      <c r="G1051" s="7" t="s">
        <v>66</v>
      </c>
      <c r="H1051" s="7" t="n">
        <v>10</v>
      </c>
      <c r="I1051" s="7" t="str">
        <f aca="false">IF(B1051="",TRIM(C1051),TRIM(B1051))</f>
        <v>Chad Vaccination Coverage Survey 2012</v>
      </c>
      <c r="J1051" s="7" t="str">
        <f aca="false">IF(ISNUMBER(SEARCH("Demographic and Health",I1051)),"DHS",IF(OR(ISNUMBER(SEARCH("Multiple Indicator Cluster",I1051)),ISNUMBER(SEARCH("MICS",I1051))),"MICS","Other"))</f>
        <v>Other</v>
      </c>
      <c r="K1051" s="7" t="n">
        <f aca="false">IF(AND(F1051="Record or Recall",G1051="12-23 m"),1,0)</f>
        <v>0</v>
      </c>
      <c r="L1051" s="7" t="n">
        <f aca="false">IF(OR(J1051="DHS",J1051="MICS"),1,0)</f>
        <v>0</v>
      </c>
    </row>
    <row r="1052" customFormat="false" ht="15" hidden="false" customHeight="false" outlineLevel="0" collapsed="false">
      <c r="A1052" s="7" t="s">
        <v>399</v>
      </c>
      <c r="B1052" s="7" t="s">
        <v>412</v>
      </c>
      <c r="C1052" s="7" t="s">
        <v>413</v>
      </c>
      <c r="D1052" s="7" t="n">
        <v>2011</v>
      </c>
      <c r="E1052" s="7" t="s">
        <v>69</v>
      </c>
      <c r="F1052" s="7" t="s">
        <v>63</v>
      </c>
      <c r="G1052" s="7" t="s">
        <v>66</v>
      </c>
      <c r="H1052" s="7" t="n">
        <v>52</v>
      </c>
      <c r="I1052" s="7" t="str">
        <f aca="false">IF(B1052="",TRIM(C1052),TRIM(B1052))</f>
        <v>Chad Vaccination Coverage Survey 2012</v>
      </c>
      <c r="J1052" s="7" t="str">
        <f aca="false">IF(ISNUMBER(SEARCH("Demographic and Health",I1052)),"DHS",IF(OR(ISNUMBER(SEARCH("Multiple Indicator Cluster",I1052)),ISNUMBER(SEARCH("MICS",I1052))),"MICS","Other"))</f>
        <v>Other</v>
      </c>
      <c r="K1052" s="7" t="n">
        <f aca="false">IF(AND(F1052="Record or Recall",G1052="12-23 m"),1,0)</f>
        <v>1</v>
      </c>
      <c r="L1052" s="7" t="n">
        <f aca="false">IF(OR(J1052="DHS",J1052="MICS"),1,0)</f>
        <v>0</v>
      </c>
    </row>
    <row r="1053" customFormat="false" ht="15" hidden="false" customHeight="false" outlineLevel="0" collapsed="false">
      <c r="A1053" s="7" t="s">
        <v>399</v>
      </c>
      <c r="B1053" s="7" t="s">
        <v>414</v>
      </c>
      <c r="C1053" s="7" t="s">
        <v>415</v>
      </c>
      <c r="D1053" s="7" t="n">
        <v>2012</v>
      </c>
      <c r="E1053" s="7" t="s">
        <v>62</v>
      </c>
      <c r="F1053" s="7" t="s">
        <v>78</v>
      </c>
      <c r="G1053" s="7" t="s">
        <v>91</v>
      </c>
      <c r="H1053" s="7" t="n">
        <v>50.6</v>
      </c>
      <c r="I1053" s="7" t="str">
        <f aca="false">IF(B1053="",TRIM(C1053),TRIM(B1053))</f>
        <v>Chad Joint DHS and MICS 2015</v>
      </c>
      <c r="J1053" s="7" t="str">
        <f aca="false">IF(ISNUMBER(SEARCH("Demographic and Health",I1053)),"DHS",IF(OR(ISNUMBER(SEARCH("Multiple Indicator Cluster",I1053)),ISNUMBER(SEARCH("MICS",I1053))),"MICS","Other"))</f>
        <v>MICS</v>
      </c>
      <c r="K1053" s="7" t="n">
        <f aca="false">IF(AND(F1053="Record or Recall",G1053="12-23 m"),1,0)</f>
        <v>0</v>
      </c>
      <c r="L1053" s="7" t="n">
        <f aca="false">IF(OR(J1053="DHS",J1053="MICS"),1,0)</f>
        <v>1</v>
      </c>
    </row>
    <row r="1054" customFormat="false" ht="15" hidden="false" customHeight="false" outlineLevel="0" collapsed="false">
      <c r="A1054" s="7" t="s">
        <v>399</v>
      </c>
      <c r="B1054" s="7" t="s">
        <v>414</v>
      </c>
      <c r="C1054" s="7" t="s">
        <v>415</v>
      </c>
      <c r="D1054" s="7" t="n">
        <v>2012</v>
      </c>
      <c r="E1054" s="7" t="s">
        <v>81</v>
      </c>
      <c r="F1054" s="7" t="s">
        <v>78</v>
      </c>
      <c r="G1054" s="7" t="s">
        <v>91</v>
      </c>
      <c r="H1054" s="7" t="n">
        <v>43.8</v>
      </c>
      <c r="I1054" s="7" t="str">
        <f aca="false">IF(B1054="",TRIM(C1054),TRIM(B1054))</f>
        <v>Chad Joint DHS and MICS 2015</v>
      </c>
      <c r="J1054" s="7" t="str">
        <f aca="false">IF(ISNUMBER(SEARCH("Demographic and Health",I1054)),"DHS",IF(OR(ISNUMBER(SEARCH("Multiple Indicator Cluster",I1054)),ISNUMBER(SEARCH("MICS",I1054))),"MICS","Other"))</f>
        <v>MICS</v>
      </c>
      <c r="K1054" s="7" t="n">
        <f aca="false">IF(AND(F1054="Record or Recall",G1054="12-23 m"),1,0)</f>
        <v>0</v>
      </c>
      <c r="L1054" s="7" t="n">
        <f aca="false">IF(OR(J1054="DHS",J1054="MICS"),1,0)</f>
        <v>1</v>
      </c>
    </row>
    <row r="1055" customFormat="false" ht="15" hidden="false" customHeight="false" outlineLevel="0" collapsed="false">
      <c r="A1055" s="7" t="s">
        <v>399</v>
      </c>
      <c r="B1055" s="7" t="s">
        <v>414</v>
      </c>
      <c r="C1055" s="7" t="s">
        <v>415</v>
      </c>
      <c r="D1055" s="7" t="n">
        <v>2012</v>
      </c>
      <c r="E1055" s="7" t="s">
        <v>67</v>
      </c>
      <c r="F1055" s="7" t="s">
        <v>78</v>
      </c>
      <c r="G1055" s="7" t="s">
        <v>91</v>
      </c>
      <c r="H1055" s="7" t="n">
        <v>25</v>
      </c>
      <c r="I1055" s="7" t="str">
        <f aca="false">IF(B1055="",TRIM(C1055),TRIM(B1055))</f>
        <v>Chad Joint DHS and MICS 2015</v>
      </c>
      <c r="J1055" s="7" t="str">
        <f aca="false">IF(ISNUMBER(SEARCH("Demographic and Health",I1055)),"DHS",IF(OR(ISNUMBER(SEARCH("Multiple Indicator Cluster",I1055)),ISNUMBER(SEARCH("MICS",I1055))),"MICS","Other"))</f>
        <v>MICS</v>
      </c>
      <c r="K1055" s="7" t="n">
        <f aca="false">IF(AND(F1055="Record or Recall",G1055="12-23 m"),1,0)</f>
        <v>0</v>
      </c>
      <c r="L1055" s="7" t="n">
        <f aca="false">IF(OR(J1055="DHS",J1055="MICS"),1,0)</f>
        <v>1</v>
      </c>
    </row>
    <row r="1056" customFormat="false" ht="15" hidden="false" customHeight="false" outlineLevel="0" collapsed="false">
      <c r="A1056" s="7" t="s">
        <v>399</v>
      </c>
      <c r="B1056" s="7" t="s">
        <v>414</v>
      </c>
      <c r="C1056" s="7" t="s">
        <v>415</v>
      </c>
      <c r="D1056" s="7" t="n">
        <v>2012</v>
      </c>
      <c r="E1056" s="7" t="s">
        <v>82</v>
      </c>
      <c r="F1056" s="7" t="s">
        <v>78</v>
      </c>
      <c r="G1056" s="7" t="s">
        <v>91</v>
      </c>
      <c r="H1056" s="7" t="n">
        <v>16.5</v>
      </c>
      <c r="I1056" s="7" t="str">
        <f aca="false">IF(B1056="",TRIM(C1056),TRIM(B1056))</f>
        <v>Chad Joint DHS and MICS 2015</v>
      </c>
      <c r="J1056" s="7" t="str">
        <f aca="false">IF(ISNUMBER(SEARCH("Demographic and Health",I1056)),"DHS",IF(OR(ISNUMBER(SEARCH("Multiple Indicator Cluster",I1056)),ISNUMBER(SEARCH("MICS",I1056))),"MICS","Other"))</f>
        <v>MICS</v>
      </c>
      <c r="K1056" s="7" t="n">
        <f aca="false">IF(AND(F1056="Record or Recall",G1056="12-23 m"),1,0)</f>
        <v>0</v>
      </c>
      <c r="L1056" s="7" t="n">
        <f aca="false">IF(OR(J1056="DHS",J1056="MICS"),1,0)</f>
        <v>1</v>
      </c>
    </row>
    <row r="1057" customFormat="false" ht="15" hidden="false" customHeight="false" outlineLevel="0" collapsed="false">
      <c r="A1057" s="7" t="s">
        <v>399</v>
      </c>
      <c r="B1057" s="7" t="s">
        <v>414</v>
      </c>
      <c r="C1057" s="7" t="s">
        <v>415</v>
      </c>
      <c r="D1057" s="7" t="n">
        <v>2012</v>
      </c>
      <c r="E1057" s="7" t="s">
        <v>68</v>
      </c>
      <c r="F1057" s="7" t="s">
        <v>78</v>
      </c>
      <c r="G1057" s="7" t="s">
        <v>91</v>
      </c>
      <c r="H1057" s="7" t="n">
        <v>30.8</v>
      </c>
      <c r="I1057" s="7" t="str">
        <f aca="false">IF(B1057="",TRIM(C1057),TRIM(B1057))</f>
        <v>Chad Joint DHS and MICS 2015</v>
      </c>
      <c r="J1057" s="7" t="str">
        <f aca="false">IF(ISNUMBER(SEARCH("Demographic and Health",I1057)),"DHS",IF(OR(ISNUMBER(SEARCH("Multiple Indicator Cluster",I1057)),ISNUMBER(SEARCH("MICS",I1057))),"MICS","Other"))</f>
        <v>MICS</v>
      </c>
      <c r="K1057" s="7" t="n">
        <f aca="false">IF(AND(F1057="Record or Recall",G1057="12-23 m"),1,0)</f>
        <v>0</v>
      </c>
      <c r="L1057" s="7" t="n">
        <f aca="false">IF(OR(J1057="DHS",J1057="MICS"),1,0)</f>
        <v>1</v>
      </c>
    </row>
    <row r="1058" customFormat="false" ht="15" hidden="false" customHeight="false" outlineLevel="0" collapsed="false">
      <c r="A1058" s="7" t="s">
        <v>399</v>
      </c>
      <c r="B1058" s="7" t="s">
        <v>414</v>
      </c>
      <c r="C1058" s="7" t="s">
        <v>415</v>
      </c>
      <c r="D1058" s="7" t="n">
        <v>2012</v>
      </c>
      <c r="E1058" s="7" t="s">
        <v>69</v>
      </c>
      <c r="F1058" s="7" t="s">
        <v>78</v>
      </c>
      <c r="G1058" s="7" t="s">
        <v>91</v>
      </c>
      <c r="H1058" s="7" t="n">
        <v>41.8</v>
      </c>
      <c r="I1058" s="7" t="str">
        <f aca="false">IF(B1058="",TRIM(C1058),TRIM(B1058))</f>
        <v>Chad Joint DHS and MICS 2015</v>
      </c>
      <c r="J1058" s="7" t="str">
        <f aca="false">IF(ISNUMBER(SEARCH("Demographic and Health",I1058)),"DHS",IF(OR(ISNUMBER(SEARCH("Multiple Indicator Cluster",I1058)),ISNUMBER(SEARCH("MICS",I1058))),"MICS","Other"))</f>
        <v>MICS</v>
      </c>
      <c r="K1058" s="7" t="n">
        <f aca="false">IF(AND(F1058="Record or Recall",G1058="12-23 m"),1,0)</f>
        <v>0</v>
      </c>
      <c r="L1058" s="7" t="n">
        <f aca="false">IF(OR(J1058="DHS",J1058="MICS"),1,0)</f>
        <v>1</v>
      </c>
    </row>
    <row r="1059" customFormat="false" ht="15" hidden="false" customHeight="false" outlineLevel="0" collapsed="false">
      <c r="A1059" s="7" t="s">
        <v>399</v>
      </c>
      <c r="B1059" s="7" t="s">
        <v>414</v>
      </c>
      <c r="C1059" s="7" t="s">
        <v>415</v>
      </c>
      <c r="D1059" s="7" t="n">
        <v>2013</v>
      </c>
      <c r="E1059" s="7" t="s">
        <v>62</v>
      </c>
      <c r="F1059" s="7" t="s">
        <v>78</v>
      </c>
      <c r="G1059" s="7" t="s">
        <v>66</v>
      </c>
      <c r="H1059" s="7" t="n">
        <v>55.2</v>
      </c>
      <c r="I1059" s="7" t="str">
        <f aca="false">IF(B1059="",TRIM(C1059),TRIM(B1059))</f>
        <v>Chad Joint DHS and MICS 2015</v>
      </c>
      <c r="J1059" s="7" t="str">
        <f aca="false">IF(ISNUMBER(SEARCH("Demographic and Health",I1059)),"DHS",IF(OR(ISNUMBER(SEARCH("Multiple Indicator Cluster",I1059)),ISNUMBER(SEARCH("MICS",I1059))),"MICS","Other"))</f>
        <v>MICS</v>
      </c>
      <c r="K1059" s="7" t="n">
        <f aca="false">IF(AND(F1059="Record or Recall",G1059="12-23 m"),1,0)</f>
        <v>0</v>
      </c>
      <c r="L1059" s="7" t="n">
        <f aca="false">IF(OR(J1059="DHS",J1059="MICS"),1,0)</f>
        <v>1</v>
      </c>
    </row>
    <row r="1060" customFormat="false" ht="15" hidden="false" customHeight="false" outlineLevel="0" collapsed="false">
      <c r="A1060" s="7" t="s">
        <v>399</v>
      </c>
      <c r="B1060" s="7" t="s">
        <v>414</v>
      </c>
      <c r="C1060" s="7" t="s">
        <v>415</v>
      </c>
      <c r="D1060" s="7" t="n">
        <v>2013</v>
      </c>
      <c r="E1060" s="7" t="s">
        <v>62</v>
      </c>
      <c r="F1060" s="7" t="s">
        <v>86</v>
      </c>
      <c r="G1060" s="7" t="s">
        <v>66</v>
      </c>
      <c r="H1060" s="7" t="n">
        <v>29.3</v>
      </c>
      <c r="I1060" s="7" t="str">
        <f aca="false">IF(B1060="",TRIM(C1060),TRIM(B1060))</f>
        <v>Chad Joint DHS and MICS 2015</v>
      </c>
      <c r="J1060" s="7" t="str">
        <f aca="false">IF(ISNUMBER(SEARCH("Demographic and Health",I1060)),"DHS",IF(OR(ISNUMBER(SEARCH("Multiple Indicator Cluster",I1060)),ISNUMBER(SEARCH("MICS",I1060))),"MICS","Other"))</f>
        <v>MICS</v>
      </c>
      <c r="K1060" s="7" t="n">
        <f aca="false">IF(AND(F1060="Record or Recall",G1060="12-23 m"),1,0)</f>
        <v>0</v>
      </c>
      <c r="L1060" s="7" t="n">
        <f aca="false">IF(OR(J1060="DHS",J1060="MICS"),1,0)</f>
        <v>1</v>
      </c>
    </row>
    <row r="1061" customFormat="false" ht="15" hidden="false" customHeight="false" outlineLevel="0" collapsed="false">
      <c r="A1061" s="7" t="s">
        <v>399</v>
      </c>
      <c r="B1061" s="7" t="s">
        <v>414</v>
      </c>
      <c r="C1061" s="7" t="s">
        <v>415</v>
      </c>
      <c r="D1061" s="7" t="n">
        <v>2013</v>
      </c>
      <c r="E1061" s="7" t="s">
        <v>62</v>
      </c>
      <c r="F1061" s="7" t="s">
        <v>63</v>
      </c>
      <c r="G1061" s="7" t="s">
        <v>66</v>
      </c>
      <c r="H1061" s="7" t="n">
        <v>59.6</v>
      </c>
      <c r="I1061" s="7" t="str">
        <f aca="false">IF(B1061="",TRIM(C1061),TRIM(B1061))</f>
        <v>Chad Joint DHS and MICS 2015</v>
      </c>
      <c r="J1061" s="7" t="str">
        <f aca="false">IF(ISNUMBER(SEARCH("Demographic and Health",I1061)),"DHS",IF(OR(ISNUMBER(SEARCH("Multiple Indicator Cluster",I1061)),ISNUMBER(SEARCH("MICS",I1061))),"MICS","Other"))</f>
        <v>MICS</v>
      </c>
      <c r="K1061" s="7" t="n">
        <f aca="false">IF(AND(F1061="Record or Recall",G1061="12-23 m"),1,0)</f>
        <v>1</v>
      </c>
      <c r="L1061" s="7" t="n">
        <f aca="false">IF(OR(J1061="DHS",J1061="MICS"),1,0)</f>
        <v>1</v>
      </c>
    </row>
    <row r="1062" customFormat="false" ht="15" hidden="false" customHeight="false" outlineLevel="0" collapsed="false">
      <c r="A1062" s="7" t="s">
        <v>399</v>
      </c>
      <c r="B1062" s="7" t="s">
        <v>414</v>
      </c>
      <c r="C1062" s="7" t="s">
        <v>415</v>
      </c>
      <c r="D1062" s="7" t="n">
        <v>2013</v>
      </c>
      <c r="E1062" s="7" t="s">
        <v>81</v>
      </c>
      <c r="F1062" s="7" t="s">
        <v>78</v>
      </c>
      <c r="G1062" s="7" t="s">
        <v>66</v>
      </c>
      <c r="H1062" s="7" t="n">
        <v>53.4</v>
      </c>
      <c r="I1062" s="7" t="str">
        <f aca="false">IF(B1062="",TRIM(C1062),TRIM(B1062))</f>
        <v>Chad Joint DHS and MICS 2015</v>
      </c>
      <c r="J1062" s="7" t="str">
        <f aca="false">IF(ISNUMBER(SEARCH("Demographic and Health",I1062)),"DHS",IF(OR(ISNUMBER(SEARCH("Multiple Indicator Cluster",I1062)),ISNUMBER(SEARCH("MICS",I1062))),"MICS","Other"))</f>
        <v>MICS</v>
      </c>
      <c r="K1062" s="7" t="n">
        <f aca="false">IF(AND(F1062="Record or Recall",G1062="12-23 m"),1,0)</f>
        <v>0</v>
      </c>
      <c r="L1062" s="7" t="n">
        <f aca="false">IF(OR(J1062="DHS",J1062="MICS"),1,0)</f>
        <v>1</v>
      </c>
    </row>
    <row r="1063" customFormat="false" ht="15" hidden="false" customHeight="false" outlineLevel="0" collapsed="false">
      <c r="A1063" s="7" t="s">
        <v>399</v>
      </c>
      <c r="B1063" s="7" t="s">
        <v>414</v>
      </c>
      <c r="C1063" s="7" t="s">
        <v>415</v>
      </c>
      <c r="D1063" s="7" t="n">
        <v>2013</v>
      </c>
      <c r="E1063" s="7" t="s">
        <v>81</v>
      </c>
      <c r="F1063" s="7" t="s">
        <v>86</v>
      </c>
      <c r="G1063" s="7" t="s">
        <v>66</v>
      </c>
      <c r="H1063" s="7" t="n">
        <v>30.5</v>
      </c>
      <c r="I1063" s="7" t="str">
        <f aca="false">IF(B1063="",TRIM(C1063),TRIM(B1063))</f>
        <v>Chad Joint DHS and MICS 2015</v>
      </c>
      <c r="J1063" s="7" t="str">
        <f aca="false">IF(ISNUMBER(SEARCH("Demographic and Health",I1063)),"DHS",IF(OR(ISNUMBER(SEARCH("Multiple Indicator Cluster",I1063)),ISNUMBER(SEARCH("MICS",I1063))),"MICS","Other"))</f>
        <v>MICS</v>
      </c>
      <c r="K1063" s="7" t="n">
        <f aca="false">IF(AND(F1063="Record or Recall",G1063="12-23 m"),1,0)</f>
        <v>0</v>
      </c>
      <c r="L1063" s="7" t="n">
        <f aca="false">IF(OR(J1063="DHS",J1063="MICS"),1,0)</f>
        <v>1</v>
      </c>
    </row>
    <row r="1064" customFormat="false" ht="15" hidden="false" customHeight="false" outlineLevel="0" collapsed="false">
      <c r="A1064" s="7" t="s">
        <v>399</v>
      </c>
      <c r="B1064" s="7" t="s">
        <v>414</v>
      </c>
      <c r="C1064" s="7" t="s">
        <v>415</v>
      </c>
      <c r="D1064" s="7" t="n">
        <v>2013</v>
      </c>
      <c r="E1064" s="7" t="s">
        <v>81</v>
      </c>
      <c r="F1064" s="7" t="s">
        <v>63</v>
      </c>
      <c r="G1064" s="7" t="s">
        <v>66</v>
      </c>
      <c r="H1064" s="7" t="n">
        <v>58.3</v>
      </c>
      <c r="I1064" s="7" t="str">
        <f aca="false">IF(B1064="",TRIM(C1064),TRIM(B1064))</f>
        <v>Chad Joint DHS and MICS 2015</v>
      </c>
      <c r="J1064" s="7" t="str">
        <f aca="false">IF(ISNUMBER(SEARCH("Demographic and Health",I1064)),"DHS",IF(OR(ISNUMBER(SEARCH("Multiple Indicator Cluster",I1064)),ISNUMBER(SEARCH("MICS",I1064))),"MICS","Other"))</f>
        <v>MICS</v>
      </c>
      <c r="K1064" s="7" t="n">
        <f aca="false">IF(AND(F1064="Record or Recall",G1064="12-23 m"),1,0)</f>
        <v>1</v>
      </c>
      <c r="L1064" s="7" t="n">
        <f aca="false">IF(OR(J1064="DHS",J1064="MICS"),1,0)</f>
        <v>1</v>
      </c>
    </row>
    <row r="1065" customFormat="false" ht="15" hidden="false" customHeight="false" outlineLevel="0" collapsed="false">
      <c r="A1065" s="7" t="s">
        <v>399</v>
      </c>
      <c r="B1065" s="7" t="s">
        <v>414</v>
      </c>
      <c r="C1065" s="7" t="s">
        <v>415</v>
      </c>
      <c r="D1065" s="7" t="n">
        <v>2013</v>
      </c>
      <c r="E1065" s="7" t="s">
        <v>67</v>
      </c>
      <c r="F1065" s="7" t="s">
        <v>78</v>
      </c>
      <c r="G1065" s="7" t="s">
        <v>66</v>
      </c>
      <c r="H1065" s="7" t="n">
        <v>28.4</v>
      </c>
      <c r="I1065" s="7" t="str">
        <f aca="false">IF(B1065="",TRIM(C1065),TRIM(B1065))</f>
        <v>Chad Joint DHS and MICS 2015</v>
      </c>
      <c r="J1065" s="7" t="str">
        <f aca="false">IF(ISNUMBER(SEARCH("Demographic and Health",I1065)),"DHS",IF(OR(ISNUMBER(SEARCH("Multiple Indicator Cluster",I1065)),ISNUMBER(SEARCH("MICS",I1065))),"MICS","Other"))</f>
        <v>MICS</v>
      </c>
      <c r="K1065" s="7" t="n">
        <f aca="false">IF(AND(F1065="Record or Recall",G1065="12-23 m"),1,0)</f>
        <v>0</v>
      </c>
      <c r="L1065" s="7" t="n">
        <f aca="false">IF(OR(J1065="DHS",J1065="MICS"),1,0)</f>
        <v>1</v>
      </c>
    </row>
    <row r="1066" customFormat="false" ht="15" hidden="false" customHeight="false" outlineLevel="0" collapsed="false">
      <c r="A1066" s="7" t="s">
        <v>399</v>
      </c>
      <c r="B1066" s="7" t="s">
        <v>414</v>
      </c>
      <c r="C1066" s="7" t="s">
        <v>415</v>
      </c>
      <c r="D1066" s="7" t="n">
        <v>2013</v>
      </c>
      <c r="E1066" s="7" t="s">
        <v>67</v>
      </c>
      <c r="F1066" s="7" t="s">
        <v>86</v>
      </c>
      <c r="G1066" s="7" t="s">
        <v>66</v>
      </c>
      <c r="H1066" s="7" t="n">
        <v>20.5</v>
      </c>
      <c r="I1066" s="7" t="str">
        <f aca="false">IF(B1066="",TRIM(C1066),TRIM(B1066))</f>
        <v>Chad Joint DHS and MICS 2015</v>
      </c>
      <c r="J1066" s="7" t="str">
        <f aca="false">IF(ISNUMBER(SEARCH("Demographic and Health",I1066)),"DHS",IF(OR(ISNUMBER(SEARCH("Multiple Indicator Cluster",I1066)),ISNUMBER(SEARCH("MICS",I1066))),"MICS","Other"))</f>
        <v>MICS</v>
      </c>
      <c r="K1066" s="7" t="n">
        <f aca="false">IF(AND(F1066="Record or Recall",G1066="12-23 m"),1,0)</f>
        <v>0</v>
      </c>
      <c r="L1066" s="7" t="n">
        <f aca="false">IF(OR(J1066="DHS",J1066="MICS"),1,0)</f>
        <v>1</v>
      </c>
    </row>
    <row r="1067" customFormat="false" ht="15" hidden="false" customHeight="false" outlineLevel="0" collapsed="false">
      <c r="A1067" s="7" t="s">
        <v>399</v>
      </c>
      <c r="B1067" s="7" t="s">
        <v>414</v>
      </c>
      <c r="C1067" s="7" t="s">
        <v>415</v>
      </c>
      <c r="D1067" s="7" t="n">
        <v>2013</v>
      </c>
      <c r="E1067" s="7" t="s">
        <v>67</v>
      </c>
      <c r="F1067" s="7" t="s">
        <v>63</v>
      </c>
      <c r="G1067" s="7" t="s">
        <v>66</v>
      </c>
      <c r="H1067" s="7" t="n">
        <v>33.2</v>
      </c>
      <c r="I1067" s="7" t="str">
        <f aca="false">IF(B1067="",TRIM(C1067),TRIM(B1067))</f>
        <v>Chad Joint DHS and MICS 2015</v>
      </c>
      <c r="J1067" s="7" t="str">
        <f aca="false">IF(ISNUMBER(SEARCH("Demographic and Health",I1067)),"DHS",IF(OR(ISNUMBER(SEARCH("Multiple Indicator Cluster",I1067)),ISNUMBER(SEARCH("MICS",I1067))),"MICS","Other"))</f>
        <v>MICS</v>
      </c>
      <c r="K1067" s="7" t="n">
        <f aca="false">IF(AND(F1067="Record or Recall",G1067="12-23 m"),1,0)</f>
        <v>1</v>
      </c>
      <c r="L1067" s="7" t="n">
        <f aca="false">IF(OR(J1067="DHS",J1067="MICS"),1,0)</f>
        <v>1</v>
      </c>
    </row>
    <row r="1068" customFormat="false" ht="15" hidden="false" customHeight="false" outlineLevel="0" collapsed="false">
      <c r="A1068" s="7" t="s">
        <v>399</v>
      </c>
      <c r="B1068" s="7" t="s">
        <v>414</v>
      </c>
      <c r="C1068" s="7" t="s">
        <v>415</v>
      </c>
      <c r="D1068" s="7" t="n">
        <v>2013</v>
      </c>
      <c r="E1068" s="7" t="s">
        <v>82</v>
      </c>
      <c r="F1068" s="7" t="s">
        <v>78</v>
      </c>
      <c r="G1068" s="7" t="s">
        <v>66</v>
      </c>
      <c r="H1068" s="7" t="n">
        <v>18.3</v>
      </c>
      <c r="I1068" s="7" t="str">
        <f aca="false">IF(B1068="",TRIM(C1068),TRIM(B1068))</f>
        <v>Chad Joint DHS and MICS 2015</v>
      </c>
      <c r="J1068" s="7" t="str">
        <f aca="false">IF(ISNUMBER(SEARCH("Demographic and Health",I1068)),"DHS",IF(OR(ISNUMBER(SEARCH("Multiple Indicator Cluster",I1068)),ISNUMBER(SEARCH("MICS",I1068))),"MICS","Other"))</f>
        <v>MICS</v>
      </c>
      <c r="K1068" s="7" t="n">
        <f aca="false">IF(AND(F1068="Record or Recall",G1068="12-23 m"),1,0)</f>
        <v>0</v>
      </c>
      <c r="L1068" s="7" t="n">
        <f aca="false">IF(OR(J1068="DHS",J1068="MICS"),1,0)</f>
        <v>1</v>
      </c>
    </row>
    <row r="1069" customFormat="false" ht="15" hidden="false" customHeight="false" outlineLevel="0" collapsed="false">
      <c r="A1069" s="7" t="s">
        <v>399</v>
      </c>
      <c r="B1069" s="7" t="s">
        <v>414</v>
      </c>
      <c r="C1069" s="7" t="s">
        <v>415</v>
      </c>
      <c r="D1069" s="7" t="n">
        <v>2013</v>
      </c>
      <c r="E1069" s="7" t="s">
        <v>82</v>
      </c>
      <c r="F1069" s="7" t="s">
        <v>86</v>
      </c>
      <c r="G1069" s="7" t="s">
        <v>66</v>
      </c>
      <c r="H1069" s="7" t="n">
        <v>17.4</v>
      </c>
      <c r="I1069" s="7" t="str">
        <f aca="false">IF(B1069="",TRIM(C1069),TRIM(B1069))</f>
        <v>Chad Joint DHS and MICS 2015</v>
      </c>
      <c r="J1069" s="7" t="str">
        <f aca="false">IF(ISNUMBER(SEARCH("Demographic and Health",I1069)),"DHS",IF(OR(ISNUMBER(SEARCH("Multiple Indicator Cluster",I1069)),ISNUMBER(SEARCH("MICS",I1069))),"MICS","Other"))</f>
        <v>MICS</v>
      </c>
      <c r="K1069" s="7" t="n">
        <f aca="false">IF(AND(F1069="Record or Recall",G1069="12-23 m"),1,0)</f>
        <v>0</v>
      </c>
      <c r="L1069" s="7" t="n">
        <f aca="false">IF(OR(J1069="DHS",J1069="MICS"),1,0)</f>
        <v>1</v>
      </c>
    </row>
    <row r="1070" customFormat="false" ht="15" hidden="false" customHeight="false" outlineLevel="0" collapsed="false">
      <c r="A1070" s="7" t="s">
        <v>399</v>
      </c>
      <c r="B1070" s="7" t="s">
        <v>414</v>
      </c>
      <c r="C1070" s="7" t="s">
        <v>415</v>
      </c>
      <c r="D1070" s="7" t="n">
        <v>2013</v>
      </c>
      <c r="E1070" s="7" t="s">
        <v>82</v>
      </c>
      <c r="F1070" s="7" t="s">
        <v>63</v>
      </c>
      <c r="G1070" s="7" t="s">
        <v>66</v>
      </c>
      <c r="H1070" s="7" t="n">
        <v>25.3</v>
      </c>
      <c r="I1070" s="7" t="str">
        <f aca="false">IF(B1070="",TRIM(C1070),TRIM(B1070))</f>
        <v>Chad Joint DHS and MICS 2015</v>
      </c>
      <c r="J1070" s="7" t="str">
        <f aca="false">IF(ISNUMBER(SEARCH("Demographic and Health",I1070)),"DHS",IF(OR(ISNUMBER(SEARCH("Multiple Indicator Cluster",I1070)),ISNUMBER(SEARCH("MICS",I1070))),"MICS","Other"))</f>
        <v>MICS</v>
      </c>
      <c r="K1070" s="7" t="n">
        <f aca="false">IF(AND(F1070="Record or Recall",G1070="12-23 m"),1,0)</f>
        <v>1</v>
      </c>
      <c r="L1070" s="7" t="n">
        <f aca="false">IF(OR(J1070="DHS",J1070="MICS"),1,0)</f>
        <v>1</v>
      </c>
    </row>
    <row r="1071" customFormat="false" ht="15" hidden="false" customHeight="false" outlineLevel="0" collapsed="false">
      <c r="A1071" s="7" t="s">
        <v>399</v>
      </c>
      <c r="B1071" s="7" t="s">
        <v>414</v>
      </c>
      <c r="C1071" s="7" t="s">
        <v>415</v>
      </c>
      <c r="D1071" s="7" t="n">
        <v>2013</v>
      </c>
      <c r="E1071" s="7" t="s">
        <v>68</v>
      </c>
      <c r="F1071" s="7" t="s">
        <v>78</v>
      </c>
      <c r="G1071" s="7" t="s">
        <v>66</v>
      </c>
      <c r="H1071" s="7" t="n">
        <v>39.8</v>
      </c>
      <c r="I1071" s="7" t="str">
        <f aca="false">IF(B1071="",TRIM(C1071),TRIM(B1071))</f>
        <v>Chad Joint DHS and MICS 2015</v>
      </c>
      <c r="J1071" s="7" t="str">
        <f aca="false">IF(ISNUMBER(SEARCH("Demographic and Health",I1071)),"DHS",IF(OR(ISNUMBER(SEARCH("Multiple Indicator Cluster",I1071)),ISNUMBER(SEARCH("MICS",I1071))),"MICS","Other"))</f>
        <v>MICS</v>
      </c>
      <c r="K1071" s="7" t="n">
        <f aca="false">IF(AND(F1071="Record or Recall",G1071="12-23 m"),1,0)</f>
        <v>0</v>
      </c>
      <c r="L1071" s="7" t="n">
        <f aca="false">IF(OR(J1071="DHS",J1071="MICS"),1,0)</f>
        <v>1</v>
      </c>
    </row>
    <row r="1072" customFormat="false" ht="15" hidden="false" customHeight="false" outlineLevel="0" collapsed="false">
      <c r="A1072" s="7" t="s">
        <v>399</v>
      </c>
      <c r="B1072" s="7" t="s">
        <v>414</v>
      </c>
      <c r="C1072" s="7" t="s">
        <v>415</v>
      </c>
      <c r="D1072" s="7" t="n">
        <v>2013</v>
      </c>
      <c r="E1072" s="7" t="s">
        <v>68</v>
      </c>
      <c r="F1072" s="7" t="s">
        <v>86</v>
      </c>
      <c r="G1072" s="7" t="s">
        <v>66</v>
      </c>
      <c r="H1072" s="7" t="n">
        <v>24.7</v>
      </c>
      <c r="I1072" s="7" t="str">
        <f aca="false">IF(B1072="",TRIM(C1072),TRIM(B1072))</f>
        <v>Chad Joint DHS and MICS 2015</v>
      </c>
      <c r="J1072" s="7" t="str">
        <f aca="false">IF(ISNUMBER(SEARCH("Demographic and Health",I1072)),"DHS",IF(OR(ISNUMBER(SEARCH("Multiple Indicator Cluster",I1072)),ISNUMBER(SEARCH("MICS",I1072))),"MICS","Other"))</f>
        <v>MICS</v>
      </c>
      <c r="K1072" s="7" t="n">
        <f aca="false">IF(AND(F1072="Record or Recall",G1072="12-23 m"),1,0)</f>
        <v>0</v>
      </c>
      <c r="L1072" s="7" t="n">
        <f aca="false">IF(OR(J1072="DHS",J1072="MICS"),1,0)</f>
        <v>1</v>
      </c>
    </row>
    <row r="1073" customFormat="false" ht="15" hidden="false" customHeight="false" outlineLevel="0" collapsed="false">
      <c r="A1073" s="7" t="s">
        <v>399</v>
      </c>
      <c r="B1073" s="7" t="s">
        <v>414</v>
      </c>
      <c r="C1073" s="7" t="s">
        <v>415</v>
      </c>
      <c r="D1073" s="7" t="n">
        <v>2013</v>
      </c>
      <c r="E1073" s="7" t="s">
        <v>68</v>
      </c>
      <c r="F1073" s="7" t="s">
        <v>63</v>
      </c>
      <c r="G1073" s="7" t="s">
        <v>66</v>
      </c>
      <c r="H1073" s="7" t="n">
        <v>56.9</v>
      </c>
      <c r="I1073" s="7" t="str">
        <f aca="false">IF(B1073="",TRIM(C1073),TRIM(B1073))</f>
        <v>Chad Joint DHS and MICS 2015</v>
      </c>
      <c r="J1073" s="7" t="str">
        <f aca="false">IF(ISNUMBER(SEARCH("Demographic and Health",I1073)),"DHS",IF(OR(ISNUMBER(SEARCH("Multiple Indicator Cluster",I1073)),ISNUMBER(SEARCH("MICS",I1073))),"MICS","Other"))</f>
        <v>MICS</v>
      </c>
      <c r="K1073" s="7" t="n">
        <f aca="false">IF(AND(F1073="Record or Recall",G1073="12-23 m"),1,0)</f>
        <v>1</v>
      </c>
      <c r="L1073" s="7" t="n">
        <f aca="false">IF(OR(J1073="DHS",J1073="MICS"),1,0)</f>
        <v>1</v>
      </c>
    </row>
    <row r="1074" customFormat="false" ht="15" hidden="false" customHeight="false" outlineLevel="0" collapsed="false">
      <c r="A1074" s="7" t="s">
        <v>399</v>
      </c>
      <c r="B1074" s="7" t="s">
        <v>414</v>
      </c>
      <c r="C1074" s="7" t="s">
        <v>415</v>
      </c>
      <c r="D1074" s="7" t="n">
        <v>2013</v>
      </c>
      <c r="E1074" s="7" t="s">
        <v>69</v>
      </c>
      <c r="F1074" s="7" t="s">
        <v>78</v>
      </c>
      <c r="G1074" s="7" t="s">
        <v>66</v>
      </c>
      <c r="H1074" s="7" t="n">
        <v>42.6</v>
      </c>
      <c r="I1074" s="7" t="str">
        <f aca="false">IF(B1074="",TRIM(C1074),TRIM(B1074))</f>
        <v>Chad Joint DHS and MICS 2015</v>
      </c>
      <c r="J1074" s="7" t="str">
        <f aca="false">IF(ISNUMBER(SEARCH("Demographic and Health",I1074)),"DHS",IF(OR(ISNUMBER(SEARCH("Multiple Indicator Cluster",I1074)),ISNUMBER(SEARCH("MICS",I1074))),"MICS","Other"))</f>
        <v>MICS</v>
      </c>
      <c r="K1074" s="7" t="n">
        <f aca="false">IF(AND(F1074="Record or Recall",G1074="12-23 m"),1,0)</f>
        <v>0</v>
      </c>
      <c r="L1074" s="7" t="n">
        <f aca="false">IF(OR(J1074="DHS",J1074="MICS"),1,0)</f>
        <v>1</v>
      </c>
    </row>
    <row r="1075" customFormat="false" ht="15" hidden="false" customHeight="false" outlineLevel="0" collapsed="false">
      <c r="A1075" s="7" t="s">
        <v>399</v>
      </c>
      <c r="B1075" s="7" t="s">
        <v>414</v>
      </c>
      <c r="C1075" s="7" t="s">
        <v>415</v>
      </c>
      <c r="D1075" s="7" t="n">
        <v>2013</v>
      </c>
      <c r="E1075" s="7" t="s">
        <v>69</v>
      </c>
      <c r="F1075" s="7" t="s">
        <v>86</v>
      </c>
      <c r="G1075" s="7" t="s">
        <v>66</v>
      </c>
      <c r="H1075" s="7" t="n">
        <v>21.6</v>
      </c>
      <c r="I1075" s="7" t="str">
        <f aca="false">IF(B1075="",TRIM(C1075),TRIM(B1075))</f>
        <v>Chad Joint DHS and MICS 2015</v>
      </c>
      <c r="J1075" s="7" t="str">
        <f aca="false">IF(ISNUMBER(SEARCH("Demographic and Health",I1075)),"DHS",IF(OR(ISNUMBER(SEARCH("Multiple Indicator Cluster",I1075)),ISNUMBER(SEARCH("MICS",I1075))),"MICS","Other"))</f>
        <v>MICS</v>
      </c>
      <c r="K1075" s="7" t="n">
        <f aca="false">IF(AND(F1075="Record or Recall",G1075="12-23 m"),1,0)</f>
        <v>0</v>
      </c>
      <c r="L1075" s="7" t="n">
        <f aca="false">IF(OR(J1075="DHS",J1075="MICS"),1,0)</f>
        <v>1</v>
      </c>
    </row>
    <row r="1076" customFormat="false" ht="15" hidden="false" customHeight="false" outlineLevel="0" collapsed="false">
      <c r="A1076" s="7" t="s">
        <v>399</v>
      </c>
      <c r="B1076" s="7" t="s">
        <v>414</v>
      </c>
      <c r="C1076" s="7" t="s">
        <v>415</v>
      </c>
      <c r="D1076" s="7" t="n">
        <v>2013</v>
      </c>
      <c r="E1076" s="7" t="s">
        <v>69</v>
      </c>
      <c r="F1076" s="7" t="s">
        <v>63</v>
      </c>
      <c r="G1076" s="7" t="s">
        <v>66</v>
      </c>
      <c r="H1076" s="7" t="n">
        <v>49.5</v>
      </c>
      <c r="I1076" s="7" t="str">
        <f aca="false">IF(B1076="",TRIM(C1076),TRIM(B1076))</f>
        <v>Chad Joint DHS and MICS 2015</v>
      </c>
      <c r="J1076" s="7" t="str">
        <f aca="false">IF(ISNUMBER(SEARCH("Demographic and Health",I1076)),"DHS",IF(OR(ISNUMBER(SEARCH("Multiple Indicator Cluster",I1076)),ISNUMBER(SEARCH("MICS",I1076))),"MICS","Other"))</f>
        <v>MICS</v>
      </c>
      <c r="K1076" s="7" t="n">
        <f aca="false">IF(AND(F1076="Record or Recall",G1076="12-23 m"),1,0)</f>
        <v>1</v>
      </c>
      <c r="L1076" s="7" t="n">
        <f aca="false">IF(OR(J1076="DHS",J1076="MICS"),1,0)</f>
        <v>1</v>
      </c>
    </row>
    <row r="1077" customFormat="false" ht="15" hidden="false" customHeight="false" outlineLevel="0" collapsed="false">
      <c r="A1077" s="7" t="s">
        <v>399</v>
      </c>
      <c r="B1077" s="7" t="s">
        <v>416</v>
      </c>
      <c r="C1077" s="7" t="s">
        <v>417</v>
      </c>
      <c r="D1077" s="7" t="n">
        <v>2015</v>
      </c>
      <c r="E1077" s="7" t="s">
        <v>68</v>
      </c>
      <c r="F1077" s="7" t="s">
        <v>86</v>
      </c>
      <c r="G1077" s="7" t="s">
        <v>418</v>
      </c>
      <c r="H1077" s="7" t="n">
        <v>0.8</v>
      </c>
      <c r="I1077" s="7" t="str">
        <f aca="false">IF(B1077="",TRIM(C1077),TRIM(B1077))</f>
        <v>Evaluation of the Vaccination Campaign Against Measles in Chad 2022</v>
      </c>
      <c r="J1077" s="7" t="str">
        <f aca="false">IF(ISNUMBER(SEARCH("Demographic and Health",I1077)),"DHS",IF(OR(ISNUMBER(SEARCH("Multiple Indicator Cluster",I1077)),ISNUMBER(SEARCH("MICS",I1077))),"MICS","Other"))</f>
        <v>Other</v>
      </c>
      <c r="K1077" s="7" t="n">
        <f aca="false">IF(AND(F1077="Record or Recall",G1077="12-23 m"),1,0)</f>
        <v>0</v>
      </c>
      <c r="L1077" s="7" t="n">
        <f aca="false">IF(OR(J1077="DHS",J1077="MICS"),1,0)</f>
        <v>0</v>
      </c>
    </row>
    <row r="1078" customFormat="false" ht="15" hidden="false" customHeight="false" outlineLevel="0" collapsed="false">
      <c r="A1078" s="7" t="s">
        <v>399</v>
      </c>
      <c r="B1078" s="7" t="s">
        <v>416</v>
      </c>
      <c r="C1078" s="7" t="s">
        <v>417</v>
      </c>
      <c r="D1078" s="7" t="n">
        <v>2015</v>
      </c>
      <c r="E1078" s="7" t="s">
        <v>68</v>
      </c>
      <c r="F1078" s="7" t="s">
        <v>63</v>
      </c>
      <c r="G1078" s="7" t="s">
        <v>418</v>
      </c>
      <c r="H1078" s="7" t="n">
        <v>14.9</v>
      </c>
      <c r="I1078" s="7" t="str">
        <f aca="false">IF(B1078="",TRIM(C1078),TRIM(B1078))</f>
        <v>Evaluation of the Vaccination Campaign Against Measles in Chad 2022</v>
      </c>
      <c r="J1078" s="7" t="str">
        <f aca="false">IF(ISNUMBER(SEARCH("Demographic and Health",I1078)),"DHS",IF(OR(ISNUMBER(SEARCH("Multiple Indicator Cluster",I1078)),ISNUMBER(SEARCH("MICS",I1078))),"MICS","Other"))</f>
        <v>Other</v>
      </c>
      <c r="K1078" s="7" t="n">
        <f aca="false">IF(AND(F1078="Record or Recall",G1078="12-23 m"),1,0)</f>
        <v>0</v>
      </c>
      <c r="L1078" s="7" t="n">
        <f aca="false">IF(OR(J1078="DHS",J1078="MICS"),1,0)</f>
        <v>0</v>
      </c>
    </row>
    <row r="1079" customFormat="false" ht="15" hidden="false" customHeight="false" outlineLevel="0" collapsed="false">
      <c r="A1079" s="7" t="s">
        <v>399</v>
      </c>
      <c r="B1079" s="7" t="s">
        <v>416</v>
      </c>
      <c r="C1079" s="7" t="s">
        <v>417</v>
      </c>
      <c r="D1079" s="7" t="n">
        <v>2015</v>
      </c>
      <c r="E1079" s="7" t="s">
        <v>68</v>
      </c>
      <c r="F1079" s="7" t="s">
        <v>87</v>
      </c>
      <c r="G1079" s="7" t="s">
        <v>418</v>
      </c>
      <c r="H1079" s="7" t="n">
        <v>14.1</v>
      </c>
      <c r="I1079" s="7" t="str">
        <f aca="false">IF(B1079="",TRIM(C1079),TRIM(B1079))</f>
        <v>Evaluation of the Vaccination Campaign Against Measles in Chad 2022</v>
      </c>
      <c r="J1079" s="7" t="str">
        <f aca="false">IF(ISNUMBER(SEARCH("Demographic and Health",I1079)),"DHS",IF(OR(ISNUMBER(SEARCH("Multiple Indicator Cluster",I1079)),ISNUMBER(SEARCH("MICS",I1079))),"MICS","Other"))</f>
        <v>Other</v>
      </c>
      <c r="K1079" s="7" t="n">
        <f aca="false">IF(AND(F1079="Record or Recall",G1079="12-23 m"),1,0)</f>
        <v>0</v>
      </c>
      <c r="L1079" s="7" t="n">
        <f aca="false">IF(OR(J1079="DHS",J1079="MICS"),1,0)</f>
        <v>0</v>
      </c>
    </row>
    <row r="1080" customFormat="false" ht="15" hidden="false" customHeight="false" outlineLevel="0" collapsed="false">
      <c r="A1080" s="7" t="s">
        <v>399</v>
      </c>
      <c r="B1080" s="7" t="s">
        <v>419</v>
      </c>
      <c r="C1080" s="7" t="s">
        <v>420</v>
      </c>
      <c r="D1080" s="7" t="n">
        <v>2016</v>
      </c>
      <c r="E1080" s="7" t="s">
        <v>62</v>
      </c>
      <c r="F1080" s="7" t="s">
        <v>86</v>
      </c>
      <c r="G1080" s="7" t="s">
        <v>66</v>
      </c>
      <c r="H1080" s="7" t="n">
        <v>23</v>
      </c>
      <c r="I1080" s="7" t="str">
        <f aca="false">IF(B1080="",TRIM(C1080),TRIM(B1080))</f>
        <v>Chad Vaccination Coverage Survey 2017</v>
      </c>
      <c r="J1080" s="7" t="str">
        <f aca="false">IF(ISNUMBER(SEARCH("Demographic and Health",I1080)),"DHS",IF(OR(ISNUMBER(SEARCH("Multiple Indicator Cluster",I1080)),ISNUMBER(SEARCH("MICS",I1080))),"MICS","Other"))</f>
        <v>Other</v>
      </c>
      <c r="K1080" s="7" t="n">
        <f aca="false">IF(AND(F1080="Record or Recall",G1080="12-23 m"),1,0)</f>
        <v>0</v>
      </c>
      <c r="L1080" s="7" t="n">
        <f aca="false">IF(OR(J1080="DHS",J1080="MICS"),1,0)</f>
        <v>0</v>
      </c>
    </row>
    <row r="1081" customFormat="false" ht="15" hidden="false" customHeight="false" outlineLevel="0" collapsed="false">
      <c r="A1081" s="7" t="s">
        <v>399</v>
      </c>
      <c r="B1081" s="7" t="s">
        <v>419</v>
      </c>
      <c r="C1081" s="7" t="s">
        <v>420</v>
      </c>
      <c r="D1081" s="7" t="n">
        <v>2016</v>
      </c>
      <c r="E1081" s="7" t="s">
        <v>62</v>
      </c>
      <c r="F1081" s="7" t="s">
        <v>63</v>
      </c>
      <c r="G1081" s="7" t="s">
        <v>66</v>
      </c>
      <c r="H1081" s="7" t="n">
        <v>59</v>
      </c>
      <c r="I1081" s="7" t="str">
        <f aca="false">IF(B1081="",TRIM(C1081),TRIM(B1081))</f>
        <v>Chad Vaccination Coverage Survey 2017</v>
      </c>
      <c r="J1081" s="7" t="str">
        <f aca="false">IF(ISNUMBER(SEARCH("Demographic and Health",I1081)),"DHS",IF(OR(ISNUMBER(SEARCH("Multiple Indicator Cluster",I1081)),ISNUMBER(SEARCH("MICS",I1081))),"MICS","Other"))</f>
        <v>Other</v>
      </c>
      <c r="K1081" s="7" t="n">
        <f aca="false">IF(AND(F1081="Record or Recall",G1081="12-23 m"),1,0)</f>
        <v>1</v>
      </c>
      <c r="L1081" s="7" t="n">
        <f aca="false">IF(OR(J1081="DHS",J1081="MICS"),1,0)</f>
        <v>0</v>
      </c>
    </row>
    <row r="1082" customFormat="false" ht="15" hidden="false" customHeight="false" outlineLevel="0" collapsed="false">
      <c r="A1082" s="7" t="s">
        <v>399</v>
      </c>
      <c r="B1082" s="7" t="s">
        <v>419</v>
      </c>
      <c r="C1082" s="7" t="s">
        <v>420</v>
      </c>
      <c r="D1082" s="7" t="n">
        <v>2016</v>
      </c>
      <c r="E1082" s="7" t="s">
        <v>81</v>
      </c>
      <c r="F1082" s="7" t="s">
        <v>86</v>
      </c>
      <c r="G1082" s="7" t="s">
        <v>66</v>
      </c>
      <c r="H1082" s="7" t="n">
        <v>24</v>
      </c>
      <c r="I1082" s="7" t="str">
        <f aca="false">IF(B1082="",TRIM(C1082),TRIM(B1082))</f>
        <v>Chad Vaccination Coverage Survey 2017</v>
      </c>
      <c r="J1082" s="7" t="str">
        <f aca="false">IF(ISNUMBER(SEARCH("Demographic and Health",I1082)),"DHS",IF(OR(ISNUMBER(SEARCH("Multiple Indicator Cluster",I1082)),ISNUMBER(SEARCH("MICS",I1082))),"MICS","Other"))</f>
        <v>Other</v>
      </c>
      <c r="K1082" s="7" t="n">
        <f aca="false">IF(AND(F1082="Record or Recall",G1082="12-23 m"),1,0)</f>
        <v>0</v>
      </c>
      <c r="L1082" s="7" t="n">
        <f aca="false">IF(OR(J1082="DHS",J1082="MICS"),1,0)</f>
        <v>0</v>
      </c>
    </row>
    <row r="1083" customFormat="false" ht="15" hidden="false" customHeight="false" outlineLevel="0" collapsed="false">
      <c r="A1083" s="7" t="s">
        <v>399</v>
      </c>
      <c r="B1083" s="7" t="s">
        <v>419</v>
      </c>
      <c r="C1083" s="7" t="s">
        <v>420</v>
      </c>
      <c r="D1083" s="7" t="n">
        <v>2016</v>
      </c>
      <c r="E1083" s="7" t="s">
        <v>81</v>
      </c>
      <c r="F1083" s="7" t="s">
        <v>63</v>
      </c>
      <c r="G1083" s="7" t="s">
        <v>66</v>
      </c>
      <c r="H1083" s="7" t="n">
        <v>55</v>
      </c>
      <c r="I1083" s="7" t="str">
        <f aca="false">IF(B1083="",TRIM(C1083),TRIM(B1083))</f>
        <v>Chad Vaccination Coverage Survey 2017</v>
      </c>
      <c r="J1083" s="7" t="str">
        <f aca="false">IF(ISNUMBER(SEARCH("Demographic and Health",I1083)),"DHS",IF(OR(ISNUMBER(SEARCH("Multiple Indicator Cluster",I1083)),ISNUMBER(SEARCH("MICS",I1083))),"MICS","Other"))</f>
        <v>Other</v>
      </c>
      <c r="K1083" s="7" t="n">
        <f aca="false">IF(AND(F1083="Record or Recall",G1083="12-23 m"),1,0)</f>
        <v>1</v>
      </c>
      <c r="L1083" s="7" t="n">
        <f aca="false">IF(OR(J1083="DHS",J1083="MICS"),1,0)</f>
        <v>0</v>
      </c>
    </row>
    <row r="1084" customFormat="false" ht="15" hidden="false" customHeight="false" outlineLevel="0" collapsed="false">
      <c r="A1084" s="7" t="s">
        <v>399</v>
      </c>
      <c r="B1084" s="7" t="s">
        <v>419</v>
      </c>
      <c r="C1084" s="7" t="s">
        <v>420</v>
      </c>
      <c r="D1084" s="7" t="n">
        <v>2016</v>
      </c>
      <c r="E1084" s="7" t="s">
        <v>67</v>
      </c>
      <c r="F1084" s="7" t="s">
        <v>86</v>
      </c>
      <c r="G1084" s="7" t="s">
        <v>66</v>
      </c>
      <c r="H1084" s="7" t="n">
        <v>18</v>
      </c>
      <c r="I1084" s="7" t="str">
        <f aca="false">IF(B1084="",TRIM(C1084),TRIM(B1084))</f>
        <v>Chad Vaccination Coverage Survey 2017</v>
      </c>
      <c r="J1084" s="7" t="str">
        <f aca="false">IF(ISNUMBER(SEARCH("Demographic and Health",I1084)),"DHS",IF(OR(ISNUMBER(SEARCH("Multiple Indicator Cluster",I1084)),ISNUMBER(SEARCH("MICS",I1084))),"MICS","Other"))</f>
        <v>Other</v>
      </c>
      <c r="K1084" s="7" t="n">
        <f aca="false">IF(AND(F1084="Record or Recall",G1084="12-23 m"),1,0)</f>
        <v>0</v>
      </c>
      <c r="L1084" s="7" t="n">
        <f aca="false">IF(OR(J1084="DHS",J1084="MICS"),1,0)</f>
        <v>0</v>
      </c>
    </row>
    <row r="1085" customFormat="false" ht="15" hidden="false" customHeight="false" outlineLevel="0" collapsed="false">
      <c r="A1085" s="7" t="s">
        <v>399</v>
      </c>
      <c r="B1085" s="7" t="s">
        <v>419</v>
      </c>
      <c r="C1085" s="7" t="s">
        <v>420</v>
      </c>
      <c r="D1085" s="7" t="n">
        <v>2016</v>
      </c>
      <c r="E1085" s="7" t="s">
        <v>67</v>
      </c>
      <c r="F1085" s="7" t="s">
        <v>63</v>
      </c>
      <c r="G1085" s="7" t="s">
        <v>66</v>
      </c>
      <c r="H1085" s="7" t="n">
        <v>37</v>
      </c>
      <c r="I1085" s="7" t="str">
        <f aca="false">IF(B1085="",TRIM(C1085),TRIM(B1085))</f>
        <v>Chad Vaccination Coverage Survey 2017</v>
      </c>
      <c r="J1085" s="7" t="str">
        <f aca="false">IF(ISNUMBER(SEARCH("Demographic and Health",I1085)),"DHS",IF(OR(ISNUMBER(SEARCH("Multiple Indicator Cluster",I1085)),ISNUMBER(SEARCH("MICS",I1085))),"MICS","Other"))</f>
        <v>Other</v>
      </c>
      <c r="K1085" s="7" t="n">
        <f aca="false">IF(AND(F1085="Record or Recall",G1085="12-23 m"),1,0)</f>
        <v>1</v>
      </c>
      <c r="L1085" s="7" t="n">
        <f aca="false">IF(OR(J1085="DHS",J1085="MICS"),1,0)</f>
        <v>0</v>
      </c>
    </row>
    <row r="1086" customFormat="false" ht="15" hidden="false" customHeight="false" outlineLevel="0" collapsed="false">
      <c r="A1086" s="7" t="s">
        <v>399</v>
      </c>
      <c r="B1086" s="7" t="s">
        <v>419</v>
      </c>
      <c r="C1086" s="7" t="s">
        <v>420</v>
      </c>
      <c r="D1086" s="7" t="n">
        <v>2016</v>
      </c>
      <c r="E1086" s="7" t="s">
        <v>68</v>
      </c>
      <c r="F1086" s="7" t="s">
        <v>86</v>
      </c>
      <c r="G1086" s="7" t="s">
        <v>66</v>
      </c>
      <c r="H1086" s="7" t="n">
        <v>15</v>
      </c>
      <c r="I1086" s="7" t="str">
        <f aca="false">IF(B1086="",TRIM(C1086),TRIM(B1086))</f>
        <v>Chad Vaccination Coverage Survey 2017</v>
      </c>
      <c r="J1086" s="7" t="str">
        <f aca="false">IF(ISNUMBER(SEARCH("Demographic and Health",I1086)),"DHS",IF(OR(ISNUMBER(SEARCH("Multiple Indicator Cluster",I1086)),ISNUMBER(SEARCH("MICS",I1086))),"MICS","Other"))</f>
        <v>Other</v>
      </c>
      <c r="K1086" s="7" t="n">
        <f aca="false">IF(AND(F1086="Record or Recall",G1086="12-23 m"),1,0)</f>
        <v>0</v>
      </c>
      <c r="L1086" s="7" t="n">
        <f aca="false">IF(OR(J1086="DHS",J1086="MICS"),1,0)</f>
        <v>0</v>
      </c>
    </row>
    <row r="1087" customFormat="false" ht="15" hidden="false" customHeight="false" outlineLevel="0" collapsed="false">
      <c r="A1087" s="7" t="s">
        <v>399</v>
      </c>
      <c r="B1087" s="7" t="s">
        <v>419</v>
      </c>
      <c r="C1087" s="7" t="s">
        <v>420</v>
      </c>
      <c r="D1087" s="7" t="n">
        <v>2016</v>
      </c>
      <c r="E1087" s="7" t="s">
        <v>68</v>
      </c>
      <c r="F1087" s="7" t="s">
        <v>63</v>
      </c>
      <c r="G1087" s="7" t="s">
        <v>66</v>
      </c>
      <c r="H1087" s="7" t="n">
        <v>37</v>
      </c>
      <c r="I1087" s="7" t="str">
        <f aca="false">IF(B1087="",TRIM(C1087),TRIM(B1087))</f>
        <v>Chad Vaccination Coverage Survey 2017</v>
      </c>
      <c r="J1087" s="7" t="str">
        <f aca="false">IF(ISNUMBER(SEARCH("Demographic and Health",I1087)),"DHS",IF(OR(ISNUMBER(SEARCH("Multiple Indicator Cluster",I1087)),ISNUMBER(SEARCH("MICS",I1087))),"MICS","Other"))</f>
        <v>Other</v>
      </c>
      <c r="K1087" s="7" t="n">
        <f aca="false">IF(AND(F1087="Record or Recall",G1087="12-23 m"),1,0)</f>
        <v>1</v>
      </c>
      <c r="L1087" s="7" t="n">
        <f aca="false">IF(OR(J1087="DHS",J1087="MICS"),1,0)</f>
        <v>0</v>
      </c>
    </row>
    <row r="1088" customFormat="false" ht="15" hidden="false" customHeight="false" outlineLevel="0" collapsed="false">
      <c r="A1088" s="7" t="s">
        <v>399</v>
      </c>
      <c r="B1088" s="7" t="s">
        <v>419</v>
      </c>
      <c r="C1088" s="7" t="s">
        <v>420</v>
      </c>
      <c r="D1088" s="7" t="n">
        <v>2016</v>
      </c>
      <c r="E1088" s="7" t="s">
        <v>69</v>
      </c>
      <c r="F1088" s="7" t="s">
        <v>86</v>
      </c>
      <c r="G1088" s="7" t="s">
        <v>66</v>
      </c>
      <c r="H1088" s="7" t="n">
        <v>16</v>
      </c>
      <c r="I1088" s="7" t="str">
        <f aca="false">IF(B1088="",TRIM(C1088),TRIM(B1088))</f>
        <v>Chad Vaccination Coverage Survey 2017</v>
      </c>
      <c r="J1088" s="7" t="str">
        <f aca="false">IF(ISNUMBER(SEARCH("Demographic and Health",I1088)),"DHS",IF(OR(ISNUMBER(SEARCH("Multiple Indicator Cluster",I1088)),ISNUMBER(SEARCH("MICS",I1088))),"MICS","Other"))</f>
        <v>Other</v>
      </c>
      <c r="K1088" s="7" t="n">
        <f aca="false">IF(AND(F1088="Record or Recall",G1088="12-23 m"),1,0)</f>
        <v>0</v>
      </c>
      <c r="L1088" s="7" t="n">
        <f aca="false">IF(OR(J1088="DHS",J1088="MICS"),1,0)</f>
        <v>0</v>
      </c>
    </row>
    <row r="1089" customFormat="false" ht="15" hidden="false" customHeight="false" outlineLevel="0" collapsed="false">
      <c r="A1089" s="7" t="s">
        <v>399</v>
      </c>
      <c r="B1089" s="7" t="s">
        <v>419</v>
      </c>
      <c r="C1089" s="7" t="s">
        <v>420</v>
      </c>
      <c r="D1089" s="7" t="n">
        <v>2016</v>
      </c>
      <c r="E1089" s="7" t="s">
        <v>69</v>
      </c>
      <c r="F1089" s="7" t="s">
        <v>63</v>
      </c>
      <c r="G1089" s="7" t="s">
        <v>66</v>
      </c>
      <c r="H1089" s="7" t="n">
        <v>43</v>
      </c>
      <c r="I1089" s="7" t="str">
        <f aca="false">IF(B1089="",TRIM(C1089),TRIM(B1089))</f>
        <v>Chad Vaccination Coverage Survey 2017</v>
      </c>
      <c r="J1089" s="7" t="str">
        <f aca="false">IF(ISNUMBER(SEARCH("Demographic and Health",I1089)),"DHS",IF(OR(ISNUMBER(SEARCH("Multiple Indicator Cluster",I1089)),ISNUMBER(SEARCH("MICS",I1089))),"MICS","Other"))</f>
        <v>Other</v>
      </c>
      <c r="K1089" s="7" t="n">
        <f aca="false">IF(AND(F1089="Record or Recall",G1089="12-23 m"),1,0)</f>
        <v>1</v>
      </c>
      <c r="L1089" s="7" t="n">
        <f aca="false">IF(OR(J1089="DHS",J1089="MICS"),1,0)</f>
        <v>0</v>
      </c>
    </row>
    <row r="1090" customFormat="false" ht="15" hidden="false" customHeight="false" outlineLevel="0" collapsed="false">
      <c r="A1090" s="7" t="s">
        <v>399</v>
      </c>
      <c r="B1090" s="7" t="s">
        <v>416</v>
      </c>
      <c r="C1090" s="7" t="s">
        <v>417</v>
      </c>
      <c r="D1090" s="7" t="n">
        <v>2016</v>
      </c>
      <c r="E1090" s="7" t="s">
        <v>68</v>
      </c>
      <c r="F1090" s="7" t="s">
        <v>86</v>
      </c>
      <c r="G1090" s="7" t="s">
        <v>421</v>
      </c>
      <c r="H1090" s="7" t="n">
        <v>1.7</v>
      </c>
      <c r="I1090" s="7" t="str">
        <f aca="false">IF(B1090="",TRIM(C1090),TRIM(B1090))</f>
        <v>Evaluation of the Vaccination Campaign Against Measles in Chad 2022</v>
      </c>
      <c r="J1090" s="7" t="str">
        <f aca="false">IF(ISNUMBER(SEARCH("Demographic and Health",I1090)),"DHS",IF(OR(ISNUMBER(SEARCH("Multiple Indicator Cluster",I1090)),ISNUMBER(SEARCH("MICS",I1090))),"MICS","Other"))</f>
        <v>Other</v>
      </c>
      <c r="K1090" s="7" t="n">
        <f aca="false">IF(AND(F1090="Record or Recall",G1090="12-23 m"),1,0)</f>
        <v>0</v>
      </c>
      <c r="L1090" s="7" t="n">
        <f aca="false">IF(OR(J1090="DHS",J1090="MICS"),1,0)</f>
        <v>0</v>
      </c>
    </row>
    <row r="1091" customFormat="false" ht="15" hidden="false" customHeight="false" outlineLevel="0" collapsed="false">
      <c r="A1091" s="7" t="s">
        <v>399</v>
      </c>
      <c r="B1091" s="7" t="s">
        <v>416</v>
      </c>
      <c r="C1091" s="7" t="s">
        <v>417</v>
      </c>
      <c r="D1091" s="7" t="n">
        <v>2016</v>
      </c>
      <c r="E1091" s="7" t="s">
        <v>68</v>
      </c>
      <c r="F1091" s="7" t="s">
        <v>63</v>
      </c>
      <c r="G1091" s="7" t="s">
        <v>421</v>
      </c>
      <c r="H1091" s="7" t="n">
        <v>17.4</v>
      </c>
      <c r="I1091" s="7" t="str">
        <f aca="false">IF(B1091="",TRIM(C1091),TRIM(B1091))</f>
        <v>Evaluation of the Vaccination Campaign Against Measles in Chad 2022</v>
      </c>
      <c r="J1091" s="7" t="str">
        <f aca="false">IF(ISNUMBER(SEARCH("Demographic and Health",I1091)),"DHS",IF(OR(ISNUMBER(SEARCH("Multiple Indicator Cluster",I1091)),ISNUMBER(SEARCH("MICS",I1091))),"MICS","Other"))</f>
        <v>Other</v>
      </c>
      <c r="K1091" s="7" t="n">
        <f aca="false">IF(AND(F1091="Record or Recall",G1091="12-23 m"),1,0)</f>
        <v>0</v>
      </c>
      <c r="L1091" s="7" t="n">
        <f aca="false">IF(OR(J1091="DHS",J1091="MICS"),1,0)</f>
        <v>0</v>
      </c>
    </row>
    <row r="1092" customFormat="false" ht="15" hidden="false" customHeight="false" outlineLevel="0" collapsed="false">
      <c r="A1092" s="7" t="s">
        <v>399</v>
      </c>
      <c r="B1092" s="7" t="s">
        <v>416</v>
      </c>
      <c r="C1092" s="7" t="s">
        <v>417</v>
      </c>
      <c r="D1092" s="7" t="n">
        <v>2016</v>
      </c>
      <c r="E1092" s="7" t="s">
        <v>68</v>
      </c>
      <c r="F1092" s="7" t="s">
        <v>87</v>
      </c>
      <c r="G1092" s="7" t="s">
        <v>421</v>
      </c>
      <c r="H1092" s="7" t="n">
        <v>15.7</v>
      </c>
      <c r="I1092" s="7" t="str">
        <f aca="false">IF(B1092="",TRIM(C1092),TRIM(B1092))</f>
        <v>Evaluation of the Vaccination Campaign Against Measles in Chad 2022</v>
      </c>
      <c r="J1092" s="7" t="str">
        <f aca="false">IF(ISNUMBER(SEARCH("Demographic and Health",I1092)),"DHS",IF(OR(ISNUMBER(SEARCH("Multiple Indicator Cluster",I1092)),ISNUMBER(SEARCH("MICS",I1092))),"MICS","Other"))</f>
        <v>Other</v>
      </c>
      <c r="K1092" s="7" t="n">
        <f aca="false">IF(AND(F1092="Record or Recall",G1092="12-23 m"),1,0)</f>
        <v>0</v>
      </c>
      <c r="L1092" s="7" t="n">
        <f aca="false">IF(OR(J1092="DHS",J1092="MICS"),1,0)</f>
        <v>0</v>
      </c>
    </row>
    <row r="1093" customFormat="false" ht="15" hidden="false" customHeight="false" outlineLevel="0" collapsed="false">
      <c r="A1093" s="7" t="s">
        <v>399</v>
      </c>
      <c r="B1093" s="7" t="s">
        <v>416</v>
      </c>
      <c r="C1093" s="7" t="s">
        <v>417</v>
      </c>
      <c r="D1093" s="7" t="n">
        <v>2017</v>
      </c>
      <c r="E1093" s="7" t="s">
        <v>68</v>
      </c>
      <c r="F1093" s="7" t="s">
        <v>86</v>
      </c>
      <c r="G1093" s="7" t="s">
        <v>80</v>
      </c>
      <c r="H1093" s="7" t="n">
        <v>1.9</v>
      </c>
      <c r="I1093" s="7" t="str">
        <f aca="false">IF(B1093="",TRIM(C1093),TRIM(B1093))</f>
        <v>Evaluation of the Vaccination Campaign Against Measles in Chad 2022</v>
      </c>
      <c r="J1093" s="7" t="str">
        <f aca="false">IF(ISNUMBER(SEARCH("Demographic and Health",I1093)),"DHS",IF(OR(ISNUMBER(SEARCH("Multiple Indicator Cluster",I1093)),ISNUMBER(SEARCH("MICS",I1093))),"MICS","Other"))</f>
        <v>Other</v>
      </c>
      <c r="K1093" s="7" t="n">
        <f aca="false">IF(AND(F1093="Record or Recall",G1093="12-23 m"),1,0)</f>
        <v>0</v>
      </c>
      <c r="L1093" s="7" t="n">
        <f aca="false">IF(OR(J1093="DHS",J1093="MICS"),1,0)</f>
        <v>0</v>
      </c>
    </row>
    <row r="1094" customFormat="false" ht="15" hidden="false" customHeight="false" outlineLevel="0" collapsed="false">
      <c r="A1094" s="7" t="s">
        <v>399</v>
      </c>
      <c r="B1094" s="7" t="s">
        <v>416</v>
      </c>
      <c r="C1094" s="7" t="s">
        <v>417</v>
      </c>
      <c r="D1094" s="7" t="n">
        <v>2017</v>
      </c>
      <c r="E1094" s="7" t="s">
        <v>68</v>
      </c>
      <c r="F1094" s="7" t="s">
        <v>63</v>
      </c>
      <c r="G1094" s="7" t="s">
        <v>80</v>
      </c>
      <c r="H1094" s="7" t="n">
        <v>21.9</v>
      </c>
      <c r="I1094" s="7" t="str">
        <f aca="false">IF(B1094="",TRIM(C1094),TRIM(B1094))</f>
        <v>Evaluation of the Vaccination Campaign Against Measles in Chad 2022</v>
      </c>
      <c r="J1094" s="7" t="str">
        <f aca="false">IF(ISNUMBER(SEARCH("Demographic and Health",I1094)),"DHS",IF(OR(ISNUMBER(SEARCH("Multiple Indicator Cluster",I1094)),ISNUMBER(SEARCH("MICS",I1094))),"MICS","Other"))</f>
        <v>Other</v>
      </c>
      <c r="K1094" s="7" t="n">
        <f aca="false">IF(AND(F1094="Record or Recall",G1094="12-23 m"),1,0)</f>
        <v>0</v>
      </c>
      <c r="L1094" s="7" t="n">
        <f aca="false">IF(OR(J1094="DHS",J1094="MICS"),1,0)</f>
        <v>0</v>
      </c>
    </row>
    <row r="1095" customFormat="false" ht="15" hidden="false" customHeight="false" outlineLevel="0" collapsed="false">
      <c r="A1095" s="7" t="s">
        <v>399</v>
      </c>
      <c r="B1095" s="7" t="s">
        <v>416</v>
      </c>
      <c r="C1095" s="7" t="s">
        <v>417</v>
      </c>
      <c r="D1095" s="7" t="n">
        <v>2017</v>
      </c>
      <c r="E1095" s="7" t="s">
        <v>68</v>
      </c>
      <c r="F1095" s="7" t="s">
        <v>87</v>
      </c>
      <c r="G1095" s="7" t="s">
        <v>80</v>
      </c>
      <c r="H1095" s="7" t="n">
        <v>20</v>
      </c>
      <c r="I1095" s="7" t="str">
        <f aca="false">IF(B1095="",TRIM(C1095),TRIM(B1095))</f>
        <v>Evaluation of the Vaccination Campaign Against Measles in Chad 2022</v>
      </c>
      <c r="J1095" s="7" t="str">
        <f aca="false">IF(ISNUMBER(SEARCH("Demographic and Health",I1095)),"DHS",IF(OR(ISNUMBER(SEARCH("Multiple Indicator Cluster",I1095)),ISNUMBER(SEARCH("MICS",I1095))),"MICS","Other"))</f>
        <v>Other</v>
      </c>
      <c r="K1095" s="7" t="n">
        <f aca="false">IF(AND(F1095="Record or Recall",G1095="12-23 m"),1,0)</f>
        <v>0</v>
      </c>
      <c r="L1095" s="7" t="n">
        <f aca="false">IF(OR(J1095="DHS",J1095="MICS"),1,0)</f>
        <v>0</v>
      </c>
    </row>
    <row r="1096" customFormat="false" ht="15" hidden="false" customHeight="false" outlineLevel="0" collapsed="false">
      <c r="A1096" s="7" t="s">
        <v>399</v>
      </c>
      <c r="B1096" s="7" t="s">
        <v>416</v>
      </c>
      <c r="C1096" s="7" t="s">
        <v>417</v>
      </c>
      <c r="D1096" s="7" t="n">
        <v>2018</v>
      </c>
      <c r="E1096" s="7" t="s">
        <v>68</v>
      </c>
      <c r="F1096" s="7" t="s">
        <v>86</v>
      </c>
      <c r="G1096" s="7" t="s">
        <v>88</v>
      </c>
      <c r="H1096" s="7" t="n">
        <v>2.5</v>
      </c>
      <c r="I1096" s="7" t="str">
        <f aca="false">IF(B1096="",TRIM(C1096),TRIM(B1096))</f>
        <v>Evaluation of the Vaccination Campaign Against Measles in Chad 2022</v>
      </c>
      <c r="J1096" s="7" t="str">
        <f aca="false">IF(ISNUMBER(SEARCH("Demographic and Health",I1096)),"DHS",IF(OR(ISNUMBER(SEARCH("Multiple Indicator Cluster",I1096)),ISNUMBER(SEARCH("MICS",I1096))),"MICS","Other"))</f>
        <v>Other</v>
      </c>
      <c r="K1096" s="7" t="n">
        <f aca="false">IF(AND(F1096="Record or Recall",G1096="12-23 m"),1,0)</f>
        <v>0</v>
      </c>
      <c r="L1096" s="7" t="n">
        <f aca="false">IF(OR(J1096="DHS",J1096="MICS"),1,0)</f>
        <v>0</v>
      </c>
    </row>
    <row r="1097" customFormat="false" ht="15" hidden="false" customHeight="false" outlineLevel="0" collapsed="false">
      <c r="A1097" s="7" t="s">
        <v>399</v>
      </c>
      <c r="B1097" s="7" t="s">
        <v>416</v>
      </c>
      <c r="C1097" s="7" t="s">
        <v>417</v>
      </c>
      <c r="D1097" s="7" t="n">
        <v>2018</v>
      </c>
      <c r="E1097" s="7" t="s">
        <v>68</v>
      </c>
      <c r="F1097" s="7" t="s">
        <v>63</v>
      </c>
      <c r="G1097" s="7" t="s">
        <v>88</v>
      </c>
      <c r="H1097" s="7" t="n">
        <v>26.5</v>
      </c>
      <c r="I1097" s="7" t="str">
        <f aca="false">IF(B1097="",TRIM(C1097),TRIM(B1097))</f>
        <v>Evaluation of the Vaccination Campaign Against Measles in Chad 2022</v>
      </c>
      <c r="J1097" s="7" t="str">
        <f aca="false">IF(ISNUMBER(SEARCH("Demographic and Health",I1097)),"DHS",IF(OR(ISNUMBER(SEARCH("Multiple Indicator Cluster",I1097)),ISNUMBER(SEARCH("MICS",I1097))),"MICS","Other"))</f>
        <v>Other</v>
      </c>
      <c r="K1097" s="7" t="n">
        <f aca="false">IF(AND(F1097="Record or Recall",G1097="12-23 m"),1,0)</f>
        <v>0</v>
      </c>
      <c r="L1097" s="7" t="n">
        <f aca="false">IF(OR(J1097="DHS",J1097="MICS"),1,0)</f>
        <v>0</v>
      </c>
    </row>
    <row r="1098" customFormat="false" ht="15" hidden="false" customHeight="false" outlineLevel="0" collapsed="false">
      <c r="A1098" s="7" t="s">
        <v>399</v>
      </c>
      <c r="B1098" s="7" t="s">
        <v>416</v>
      </c>
      <c r="C1098" s="7" t="s">
        <v>417</v>
      </c>
      <c r="D1098" s="7" t="n">
        <v>2018</v>
      </c>
      <c r="E1098" s="7" t="s">
        <v>68</v>
      </c>
      <c r="F1098" s="7" t="s">
        <v>87</v>
      </c>
      <c r="G1098" s="7" t="s">
        <v>88</v>
      </c>
      <c r="H1098" s="7" t="n">
        <v>24</v>
      </c>
      <c r="I1098" s="7" t="str">
        <f aca="false">IF(B1098="",TRIM(C1098),TRIM(B1098))</f>
        <v>Evaluation of the Vaccination Campaign Against Measles in Chad 2022</v>
      </c>
      <c r="J1098" s="7" t="str">
        <f aca="false">IF(ISNUMBER(SEARCH("Demographic and Health",I1098)),"DHS",IF(OR(ISNUMBER(SEARCH("Multiple Indicator Cluster",I1098)),ISNUMBER(SEARCH("MICS",I1098))),"MICS","Other"))</f>
        <v>Other</v>
      </c>
      <c r="K1098" s="7" t="n">
        <f aca="false">IF(AND(F1098="Record or Recall",G1098="12-23 m"),1,0)</f>
        <v>0</v>
      </c>
      <c r="L1098" s="7" t="n">
        <f aca="false">IF(OR(J1098="DHS",J1098="MICS"),1,0)</f>
        <v>0</v>
      </c>
    </row>
    <row r="1099" customFormat="false" ht="15" hidden="false" customHeight="false" outlineLevel="0" collapsed="false">
      <c r="A1099" s="7" t="s">
        <v>399</v>
      </c>
      <c r="B1099" s="7" t="s">
        <v>416</v>
      </c>
      <c r="C1099" s="7" t="s">
        <v>417</v>
      </c>
      <c r="D1099" s="7" t="n">
        <v>2019</v>
      </c>
      <c r="E1099" s="7" t="s">
        <v>68</v>
      </c>
      <c r="F1099" s="7" t="s">
        <v>86</v>
      </c>
      <c r="G1099" s="7" t="s">
        <v>91</v>
      </c>
      <c r="H1099" s="7" t="n">
        <v>1.9</v>
      </c>
      <c r="I1099" s="7" t="str">
        <f aca="false">IF(B1099="",TRIM(C1099),TRIM(B1099))</f>
        <v>Evaluation of the Vaccination Campaign Against Measles in Chad 2022</v>
      </c>
      <c r="J1099" s="7" t="str">
        <f aca="false">IF(ISNUMBER(SEARCH("Demographic and Health",I1099)),"DHS",IF(OR(ISNUMBER(SEARCH("Multiple Indicator Cluster",I1099)),ISNUMBER(SEARCH("MICS",I1099))),"MICS","Other"))</f>
        <v>Other</v>
      </c>
      <c r="K1099" s="7" t="n">
        <f aca="false">IF(AND(F1099="Record or Recall",G1099="12-23 m"),1,0)</f>
        <v>0</v>
      </c>
      <c r="L1099" s="7" t="n">
        <f aca="false">IF(OR(J1099="DHS",J1099="MICS"),1,0)</f>
        <v>0</v>
      </c>
    </row>
    <row r="1100" customFormat="false" ht="15" hidden="false" customHeight="false" outlineLevel="0" collapsed="false">
      <c r="A1100" s="7" t="s">
        <v>399</v>
      </c>
      <c r="B1100" s="7" t="s">
        <v>416</v>
      </c>
      <c r="C1100" s="7" t="s">
        <v>417</v>
      </c>
      <c r="D1100" s="7" t="n">
        <v>2019</v>
      </c>
      <c r="E1100" s="7" t="s">
        <v>68</v>
      </c>
      <c r="F1100" s="7" t="s">
        <v>63</v>
      </c>
      <c r="G1100" s="7" t="s">
        <v>91</v>
      </c>
      <c r="H1100" s="7" t="n">
        <v>28.2</v>
      </c>
      <c r="I1100" s="7" t="str">
        <f aca="false">IF(B1100="",TRIM(C1100),TRIM(B1100))</f>
        <v>Evaluation of the Vaccination Campaign Against Measles in Chad 2022</v>
      </c>
      <c r="J1100" s="7" t="str">
        <f aca="false">IF(ISNUMBER(SEARCH("Demographic and Health",I1100)),"DHS",IF(OR(ISNUMBER(SEARCH("Multiple Indicator Cluster",I1100)),ISNUMBER(SEARCH("MICS",I1100))),"MICS","Other"))</f>
        <v>Other</v>
      </c>
      <c r="K1100" s="7" t="n">
        <f aca="false">IF(AND(F1100="Record or Recall",G1100="12-23 m"),1,0)</f>
        <v>0</v>
      </c>
      <c r="L1100" s="7" t="n">
        <f aca="false">IF(OR(J1100="DHS",J1100="MICS"),1,0)</f>
        <v>0</v>
      </c>
    </row>
    <row r="1101" customFormat="false" ht="15" hidden="false" customHeight="false" outlineLevel="0" collapsed="false">
      <c r="A1101" s="7" t="s">
        <v>399</v>
      </c>
      <c r="B1101" s="7" t="s">
        <v>416</v>
      </c>
      <c r="C1101" s="7" t="s">
        <v>417</v>
      </c>
      <c r="D1101" s="7" t="n">
        <v>2019</v>
      </c>
      <c r="E1101" s="7" t="s">
        <v>68</v>
      </c>
      <c r="F1101" s="7" t="s">
        <v>87</v>
      </c>
      <c r="G1101" s="7" t="s">
        <v>91</v>
      </c>
      <c r="H1101" s="7" t="n">
        <v>23.6</v>
      </c>
      <c r="I1101" s="7" t="str">
        <f aca="false">IF(B1101="",TRIM(C1101),TRIM(B1101))</f>
        <v>Evaluation of the Vaccination Campaign Against Measles in Chad 2022</v>
      </c>
      <c r="J1101" s="7" t="str">
        <f aca="false">IF(ISNUMBER(SEARCH("Demographic and Health",I1101)),"DHS",IF(OR(ISNUMBER(SEARCH("Multiple Indicator Cluster",I1101)),ISNUMBER(SEARCH("MICS",I1101))),"MICS","Other"))</f>
        <v>Other</v>
      </c>
      <c r="K1101" s="7" t="n">
        <f aca="false">IF(AND(F1101="Record or Recall",G1101="12-23 m"),1,0)</f>
        <v>0</v>
      </c>
      <c r="L1101" s="7" t="n">
        <f aca="false">IF(OR(J1101="DHS",J1101="MICS"),1,0)</f>
        <v>0</v>
      </c>
    </row>
    <row r="1102" customFormat="false" ht="15" hidden="false" customHeight="false" outlineLevel="0" collapsed="false">
      <c r="A1102" s="7" t="s">
        <v>399</v>
      </c>
      <c r="B1102" s="7" t="s">
        <v>416</v>
      </c>
      <c r="C1102" s="7" t="s">
        <v>417</v>
      </c>
      <c r="D1102" s="7" t="n">
        <v>2020</v>
      </c>
      <c r="E1102" s="7" t="s">
        <v>68</v>
      </c>
      <c r="F1102" s="7" t="s">
        <v>86</v>
      </c>
      <c r="G1102" s="7" t="s">
        <v>66</v>
      </c>
      <c r="H1102" s="7" t="n">
        <v>2.5</v>
      </c>
      <c r="I1102" s="7" t="str">
        <f aca="false">IF(B1102="",TRIM(C1102),TRIM(B1102))</f>
        <v>Evaluation of the Vaccination Campaign Against Measles in Chad 2022</v>
      </c>
      <c r="J1102" s="7" t="str">
        <f aca="false">IF(ISNUMBER(SEARCH("Demographic and Health",I1102)),"DHS",IF(OR(ISNUMBER(SEARCH("Multiple Indicator Cluster",I1102)),ISNUMBER(SEARCH("MICS",I1102))),"MICS","Other"))</f>
        <v>Other</v>
      </c>
      <c r="K1102" s="7" t="n">
        <f aca="false">IF(AND(F1102="Record or Recall",G1102="12-23 m"),1,0)</f>
        <v>0</v>
      </c>
      <c r="L1102" s="7" t="n">
        <f aca="false">IF(OR(J1102="DHS",J1102="MICS"),1,0)</f>
        <v>0</v>
      </c>
    </row>
    <row r="1103" customFormat="false" ht="15" hidden="false" customHeight="false" outlineLevel="0" collapsed="false">
      <c r="A1103" s="7" t="s">
        <v>399</v>
      </c>
      <c r="B1103" s="7" t="s">
        <v>416</v>
      </c>
      <c r="C1103" s="7" t="s">
        <v>417</v>
      </c>
      <c r="D1103" s="7" t="n">
        <v>2020</v>
      </c>
      <c r="E1103" s="7" t="s">
        <v>68</v>
      </c>
      <c r="F1103" s="7" t="s">
        <v>63</v>
      </c>
      <c r="G1103" s="7" t="s">
        <v>66</v>
      </c>
      <c r="H1103" s="7" t="n">
        <v>41.1</v>
      </c>
      <c r="I1103" s="7" t="str">
        <f aca="false">IF(B1103="",TRIM(C1103),TRIM(B1103))</f>
        <v>Evaluation of the Vaccination Campaign Against Measles in Chad 2022</v>
      </c>
      <c r="J1103" s="7" t="str">
        <f aca="false">IF(ISNUMBER(SEARCH("Demographic and Health",I1103)),"DHS",IF(OR(ISNUMBER(SEARCH("Multiple Indicator Cluster",I1103)),ISNUMBER(SEARCH("MICS",I1103))),"MICS","Other"))</f>
        <v>Other</v>
      </c>
      <c r="K1103" s="7" t="n">
        <f aca="false">IF(AND(F1103="Record or Recall",G1103="12-23 m"),1,0)</f>
        <v>1</v>
      </c>
      <c r="L1103" s="7" t="n">
        <f aca="false">IF(OR(J1103="DHS",J1103="MICS"),1,0)</f>
        <v>0</v>
      </c>
    </row>
    <row r="1104" customFormat="false" ht="15" hidden="false" customHeight="false" outlineLevel="0" collapsed="false">
      <c r="A1104" s="7" t="s">
        <v>399</v>
      </c>
      <c r="B1104" s="7" t="s">
        <v>416</v>
      </c>
      <c r="C1104" s="7" t="s">
        <v>417</v>
      </c>
      <c r="D1104" s="7" t="n">
        <v>2020</v>
      </c>
      <c r="E1104" s="7" t="s">
        <v>68</v>
      </c>
      <c r="F1104" s="7" t="s">
        <v>87</v>
      </c>
      <c r="G1104" s="7" t="s">
        <v>66</v>
      </c>
      <c r="H1104" s="7" t="n">
        <v>38.6</v>
      </c>
      <c r="I1104" s="7" t="str">
        <f aca="false">IF(B1104="",TRIM(C1104),TRIM(B1104))</f>
        <v>Evaluation of the Vaccination Campaign Against Measles in Chad 2022</v>
      </c>
      <c r="J1104" s="7" t="str">
        <f aca="false">IF(ISNUMBER(SEARCH("Demographic and Health",I1104)),"DHS",IF(OR(ISNUMBER(SEARCH("Multiple Indicator Cluster",I1104)),ISNUMBER(SEARCH("MICS",I1104))),"MICS","Other"))</f>
        <v>Other</v>
      </c>
      <c r="K1104" s="7" t="n">
        <f aca="false">IF(AND(F1104="Record or Recall",G1104="12-23 m"),1,0)</f>
        <v>0</v>
      </c>
      <c r="L1104" s="7" t="n">
        <f aca="false">IF(OR(J1104="DHS",J1104="MICS"),1,0)</f>
        <v>0</v>
      </c>
    </row>
    <row r="1105" customFormat="false" ht="15" hidden="false" customHeight="false" outlineLevel="0" collapsed="false">
      <c r="A1105" s="7" t="s">
        <v>399</v>
      </c>
      <c r="B1105" s="7" t="s">
        <v>422</v>
      </c>
      <c r="C1105" s="7" t="s">
        <v>423</v>
      </c>
      <c r="D1105" s="7" t="n">
        <v>2023</v>
      </c>
      <c r="E1105" s="7" t="s">
        <v>62</v>
      </c>
      <c r="F1105" s="7" t="s">
        <v>86</v>
      </c>
      <c r="G1105" s="7" t="s">
        <v>66</v>
      </c>
      <c r="H1105" s="7" t="n">
        <v>32</v>
      </c>
      <c r="I1105" s="7" t="str">
        <f aca="false">IF(B1105="",TRIM(C1105),TRIM(B1105))</f>
        <v>National Routine Vaccination Coverage Survey 2023-2024, Chad</v>
      </c>
      <c r="J1105" s="7" t="str">
        <f aca="false">IF(ISNUMBER(SEARCH("Demographic and Health",I1105)),"DHS",IF(OR(ISNUMBER(SEARCH("Multiple Indicator Cluster",I1105)),ISNUMBER(SEARCH("MICS",I1105))),"MICS","Other"))</f>
        <v>Other</v>
      </c>
      <c r="K1105" s="7" t="n">
        <f aca="false">IF(AND(F1105="Record or Recall",G1105="12-23 m"),1,0)</f>
        <v>0</v>
      </c>
      <c r="L1105" s="7" t="n">
        <f aca="false">IF(OR(J1105="DHS",J1105="MICS"),1,0)</f>
        <v>0</v>
      </c>
    </row>
    <row r="1106" customFormat="false" ht="15" hidden="false" customHeight="false" outlineLevel="0" collapsed="false">
      <c r="A1106" s="7" t="s">
        <v>399</v>
      </c>
      <c r="B1106" s="7" t="s">
        <v>422</v>
      </c>
      <c r="C1106" s="7" t="s">
        <v>423</v>
      </c>
      <c r="D1106" s="7" t="n">
        <v>2023</v>
      </c>
      <c r="E1106" s="7" t="s">
        <v>62</v>
      </c>
      <c r="F1106" s="7" t="s">
        <v>63</v>
      </c>
      <c r="G1106" s="7" t="s">
        <v>66</v>
      </c>
      <c r="H1106" s="7" t="n">
        <v>92.3</v>
      </c>
      <c r="I1106" s="7" t="str">
        <f aca="false">IF(B1106="",TRIM(C1106),TRIM(B1106))</f>
        <v>National Routine Vaccination Coverage Survey 2023-2024, Chad</v>
      </c>
      <c r="J1106" s="7" t="str">
        <f aca="false">IF(ISNUMBER(SEARCH("Demographic and Health",I1106)),"DHS",IF(OR(ISNUMBER(SEARCH("Multiple Indicator Cluster",I1106)),ISNUMBER(SEARCH("MICS",I1106))),"MICS","Other"))</f>
        <v>Other</v>
      </c>
      <c r="K1106" s="7" t="n">
        <f aca="false">IF(AND(F1106="Record or Recall",G1106="12-23 m"),1,0)</f>
        <v>1</v>
      </c>
      <c r="L1106" s="7" t="n">
        <f aca="false">IF(OR(J1106="DHS",J1106="MICS"),1,0)</f>
        <v>0</v>
      </c>
    </row>
    <row r="1107" customFormat="false" ht="15" hidden="false" customHeight="false" outlineLevel="0" collapsed="false">
      <c r="A1107" s="7" t="s">
        <v>399</v>
      </c>
      <c r="B1107" s="7" t="s">
        <v>422</v>
      </c>
      <c r="C1107" s="7" t="s">
        <v>423</v>
      </c>
      <c r="D1107" s="7" t="n">
        <v>2023</v>
      </c>
      <c r="E1107" s="7" t="s">
        <v>62</v>
      </c>
      <c r="F1107" s="7" t="s">
        <v>87</v>
      </c>
      <c r="G1107" s="7" t="s">
        <v>66</v>
      </c>
      <c r="H1107" s="7" t="n">
        <v>60.3</v>
      </c>
      <c r="I1107" s="7" t="str">
        <f aca="false">IF(B1107="",TRIM(C1107),TRIM(B1107))</f>
        <v>National Routine Vaccination Coverage Survey 2023-2024, Chad</v>
      </c>
      <c r="J1107" s="7" t="str">
        <f aca="false">IF(ISNUMBER(SEARCH("Demographic and Health",I1107)),"DHS",IF(OR(ISNUMBER(SEARCH("Multiple Indicator Cluster",I1107)),ISNUMBER(SEARCH("MICS",I1107))),"MICS","Other"))</f>
        <v>Other</v>
      </c>
      <c r="K1107" s="7" t="n">
        <f aca="false">IF(AND(F1107="Record or Recall",G1107="12-23 m"),1,0)</f>
        <v>0</v>
      </c>
      <c r="L1107" s="7" t="n">
        <f aca="false">IF(OR(J1107="DHS",J1107="MICS"),1,0)</f>
        <v>0</v>
      </c>
    </row>
    <row r="1108" customFormat="false" ht="15" hidden="false" customHeight="false" outlineLevel="0" collapsed="false">
      <c r="A1108" s="7" t="s">
        <v>399</v>
      </c>
      <c r="B1108" s="7" t="s">
        <v>422</v>
      </c>
      <c r="C1108" s="7" t="s">
        <v>423</v>
      </c>
      <c r="D1108" s="7" t="n">
        <v>2023</v>
      </c>
      <c r="E1108" s="7" t="s">
        <v>62</v>
      </c>
      <c r="F1108" s="7" t="s">
        <v>388</v>
      </c>
      <c r="G1108" s="7" t="s">
        <v>66</v>
      </c>
      <c r="H1108" s="7" t="n">
        <v>85.4</v>
      </c>
      <c r="I1108" s="7" t="str">
        <f aca="false">IF(B1108="",TRIM(C1108),TRIM(B1108))</f>
        <v>National Routine Vaccination Coverage Survey 2023-2024, Chad</v>
      </c>
      <c r="J1108" s="7" t="str">
        <f aca="false">IF(ISNUMBER(SEARCH("Demographic and Health",I1108)),"DHS",IF(OR(ISNUMBER(SEARCH("Multiple Indicator Cluster",I1108)),ISNUMBER(SEARCH("MICS",I1108))),"MICS","Other"))</f>
        <v>Other</v>
      </c>
      <c r="K1108" s="7" t="n">
        <f aca="false">IF(AND(F1108="Record or Recall",G1108="12-23 m"),1,0)</f>
        <v>0</v>
      </c>
      <c r="L1108" s="7" t="n">
        <f aca="false">IF(OR(J1108="DHS",J1108="MICS"),1,0)</f>
        <v>0</v>
      </c>
    </row>
    <row r="1109" customFormat="false" ht="15" hidden="false" customHeight="false" outlineLevel="0" collapsed="false">
      <c r="A1109" s="7" t="s">
        <v>399</v>
      </c>
      <c r="B1109" s="7" t="s">
        <v>422</v>
      </c>
      <c r="C1109" s="7" t="s">
        <v>423</v>
      </c>
      <c r="D1109" s="7" t="n">
        <v>2023</v>
      </c>
      <c r="E1109" s="7" t="s">
        <v>81</v>
      </c>
      <c r="F1109" s="7" t="s">
        <v>86</v>
      </c>
      <c r="G1109" s="7" t="s">
        <v>66</v>
      </c>
      <c r="H1109" s="7" t="n">
        <v>31.7</v>
      </c>
      <c r="I1109" s="7" t="str">
        <f aca="false">IF(B1109="",TRIM(C1109),TRIM(B1109))</f>
        <v>National Routine Vaccination Coverage Survey 2023-2024, Chad</v>
      </c>
      <c r="J1109" s="7" t="str">
        <f aca="false">IF(ISNUMBER(SEARCH("Demographic and Health",I1109)),"DHS",IF(OR(ISNUMBER(SEARCH("Multiple Indicator Cluster",I1109)),ISNUMBER(SEARCH("MICS",I1109))),"MICS","Other"))</f>
        <v>Other</v>
      </c>
      <c r="K1109" s="7" t="n">
        <f aca="false">IF(AND(F1109="Record or Recall",G1109="12-23 m"),1,0)</f>
        <v>0</v>
      </c>
      <c r="L1109" s="7" t="n">
        <f aca="false">IF(OR(J1109="DHS",J1109="MICS"),1,0)</f>
        <v>0</v>
      </c>
    </row>
    <row r="1110" customFormat="false" ht="15" hidden="false" customHeight="false" outlineLevel="0" collapsed="false">
      <c r="A1110" s="7" t="s">
        <v>399</v>
      </c>
      <c r="B1110" s="7" t="s">
        <v>422</v>
      </c>
      <c r="C1110" s="7" t="s">
        <v>423</v>
      </c>
      <c r="D1110" s="7" t="n">
        <v>2023</v>
      </c>
      <c r="E1110" s="7" t="s">
        <v>81</v>
      </c>
      <c r="F1110" s="7" t="s">
        <v>63</v>
      </c>
      <c r="G1110" s="7" t="s">
        <v>66</v>
      </c>
      <c r="H1110" s="7" t="n">
        <v>84.3</v>
      </c>
      <c r="I1110" s="7" t="str">
        <f aca="false">IF(B1110="",TRIM(C1110),TRIM(B1110))</f>
        <v>National Routine Vaccination Coverage Survey 2023-2024, Chad</v>
      </c>
      <c r="J1110" s="7" t="str">
        <f aca="false">IF(ISNUMBER(SEARCH("Demographic and Health",I1110)),"DHS",IF(OR(ISNUMBER(SEARCH("Multiple Indicator Cluster",I1110)),ISNUMBER(SEARCH("MICS",I1110))),"MICS","Other"))</f>
        <v>Other</v>
      </c>
      <c r="K1110" s="7" t="n">
        <f aca="false">IF(AND(F1110="Record or Recall",G1110="12-23 m"),1,0)</f>
        <v>1</v>
      </c>
      <c r="L1110" s="7" t="n">
        <f aca="false">IF(OR(J1110="DHS",J1110="MICS"),1,0)</f>
        <v>0</v>
      </c>
    </row>
    <row r="1111" customFormat="false" ht="15" hidden="false" customHeight="false" outlineLevel="0" collapsed="false">
      <c r="A1111" s="7" t="s">
        <v>399</v>
      </c>
      <c r="B1111" s="7" t="s">
        <v>422</v>
      </c>
      <c r="C1111" s="7" t="s">
        <v>423</v>
      </c>
      <c r="D1111" s="7" t="n">
        <v>2023</v>
      </c>
      <c r="E1111" s="7" t="s">
        <v>81</v>
      </c>
      <c r="F1111" s="7" t="s">
        <v>87</v>
      </c>
      <c r="G1111" s="7" t="s">
        <v>66</v>
      </c>
      <c r="H1111" s="7" t="n">
        <v>52.6</v>
      </c>
      <c r="I1111" s="7" t="str">
        <f aca="false">IF(B1111="",TRIM(C1111),TRIM(B1111))</f>
        <v>National Routine Vaccination Coverage Survey 2023-2024, Chad</v>
      </c>
      <c r="J1111" s="7" t="str">
        <f aca="false">IF(ISNUMBER(SEARCH("Demographic and Health",I1111)),"DHS",IF(OR(ISNUMBER(SEARCH("Multiple Indicator Cluster",I1111)),ISNUMBER(SEARCH("MICS",I1111))),"MICS","Other"))</f>
        <v>Other</v>
      </c>
      <c r="K1111" s="7" t="n">
        <f aca="false">IF(AND(F1111="Record or Recall",G1111="12-23 m"),1,0)</f>
        <v>0</v>
      </c>
      <c r="L1111" s="7" t="n">
        <f aca="false">IF(OR(J1111="DHS",J1111="MICS"),1,0)</f>
        <v>0</v>
      </c>
    </row>
    <row r="1112" customFormat="false" ht="15" hidden="false" customHeight="false" outlineLevel="0" collapsed="false">
      <c r="A1112" s="7" t="s">
        <v>399</v>
      </c>
      <c r="B1112" s="7" t="s">
        <v>422</v>
      </c>
      <c r="C1112" s="7" t="s">
        <v>423</v>
      </c>
      <c r="D1112" s="7" t="n">
        <v>2023</v>
      </c>
      <c r="E1112" s="7" t="s">
        <v>67</v>
      </c>
      <c r="F1112" s="7" t="s">
        <v>86</v>
      </c>
      <c r="G1112" s="7" t="s">
        <v>66</v>
      </c>
      <c r="H1112" s="7" t="n">
        <v>22.4</v>
      </c>
      <c r="I1112" s="7" t="str">
        <f aca="false">IF(B1112="",TRIM(C1112),TRIM(B1112))</f>
        <v>National Routine Vaccination Coverage Survey 2023-2024, Chad</v>
      </c>
      <c r="J1112" s="7" t="str">
        <f aca="false">IF(ISNUMBER(SEARCH("Demographic and Health",I1112)),"DHS",IF(OR(ISNUMBER(SEARCH("Multiple Indicator Cluster",I1112)),ISNUMBER(SEARCH("MICS",I1112))),"MICS","Other"))</f>
        <v>Other</v>
      </c>
      <c r="K1112" s="7" t="n">
        <f aca="false">IF(AND(F1112="Record or Recall",G1112="12-23 m"),1,0)</f>
        <v>0</v>
      </c>
      <c r="L1112" s="7" t="n">
        <f aca="false">IF(OR(J1112="DHS",J1112="MICS"),1,0)</f>
        <v>0</v>
      </c>
    </row>
    <row r="1113" customFormat="false" ht="15" hidden="false" customHeight="false" outlineLevel="0" collapsed="false">
      <c r="A1113" s="7" t="s">
        <v>399</v>
      </c>
      <c r="B1113" s="7" t="s">
        <v>422</v>
      </c>
      <c r="C1113" s="7" t="s">
        <v>423</v>
      </c>
      <c r="D1113" s="7" t="n">
        <v>2023</v>
      </c>
      <c r="E1113" s="7" t="s">
        <v>67</v>
      </c>
      <c r="F1113" s="7" t="s">
        <v>63</v>
      </c>
      <c r="G1113" s="7" t="s">
        <v>66</v>
      </c>
      <c r="H1113" s="7" t="n">
        <v>66.6</v>
      </c>
      <c r="I1113" s="7" t="str">
        <f aca="false">IF(B1113="",TRIM(C1113),TRIM(B1113))</f>
        <v>National Routine Vaccination Coverage Survey 2023-2024, Chad</v>
      </c>
      <c r="J1113" s="7" t="str">
        <f aca="false">IF(ISNUMBER(SEARCH("Demographic and Health",I1113)),"DHS",IF(OR(ISNUMBER(SEARCH("Multiple Indicator Cluster",I1113)),ISNUMBER(SEARCH("MICS",I1113))),"MICS","Other"))</f>
        <v>Other</v>
      </c>
      <c r="K1113" s="7" t="n">
        <f aca="false">IF(AND(F1113="Record or Recall",G1113="12-23 m"),1,0)</f>
        <v>1</v>
      </c>
      <c r="L1113" s="7" t="n">
        <f aca="false">IF(OR(J1113="DHS",J1113="MICS"),1,0)</f>
        <v>0</v>
      </c>
    </row>
    <row r="1114" customFormat="false" ht="15" hidden="false" customHeight="false" outlineLevel="0" collapsed="false">
      <c r="A1114" s="7" t="s">
        <v>399</v>
      </c>
      <c r="B1114" s="7" t="s">
        <v>422</v>
      </c>
      <c r="C1114" s="7" t="s">
        <v>423</v>
      </c>
      <c r="D1114" s="7" t="n">
        <v>2023</v>
      </c>
      <c r="E1114" s="7" t="s">
        <v>67</v>
      </c>
      <c r="F1114" s="7" t="s">
        <v>87</v>
      </c>
      <c r="G1114" s="7" t="s">
        <v>66</v>
      </c>
      <c r="H1114" s="7" t="n">
        <v>44.2</v>
      </c>
      <c r="I1114" s="7" t="str">
        <f aca="false">IF(B1114="",TRIM(C1114),TRIM(B1114))</f>
        <v>National Routine Vaccination Coverage Survey 2023-2024, Chad</v>
      </c>
      <c r="J1114" s="7" t="str">
        <f aca="false">IF(ISNUMBER(SEARCH("Demographic and Health",I1114)),"DHS",IF(OR(ISNUMBER(SEARCH("Multiple Indicator Cluster",I1114)),ISNUMBER(SEARCH("MICS",I1114))),"MICS","Other"))</f>
        <v>Other</v>
      </c>
      <c r="K1114" s="7" t="n">
        <f aca="false">IF(AND(F1114="Record or Recall",G1114="12-23 m"),1,0)</f>
        <v>0</v>
      </c>
      <c r="L1114" s="7" t="n">
        <f aca="false">IF(OR(J1114="DHS",J1114="MICS"),1,0)</f>
        <v>0</v>
      </c>
    </row>
    <row r="1115" customFormat="false" ht="15" hidden="false" customHeight="false" outlineLevel="0" collapsed="false">
      <c r="A1115" s="7" t="s">
        <v>399</v>
      </c>
      <c r="B1115" s="7" t="s">
        <v>422</v>
      </c>
      <c r="C1115" s="7" t="s">
        <v>423</v>
      </c>
      <c r="D1115" s="7" t="n">
        <v>2023</v>
      </c>
      <c r="E1115" s="7" t="s">
        <v>82</v>
      </c>
      <c r="F1115" s="7" t="s">
        <v>63</v>
      </c>
      <c r="G1115" s="7" t="s">
        <v>66</v>
      </c>
      <c r="H1115" s="7" t="n">
        <v>53.1</v>
      </c>
      <c r="I1115" s="7" t="str">
        <f aca="false">IF(B1115="",TRIM(C1115),TRIM(B1115))</f>
        <v>National Routine Vaccination Coverage Survey 2023-2024, Chad</v>
      </c>
      <c r="J1115" s="7" t="str">
        <f aca="false">IF(ISNUMBER(SEARCH("Demographic and Health",I1115)),"DHS",IF(OR(ISNUMBER(SEARCH("Multiple Indicator Cluster",I1115)),ISNUMBER(SEARCH("MICS",I1115))),"MICS","Other"))</f>
        <v>Other</v>
      </c>
      <c r="K1115" s="7" t="n">
        <f aca="false">IF(AND(F1115="Record or Recall",G1115="12-23 m"),1,0)</f>
        <v>1</v>
      </c>
      <c r="L1115" s="7" t="n">
        <f aca="false">IF(OR(J1115="DHS",J1115="MICS"),1,0)</f>
        <v>0</v>
      </c>
    </row>
    <row r="1116" customFormat="false" ht="15" hidden="false" customHeight="false" outlineLevel="0" collapsed="false">
      <c r="A1116" s="7" t="s">
        <v>399</v>
      </c>
      <c r="B1116" s="7" t="s">
        <v>422</v>
      </c>
      <c r="C1116" s="7" t="s">
        <v>423</v>
      </c>
      <c r="D1116" s="7" t="n">
        <v>2023</v>
      </c>
      <c r="E1116" s="7" t="s">
        <v>68</v>
      </c>
      <c r="F1116" s="7" t="s">
        <v>86</v>
      </c>
      <c r="G1116" s="7" t="s">
        <v>66</v>
      </c>
      <c r="H1116" s="7" t="n">
        <v>60</v>
      </c>
      <c r="I1116" s="7" t="str">
        <f aca="false">IF(B1116="",TRIM(C1116),TRIM(B1116))</f>
        <v>National Routine Vaccination Coverage Survey 2023-2024, Chad</v>
      </c>
      <c r="J1116" s="7" t="str">
        <f aca="false">IF(ISNUMBER(SEARCH("Demographic and Health",I1116)),"DHS",IF(OR(ISNUMBER(SEARCH("Multiple Indicator Cluster",I1116)),ISNUMBER(SEARCH("MICS",I1116))),"MICS","Other"))</f>
        <v>Other</v>
      </c>
      <c r="K1116" s="7" t="n">
        <f aca="false">IF(AND(F1116="Record or Recall",G1116="12-23 m"),1,0)</f>
        <v>0</v>
      </c>
      <c r="L1116" s="7" t="n">
        <f aca="false">IF(OR(J1116="DHS",J1116="MICS"),1,0)</f>
        <v>0</v>
      </c>
    </row>
    <row r="1117" customFormat="false" ht="15" hidden="false" customHeight="false" outlineLevel="0" collapsed="false">
      <c r="A1117" s="7" t="s">
        <v>399</v>
      </c>
      <c r="B1117" s="7" t="s">
        <v>422</v>
      </c>
      <c r="C1117" s="7" t="s">
        <v>423</v>
      </c>
      <c r="D1117" s="7" t="n">
        <v>2023</v>
      </c>
      <c r="E1117" s="7" t="s">
        <v>68</v>
      </c>
      <c r="F1117" s="7" t="s">
        <v>63</v>
      </c>
      <c r="G1117" s="7" t="s">
        <v>66</v>
      </c>
      <c r="H1117" s="7" t="n">
        <v>63.3</v>
      </c>
      <c r="I1117" s="7" t="str">
        <f aca="false">IF(B1117="",TRIM(C1117),TRIM(B1117))</f>
        <v>National Routine Vaccination Coverage Survey 2023-2024, Chad</v>
      </c>
      <c r="J1117" s="7" t="str">
        <f aca="false">IF(ISNUMBER(SEARCH("Demographic and Health",I1117)),"DHS",IF(OR(ISNUMBER(SEARCH("Multiple Indicator Cluster",I1117)),ISNUMBER(SEARCH("MICS",I1117))),"MICS","Other"))</f>
        <v>Other</v>
      </c>
      <c r="K1117" s="7" t="n">
        <f aca="false">IF(AND(F1117="Record or Recall",G1117="12-23 m"),1,0)</f>
        <v>1</v>
      </c>
      <c r="L1117" s="7" t="n">
        <f aca="false">IF(OR(J1117="DHS",J1117="MICS"),1,0)</f>
        <v>0</v>
      </c>
    </row>
    <row r="1118" customFormat="false" ht="15" hidden="false" customHeight="false" outlineLevel="0" collapsed="false">
      <c r="A1118" s="7" t="s">
        <v>399</v>
      </c>
      <c r="B1118" s="7" t="s">
        <v>422</v>
      </c>
      <c r="C1118" s="7" t="s">
        <v>423</v>
      </c>
      <c r="D1118" s="7" t="n">
        <v>2023</v>
      </c>
      <c r="E1118" s="7" t="s">
        <v>68</v>
      </c>
      <c r="F1118" s="7" t="s">
        <v>87</v>
      </c>
      <c r="G1118" s="7" t="s">
        <v>66</v>
      </c>
      <c r="H1118" s="7" t="n">
        <v>3.3</v>
      </c>
      <c r="I1118" s="7" t="str">
        <f aca="false">IF(B1118="",TRIM(C1118),TRIM(B1118))</f>
        <v>National Routine Vaccination Coverage Survey 2023-2024, Chad</v>
      </c>
      <c r="J1118" s="7" t="str">
        <f aca="false">IF(ISNUMBER(SEARCH("Demographic and Health",I1118)),"DHS",IF(OR(ISNUMBER(SEARCH("Multiple Indicator Cluster",I1118)),ISNUMBER(SEARCH("MICS",I1118))),"MICS","Other"))</f>
        <v>Other</v>
      </c>
      <c r="K1118" s="7" t="n">
        <f aca="false">IF(AND(F1118="Record or Recall",G1118="12-23 m"),1,0)</f>
        <v>0</v>
      </c>
      <c r="L1118" s="7" t="n">
        <f aca="false">IF(OR(J1118="DHS",J1118="MICS"),1,0)</f>
        <v>0</v>
      </c>
    </row>
    <row r="1119" customFormat="false" ht="15" hidden="false" customHeight="false" outlineLevel="0" collapsed="false">
      <c r="A1119" s="7" t="s">
        <v>399</v>
      </c>
      <c r="B1119" s="7" t="s">
        <v>422</v>
      </c>
      <c r="C1119" s="7" t="s">
        <v>423</v>
      </c>
      <c r="D1119" s="7" t="n">
        <v>2023</v>
      </c>
      <c r="E1119" s="7" t="s">
        <v>69</v>
      </c>
      <c r="F1119" s="7" t="s">
        <v>86</v>
      </c>
      <c r="G1119" s="7" t="s">
        <v>66</v>
      </c>
      <c r="H1119" s="7" t="n">
        <v>22.2</v>
      </c>
      <c r="I1119" s="7" t="str">
        <f aca="false">IF(B1119="",TRIM(C1119),TRIM(B1119))</f>
        <v>National Routine Vaccination Coverage Survey 2023-2024, Chad</v>
      </c>
      <c r="J1119" s="7" t="str">
        <f aca="false">IF(ISNUMBER(SEARCH("Demographic and Health",I1119)),"DHS",IF(OR(ISNUMBER(SEARCH("Multiple Indicator Cluster",I1119)),ISNUMBER(SEARCH("MICS",I1119))),"MICS","Other"))</f>
        <v>Other</v>
      </c>
      <c r="K1119" s="7" t="n">
        <f aca="false">IF(AND(F1119="Record or Recall",G1119="12-23 m"),1,0)</f>
        <v>0</v>
      </c>
      <c r="L1119" s="7" t="n">
        <f aca="false">IF(OR(J1119="DHS",J1119="MICS"),1,0)</f>
        <v>0</v>
      </c>
    </row>
    <row r="1120" customFormat="false" ht="15" hidden="false" customHeight="false" outlineLevel="0" collapsed="false">
      <c r="A1120" s="7" t="s">
        <v>399</v>
      </c>
      <c r="B1120" s="7" t="s">
        <v>422</v>
      </c>
      <c r="C1120" s="7" t="s">
        <v>423</v>
      </c>
      <c r="D1120" s="7" t="n">
        <v>2023</v>
      </c>
      <c r="E1120" s="7" t="s">
        <v>69</v>
      </c>
      <c r="F1120" s="7" t="s">
        <v>63</v>
      </c>
      <c r="G1120" s="7" t="s">
        <v>66</v>
      </c>
      <c r="H1120" s="7" t="n">
        <v>66.5</v>
      </c>
      <c r="I1120" s="7" t="str">
        <f aca="false">IF(B1120="",TRIM(C1120),TRIM(B1120))</f>
        <v>National Routine Vaccination Coverage Survey 2023-2024, Chad</v>
      </c>
      <c r="J1120" s="7" t="str">
        <f aca="false">IF(ISNUMBER(SEARCH("Demographic and Health",I1120)),"DHS",IF(OR(ISNUMBER(SEARCH("Multiple Indicator Cluster",I1120)),ISNUMBER(SEARCH("MICS",I1120))),"MICS","Other"))</f>
        <v>Other</v>
      </c>
      <c r="K1120" s="7" t="n">
        <f aca="false">IF(AND(F1120="Record or Recall",G1120="12-23 m"),1,0)</f>
        <v>1</v>
      </c>
      <c r="L1120" s="7" t="n">
        <f aca="false">IF(OR(J1120="DHS",J1120="MICS"),1,0)</f>
        <v>0</v>
      </c>
    </row>
    <row r="1121" customFormat="false" ht="15" hidden="false" customHeight="false" outlineLevel="0" collapsed="false">
      <c r="A1121" s="7" t="s">
        <v>399</v>
      </c>
      <c r="B1121" s="7" t="s">
        <v>422</v>
      </c>
      <c r="C1121" s="7" t="s">
        <v>423</v>
      </c>
      <c r="D1121" s="7" t="n">
        <v>2023</v>
      </c>
      <c r="E1121" s="7" t="s">
        <v>69</v>
      </c>
      <c r="F1121" s="7" t="s">
        <v>87</v>
      </c>
      <c r="G1121" s="7" t="s">
        <v>66</v>
      </c>
      <c r="H1121" s="7" t="n">
        <v>44.3</v>
      </c>
      <c r="I1121" s="7" t="str">
        <f aca="false">IF(B1121="",TRIM(C1121),TRIM(B1121))</f>
        <v>National Routine Vaccination Coverage Survey 2023-2024, Chad</v>
      </c>
      <c r="J1121" s="7" t="str">
        <f aca="false">IF(ISNUMBER(SEARCH("Demographic and Health",I1121)),"DHS",IF(OR(ISNUMBER(SEARCH("Multiple Indicator Cluster",I1121)),ISNUMBER(SEARCH("MICS",I1121))),"MICS","Other"))</f>
        <v>Other</v>
      </c>
      <c r="K1121" s="7" t="n">
        <f aca="false">IF(AND(F1121="Record or Recall",G1121="12-23 m"),1,0)</f>
        <v>0</v>
      </c>
      <c r="L1121" s="7" t="n">
        <f aca="false">IF(OR(J1121="DHS",J1121="MICS"),1,0)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6" min="3" style="0" width="9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1" t="s">
        <v>424</v>
      </c>
    </row>
    <row r="2" customFormat="false" ht="15" hidden="false" customHeight="false" outlineLevel="0" collapsed="false">
      <c r="A2" s="2" t="s">
        <v>425</v>
      </c>
    </row>
    <row r="4" customFormat="false" ht="42" hidden="false" customHeight="true" outlineLevel="0" collapsed="false">
      <c r="A4" s="3" t="s">
        <v>426</v>
      </c>
      <c r="B4" s="3" t="s">
        <v>427</v>
      </c>
      <c r="C4" s="3" t="s">
        <v>81</v>
      </c>
      <c r="D4" s="3" t="s">
        <v>67</v>
      </c>
      <c r="E4" s="3" t="s">
        <v>68</v>
      </c>
      <c r="F4" s="3" t="s">
        <v>82</v>
      </c>
      <c r="G4" s="3" t="s">
        <v>306</v>
      </c>
      <c r="H4" s="3" t="s">
        <v>263</v>
      </c>
      <c r="I4" s="3" t="s">
        <v>267</v>
      </c>
    </row>
    <row r="5" customFormat="false" ht="15" hidden="false" customHeight="false" outlineLevel="0" collapsed="false">
      <c r="A5" s="7" t="s">
        <v>428</v>
      </c>
      <c r="B5" s="7" t="n">
        <f aca="false">_xlfn.MAXIFS(Clean_Data!$H$2:$H$1141,Clean_Data!$I$2:$I$1141,"DTP3",Clean_Data!$S$2:$S$1141,1,Clean_Data!$U$2:$U$1141,1)</f>
        <v>2022</v>
      </c>
      <c r="C5" s="10" t="n">
        <f aca="false">IFERROR(AVERAGEIFS(Clean_Data!$N$2:$N$1141,Clean_Data!$I$2:$I$1141,"DTP1",Clean_Data!$H$2:$H$1141,$B5,Clean_Data!$S$2:$S$1141,1,Clean_Data!$U$2:$U$1141,1),"")</f>
        <v>62.9</v>
      </c>
      <c r="D5" s="10" t="n">
        <f aca="false">IFERROR(AVERAGEIFS(Clean_Data!$N$2:$N$1141,Clean_Data!$I$2:$I$1141,"DTP3",Clean_Data!$H$2:$H$1141,$B5,Clean_Data!$S$2:$S$1141,1,Clean_Data!$U$2:$U$1141,1),"")</f>
        <v>53.4</v>
      </c>
      <c r="E5" s="10" t="n">
        <f aca="false">IFERROR(AVERAGEIFS(Clean_Data!$N$2:$N$1141,Clean_Data!$I$2:$I$1141,"MCV1",Clean_Data!$H$2:$H$1141,$B5,Clean_Data!$S$2:$S$1141,1,Clean_Data!$U$2:$U$1141,1),"")</f>
        <v>51.4</v>
      </c>
      <c r="F5" s="10" t="n">
        <f aca="false">IFERROR(AVERAGEIFS(Clean_Data!$N$2:$N$1141,Clean_Data!$I$2:$I$1141,"FULL",Clean_Data!$H$2:$H$1141,$B5,Clean_Data!$S$2:$S$1141,1,Clean_Data!$U$2:$U$1141,1),"")</f>
        <v>39.4</v>
      </c>
      <c r="G5" s="10" t="n">
        <f aca="false">IF(ISNUMBER(C5),100-C5,"")</f>
        <v>37.1</v>
      </c>
      <c r="H5" s="10" t="n">
        <f aca="false">IF(AND(ISNUMBER(C5),ISNUMBER(D5)),IF(C5&gt;0,(C5-D5)/C5*100,""),"")</f>
        <v>15.1033386327504</v>
      </c>
      <c r="I5" s="7" t="n">
        <f aca="false">COUNTIFS(Clean_Data!$I$2:$I$1141,"DTP3",Clean_Data!$H$2:$H$1141,$B5,Clean_Data!$S$2:$S$1141,1,Clean_Data!$U$2:$U$1141,1)</f>
        <v>1</v>
      </c>
    </row>
    <row r="6" customFormat="false" ht="15" hidden="false" customHeight="false" outlineLevel="0" collapsed="false">
      <c r="A6" s="7" t="s">
        <v>429</v>
      </c>
      <c r="B6" s="7" t="n">
        <f aca="false">_xlfn.MAXIFS(Raw_Neighbours!$D$2:$D$1121,Raw_Neighbours!$A$2:$A$1121,"BEN",Raw_Neighbours!$E$2:$E$1121,"DTP3",Raw_Neighbours!$K$2:$K$1121,1,Raw_Neighbours!$L$2:$L$1121,1)</f>
        <v>2020</v>
      </c>
      <c r="C6" s="10" t="n">
        <f aca="false">IFERROR(AVERAGEIFS(Raw_Neighbours!$H$2:$H$1121,Raw_Neighbours!$A$2:$A$1121,"BEN",Raw_Neighbours!$E$2:$E$1121,"DTP1",Raw_Neighbours!$D$2:$D$1121,$B6,Raw_Neighbours!$K$2:$K$1121,1,Raw_Neighbours!$L$2:$L$1121,1),"")</f>
        <v>79.8</v>
      </c>
      <c r="D6" s="10" t="n">
        <f aca="false">IFERROR(AVERAGEIFS(Raw_Neighbours!$H$2:$H$1121,Raw_Neighbours!$A$2:$A$1121,"BEN",Raw_Neighbours!$E$2:$E$1121,"DTP3",Raw_Neighbours!$D$2:$D$1121,$B6,Raw_Neighbours!$K$2:$K$1121,1,Raw_Neighbours!$L$2:$L$1121,1),"")</f>
        <v>67.3</v>
      </c>
      <c r="E6" s="10" t="n">
        <f aca="false">IFERROR(AVERAGEIFS(Raw_Neighbours!$H$2:$H$1121,Raw_Neighbours!$A$2:$A$1121,"BEN",Raw_Neighbours!$E$2:$E$1121,"MCV1",Raw_Neighbours!$D$2:$D$1121,$B6,Raw_Neighbours!$K$2:$K$1121,1,Raw_Neighbours!$L$2:$L$1121,1),"")</f>
        <v>53.7</v>
      </c>
      <c r="F6" s="10" t="n">
        <f aca="false">IFERROR(AVERAGEIFS(Raw_Neighbours!$H$2:$H$1121,Raw_Neighbours!$A$2:$A$1121,"BEN",Raw_Neighbours!$E$2:$E$1121,"FULL",Raw_Neighbours!$D$2:$D$1121,$B6,Raw_Neighbours!$K$2:$K$1121,1,Raw_Neighbours!$L$2:$L$1121,1),"")</f>
        <v>27.6</v>
      </c>
      <c r="G6" s="10" t="n">
        <f aca="false">IF(ISNUMBER(C6),100-C6,"")</f>
        <v>20.2</v>
      </c>
      <c r="H6" s="10" t="n">
        <f aca="false">IF(AND(ISNUMBER(C6),ISNUMBER(D6)),IF(C6&gt;0,(C6-D6)/C6*100,""),"")</f>
        <v>15.6641604010025</v>
      </c>
      <c r="I6" s="7" t="n">
        <f aca="false">COUNTIFS(Raw_Neighbours!$A$2:$A$1121,"BEN",Raw_Neighbours!$E$2:$E$1121,"DTP3",Raw_Neighbours!$D$2:$D$1121,$B6,Raw_Neighbours!$K$2:$K$1121,1,Raw_Neighbours!$L$2:$L$1121,1)</f>
        <v>1</v>
      </c>
    </row>
    <row r="7" customFormat="false" ht="15" hidden="false" customHeight="false" outlineLevel="0" collapsed="false">
      <c r="A7" s="7" t="s">
        <v>430</v>
      </c>
      <c r="B7" s="7" t="n">
        <f aca="false">_xlfn.MAXIFS(Raw_Neighbours!$D$2:$D$1121,Raw_Neighbours!$A$2:$A$1121,"NER",Raw_Neighbours!$E$2:$E$1121,"DTP3",Raw_Neighbours!$K$2:$K$1121,1,Raw_Neighbours!$L$2:$L$1121,1)</f>
        <v>2011</v>
      </c>
      <c r="C7" s="10" t="n">
        <f aca="false">IFERROR(AVERAGEIFS(Raw_Neighbours!$H$2:$H$1121,Raw_Neighbours!$A$2:$A$1121,"NER",Raw_Neighbours!$E$2:$E$1121,"DTP1",Raw_Neighbours!$D$2:$D$1121,$B7,Raw_Neighbours!$K$2:$K$1121,1,Raw_Neighbours!$L$2:$L$1121,1),"")</f>
        <v>86.2</v>
      </c>
      <c r="D7" s="10" t="n">
        <f aca="false">IFERROR(AVERAGEIFS(Raw_Neighbours!$H$2:$H$1121,Raw_Neighbours!$A$2:$A$1121,"NER",Raw_Neighbours!$E$2:$E$1121,"DTP3",Raw_Neighbours!$D$2:$D$1121,$B7,Raw_Neighbours!$K$2:$K$1121,1,Raw_Neighbours!$L$2:$L$1121,1),"")</f>
        <v>68.1</v>
      </c>
      <c r="E7" s="10" t="n">
        <f aca="false">IFERROR(AVERAGEIFS(Raw_Neighbours!$H$2:$H$1121,Raw_Neighbours!$A$2:$A$1121,"NER",Raw_Neighbours!$E$2:$E$1121,"MCV1",Raw_Neighbours!$D$2:$D$1121,$B7,Raw_Neighbours!$K$2:$K$1121,1,Raw_Neighbours!$L$2:$L$1121,1),"")</f>
        <v>68.7</v>
      </c>
      <c r="F7" s="10" t="n">
        <f aca="false">IFERROR(AVERAGEIFS(Raw_Neighbours!$H$2:$H$1121,Raw_Neighbours!$A$2:$A$1121,"NER",Raw_Neighbours!$E$2:$E$1121,"FULL",Raw_Neighbours!$D$2:$D$1121,$B7,Raw_Neighbours!$K$2:$K$1121,1,Raw_Neighbours!$L$2:$L$1121,1),"")</f>
        <v>52</v>
      </c>
      <c r="G7" s="10" t="n">
        <f aca="false">IF(ISNUMBER(C7),100-C7,"")</f>
        <v>13.8</v>
      </c>
      <c r="H7" s="10" t="n">
        <f aca="false">IF(AND(ISNUMBER(C7),ISNUMBER(D7)),IF(C7&gt;0,(C7-D7)/C7*100,""),"")</f>
        <v>20.9976798143852</v>
      </c>
      <c r="I7" s="7" t="n">
        <f aca="false">COUNTIFS(Raw_Neighbours!$A$2:$A$1121,"NER",Raw_Neighbours!$E$2:$E$1121,"DTP3",Raw_Neighbours!$D$2:$D$1121,$B7,Raw_Neighbours!$K$2:$K$1121,1,Raw_Neighbours!$L$2:$L$1121,1)</f>
        <v>1</v>
      </c>
    </row>
    <row r="8" customFormat="false" ht="15" hidden="false" customHeight="false" outlineLevel="0" collapsed="false">
      <c r="A8" s="7" t="s">
        <v>431</v>
      </c>
      <c r="B8" s="7" t="n">
        <f aca="false">_xlfn.MAXIFS(Raw_Neighbours!$D$2:$D$1121,Raw_Neighbours!$A$2:$A$1121,"TCD",Raw_Neighbours!$E$2:$E$1121,"DTP3",Raw_Neighbours!$K$2:$K$1121,1,Raw_Neighbours!$L$2:$L$1121,1)</f>
        <v>2013</v>
      </c>
      <c r="C8" s="10" t="n">
        <f aca="false">IFERROR(AVERAGEIFS(Raw_Neighbours!$H$2:$H$1121,Raw_Neighbours!$A$2:$A$1121,"TCD",Raw_Neighbours!$E$2:$E$1121,"DTP1",Raw_Neighbours!$D$2:$D$1121,$B8,Raw_Neighbours!$K$2:$K$1121,1,Raw_Neighbours!$L$2:$L$1121,1),"")</f>
        <v>58.3</v>
      </c>
      <c r="D8" s="10" t="n">
        <f aca="false">IFERROR(AVERAGEIFS(Raw_Neighbours!$H$2:$H$1121,Raw_Neighbours!$A$2:$A$1121,"TCD",Raw_Neighbours!$E$2:$E$1121,"DTP3",Raw_Neighbours!$D$2:$D$1121,$B8,Raw_Neighbours!$K$2:$K$1121,1,Raw_Neighbours!$L$2:$L$1121,1),"")</f>
        <v>33.2</v>
      </c>
      <c r="E8" s="10" t="n">
        <f aca="false">IFERROR(AVERAGEIFS(Raw_Neighbours!$H$2:$H$1121,Raw_Neighbours!$A$2:$A$1121,"TCD",Raw_Neighbours!$E$2:$E$1121,"MCV1",Raw_Neighbours!$D$2:$D$1121,$B8,Raw_Neighbours!$K$2:$K$1121,1,Raw_Neighbours!$L$2:$L$1121,1),"")</f>
        <v>56.9</v>
      </c>
      <c r="F8" s="10" t="n">
        <f aca="false">IFERROR(AVERAGEIFS(Raw_Neighbours!$H$2:$H$1121,Raw_Neighbours!$A$2:$A$1121,"TCD",Raw_Neighbours!$E$2:$E$1121,"FULL",Raw_Neighbours!$D$2:$D$1121,$B8,Raw_Neighbours!$K$2:$K$1121,1,Raw_Neighbours!$L$2:$L$1121,1),"")</f>
        <v>25.3</v>
      </c>
      <c r="G8" s="10" t="n">
        <f aca="false">IF(ISNUMBER(C8),100-C8,"")</f>
        <v>41.7</v>
      </c>
      <c r="H8" s="10" t="n">
        <f aca="false">IF(AND(ISNUMBER(C8),ISNUMBER(D8)),IF(C8&gt;0,(C8-D8)/C8*100,""),"")</f>
        <v>43.0531732418525</v>
      </c>
      <c r="I8" s="7" t="n">
        <f aca="false">COUNTIFS(Raw_Neighbours!$A$2:$A$1121,"TCD",Raw_Neighbours!$E$2:$E$1121,"DTP3",Raw_Neighbours!$D$2:$D$1121,$B8,Raw_Neighbours!$K$2:$K$1121,1,Raw_Neighbours!$L$2:$L$1121,1)</f>
        <v>1</v>
      </c>
    </row>
    <row r="9" customFormat="false" ht="15" hidden="false" customHeight="false" outlineLevel="0" collapsed="false">
      <c r="A9" s="7" t="s">
        <v>432</v>
      </c>
      <c r="B9" s="7" t="n">
        <f aca="false">_xlfn.MAXIFS(Raw_Neighbours!$D$2:$D$1121,Raw_Neighbours!$A$2:$A$1121,"CMR",Raw_Neighbours!$E$2:$E$1121,"DTP3",Raw_Neighbours!$K$2:$K$1121,1,Raw_Neighbours!$L$2:$L$1121,1)</f>
        <v>2017</v>
      </c>
      <c r="C9" s="10" t="n">
        <f aca="false">IFERROR(AVERAGEIFS(Raw_Neighbours!$H$2:$H$1121,Raw_Neighbours!$A$2:$A$1121,"CMR",Raw_Neighbours!$E$2:$E$1121,"DTP1",Raw_Neighbours!$D$2:$D$1121,$B9,Raw_Neighbours!$K$2:$K$1121,1,Raw_Neighbours!$L$2:$L$1121,1),"")</f>
        <v>83.3</v>
      </c>
      <c r="D9" s="10" t="n">
        <f aca="false">IFERROR(AVERAGEIFS(Raw_Neighbours!$H$2:$H$1121,Raw_Neighbours!$A$2:$A$1121,"CMR",Raw_Neighbours!$E$2:$E$1121,"DTP3",Raw_Neighbours!$D$2:$D$1121,$B9,Raw_Neighbours!$K$2:$K$1121,1,Raw_Neighbours!$L$2:$L$1121,1),"")</f>
        <v>71.5</v>
      </c>
      <c r="E9" s="10" t="n">
        <f aca="false">IFERROR(AVERAGEIFS(Raw_Neighbours!$H$2:$H$1121,Raw_Neighbours!$A$2:$A$1121,"CMR",Raw_Neighbours!$E$2:$E$1121,"MCV1",Raw_Neighbours!$D$2:$D$1121,$B9,Raw_Neighbours!$K$2:$K$1121,1,Raw_Neighbours!$L$2:$L$1121,1),"")</f>
        <v>65.3</v>
      </c>
      <c r="F9" s="10" t="n">
        <f aca="false">IFERROR(AVERAGEIFS(Raw_Neighbours!$H$2:$H$1121,Raw_Neighbours!$A$2:$A$1121,"CMR",Raw_Neighbours!$E$2:$E$1121,"FULL",Raw_Neighbours!$D$2:$D$1121,$B9,Raw_Neighbours!$K$2:$K$1121,1,Raw_Neighbours!$L$2:$L$1121,1),"")</f>
        <v>52.2</v>
      </c>
      <c r="G9" s="10" t="n">
        <f aca="false">IF(ISNUMBER(C9),100-C9,"")</f>
        <v>16.7</v>
      </c>
      <c r="H9" s="10" t="n">
        <f aca="false">IF(AND(ISNUMBER(C9),ISNUMBER(D9)),IF(C9&gt;0,(C9-D9)/C9*100,""),"")</f>
        <v>14.1656662665066</v>
      </c>
      <c r="I9" s="7" t="n">
        <f aca="false">COUNTIFS(Raw_Neighbours!$A$2:$A$1121,"CMR",Raw_Neighbours!$E$2:$E$1121,"DTP3",Raw_Neighbours!$D$2:$D$1121,$B9,Raw_Neighbours!$K$2:$K$1121,1,Raw_Neighbours!$L$2:$L$1121,1)</f>
        <v>1</v>
      </c>
    </row>
    <row r="11" customFormat="false" ht="15" hidden="false" customHeight="false" outlineLevel="0" collapsed="false">
      <c r="A11" s="2" t="s">
        <v>433</v>
      </c>
    </row>
    <row r="12" customFormat="false" ht="15" hidden="false" customHeight="false" outlineLevel="0" collapsed="false">
      <c r="A12" s="2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2" t="s">
        <v>436</v>
      </c>
    </row>
    <row r="4" customFormat="false" ht="15" hidden="false" customHeight="false" outlineLevel="0" collapsed="false">
      <c r="A4" s="6" t="s">
        <v>437</v>
      </c>
    </row>
    <row r="5" customFormat="false" ht="43.5" hidden="false" customHeight="true" outlineLevel="0" collapsed="false">
      <c r="A5" s="5" t="str">
        <f aca="false">"1. Coverage over time: in DHS surveys, DTP3 coverage rose from "&amp;TEXT(Summary!B14,"0.0")&amp;"% (cohort "&amp;Summary!B5&amp;") to "&amp;TEXT(Summary!C14,"0.0")&amp;"% (cohort "&amp;Summary!B6&amp;"), about "&amp;TEXT(Summary!B21,"0.00")&amp;" percentage points per year on average."</f>
        <v>1. Coverage over time: in DHS surveys, DTP3 coverage rose from 33.3% (cohort 1989) to 53.4% (cohort 2022), about 0.80 percentage points per year on average.</v>
      </c>
    </row>
    <row r="6" customFormat="false" ht="43.5" hidden="false" customHeight="true" outlineLevel="0" collapsed="false">
      <c r="A6" s="5" t="str">
        <f aca="false">"2. Full vaccination is still low: "&amp;TEXT(Summary!C17,"0.0")&amp;"% of children aged 12-23 months were fully vaccinated in the latest DHS, so about "&amp;TEXT(100-Summary!C17,"0.0")&amp;"% were not."</f>
        <v>2. Full vaccination is still low: 39.4% of children aged 12-23 months were fully vaccinated in the latest DHS, so about 60.6% were not.</v>
      </c>
    </row>
    <row r="7" customFormat="false" ht="43.5" hidden="false" customHeight="true" outlineLevel="0" collapsed="false">
      <c r="A7" s="5" t="str">
        <f aca="false">"3. Children missed entirely: by the DTP1 proxy, "&amp;TEXT(Summary!C32,"0.0")&amp;"% of children had no DTP dose in the latest DHS (cohort "&amp;Summary!B6&amp;"), versus "&amp;TEXT(Summary!B32,"0.0")&amp;"% in the previous DHS (cohort "&amp;Summary!B7&amp;"). This is not a clear improvement."</f>
        <v>3. Children missed entirely: by the DTP1 proxy, 37.1% of children had no DTP dose in the latest DHS (cohort 2022), versus 34.7% in the previous DHS (cohort 2017). This is not a clear improvement.</v>
      </c>
    </row>
    <row r="8" customFormat="false" ht="43.5" hidden="false" customHeight="true" outlineLevel="0" collapsed="false">
      <c r="A8" s="5" t="str">
        <f aca="false">"4. Children who start but do not finish: DTP dropout was "&amp;TEXT(Summary!C33,"0.0")&amp;"% in the latest DHS versus "&amp;TEXT(Summary!B33,"0.0")&amp;"% before. Dropout fell while the zero-dose proxy did not, so gains came from finishing the series rather than reaching more children."</f>
        <v>4. Children who start but do not finish: DTP dropout was 15.1% in the latest DHS versus 23.3% before. Dropout fell while the zero-dose proxy did not, so gains came from finishing the series rather than reaching more children.</v>
      </c>
    </row>
    <row r="9" customFormat="false" ht="43.5" hidden="false" customHeight="true" outlineLevel="0" collapsed="false">
      <c r="A9" s="5" t="str">
        <f aca="false">"5. Is the latest DTP3 change real? Change of "&amp;TEXT(Summary!D30,"0.0")&amp;" pp vs an approximate margin of "&amp;TEXT(Summary!D35,"0.0")&amp;" pp (assumed design effect "&amp;TEXT(Coverage!B3,"0.0")&amp;"): "&amp;Summary!D36&amp;"."</f>
        <v>5. Is the latest DTP3 change real? Change of 3.3 pp vs an approximate margin of 2.6 pp (assumed design effect 2.0): Only modestly larger than assumed sampling noise: treat as suggestive.</v>
      </c>
    </row>
    <row r="10" customFormat="false" ht="43.5" hidden="false" customHeight="true" outlineLevel="0" collapsed="false">
      <c r="A10" s="5" t="str">
        <f aca="false">"6. Survey families disagree: national coverage surveys reported DTP3 about "&amp;TEXT(Summary!D40,"0.0")&amp;" and "&amp;TEXT(Summary!D41,"0.0")&amp;" points above the nearest MICS. Treat each family as its own series."</f>
        <v>6. Survey families disagree: national coverage surveys reported DTP3 about 23.9 and 23.0 points above the nearest MICS. Treat each family as its own series.</v>
      </c>
    </row>
    <row r="11" customFormat="false" ht="43.5" hidden="false" customHeight="true" outlineLevel="0" collapsed="false">
      <c r="A11" s="5" t="str">
        <f aca="false">"7. Regional context: latest DHS/MICS DTP3 is "&amp;TEXT(Benchmark!D5,"0.0")&amp;"% in Nigeria (cohort "&amp;Benchmark!B5&amp;") versus "&amp;TEXT(Benchmark!D6,"0.0")&amp;"% in Benin, "&amp;TEXT(Benchmark!D8,"0.0")&amp;"% in Chad and "&amp;TEXT(Benchmark!D9,"0.0")&amp;"% in Cameroon (different years)."</f>
        <v>7. Regional context: latest DHS/MICS DTP3 is 53.4% in Nigeria (cohort 2022) versus 67.3% in Benin, 33.2% in Chad and 71.5% in Cameroon (different years).</v>
      </c>
    </row>
    <row r="13" customFormat="false" ht="15" hidden="false" customHeight="false" outlineLevel="0" collapsed="false">
      <c r="A13" s="6" t="s">
        <v>438</v>
      </c>
    </row>
    <row r="14" customFormat="false" ht="31.5" hidden="false" customHeight="true" outlineLevel="0" collapsed="false">
      <c r="A14" s="5" t="s">
        <v>439</v>
      </c>
    </row>
    <row r="15" customFormat="false" ht="31.5" hidden="false" customHeight="true" outlineLevel="0" collapsed="false">
      <c r="A15" s="5" t="s">
        <v>440</v>
      </c>
    </row>
    <row r="16" customFormat="false" ht="31.5" hidden="false" customHeight="true" outlineLevel="0" collapsed="false">
      <c r="A16" s="5" t="s">
        <v>441</v>
      </c>
    </row>
    <row r="17" customFormat="false" ht="31.5" hidden="false" customHeight="true" outlineLevel="0" collapsed="false">
      <c r="A17" s="5" t="s">
        <v>442</v>
      </c>
    </row>
    <row r="19" customFormat="false" ht="15" hidden="false" customHeight="false" outlineLevel="0" collapsed="false">
      <c r="A19" s="6" t="s">
        <v>443</v>
      </c>
    </row>
    <row r="20" customFormat="false" ht="31.5" hidden="false" customHeight="true" outlineLevel="0" collapsed="false">
      <c r="A20" s="5" t="s">
        <v>444</v>
      </c>
    </row>
    <row r="21" customFormat="false" ht="31.5" hidden="false" customHeight="true" outlineLevel="0" collapsed="false">
      <c r="A21" s="5" t="s">
        <v>445</v>
      </c>
    </row>
    <row r="22" customFormat="false" ht="31.5" hidden="false" customHeight="true" outlineLevel="0" collapsed="false">
      <c r="A22" s="5" t="s">
        <v>446</v>
      </c>
    </row>
    <row r="23" customFormat="false" ht="31.5" hidden="false" customHeight="true" outlineLevel="0" collapsed="false">
      <c r="A23" s="5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448</v>
      </c>
    </row>
    <row r="3" customFormat="false" ht="15" hidden="false" customHeight="false" outlineLevel="0" collapsed="false">
      <c r="A3" s="3" t="s">
        <v>449</v>
      </c>
      <c r="B3" s="3" t="s">
        <v>450</v>
      </c>
    </row>
    <row r="4" customFormat="false" ht="51.75" hidden="false" customHeight="true" outlineLevel="0" collapsed="false">
      <c r="A4" s="4" t="s">
        <v>451</v>
      </c>
      <c r="B4" s="5" t="s">
        <v>452</v>
      </c>
    </row>
    <row r="5" customFormat="false" ht="51.75" hidden="false" customHeight="true" outlineLevel="0" collapsed="false">
      <c r="A5" s="4" t="s">
        <v>453</v>
      </c>
      <c r="B5" s="5" t="s">
        <v>454</v>
      </c>
    </row>
    <row r="6" customFormat="false" ht="51.75" hidden="false" customHeight="true" outlineLevel="0" collapsed="false">
      <c r="A6" s="4" t="s">
        <v>455</v>
      </c>
      <c r="B6" s="5" t="s">
        <v>456</v>
      </c>
    </row>
    <row r="7" customFormat="false" ht="120" hidden="false" customHeight="true" outlineLevel="0" collapsed="false">
      <c r="A7" s="4" t="s">
        <v>457</v>
      </c>
      <c r="B7" s="5" t="s">
        <v>458</v>
      </c>
    </row>
    <row r="8" customFormat="false" ht="51.75" hidden="false" customHeight="true" outlineLevel="0" collapsed="false">
      <c r="A8" s="4" t="s">
        <v>459</v>
      </c>
      <c r="B8" s="5" t="s">
        <v>460</v>
      </c>
    </row>
    <row r="9" customFormat="false" ht="51.75" hidden="false" customHeight="true" outlineLevel="0" collapsed="false">
      <c r="A9" s="4" t="s">
        <v>461</v>
      </c>
      <c r="B9" s="5" t="s">
        <v>462</v>
      </c>
    </row>
    <row r="10" customFormat="false" ht="51.75" hidden="false" customHeight="true" outlineLevel="0" collapsed="false">
      <c r="A10" s="4" t="s">
        <v>463</v>
      </c>
      <c r="B10" s="5" t="s">
        <v>464</v>
      </c>
    </row>
    <row r="11" customFormat="false" ht="51.75" hidden="false" customHeight="true" outlineLevel="0" collapsed="false">
      <c r="A11" s="4" t="s">
        <v>465</v>
      </c>
      <c r="B11" s="5" t="s">
        <v>466</v>
      </c>
    </row>
    <row r="12" customFormat="false" ht="51.75" hidden="false" customHeight="true" outlineLevel="0" collapsed="false">
      <c r="A12" s="4" t="s">
        <v>467</v>
      </c>
      <c r="B12" s="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2026-10-16T09:22:33Z</dcterms:created>
  <dc:creator>openpyxl</dc:creator>
  <dc:description/>
  <dc:language>en-US</dc:language>
  <cp:lastModifiedBy/>
  <dcterms:modified xsi:type="dcterms:W3CDTF">2026-10-16T09:22:40Z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